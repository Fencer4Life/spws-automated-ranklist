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Szabla 2023-2024/Ranking Mezczyzn - szabla/"/>
    </mc:Choice>
  </mc:AlternateContent>
  <xr:revisionPtr revIDLastSave="1363" documentId="8_{7DCFD9FF-8A32-4034-AFB0-C083BCE09D45}" xr6:coauthVersionLast="47" xr6:coauthVersionMax="47" xr10:uidLastSave="{CAC30E48-D057-4B53-AD35-0505AB16D73F}"/>
  <bookViews>
    <workbookView xWindow="-109" yWindow="-109" windowWidth="26301" windowHeight="14169" tabRatio="956" activeTab="10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GP6" sheetId="29" r:id="rId7"/>
    <sheet name="GP7" sheetId="30" r:id="rId8"/>
    <sheet name="GP8" sheetId="31" r:id="rId9"/>
    <sheet name="MPW" sheetId="19" r:id="rId10"/>
    <sheet name="Kadra" sheetId="20" r:id="rId11"/>
    <sheet name="PEW1" sheetId="21" r:id="rId12"/>
    <sheet name="PEW2" sheetId="22" r:id="rId13"/>
    <sheet name="PEW3" sheetId="23" r:id="rId14"/>
    <sheet name="VFC" sheetId="37" r:id="rId15"/>
    <sheet name="PEW4" sheetId="24" r:id="rId16"/>
    <sheet name="PEW5" sheetId="25" r:id="rId17"/>
    <sheet name="PEW6" sheetId="26" r:id="rId18"/>
    <sheet name="PEW7" sheetId="27" r:id="rId19"/>
    <sheet name="PEW8" sheetId="32" r:id="rId20"/>
    <sheet name="PEW9" sheetId="33" r:id="rId21"/>
    <sheet name="PEW10" sheetId="34" r:id="rId22"/>
    <sheet name="PEW11" sheetId="35" r:id="rId23"/>
    <sheet name="PEW12" sheetId="36" r:id="rId24"/>
    <sheet name="IMEW" sheetId="28" r:id="rId25"/>
  </sheets>
  <definedNames>
    <definedName name="_xlnm._FilterDatabase" localSheetId="10" hidden="1">Kadra!$A$5:$AY$5</definedName>
    <definedName name="_xlnm._FilterDatabase" localSheetId="0" hidden="1">Ranking!$A$5:$V$5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1" l="1"/>
  <c r="B14" i="31"/>
  <c r="B13" i="31"/>
  <c r="B12" i="31"/>
  <c r="B11" i="31"/>
  <c r="B10" i="31"/>
  <c r="B9" i="31"/>
  <c r="B8" i="31"/>
  <c r="B7" i="31"/>
  <c r="B6" i="31"/>
  <c r="B29" i="19"/>
  <c r="A29" i="19"/>
  <c r="B28" i="19"/>
  <c r="A28" i="19"/>
  <c r="B27" i="19"/>
  <c r="A27" i="19"/>
  <c r="B26" i="19"/>
  <c r="A26" i="19"/>
  <c r="B25" i="19"/>
  <c r="A25" i="19"/>
  <c r="B24" i="19"/>
  <c r="A24" i="19"/>
  <c r="B23" i="19"/>
  <c r="A23" i="19"/>
  <c r="B22" i="19"/>
  <c r="A22" i="19"/>
  <c r="B21" i="19"/>
  <c r="A21" i="19"/>
  <c r="B20" i="19"/>
  <c r="A20" i="19"/>
  <c r="B19" i="19"/>
  <c r="A19" i="19"/>
  <c r="B18" i="19"/>
  <c r="A18" i="19"/>
  <c r="B17" i="19"/>
  <c r="A17" i="19"/>
  <c r="B30" i="19"/>
  <c r="B31" i="19"/>
  <c r="B32" i="19"/>
  <c r="B33" i="19"/>
  <c r="B34" i="19"/>
  <c r="B35" i="19"/>
  <c r="B16" i="19"/>
  <c r="B15" i="19"/>
  <c r="B14" i="19"/>
  <c r="B13" i="19"/>
  <c r="B12" i="19"/>
  <c r="B11" i="19"/>
  <c r="B10" i="19"/>
  <c r="B9" i="19"/>
  <c r="B8" i="19"/>
  <c r="B7" i="19"/>
  <c r="B6" i="19"/>
  <c r="B17" i="30"/>
  <c r="B16" i="30"/>
  <c r="B15" i="30"/>
  <c r="B14" i="30"/>
  <c r="B13" i="30"/>
  <c r="B12" i="30"/>
  <c r="B11" i="30"/>
  <c r="B10" i="30"/>
  <c r="B9" i="30"/>
  <c r="B8" i="30"/>
  <c r="B7" i="30"/>
  <c r="B6" i="30"/>
  <c r="B10" i="32"/>
  <c r="A10" i="32"/>
  <c r="B28" i="27"/>
  <c r="A28" i="27"/>
  <c r="B15" i="29"/>
  <c r="B14" i="29"/>
  <c r="B13" i="29"/>
  <c r="B12" i="29"/>
  <c r="B11" i="29"/>
  <c r="B10" i="29"/>
  <c r="B9" i="29"/>
  <c r="B8" i="29"/>
  <c r="B7" i="29"/>
  <c r="B6" i="29"/>
  <c r="AD22" i="20"/>
  <c r="AD21" i="20"/>
  <c r="AD19" i="20"/>
  <c r="AD18" i="20"/>
  <c r="AD17" i="20"/>
  <c r="AD28" i="20"/>
  <c r="AD16" i="20"/>
  <c r="AD15" i="20"/>
  <c r="AD14" i="20"/>
  <c r="AD11" i="20"/>
  <c r="AD13" i="20"/>
  <c r="AD10" i="20"/>
  <c r="AD7" i="20"/>
  <c r="AD9" i="20"/>
  <c r="AD8" i="20"/>
  <c r="AD6" i="20"/>
  <c r="J305" i="37"/>
  <c r="K305" i="37" s="1"/>
  <c r="I305" i="37"/>
  <c r="M305" i="37" s="1"/>
  <c r="J304" i="37"/>
  <c r="K304" i="37" s="1"/>
  <c r="I304" i="37"/>
  <c r="M304" i="37" s="1"/>
  <c r="J303" i="37"/>
  <c r="K303" i="37" s="1"/>
  <c r="I303" i="37"/>
  <c r="M303" i="37" s="1"/>
  <c r="J302" i="37"/>
  <c r="K302" i="37" s="1"/>
  <c r="I302" i="37"/>
  <c r="M302" i="37" s="1"/>
  <c r="M301" i="37"/>
  <c r="J301" i="37"/>
  <c r="K301" i="37" s="1"/>
  <c r="I301" i="37"/>
  <c r="J300" i="37"/>
  <c r="K300" i="37" s="1"/>
  <c r="I300" i="37"/>
  <c r="M300" i="37" s="1"/>
  <c r="J299" i="37"/>
  <c r="K299" i="37" s="1"/>
  <c r="I299" i="37"/>
  <c r="M299" i="37" s="1"/>
  <c r="K298" i="37"/>
  <c r="J298" i="37"/>
  <c r="I298" i="37"/>
  <c r="M298" i="37" s="1"/>
  <c r="J297" i="37"/>
  <c r="K297" i="37" s="1"/>
  <c r="I297" i="37"/>
  <c r="M297" i="37" s="1"/>
  <c r="J296" i="37"/>
  <c r="K296" i="37" s="1"/>
  <c r="I296" i="37"/>
  <c r="M296" i="37" s="1"/>
  <c r="J295" i="37"/>
  <c r="K295" i="37" s="1"/>
  <c r="I295" i="37"/>
  <c r="M295" i="37" s="1"/>
  <c r="K294" i="37"/>
  <c r="J294" i="37"/>
  <c r="I294" i="37"/>
  <c r="M294" i="37" s="1"/>
  <c r="M293" i="37"/>
  <c r="J293" i="37"/>
  <c r="K293" i="37" s="1"/>
  <c r="I293" i="37"/>
  <c r="J292" i="37"/>
  <c r="K292" i="37" s="1"/>
  <c r="I292" i="37"/>
  <c r="M292" i="37" s="1"/>
  <c r="J291" i="37"/>
  <c r="K291" i="37" s="1"/>
  <c r="I291" i="37"/>
  <c r="M291" i="37" s="1"/>
  <c r="K290" i="37"/>
  <c r="J290" i="37"/>
  <c r="I290" i="37"/>
  <c r="M290" i="37" s="1"/>
  <c r="J289" i="37"/>
  <c r="K289" i="37" s="1"/>
  <c r="I289" i="37"/>
  <c r="M289" i="37" s="1"/>
  <c r="J288" i="37"/>
  <c r="K288" i="37" s="1"/>
  <c r="I288" i="37"/>
  <c r="M288" i="37" s="1"/>
  <c r="J287" i="37"/>
  <c r="K287" i="37" s="1"/>
  <c r="I287" i="37"/>
  <c r="M287" i="37" s="1"/>
  <c r="J286" i="37"/>
  <c r="K286" i="37" s="1"/>
  <c r="I286" i="37"/>
  <c r="M286" i="37" s="1"/>
  <c r="M285" i="37"/>
  <c r="J285" i="37"/>
  <c r="K285" i="37" s="1"/>
  <c r="I285" i="37"/>
  <c r="J284" i="37"/>
  <c r="K284" i="37" s="1"/>
  <c r="I284" i="37"/>
  <c r="M284" i="37" s="1"/>
  <c r="J283" i="37"/>
  <c r="K283" i="37" s="1"/>
  <c r="I283" i="37"/>
  <c r="M283" i="37" s="1"/>
  <c r="K282" i="37"/>
  <c r="J282" i="37"/>
  <c r="I282" i="37"/>
  <c r="M282" i="37" s="1"/>
  <c r="J281" i="37"/>
  <c r="K281" i="37" s="1"/>
  <c r="I281" i="37"/>
  <c r="M281" i="37" s="1"/>
  <c r="J280" i="37"/>
  <c r="K280" i="37" s="1"/>
  <c r="I280" i="37"/>
  <c r="M280" i="37" s="1"/>
  <c r="J279" i="37"/>
  <c r="K279" i="37" s="1"/>
  <c r="I279" i="37"/>
  <c r="M279" i="37" s="1"/>
  <c r="K278" i="37"/>
  <c r="J278" i="37"/>
  <c r="I278" i="37"/>
  <c r="M278" i="37" s="1"/>
  <c r="M277" i="37"/>
  <c r="J277" i="37"/>
  <c r="K277" i="37" s="1"/>
  <c r="I277" i="37"/>
  <c r="J276" i="37"/>
  <c r="K276" i="37" s="1"/>
  <c r="I276" i="37"/>
  <c r="M276" i="37" s="1"/>
  <c r="J275" i="37"/>
  <c r="K275" i="37" s="1"/>
  <c r="I275" i="37"/>
  <c r="M275" i="37" s="1"/>
  <c r="K274" i="37"/>
  <c r="J274" i="37"/>
  <c r="I274" i="37"/>
  <c r="M274" i="37" s="1"/>
  <c r="J273" i="37"/>
  <c r="K273" i="37" s="1"/>
  <c r="I273" i="37"/>
  <c r="M273" i="37" s="1"/>
  <c r="K272" i="37"/>
  <c r="J272" i="37"/>
  <c r="I272" i="37"/>
  <c r="M272" i="37" s="1"/>
  <c r="J271" i="37"/>
  <c r="K271" i="37" s="1"/>
  <c r="I271" i="37"/>
  <c r="M271" i="37" s="1"/>
  <c r="J270" i="37"/>
  <c r="K270" i="37" s="1"/>
  <c r="I270" i="37"/>
  <c r="M270" i="37" s="1"/>
  <c r="J269" i="37"/>
  <c r="K269" i="37" s="1"/>
  <c r="I269" i="37"/>
  <c r="M269" i="37" s="1"/>
  <c r="K268" i="37"/>
  <c r="J268" i="37"/>
  <c r="I268" i="37"/>
  <c r="M268" i="37" s="1"/>
  <c r="J267" i="37"/>
  <c r="K267" i="37" s="1"/>
  <c r="I267" i="37"/>
  <c r="M267" i="37" s="1"/>
  <c r="J266" i="37"/>
  <c r="K266" i="37" s="1"/>
  <c r="I266" i="37"/>
  <c r="M266" i="37" s="1"/>
  <c r="J265" i="37"/>
  <c r="K265" i="37" s="1"/>
  <c r="I265" i="37"/>
  <c r="M265" i="37" s="1"/>
  <c r="J264" i="37"/>
  <c r="K264" i="37" s="1"/>
  <c r="I264" i="37"/>
  <c r="M264" i="37" s="1"/>
  <c r="J263" i="37"/>
  <c r="K263" i="37" s="1"/>
  <c r="I263" i="37"/>
  <c r="M263" i="37" s="1"/>
  <c r="J262" i="37"/>
  <c r="K262" i="37" s="1"/>
  <c r="I262" i="37"/>
  <c r="M262" i="37" s="1"/>
  <c r="J261" i="37"/>
  <c r="K261" i="37" s="1"/>
  <c r="I261" i="37"/>
  <c r="M261" i="37" s="1"/>
  <c r="J260" i="37"/>
  <c r="K260" i="37" s="1"/>
  <c r="I260" i="37"/>
  <c r="M260" i="37" s="1"/>
  <c r="J259" i="37"/>
  <c r="K259" i="37" s="1"/>
  <c r="I259" i="37"/>
  <c r="M259" i="37" s="1"/>
  <c r="J258" i="37"/>
  <c r="K258" i="37" s="1"/>
  <c r="I258" i="37"/>
  <c r="M258" i="37" s="1"/>
  <c r="J257" i="37"/>
  <c r="K257" i="37" s="1"/>
  <c r="I257" i="37"/>
  <c r="M257" i="37" s="1"/>
  <c r="J256" i="37"/>
  <c r="K256" i="37" s="1"/>
  <c r="I256" i="37"/>
  <c r="M256" i="37" s="1"/>
  <c r="J255" i="37"/>
  <c r="K255" i="37" s="1"/>
  <c r="I255" i="37"/>
  <c r="M255" i="37" s="1"/>
  <c r="J254" i="37"/>
  <c r="K254" i="37" s="1"/>
  <c r="I254" i="37"/>
  <c r="M254" i="37" s="1"/>
  <c r="J253" i="37"/>
  <c r="K253" i="37" s="1"/>
  <c r="I253" i="37"/>
  <c r="M253" i="37" s="1"/>
  <c r="J252" i="37"/>
  <c r="K252" i="37" s="1"/>
  <c r="I252" i="37"/>
  <c r="M252" i="37" s="1"/>
  <c r="J251" i="37"/>
  <c r="K251" i="37" s="1"/>
  <c r="I251" i="37"/>
  <c r="M251" i="37" s="1"/>
  <c r="J250" i="37"/>
  <c r="K250" i="37" s="1"/>
  <c r="I250" i="37"/>
  <c r="M250" i="37" s="1"/>
  <c r="J249" i="37"/>
  <c r="K249" i="37" s="1"/>
  <c r="I249" i="37"/>
  <c r="M249" i="37" s="1"/>
  <c r="K248" i="37"/>
  <c r="J248" i="37"/>
  <c r="I248" i="37"/>
  <c r="M248" i="37" s="1"/>
  <c r="J247" i="37"/>
  <c r="K247" i="37" s="1"/>
  <c r="I247" i="37"/>
  <c r="M247" i="37" s="1"/>
  <c r="J246" i="37"/>
  <c r="K246" i="37" s="1"/>
  <c r="I246" i="37"/>
  <c r="M246" i="37" s="1"/>
  <c r="J245" i="37"/>
  <c r="K245" i="37" s="1"/>
  <c r="I245" i="37"/>
  <c r="M245" i="37" s="1"/>
  <c r="J244" i="37"/>
  <c r="K244" i="37" s="1"/>
  <c r="I244" i="37"/>
  <c r="M244" i="37" s="1"/>
  <c r="J243" i="37"/>
  <c r="K243" i="37" s="1"/>
  <c r="I243" i="37"/>
  <c r="M243" i="37" s="1"/>
  <c r="K242" i="37"/>
  <c r="J242" i="37"/>
  <c r="I242" i="37"/>
  <c r="M242" i="37" s="1"/>
  <c r="J241" i="37"/>
  <c r="K241" i="37" s="1"/>
  <c r="I241" i="37"/>
  <c r="M241" i="37" s="1"/>
  <c r="J240" i="37"/>
  <c r="K240" i="37" s="1"/>
  <c r="I240" i="37"/>
  <c r="M240" i="37" s="1"/>
  <c r="J239" i="37"/>
  <c r="K239" i="37" s="1"/>
  <c r="I239" i="37"/>
  <c r="M239" i="37" s="1"/>
  <c r="J238" i="37"/>
  <c r="K238" i="37" s="1"/>
  <c r="I238" i="37"/>
  <c r="M238" i="37" s="1"/>
  <c r="J237" i="37"/>
  <c r="K237" i="37" s="1"/>
  <c r="I237" i="37"/>
  <c r="M237" i="37" s="1"/>
  <c r="J236" i="37"/>
  <c r="K236" i="37" s="1"/>
  <c r="I236" i="37"/>
  <c r="M236" i="37" s="1"/>
  <c r="J235" i="37"/>
  <c r="K235" i="37" s="1"/>
  <c r="I235" i="37"/>
  <c r="M235" i="37" s="1"/>
  <c r="K234" i="37"/>
  <c r="J234" i="37"/>
  <c r="I234" i="37"/>
  <c r="M234" i="37" s="1"/>
  <c r="M233" i="37"/>
  <c r="J233" i="37"/>
  <c r="K233" i="37" s="1"/>
  <c r="I233" i="37"/>
  <c r="J232" i="37"/>
  <c r="K232" i="37" s="1"/>
  <c r="I232" i="37"/>
  <c r="M232" i="37" s="1"/>
  <c r="J231" i="37"/>
  <c r="K231" i="37" s="1"/>
  <c r="I231" i="37"/>
  <c r="M231" i="37" s="1"/>
  <c r="J230" i="37"/>
  <c r="K230" i="37" s="1"/>
  <c r="I230" i="37"/>
  <c r="M230" i="37" s="1"/>
  <c r="J229" i="37"/>
  <c r="K229" i="37" s="1"/>
  <c r="I229" i="37"/>
  <c r="M229" i="37" s="1"/>
  <c r="K228" i="37"/>
  <c r="J228" i="37"/>
  <c r="I228" i="37"/>
  <c r="M228" i="37" s="1"/>
  <c r="J227" i="37"/>
  <c r="K227" i="37" s="1"/>
  <c r="I227" i="37"/>
  <c r="M227" i="37" s="1"/>
  <c r="J226" i="37"/>
  <c r="K226" i="37" s="1"/>
  <c r="I226" i="37"/>
  <c r="M226" i="37" s="1"/>
  <c r="M225" i="37"/>
  <c r="J225" i="37"/>
  <c r="K225" i="37" s="1"/>
  <c r="I225" i="37"/>
  <c r="J224" i="37"/>
  <c r="K224" i="37" s="1"/>
  <c r="I224" i="37"/>
  <c r="M224" i="37" s="1"/>
  <c r="J223" i="37"/>
  <c r="K223" i="37" s="1"/>
  <c r="I223" i="37"/>
  <c r="M223" i="37" s="1"/>
  <c r="K222" i="37"/>
  <c r="J222" i="37"/>
  <c r="I222" i="37"/>
  <c r="M222" i="37" s="1"/>
  <c r="J221" i="37"/>
  <c r="K221" i="37" s="1"/>
  <c r="I221" i="37"/>
  <c r="M221" i="37" s="1"/>
  <c r="J220" i="37"/>
  <c r="K220" i="37" s="1"/>
  <c r="I220" i="37"/>
  <c r="M220" i="37" s="1"/>
  <c r="J219" i="37"/>
  <c r="K219" i="37" s="1"/>
  <c r="I219" i="37"/>
  <c r="M219" i="37" s="1"/>
  <c r="J218" i="37"/>
  <c r="K218" i="37" s="1"/>
  <c r="I218" i="37"/>
  <c r="M218" i="37" s="1"/>
  <c r="J217" i="37"/>
  <c r="K217" i="37" s="1"/>
  <c r="I217" i="37"/>
  <c r="M217" i="37" s="1"/>
  <c r="K216" i="37"/>
  <c r="J216" i="37"/>
  <c r="I216" i="37"/>
  <c r="M216" i="37" s="1"/>
  <c r="J215" i="37"/>
  <c r="K215" i="37" s="1"/>
  <c r="I215" i="37"/>
  <c r="M215" i="37" s="1"/>
  <c r="J214" i="37"/>
  <c r="K214" i="37" s="1"/>
  <c r="I214" i="37"/>
  <c r="M214" i="37" s="1"/>
  <c r="J213" i="37"/>
  <c r="K213" i="37" s="1"/>
  <c r="I213" i="37"/>
  <c r="M213" i="37" s="1"/>
  <c r="J212" i="37"/>
  <c r="K212" i="37" s="1"/>
  <c r="I212" i="37"/>
  <c r="M212" i="37" s="1"/>
  <c r="J211" i="37"/>
  <c r="K211" i="37" s="1"/>
  <c r="I211" i="37"/>
  <c r="M211" i="37" s="1"/>
  <c r="J210" i="37"/>
  <c r="K210" i="37" s="1"/>
  <c r="I210" i="37"/>
  <c r="M210" i="37" s="1"/>
  <c r="J209" i="37"/>
  <c r="K209" i="37" s="1"/>
  <c r="I209" i="37"/>
  <c r="M209" i="37" s="1"/>
  <c r="K208" i="37"/>
  <c r="J208" i="37"/>
  <c r="I208" i="37"/>
  <c r="M208" i="37" s="1"/>
  <c r="J207" i="37"/>
  <c r="K207" i="37" s="1"/>
  <c r="I207" i="37"/>
  <c r="M207" i="37" s="1"/>
  <c r="K206" i="37"/>
  <c r="J206" i="37"/>
  <c r="I206" i="37"/>
  <c r="M206" i="37" s="1"/>
  <c r="J205" i="37"/>
  <c r="K205" i="37" s="1"/>
  <c r="I205" i="37"/>
  <c r="M205" i="37" s="1"/>
  <c r="J204" i="37"/>
  <c r="K204" i="37" s="1"/>
  <c r="I204" i="37"/>
  <c r="M204" i="37" s="1"/>
  <c r="J203" i="37"/>
  <c r="K203" i="37" s="1"/>
  <c r="I203" i="37"/>
  <c r="M203" i="37" s="1"/>
  <c r="J202" i="37"/>
  <c r="K202" i="37" s="1"/>
  <c r="I202" i="37"/>
  <c r="M202" i="37" s="1"/>
  <c r="J201" i="37"/>
  <c r="K201" i="37" s="1"/>
  <c r="I201" i="37"/>
  <c r="M201" i="37" s="1"/>
  <c r="K200" i="37"/>
  <c r="J200" i="37"/>
  <c r="I200" i="37"/>
  <c r="M200" i="37" s="1"/>
  <c r="J199" i="37"/>
  <c r="K199" i="37" s="1"/>
  <c r="I199" i="37"/>
  <c r="M199" i="37" s="1"/>
  <c r="J198" i="37"/>
  <c r="K198" i="37" s="1"/>
  <c r="I198" i="37"/>
  <c r="M198" i="37" s="1"/>
  <c r="J197" i="37"/>
  <c r="K197" i="37" s="1"/>
  <c r="I197" i="37"/>
  <c r="M197" i="37" s="1"/>
  <c r="J196" i="37"/>
  <c r="K196" i="37" s="1"/>
  <c r="I196" i="37"/>
  <c r="M196" i="37" s="1"/>
  <c r="J195" i="37"/>
  <c r="K195" i="37" s="1"/>
  <c r="I195" i="37"/>
  <c r="M195" i="37" s="1"/>
  <c r="K194" i="37"/>
  <c r="J194" i="37"/>
  <c r="I194" i="37"/>
  <c r="M194" i="37" s="1"/>
  <c r="M193" i="37"/>
  <c r="J193" i="37"/>
  <c r="K193" i="37" s="1"/>
  <c r="I193" i="37"/>
  <c r="J192" i="37"/>
  <c r="K192" i="37" s="1"/>
  <c r="I192" i="37"/>
  <c r="M192" i="37" s="1"/>
  <c r="J191" i="37"/>
  <c r="K191" i="37" s="1"/>
  <c r="I191" i="37"/>
  <c r="M191" i="37" s="1"/>
  <c r="J190" i="37"/>
  <c r="K190" i="37" s="1"/>
  <c r="I190" i="37"/>
  <c r="M190" i="37" s="1"/>
  <c r="J189" i="37"/>
  <c r="K189" i="37" s="1"/>
  <c r="I189" i="37"/>
  <c r="M189" i="37" s="1"/>
  <c r="K188" i="37"/>
  <c r="J188" i="37"/>
  <c r="I188" i="37"/>
  <c r="M188" i="37" s="1"/>
  <c r="J187" i="37"/>
  <c r="K187" i="37" s="1"/>
  <c r="I187" i="37"/>
  <c r="M187" i="37" s="1"/>
  <c r="J186" i="37"/>
  <c r="K186" i="37" s="1"/>
  <c r="I186" i="37"/>
  <c r="M186" i="37" s="1"/>
  <c r="M185" i="37"/>
  <c r="J185" i="37"/>
  <c r="K185" i="37" s="1"/>
  <c r="I185" i="37"/>
  <c r="J184" i="37"/>
  <c r="K184" i="37" s="1"/>
  <c r="I184" i="37"/>
  <c r="M184" i="37" s="1"/>
  <c r="J183" i="37"/>
  <c r="K183" i="37" s="1"/>
  <c r="I183" i="37"/>
  <c r="M183" i="37" s="1"/>
  <c r="K182" i="37"/>
  <c r="J182" i="37"/>
  <c r="I182" i="37"/>
  <c r="M182" i="37" s="1"/>
  <c r="J181" i="37"/>
  <c r="K181" i="37" s="1"/>
  <c r="I181" i="37"/>
  <c r="M181" i="37" s="1"/>
  <c r="J180" i="37"/>
  <c r="K180" i="37" s="1"/>
  <c r="I180" i="37"/>
  <c r="M180" i="37" s="1"/>
  <c r="J179" i="37"/>
  <c r="K179" i="37" s="1"/>
  <c r="I179" i="37"/>
  <c r="M179" i="37" s="1"/>
  <c r="J178" i="37"/>
  <c r="K178" i="37" s="1"/>
  <c r="I178" i="37"/>
  <c r="M178" i="37" s="1"/>
  <c r="J177" i="37"/>
  <c r="K177" i="37" s="1"/>
  <c r="I177" i="37"/>
  <c r="M177" i="37" s="1"/>
  <c r="J176" i="37"/>
  <c r="K176" i="37" s="1"/>
  <c r="I176" i="37"/>
  <c r="M176" i="37" s="1"/>
  <c r="J175" i="37"/>
  <c r="K175" i="37" s="1"/>
  <c r="I175" i="37"/>
  <c r="M175" i="37" s="1"/>
  <c r="J174" i="37"/>
  <c r="K174" i="37" s="1"/>
  <c r="I174" i="37"/>
  <c r="M174" i="37" s="1"/>
  <c r="J173" i="37"/>
  <c r="K173" i="37" s="1"/>
  <c r="I173" i="37"/>
  <c r="M173" i="37" s="1"/>
  <c r="J172" i="37"/>
  <c r="K172" i="37" s="1"/>
  <c r="I172" i="37"/>
  <c r="M172" i="37" s="1"/>
  <c r="J171" i="37"/>
  <c r="K171" i="37" s="1"/>
  <c r="I171" i="37"/>
  <c r="M171" i="37" s="1"/>
  <c r="J170" i="37"/>
  <c r="K170" i="37" s="1"/>
  <c r="I170" i="37"/>
  <c r="M170" i="37" s="1"/>
  <c r="J169" i="37"/>
  <c r="K169" i="37" s="1"/>
  <c r="I169" i="37"/>
  <c r="M169" i="37" s="1"/>
  <c r="J168" i="37"/>
  <c r="K168" i="37" s="1"/>
  <c r="I168" i="37"/>
  <c r="M168" i="37" s="1"/>
  <c r="J167" i="37"/>
  <c r="K167" i="37" s="1"/>
  <c r="I167" i="37"/>
  <c r="M167" i="37" s="1"/>
  <c r="J166" i="37"/>
  <c r="K166" i="37" s="1"/>
  <c r="I166" i="37"/>
  <c r="M166" i="37" s="1"/>
  <c r="J165" i="37"/>
  <c r="K165" i="37" s="1"/>
  <c r="I165" i="37"/>
  <c r="M165" i="37" s="1"/>
  <c r="K164" i="37"/>
  <c r="J164" i="37"/>
  <c r="I164" i="37"/>
  <c r="M164" i="37" s="1"/>
  <c r="J163" i="37"/>
  <c r="K163" i="37" s="1"/>
  <c r="I163" i="37"/>
  <c r="M163" i="37" s="1"/>
  <c r="J162" i="37"/>
  <c r="K162" i="37" s="1"/>
  <c r="I162" i="37"/>
  <c r="M162" i="37" s="1"/>
  <c r="J161" i="37"/>
  <c r="K161" i="37" s="1"/>
  <c r="I161" i="37"/>
  <c r="M161" i="37" s="1"/>
  <c r="J160" i="37"/>
  <c r="K160" i="37" s="1"/>
  <c r="I160" i="37"/>
  <c r="M160" i="37" s="1"/>
  <c r="M159" i="37"/>
  <c r="J159" i="37"/>
  <c r="K159" i="37" s="1"/>
  <c r="I159" i="37"/>
  <c r="J158" i="37"/>
  <c r="K158" i="37" s="1"/>
  <c r="I158" i="37"/>
  <c r="M158" i="37" s="1"/>
  <c r="M157" i="37"/>
  <c r="J157" i="37"/>
  <c r="K157" i="37" s="1"/>
  <c r="I157" i="37"/>
  <c r="J156" i="37"/>
  <c r="K156" i="37" s="1"/>
  <c r="I156" i="37"/>
  <c r="M156" i="37" s="1"/>
  <c r="J155" i="37"/>
  <c r="K155" i="37" s="1"/>
  <c r="I155" i="37"/>
  <c r="M155" i="37" s="1"/>
  <c r="J154" i="37"/>
  <c r="K154" i="37" s="1"/>
  <c r="I154" i="37"/>
  <c r="M154" i="37" s="1"/>
  <c r="J153" i="37"/>
  <c r="K153" i="37" s="1"/>
  <c r="I153" i="37"/>
  <c r="M153" i="37" s="1"/>
  <c r="J152" i="37"/>
  <c r="K152" i="37" s="1"/>
  <c r="I152" i="37"/>
  <c r="M152" i="37" s="1"/>
  <c r="J151" i="37"/>
  <c r="K151" i="37" s="1"/>
  <c r="I151" i="37"/>
  <c r="M151" i="37" s="1"/>
  <c r="J150" i="37"/>
  <c r="K150" i="37" s="1"/>
  <c r="I150" i="37"/>
  <c r="M150" i="37" s="1"/>
  <c r="J149" i="37"/>
  <c r="K149" i="37" s="1"/>
  <c r="I149" i="37"/>
  <c r="M149" i="37" s="1"/>
  <c r="J148" i="37"/>
  <c r="K148" i="37" s="1"/>
  <c r="I148" i="37"/>
  <c r="M148" i="37" s="1"/>
  <c r="J147" i="37"/>
  <c r="K147" i="37" s="1"/>
  <c r="I147" i="37"/>
  <c r="M147" i="37" s="1"/>
  <c r="K146" i="37"/>
  <c r="J146" i="37"/>
  <c r="I146" i="37"/>
  <c r="M146" i="37" s="1"/>
  <c r="J145" i="37"/>
  <c r="K145" i="37" s="1"/>
  <c r="I145" i="37"/>
  <c r="M145" i="37" s="1"/>
  <c r="J144" i="37"/>
  <c r="K144" i="37" s="1"/>
  <c r="I144" i="37"/>
  <c r="M144" i="37" s="1"/>
  <c r="J143" i="37"/>
  <c r="K143" i="37" s="1"/>
  <c r="I143" i="37"/>
  <c r="M143" i="37" s="1"/>
  <c r="J142" i="37"/>
  <c r="K142" i="37" s="1"/>
  <c r="I142" i="37"/>
  <c r="M142" i="37" s="1"/>
  <c r="J141" i="37"/>
  <c r="K141" i="37" s="1"/>
  <c r="I141" i="37"/>
  <c r="M141" i="37" s="1"/>
  <c r="J140" i="37"/>
  <c r="K140" i="37" s="1"/>
  <c r="I140" i="37"/>
  <c r="M140" i="37" s="1"/>
  <c r="A140" i="37" s="1"/>
  <c r="B140" i="37"/>
  <c r="K139" i="37"/>
  <c r="J139" i="37"/>
  <c r="I139" i="37"/>
  <c r="M139" i="37" s="1"/>
  <c r="A139" i="37" s="1"/>
  <c r="B139" i="37"/>
  <c r="J138" i="37"/>
  <c r="K138" i="37" s="1"/>
  <c r="I138" i="37"/>
  <c r="M138" i="37" s="1"/>
  <c r="A138" i="37" s="1"/>
  <c r="B138" i="37"/>
  <c r="J137" i="37"/>
  <c r="K137" i="37" s="1"/>
  <c r="I137" i="37"/>
  <c r="M137" i="37" s="1"/>
  <c r="A137" i="37" s="1"/>
  <c r="B137" i="37"/>
  <c r="J136" i="37"/>
  <c r="K136" i="37" s="1"/>
  <c r="I136" i="37"/>
  <c r="M136" i="37" s="1"/>
  <c r="A136" i="37" s="1"/>
  <c r="B136" i="37"/>
  <c r="J135" i="37"/>
  <c r="K135" i="37" s="1"/>
  <c r="I135" i="37"/>
  <c r="M135" i="37" s="1"/>
  <c r="A135" i="37" s="1"/>
  <c r="B135" i="37"/>
  <c r="J134" i="37"/>
  <c r="K134" i="37" s="1"/>
  <c r="I134" i="37"/>
  <c r="M134" i="37" s="1"/>
  <c r="A134" i="37" s="1"/>
  <c r="B134" i="37"/>
  <c r="J133" i="37"/>
  <c r="K133" i="37" s="1"/>
  <c r="I133" i="37"/>
  <c r="M133" i="37" s="1"/>
  <c r="A133" i="37" s="1"/>
  <c r="B133" i="37"/>
  <c r="J132" i="37"/>
  <c r="K132" i="37" s="1"/>
  <c r="I132" i="37"/>
  <c r="M132" i="37" s="1"/>
  <c r="A132" i="37" s="1"/>
  <c r="B132" i="37"/>
  <c r="J131" i="37"/>
  <c r="K131" i="37" s="1"/>
  <c r="I131" i="37"/>
  <c r="M131" i="37" s="1"/>
  <c r="A131" i="37" s="1"/>
  <c r="B131" i="37"/>
  <c r="J130" i="37"/>
  <c r="K130" i="37" s="1"/>
  <c r="I130" i="37"/>
  <c r="M130" i="37" s="1"/>
  <c r="A130" i="37" s="1"/>
  <c r="B130" i="37"/>
  <c r="J129" i="37"/>
  <c r="K129" i="37" s="1"/>
  <c r="I129" i="37"/>
  <c r="M129" i="37" s="1"/>
  <c r="A129" i="37" s="1"/>
  <c r="B129" i="37"/>
  <c r="J128" i="37"/>
  <c r="K128" i="37" s="1"/>
  <c r="I128" i="37"/>
  <c r="M128" i="37" s="1"/>
  <c r="A128" i="37" s="1"/>
  <c r="B128" i="37"/>
  <c r="J127" i="37"/>
  <c r="K127" i="37" s="1"/>
  <c r="I127" i="37"/>
  <c r="M127" i="37" s="1"/>
  <c r="A127" i="37" s="1"/>
  <c r="B127" i="37"/>
  <c r="J126" i="37"/>
  <c r="K126" i="37" s="1"/>
  <c r="I126" i="37"/>
  <c r="M126" i="37" s="1"/>
  <c r="A126" i="37" s="1"/>
  <c r="B126" i="37"/>
  <c r="J125" i="37"/>
  <c r="K125" i="37" s="1"/>
  <c r="I125" i="37"/>
  <c r="M125" i="37" s="1"/>
  <c r="A125" i="37" s="1"/>
  <c r="B125" i="37"/>
  <c r="J124" i="37"/>
  <c r="K124" i="37" s="1"/>
  <c r="I124" i="37"/>
  <c r="M124" i="37" s="1"/>
  <c r="A124" i="37" s="1"/>
  <c r="B124" i="37"/>
  <c r="J123" i="37"/>
  <c r="K123" i="37" s="1"/>
  <c r="I123" i="37"/>
  <c r="M123" i="37" s="1"/>
  <c r="A123" i="37" s="1"/>
  <c r="B123" i="37"/>
  <c r="J122" i="37"/>
  <c r="K122" i="37" s="1"/>
  <c r="I122" i="37"/>
  <c r="M122" i="37" s="1"/>
  <c r="A122" i="37" s="1"/>
  <c r="B122" i="37"/>
  <c r="J121" i="37"/>
  <c r="K121" i="37" s="1"/>
  <c r="I121" i="37"/>
  <c r="M121" i="37" s="1"/>
  <c r="A121" i="37" s="1"/>
  <c r="B121" i="37"/>
  <c r="J120" i="37"/>
  <c r="K120" i="37" s="1"/>
  <c r="I120" i="37"/>
  <c r="M120" i="37" s="1"/>
  <c r="A120" i="37" s="1"/>
  <c r="B120" i="37"/>
  <c r="J119" i="37"/>
  <c r="K119" i="37" s="1"/>
  <c r="I119" i="37"/>
  <c r="M119" i="37" s="1"/>
  <c r="A119" i="37" s="1"/>
  <c r="B119" i="37"/>
  <c r="J118" i="37"/>
  <c r="K118" i="37" s="1"/>
  <c r="I118" i="37"/>
  <c r="M118" i="37" s="1"/>
  <c r="A118" i="37" s="1"/>
  <c r="B118" i="37"/>
  <c r="J117" i="37"/>
  <c r="K117" i="37" s="1"/>
  <c r="I117" i="37"/>
  <c r="M117" i="37" s="1"/>
  <c r="A117" i="37" s="1"/>
  <c r="B117" i="37"/>
  <c r="J116" i="37"/>
  <c r="K116" i="37" s="1"/>
  <c r="I116" i="37"/>
  <c r="M116" i="37" s="1"/>
  <c r="A116" i="37" s="1"/>
  <c r="B116" i="37"/>
  <c r="J115" i="37"/>
  <c r="K115" i="37" s="1"/>
  <c r="I115" i="37"/>
  <c r="M115" i="37" s="1"/>
  <c r="A115" i="37" s="1"/>
  <c r="B115" i="37"/>
  <c r="J114" i="37"/>
  <c r="K114" i="37" s="1"/>
  <c r="I114" i="37"/>
  <c r="M114" i="37" s="1"/>
  <c r="A114" i="37" s="1"/>
  <c r="B114" i="37"/>
  <c r="J113" i="37"/>
  <c r="K113" i="37" s="1"/>
  <c r="I113" i="37"/>
  <c r="M113" i="37" s="1"/>
  <c r="A113" i="37" s="1"/>
  <c r="B113" i="37"/>
  <c r="J112" i="37"/>
  <c r="K112" i="37" s="1"/>
  <c r="I112" i="37"/>
  <c r="M112" i="37" s="1"/>
  <c r="A112" i="37" s="1"/>
  <c r="B112" i="37"/>
  <c r="J111" i="37"/>
  <c r="K111" i="37" s="1"/>
  <c r="I111" i="37"/>
  <c r="M111" i="37" s="1"/>
  <c r="A111" i="37" s="1"/>
  <c r="B111" i="37"/>
  <c r="J110" i="37"/>
  <c r="K110" i="37" s="1"/>
  <c r="I110" i="37"/>
  <c r="M110" i="37" s="1"/>
  <c r="A110" i="37" s="1"/>
  <c r="B110" i="37"/>
  <c r="J109" i="37"/>
  <c r="K109" i="37" s="1"/>
  <c r="I109" i="37"/>
  <c r="M109" i="37" s="1"/>
  <c r="A109" i="37" s="1"/>
  <c r="B109" i="37"/>
  <c r="J108" i="37"/>
  <c r="K108" i="37" s="1"/>
  <c r="I108" i="37"/>
  <c r="M108" i="37" s="1"/>
  <c r="A108" i="37" s="1"/>
  <c r="B108" i="37"/>
  <c r="J107" i="37"/>
  <c r="K107" i="37" s="1"/>
  <c r="I107" i="37"/>
  <c r="M107" i="37" s="1"/>
  <c r="A107" i="37" s="1"/>
  <c r="B107" i="37"/>
  <c r="J106" i="37"/>
  <c r="K106" i="37" s="1"/>
  <c r="I106" i="37"/>
  <c r="M106" i="37" s="1"/>
  <c r="A106" i="37" s="1"/>
  <c r="B106" i="37"/>
  <c r="J105" i="37"/>
  <c r="K105" i="37" s="1"/>
  <c r="I105" i="37"/>
  <c r="M105" i="37" s="1"/>
  <c r="A105" i="37" s="1"/>
  <c r="B105" i="37"/>
  <c r="J104" i="37"/>
  <c r="K104" i="37" s="1"/>
  <c r="I104" i="37"/>
  <c r="M104" i="37" s="1"/>
  <c r="A104" i="37" s="1"/>
  <c r="B104" i="37"/>
  <c r="J103" i="37"/>
  <c r="K103" i="37" s="1"/>
  <c r="I103" i="37"/>
  <c r="M103" i="37" s="1"/>
  <c r="A103" i="37" s="1"/>
  <c r="B103" i="37"/>
  <c r="J102" i="37"/>
  <c r="K102" i="37" s="1"/>
  <c r="I102" i="37"/>
  <c r="M102" i="37" s="1"/>
  <c r="A102" i="37" s="1"/>
  <c r="B102" i="37"/>
  <c r="K101" i="37"/>
  <c r="J101" i="37"/>
  <c r="I101" i="37"/>
  <c r="M101" i="37" s="1"/>
  <c r="A101" i="37" s="1"/>
  <c r="B101" i="37"/>
  <c r="J100" i="37"/>
  <c r="K100" i="37" s="1"/>
  <c r="I100" i="37"/>
  <c r="M100" i="37" s="1"/>
  <c r="A100" i="37" s="1"/>
  <c r="B100" i="37"/>
  <c r="J99" i="37"/>
  <c r="K99" i="37" s="1"/>
  <c r="I99" i="37"/>
  <c r="M99" i="37" s="1"/>
  <c r="A99" i="37" s="1"/>
  <c r="B99" i="37"/>
  <c r="J98" i="37"/>
  <c r="K98" i="37" s="1"/>
  <c r="I98" i="37"/>
  <c r="M98" i="37" s="1"/>
  <c r="A98" i="37" s="1"/>
  <c r="B98" i="37"/>
  <c r="J97" i="37"/>
  <c r="K97" i="37" s="1"/>
  <c r="I97" i="37"/>
  <c r="M97" i="37" s="1"/>
  <c r="A97" i="37" s="1"/>
  <c r="B97" i="37"/>
  <c r="J96" i="37"/>
  <c r="K96" i="37" s="1"/>
  <c r="I96" i="37"/>
  <c r="M96" i="37" s="1"/>
  <c r="A96" i="37" s="1"/>
  <c r="B96" i="37"/>
  <c r="J95" i="37"/>
  <c r="K95" i="37" s="1"/>
  <c r="I95" i="37"/>
  <c r="M95" i="37" s="1"/>
  <c r="A95" i="37" s="1"/>
  <c r="B95" i="37"/>
  <c r="J94" i="37"/>
  <c r="K94" i="37" s="1"/>
  <c r="I94" i="37"/>
  <c r="M94" i="37" s="1"/>
  <c r="A94" i="37" s="1"/>
  <c r="B94" i="37"/>
  <c r="J93" i="37"/>
  <c r="K93" i="37" s="1"/>
  <c r="I93" i="37"/>
  <c r="M93" i="37" s="1"/>
  <c r="A93" i="37" s="1"/>
  <c r="B93" i="37"/>
  <c r="J92" i="37"/>
  <c r="K92" i="37" s="1"/>
  <c r="I92" i="37"/>
  <c r="M92" i="37" s="1"/>
  <c r="A92" i="37" s="1"/>
  <c r="B92" i="37"/>
  <c r="J91" i="37"/>
  <c r="K91" i="37" s="1"/>
  <c r="I91" i="37"/>
  <c r="M91" i="37" s="1"/>
  <c r="A91" i="37" s="1"/>
  <c r="B91" i="37"/>
  <c r="J90" i="37"/>
  <c r="K90" i="37" s="1"/>
  <c r="I90" i="37"/>
  <c r="M90" i="37" s="1"/>
  <c r="A90" i="37" s="1"/>
  <c r="B90" i="37"/>
  <c r="J89" i="37"/>
  <c r="K89" i="37" s="1"/>
  <c r="I89" i="37"/>
  <c r="M89" i="37" s="1"/>
  <c r="A89" i="37" s="1"/>
  <c r="B89" i="37"/>
  <c r="J88" i="37"/>
  <c r="K88" i="37" s="1"/>
  <c r="I88" i="37"/>
  <c r="M88" i="37" s="1"/>
  <c r="A88" i="37" s="1"/>
  <c r="B88" i="37"/>
  <c r="J87" i="37"/>
  <c r="K87" i="37" s="1"/>
  <c r="I87" i="37"/>
  <c r="M87" i="37" s="1"/>
  <c r="A87" i="37" s="1"/>
  <c r="B87" i="37"/>
  <c r="J86" i="37"/>
  <c r="K86" i="37" s="1"/>
  <c r="I86" i="37"/>
  <c r="M86" i="37" s="1"/>
  <c r="A86" i="37" s="1"/>
  <c r="B86" i="37"/>
  <c r="J85" i="37"/>
  <c r="K85" i="37" s="1"/>
  <c r="I85" i="37"/>
  <c r="M85" i="37" s="1"/>
  <c r="A85" i="37" s="1"/>
  <c r="B85" i="37"/>
  <c r="J84" i="37"/>
  <c r="K84" i="37" s="1"/>
  <c r="I84" i="37"/>
  <c r="M84" i="37" s="1"/>
  <c r="A84" i="37" s="1"/>
  <c r="B84" i="37"/>
  <c r="J83" i="37"/>
  <c r="K83" i="37" s="1"/>
  <c r="I83" i="37"/>
  <c r="M83" i="37" s="1"/>
  <c r="A83" i="37" s="1"/>
  <c r="B83" i="37"/>
  <c r="J82" i="37"/>
  <c r="K82" i="37" s="1"/>
  <c r="I82" i="37"/>
  <c r="M82" i="37" s="1"/>
  <c r="A82" i="37" s="1"/>
  <c r="B82" i="37"/>
  <c r="J81" i="37"/>
  <c r="K81" i="37" s="1"/>
  <c r="I81" i="37"/>
  <c r="M81" i="37" s="1"/>
  <c r="A81" i="37" s="1"/>
  <c r="B81" i="37"/>
  <c r="J80" i="37"/>
  <c r="K80" i="37" s="1"/>
  <c r="I80" i="37"/>
  <c r="M80" i="37" s="1"/>
  <c r="A80" i="37" s="1"/>
  <c r="B80" i="37"/>
  <c r="J79" i="37"/>
  <c r="K79" i="37" s="1"/>
  <c r="I79" i="37"/>
  <c r="M79" i="37" s="1"/>
  <c r="A79" i="37" s="1"/>
  <c r="B79" i="37"/>
  <c r="J78" i="37"/>
  <c r="K78" i="37" s="1"/>
  <c r="I78" i="37"/>
  <c r="M78" i="37" s="1"/>
  <c r="A78" i="37" s="1"/>
  <c r="B78" i="37"/>
  <c r="J77" i="37"/>
  <c r="K77" i="37" s="1"/>
  <c r="I77" i="37"/>
  <c r="M77" i="37" s="1"/>
  <c r="A77" i="37" s="1"/>
  <c r="B77" i="37"/>
  <c r="J76" i="37"/>
  <c r="K76" i="37" s="1"/>
  <c r="I76" i="37"/>
  <c r="M76" i="37" s="1"/>
  <c r="A76" i="37" s="1"/>
  <c r="B76" i="37"/>
  <c r="J75" i="37"/>
  <c r="K75" i="37" s="1"/>
  <c r="I75" i="37"/>
  <c r="M75" i="37" s="1"/>
  <c r="A75" i="37" s="1"/>
  <c r="B75" i="37"/>
  <c r="J74" i="37"/>
  <c r="K74" i="37" s="1"/>
  <c r="I74" i="37"/>
  <c r="M74" i="37" s="1"/>
  <c r="A74" i="37" s="1"/>
  <c r="B74" i="37"/>
  <c r="K73" i="37"/>
  <c r="J73" i="37"/>
  <c r="I73" i="37"/>
  <c r="M73" i="37" s="1"/>
  <c r="A73" i="37" s="1"/>
  <c r="B73" i="37"/>
  <c r="K72" i="37"/>
  <c r="J72" i="37"/>
  <c r="I72" i="37"/>
  <c r="M72" i="37" s="1"/>
  <c r="A72" i="37" s="1"/>
  <c r="B72" i="37"/>
  <c r="J71" i="37"/>
  <c r="K71" i="37" s="1"/>
  <c r="I71" i="37"/>
  <c r="M71" i="37" s="1"/>
  <c r="A71" i="37" s="1"/>
  <c r="B71" i="37"/>
  <c r="J70" i="37"/>
  <c r="K70" i="37" s="1"/>
  <c r="I70" i="37"/>
  <c r="M70" i="37" s="1"/>
  <c r="A70" i="37" s="1"/>
  <c r="B70" i="37"/>
  <c r="M69" i="37"/>
  <c r="A69" i="37" s="1"/>
  <c r="J69" i="37"/>
  <c r="K69" i="37" s="1"/>
  <c r="I69" i="37"/>
  <c r="B69" i="37"/>
  <c r="J68" i="37"/>
  <c r="K68" i="37" s="1"/>
  <c r="I68" i="37"/>
  <c r="M68" i="37" s="1"/>
  <c r="A68" i="37" s="1"/>
  <c r="B68" i="37"/>
  <c r="J67" i="37"/>
  <c r="K67" i="37" s="1"/>
  <c r="I67" i="37"/>
  <c r="M67" i="37" s="1"/>
  <c r="A67" i="37" s="1"/>
  <c r="B67" i="37"/>
  <c r="J66" i="37"/>
  <c r="K66" i="37" s="1"/>
  <c r="I66" i="37"/>
  <c r="M66" i="37" s="1"/>
  <c r="A66" i="37" s="1"/>
  <c r="B66" i="37"/>
  <c r="K65" i="37"/>
  <c r="J65" i="37"/>
  <c r="I65" i="37"/>
  <c r="M65" i="37" s="1"/>
  <c r="A65" i="37" s="1"/>
  <c r="B65" i="37"/>
  <c r="J64" i="37"/>
  <c r="K64" i="37" s="1"/>
  <c r="I64" i="37"/>
  <c r="M64" i="37" s="1"/>
  <c r="A64" i="37" s="1"/>
  <c r="B64" i="37"/>
  <c r="J63" i="37"/>
  <c r="K63" i="37" s="1"/>
  <c r="I63" i="37"/>
  <c r="M63" i="37" s="1"/>
  <c r="A63" i="37" s="1"/>
  <c r="B63" i="37"/>
  <c r="J62" i="37"/>
  <c r="K62" i="37" s="1"/>
  <c r="I62" i="37"/>
  <c r="M62" i="37" s="1"/>
  <c r="A62" i="37" s="1"/>
  <c r="B62" i="37"/>
  <c r="J61" i="37"/>
  <c r="K61" i="37" s="1"/>
  <c r="I61" i="37"/>
  <c r="M61" i="37" s="1"/>
  <c r="A61" i="37" s="1"/>
  <c r="B61" i="37"/>
  <c r="J60" i="37"/>
  <c r="K60" i="37" s="1"/>
  <c r="I60" i="37"/>
  <c r="M60" i="37" s="1"/>
  <c r="A60" i="37" s="1"/>
  <c r="B60" i="37"/>
  <c r="J59" i="37"/>
  <c r="K59" i="37" s="1"/>
  <c r="I59" i="37"/>
  <c r="M59" i="37" s="1"/>
  <c r="A59" i="37" s="1"/>
  <c r="B59" i="37"/>
  <c r="J58" i="37"/>
  <c r="K58" i="37" s="1"/>
  <c r="I58" i="37"/>
  <c r="M58" i="37" s="1"/>
  <c r="A58" i="37" s="1"/>
  <c r="B58" i="37"/>
  <c r="J57" i="37"/>
  <c r="K57" i="37" s="1"/>
  <c r="I57" i="37"/>
  <c r="M57" i="37" s="1"/>
  <c r="A57" i="37" s="1"/>
  <c r="B57" i="37"/>
  <c r="K56" i="37"/>
  <c r="J56" i="37"/>
  <c r="I56" i="37"/>
  <c r="M56" i="37" s="1"/>
  <c r="A56" i="37" s="1"/>
  <c r="B56" i="37"/>
  <c r="J55" i="37"/>
  <c r="K55" i="37" s="1"/>
  <c r="I55" i="37"/>
  <c r="M55" i="37" s="1"/>
  <c r="A55" i="37" s="1"/>
  <c r="B55" i="37"/>
  <c r="J54" i="37"/>
  <c r="K54" i="37" s="1"/>
  <c r="I54" i="37"/>
  <c r="M54" i="37" s="1"/>
  <c r="A54" i="37" s="1"/>
  <c r="B54" i="37"/>
  <c r="M53" i="37"/>
  <c r="A53" i="37" s="1"/>
  <c r="J53" i="37"/>
  <c r="K53" i="37" s="1"/>
  <c r="I53" i="37"/>
  <c r="B53" i="37"/>
  <c r="J52" i="37"/>
  <c r="K52" i="37" s="1"/>
  <c r="I52" i="37"/>
  <c r="M52" i="37" s="1"/>
  <c r="A52" i="37" s="1"/>
  <c r="B52" i="37"/>
  <c r="J51" i="37"/>
  <c r="K51" i="37" s="1"/>
  <c r="I51" i="37"/>
  <c r="M51" i="37" s="1"/>
  <c r="A51" i="37" s="1"/>
  <c r="B51" i="37"/>
  <c r="J50" i="37"/>
  <c r="K50" i="37" s="1"/>
  <c r="I50" i="37"/>
  <c r="M50" i="37" s="1"/>
  <c r="A50" i="37" s="1"/>
  <c r="B50" i="37"/>
  <c r="K49" i="37"/>
  <c r="J49" i="37"/>
  <c r="I49" i="37"/>
  <c r="M49" i="37" s="1"/>
  <c r="A49" i="37" s="1"/>
  <c r="B49" i="37"/>
  <c r="K48" i="37"/>
  <c r="J48" i="37"/>
  <c r="I48" i="37"/>
  <c r="M48" i="37" s="1"/>
  <c r="A48" i="37" s="1"/>
  <c r="B48" i="37"/>
  <c r="J47" i="37"/>
  <c r="K47" i="37" s="1"/>
  <c r="I47" i="37"/>
  <c r="M47" i="37" s="1"/>
  <c r="A47" i="37" s="1"/>
  <c r="B47" i="37"/>
  <c r="J46" i="37"/>
  <c r="K46" i="37" s="1"/>
  <c r="I46" i="37"/>
  <c r="M46" i="37" s="1"/>
  <c r="A46" i="37" s="1"/>
  <c r="B46" i="37"/>
  <c r="J45" i="37"/>
  <c r="K45" i="37" s="1"/>
  <c r="I45" i="37"/>
  <c r="M45" i="37" s="1"/>
  <c r="A45" i="37" s="1"/>
  <c r="B45" i="37"/>
  <c r="J44" i="37"/>
  <c r="K44" i="37" s="1"/>
  <c r="I44" i="37"/>
  <c r="M44" i="37" s="1"/>
  <c r="A44" i="37" s="1"/>
  <c r="B44" i="37"/>
  <c r="J43" i="37"/>
  <c r="K43" i="37" s="1"/>
  <c r="I43" i="37"/>
  <c r="M43" i="37" s="1"/>
  <c r="A43" i="37" s="1"/>
  <c r="B43" i="37"/>
  <c r="J42" i="37"/>
  <c r="K42" i="37" s="1"/>
  <c r="I42" i="37"/>
  <c r="M42" i="37" s="1"/>
  <c r="A42" i="37" s="1"/>
  <c r="B42" i="37"/>
  <c r="J41" i="37"/>
  <c r="K41" i="37" s="1"/>
  <c r="I41" i="37"/>
  <c r="M41" i="37" s="1"/>
  <c r="A41" i="37" s="1"/>
  <c r="B41" i="37"/>
  <c r="J40" i="37"/>
  <c r="K40" i="37" s="1"/>
  <c r="I40" i="37"/>
  <c r="M40" i="37" s="1"/>
  <c r="A40" i="37" s="1"/>
  <c r="B40" i="37"/>
  <c r="J39" i="37"/>
  <c r="K39" i="37" s="1"/>
  <c r="I39" i="37"/>
  <c r="M39" i="37" s="1"/>
  <c r="A39" i="37" s="1"/>
  <c r="B39" i="37"/>
  <c r="J38" i="37"/>
  <c r="K38" i="37" s="1"/>
  <c r="I38" i="37"/>
  <c r="M38" i="37" s="1"/>
  <c r="A38" i="37" s="1"/>
  <c r="B38" i="37"/>
  <c r="AD23" i="20" s="1"/>
  <c r="J37" i="37"/>
  <c r="K37" i="37" s="1"/>
  <c r="I37" i="37"/>
  <c r="B37" i="37"/>
  <c r="J36" i="37"/>
  <c r="K36" i="37" s="1"/>
  <c r="I36" i="37"/>
  <c r="B36" i="37"/>
  <c r="J35" i="37"/>
  <c r="K35" i="37" s="1"/>
  <c r="I35" i="37"/>
  <c r="M35" i="37" s="1"/>
  <c r="A35" i="37" s="1"/>
  <c r="B35" i="37"/>
  <c r="J34" i="37"/>
  <c r="K34" i="37" s="1"/>
  <c r="I34" i="37"/>
  <c r="M34" i="37" s="1"/>
  <c r="A34" i="37" s="1"/>
  <c r="B34" i="37"/>
  <c r="J33" i="37"/>
  <c r="K33" i="37" s="1"/>
  <c r="I33" i="37"/>
  <c r="M33" i="37" s="1"/>
  <c r="A33" i="37" s="1"/>
  <c r="B33" i="37"/>
  <c r="J32" i="37"/>
  <c r="K32" i="37" s="1"/>
  <c r="I32" i="37"/>
  <c r="B32" i="37"/>
  <c r="J31" i="37"/>
  <c r="K31" i="37" s="1"/>
  <c r="I31" i="37"/>
  <c r="B31" i="37"/>
  <c r="J30" i="37"/>
  <c r="K30" i="37" s="1"/>
  <c r="I30" i="37"/>
  <c r="M30" i="37" s="1"/>
  <c r="A30" i="37" s="1"/>
  <c r="B30" i="37"/>
  <c r="J29" i="37"/>
  <c r="K29" i="37" s="1"/>
  <c r="I29" i="37"/>
  <c r="B29" i="37"/>
  <c r="J28" i="37"/>
  <c r="K28" i="37" s="1"/>
  <c r="I28" i="37"/>
  <c r="B28" i="37"/>
  <c r="J27" i="37"/>
  <c r="K27" i="37" s="1"/>
  <c r="I27" i="37"/>
  <c r="M27" i="37" s="1"/>
  <c r="A27" i="37" s="1"/>
  <c r="B27" i="37"/>
  <c r="J26" i="37"/>
  <c r="K26" i="37" s="1"/>
  <c r="I26" i="37"/>
  <c r="M26" i="37" s="1"/>
  <c r="A26" i="37" s="1"/>
  <c r="B26" i="37"/>
  <c r="J25" i="37"/>
  <c r="K25" i="37" s="1"/>
  <c r="I25" i="37"/>
  <c r="M25" i="37" s="1"/>
  <c r="A25" i="37" s="1"/>
  <c r="B25" i="37"/>
  <c r="K24" i="37"/>
  <c r="J24" i="37"/>
  <c r="I24" i="37"/>
  <c r="M24" i="37" s="1"/>
  <c r="A24" i="37" s="1"/>
  <c r="B24" i="37"/>
  <c r="J23" i="37"/>
  <c r="K23" i="37" s="1"/>
  <c r="I23" i="37"/>
  <c r="B23" i="37"/>
  <c r="J22" i="37"/>
  <c r="K22" i="37" s="1"/>
  <c r="I22" i="37"/>
  <c r="M22" i="37" s="1"/>
  <c r="A22" i="37" s="1"/>
  <c r="B22" i="37"/>
  <c r="J21" i="37"/>
  <c r="K21" i="37" s="1"/>
  <c r="M21" i="37" s="1"/>
  <c r="A21" i="37" s="1"/>
  <c r="I21" i="37"/>
  <c r="B21" i="37"/>
  <c r="J20" i="37"/>
  <c r="K20" i="37" s="1"/>
  <c r="I20" i="37"/>
  <c r="B20" i="37"/>
  <c r="J19" i="37"/>
  <c r="K19" i="37" s="1"/>
  <c r="I19" i="37"/>
  <c r="B19" i="37"/>
  <c r="AD12" i="20" s="1"/>
  <c r="J18" i="37"/>
  <c r="K18" i="37" s="1"/>
  <c r="I18" i="37"/>
  <c r="B18" i="37"/>
  <c r="K17" i="37"/>
  <c r="J17" i="37"/>
  <c r="I17" i="37"/>
  <c r="B17" i="37"/>
  <c r="J16" i="37"/>
  <c r="K16" i="37" s="1"/>
  <c r="I16" i="37"/>
  <c r="B16" i="37"/>
  <c r="J15" i="37"/>
  <c r="K15" i="37" s="1"/>
  <c r="I15" i="37"/>
  <c r="B15" i="37"/>
  <c r="AI14" i="37"/>
  <c r="J14" i="37"/>
  <c r="K14" i="37" s="1"/>
  <c r="I14" i="37"/>
  <c r="B14" i="37"/>
  <c r="AI13" i="37"/>
  <c r="J13" i="37"/>
  <c r="K13" i="37" s="1"/>
  <c r="I13" i="37"/>
  <c r="B13" i="37"/>
  <c r="AI12" i="37"/>
  <c r="AI16" i="37" s="1"/>
  <c r="J12" i="37"/>
  <c r="K12" i="37" s="1"/>
  <c r="M12" i="37" s="1"/>
  <c r="A12" i="37" s="1"/>
  <c r="I12" i="37"/>
  <c r="B12" i="37"/>
  <c r="J11" i="37"/>
  <c r="K11" i="37" s="1"/>
  <c r="I11" i="37"/>
  <c r="B11" i="37"/>
  <c r="J10" i="37"/>
  <c r="K10" i="37" s="1"/>
  <c r="I10" i="37"/>
  <c r="B10" i="37"/>
  <c r="J9" i="37"/>
  <c r="K9" i="37" s="1"/>
  <c r="I9" i="37"/>
  <c r="B9" i="37"/>
  <c r="J8" i="37"/>
  <c r="K8" i="37" s="1"/>
  <c r="I8" i="37"/>
  <c r="B8" i="37"/>
  <c r="J7" i="37"/>
  <c r="K7" i="37" s="1"/>
  <c r="I7" i="37"/>
  <c r="B7" i="37"/>
  <c r="J6" i="37"/>
  <c r="K6" i="37" s="1"/>
  <c r="I6" i="37"/>
  <c r="B6" i="37"/>
  <c r="K2" i="37"/>
  <c r="L6" i="37" s="1"/>
  <c r="B15" i="18"/>
  <c r="B14" i="18"/>
  <c r="B13" i="18"/>
  <c r="B16" i="18"/>
  <c r="AE12" i="20" l="1"/>
  <c r="M19" i="37"/>
  <c r="A19" i="37" s="1"/>
  <c r="AE28" i="20"/>
  <c r="AD24" i="20"/>
  <c r="AE24" i="20" s="1"/>
  <c r="M17" i="37"/>
  <c r="A17" i="37" s="1"/>
  <c r="AE10" i="20"/>
  <c r="AE17" i="20"/>
  <c r="AD25" i="20"/>
  <c r="M29" i="37"/>
  <c r="A29" i="37" s="1"/>
  <c r="AE18" i="20"/>
  <c r="AD26" i="20"/>
  <c r="AE26" i="20" s="1"/>
  <c r="AE19" i="20"/>
  <c r="AD27" i="20"/>
  <c r="AE27" i="20" s="1"/>
  <c r="M11" i="37"/>
  <c r="A11" i="37" s="1"/>
  <c r="M37" i="37"/>
  <c r="A37" i="37" s="1"/>
  <c r="M6" i="37"/>
  <c r="A6" i="37" s="1"/>
  <c r="M18" i="37"/>
  <c r="A18" i="37" s="1"/>
  <c r="AE6" i="20"/>
  <c r="AE14" i="20"/>
  <c r="AE22" i="20"/>
  <c r="M16" i="37"/>
  <c r="A16" i="37" s="1"/>
  <c r="AE15" i="20"/>
  <c r="AD20" i="20"/>
  <c r="AE20" i="20" s="1"/>
  <c r="AE9" i="20"/>
  <c r="AE16" i="20"/>
  <c r="M23" i="37"/>
  <c r="A23" i="37" s="1"/>
  <c r="M14" i="37"/>
  <c r="A14" i="37" s="1"/>
  <c r="M20" i="37"/>
  <c r="A20" i="37" s="1"/>
  <c r="AE23" i="20" s="1"/>
  <c r="M31" i="37"/>
  <c r="A31" i="37" s="1"/>
  <c r="M28" i="37"/>
  <c r="A28" i="37" s="1"/>
  <c r="M13" i="37"/>
  <c r="A13" i="37" s="1"/>
  <c r="M32" i="37"/>
  <c r="A32" i="37" s="1"/>
  <c r="M10" i="37"/>
  <c r="A10" i="37" s="1"/>
  <c r="M15" i="37"/>
  <c r="A15" i="37" s="1"/>
  <c r="M36" i="37"/>
  <c r="A36" i="37" s="1"/>
  <c r="L9" i="37"/>
  <c r="M9" i="37" s="1"/>
  <c r="A9" i="37" s="1"/>
  <c r="L8" i="37"/>
  <c r="M8" i="37" s="1"/>
  <c r="A8" i="37" s="1"/>
  <c r="L7" i="37"/>
  <c r="M7" i="37" s="1"/>
  <c r="A7" i="37" s="1"/>
  <c r="B13" i="22"/>
  <c r="AE13" i="20" l="1"/>
  <c r="AE7" i="20"/>
  <c r="AE8" i="20"/>
  <c r="AE21" i="20"/>
  <c r="AE11" i="20"/>
  <c r="AE25" i="20"/>
  <c r="B25" i="25"/>
  <c r="A25" i="25"/>
  <c r="AV27" i="20"/>
  <c r="AW27" i="20" s="1"/>
  <c r="AV26" i="20"/>
  <c r="AW26" i="20" s="1"/>
  <c r="AV25" i="20"/>
  <c r="AW25" i="20" s="1"/>
  <c r="AV24" i="20"/>
  <c r="AW24" i="20" s="1"/>
  <c r="AV23" i="20"/>
  <c r="AW23" i="20" s="1"/>
  <c r="AV28" i="20"/>
  <c r="AW28" i="20" s="1"/>
  <c r="AV20" i="20"/>
  <c r="AW20" i="20" s="1"/>
  <c r="AV22" i="20"/>
  <c r="AW22" i="20" s="1"/>
  <c r="AV21" i="20"/>
  <c r="AW21" i="20" s="1"/>
  <c r="AV19" i="20"/>
  <c r="AW19" i="20" s="1"/>
  <c r="AV18" i="20"/>
  <c r="AW18" i="20" s="1"/>
  <c r="AV17" i="20"/>
  <c r="AW17" i="20" s="1"/>
  <c r="AV7" i="20"/>
  <c r="AW7" i="20" s="1"/>
  <c r="AV12" i="20"/>
  <c r="AW12" i="20" s="1"/>
  <c r="AV16" i="20"/>
  <c r="AW16" i="20" s="1"/>
  <c r="AV6" i="20"/>
  <c r="AW6" i="20" s="1"/>
  <c r="AV14" i="20"/>
  <c r="AW14" i="20" s="1"/>
  <c r="AV15" i="20"/>
  <c r="AW15" i="20" s="1"/>
  <c r="AV11" i="20"/>
  <c r="AW11" i="20" s="1"/>
  <c r="AV13" i="20"/>
  <c r="AW13" i="20" s="1"/>
  <c r="AV10" i="20"/>
  <c r="AW10" i="20" s="1"/>
  <c r="AV9" i="20"/>
  <c r="AW9" i="20" s="1"/>
  <c r="AV8" i="20"/>
  <c r="AW8" i="20" s="1"/>
  <c r="AT27" i="20"/>
  <c r="AU27" i="20" s="1"/>
  <c r="AT26" i="20"/>
  <c r="AU26" i="20" s="1"/>
  <c r="AT25" i="20"/>
  <c r="AU25" i="20" s="1"/>
  <c r="AT24" i="20"/>
  <c r="AU24" i="20" s="1"/>
  <c r="AT23" i="20"/>
  <c r="AU23" i="20" s="1"/>
  <c r="AT28" i="20"/>
  <c r="AU28" i="20" s="1"/>
  <c r="AT20" i="20"/>
  <c r="AU20" i="20" s="1"/>
  <c r="AT22" i="20"/>
  <c r="AU22" i="20" s="1"/>
  <c r="AT21" i="20"/>
  <c r="AU21" i="20" s="1"/>
  <c r="AT19" i="20"/>
  <c r="AU19" i="20" s="1"/>
  <c r="AT18" i="20"/>
  <c r="AU18" i="20" s="1"/>
  <c r="AT17" i="20"/>
  <c r="AU17" i="20" s="1"/>
  <c r="AT7" i="20"/>
  <c r="AU7" i="20" s="1"/>
  <c r="AT12" i="20"/>
  <c r="AU12" i="20" s="1"/>
  <c r="AT16" i="20"/>
  <c r="AU16" i="20" s="1"/>
  <c r="AT6" i="20"/>
  <c r="AU6" i="20" s="1"/>
  <c r="AT14" i="20"/>
  <c r="AU14" i="20" s="1"/>
  <c r="AT15" i="20"/>
  <c r="AU15" i="20" s="1"/>
  <c r="AT11" i="20"/>
  <c r="AU11" i="20" s="1"/>
  <c r="AT13" i="20"/>
  <c r="AU13" i="20" s="1"/>
  <c r="AT10" i="20"/>
  <c r="AU10" i="20" s="1"/>
  <c r="AT9" i="20"/>
  <c r="AU9" i="20" s="1"/>
  <c r="AT8" i="20"/>
  <c r="AU8" i="20" s="1"/>
  <c r="AR20" i="20"/>
  <c r="AR22" i="20"/>
  <c r="AR21" i="20"/>
  <c r="AR19" i="20"/>
  <c r="AR18" i="20"/>
  <c r="AR17" i="20"/>
  <c r="AR7" i="20"/>
  <c r="AR12" i="20"/>
  <c r="AR16" i="20"/>
  <c r="AR6" i="20"/>
  <c r="AR14" i="20"/>
  <c r="AR15" i="20"/>
  <c r="AR11" i="20"/>
  <c r="AR13" i="20"/>
  <c r="AR10" i="20"/>
  <c r="AR9" i="20"/>
  <c r="AR8" i="20"/>
  <c r="AP27" i="20"/>
  <c r="AQ27" i="20" s="1"/>
  <c r="AP26" i="20"/>
  <c r="AQ26" i="20" s="1"/>
  <c r="AP25" i="20"/>
  <c r="AQ25" i="20" s="1"/>
  <c r="AP24" i="20"/>
  <c r="AQ24" i="20" s="1"/>
  <c r="AP23" i="20"/>
  <c r="AQ23" i="20" s="1"/>
  <c r="AP28" i="20"/>
  <c r="AQ28" i="20" s="1"/>
  <c r="AP20" i="20"/>
  <c r="AQ20" i="20" s="1"/>
  <c r="AP22" i="20"/>
  <c r="AQ22" i="20" s="1"/>
  <c r="AP21" i="20"/>
  <c r="AQ21" i="20" s="1"/>
  <c r="AP19" i="20"/>
  <c r="AQ19" i="20" s="1"/>
  <c r="AP18" i="20"/>
  <c r="AQ18" i="20" s="1"/>
  <c r="AP17" i="20"/>
  <c r="AQ17" i="20" s="1"/>
  <c r="AP7" i="20"/>
  <c r="AQ7" i="20" s="1"/>
  <c r="AP12" i="20"/>
  <c r="AQ12" i="20" s="1"/>
  <c r="AP16" i="20"/>
  <c r="AQ16" i="20" s="1"/>
  <c r="AP6" i="20"/>
  <c r="AQ6" i="20" s="1"/>
  <c r="AP14" i="20"/>
  <c r="AQ14" i="20" s="1"/>
  <c r="AP15" i="20"/>
  <c r="AQ15" i="20" s="1"/>
  <c r="AP11" i="20"/>
  <c r="AQ11" i="20" s="1"/>
  <c r="AP13" i="20"/>
  <c r="AQ13" i="20" s="1"/>
  <c r="AP10" i="20"/>
  <c r="AQ10" i="20" s="1"/>
  <c r="AP9" i="20"/>
  <c r="AQ9" i="20" s="1"/>
  <c r="AP8" i="20"/>
  <c r="AQ8" i="20" s="1"/>
  <c r="AN28" i="20"/>
  <c r="AN22" i="20"/>
  <c r="AN21" i="20"/>
  <c r="AN19" i="20"/>
  <c r="AN18" i="20"/>
  <c r="AN17" i="20"/>
  <c r="AN7" i="20"/>
  <c r="AN12" i="20"/>
  <c r="AN16" i="20"/>
  <c r="AN6" i="20"/>
  <c r="AN14" i="20"/>
  <c r="AN15" i="20"/>
  <c r="AN11" i="20"/>
  <c r="AN13" i="20"/>
  <c r="AN10" i="20"/>
  <c r="AN9" i="20"/>
  <c r="AN8" i="20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K302" i="36"/>
  <c r="J302" i="36"/>
  <c r="I302" i="36"/>
  <c r="M302" i="36" s="1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K298" i="36"/>
  <c r="J298" i="36"/>
  <c r="I298" i="36"/>
  <c r="M298" i="36" s="1"/>
  <c r="J297" i="36"/>
  <c r="K297" i="36" s="1"/>
  <c r="I297" i="36"/>
  <c r="M297" i="36" s="1"/>
  <c r="J296" i="36"/>
  <c r="K296" i="36" s="1"/>
  <c r="I296" i="36"/>
  <c r="M296" i="36" s="1"/>
  <c r="J295" i="36"/>
  <c r="K295" i="36" s="1"/>
  <c r="I295" i="36"/>
  <c r="M295" i="36" s="1"/>
  <c r="J294" i="36"/>
  <c r="K294" i="36" s="1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K290" i="36"/>
  <c r="J290" i="36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K286" i="36"/>
  <c r="J286" i="36"/>
  <c r="I286" i="36"/>
  <c r="M286" i="36" s="1"/>
  <c r="J285" i="36"/>
  <c r="K285" i="36" s="1"/>
  <c r="I285" i="36"/>
  <c r="M285" i="36" s="1"/>
  <c r="J284" i="36"/>
  <c r="K284" i="36" s="1"/>
  <c r="I284" i="36"/>
  <c r="M284" i="36" s="1"/>
  <c r="J283" i="36"/>
  <c r="K283" i="36" s="1"/>
  <c r="I283" i="36"/>
  <c r="M283" i="36" s="1"/>
  <c r="K282" i="36"/>
  <c r="J282" i="36"/>
  <c r="I282" i="36"/>
  <c r="M282" i="36" s="1"/>
  <c r="J281" i="36"/>
  <c r="K281" i="36" s="1"/>
  <c r="I281" i="36"/>
  <c r="M281" i="36" s="1"/>
  <c r="J280" i="36"/>
  <c r="K280" i="36" s="1"/>
  <c r="I280" i="36"/>
  <c r="M280" i="36" s="1"/>
  <c r="J279" i="36"/>
  <c r="K279" i="36" s="1"/>
  <c r="I279" i="36"/>
  <c r="M279" i="36" s="1"/>
  <c r="J278" i="36"/>
  <c r="K278" i="36" s="1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K274" i="36"/>
  <c r="J274" i="36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K270" i="36"/>
  <c r="J270" i="36"/>
  <c r="I270" i="36"/>
  <c r="M270" i="36" s="1"/>
  <c r="J269" i="36"/>
  <c r="K269" i="36" s="1"/>
  <c r="I269" i="36"/>
  <c r="M269" i="36" s="1"/>
  <c r="J268" i="36"/>
  <c r="K268" i="36" s="1"/>
  <c r="I268" i="36"/>
  <c r="M268" i="36" s="1"/>
  <c r="J267" i="36"/>
  <c r="K267" i="36" s="1"/>
  <c r="I267" i="36"/>
  <c r="M267" i="36" s="1"/>
  <c r="K266" i="36"/>
  <c r="J266" i="36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J262" i="36"/>
  <c r="K262" i="36" s="1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K258" i="36"/>
  <c r="J258" i="36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K254" i="36"/>
  <c r="J254" i="36"/>
  <c r="I254" i="36"/>
  <c r="M254" i="36" s="1"/>
  <c r="J253" i="36"/>
  <c r="K253" i="36" s="1"/>
  <c r="I253" i="36"/>
  <c r="M253" i="36" s="1"/>
  <c r="J252" i="36"/>
  <c r="K252" i="36" s="1"/>
  <c r="I252" i="36"/>
  <c r="M252" i="36" s="1"/>
  <c r="J251" i="36"/>
  <c r="K251" i="36" s="1"/>
  <c r="I251" i="36"/>
  <c r="M251" i="36" s="1"/>
  <c r="K250" i="36"/>
  <c r="J250" i="36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J246" i="36"/>
  <c r="K246" i="36" s="1"/>
  <c r="I246" i="36"/>
  <c r="M246" i="36" s="1"/>
  <c r="J245" i="36"/>
  <c r="K245" i="36" s="1"/>
  <c r="I245" i="36"/>
  <c r="M245" i="36" s="1"/>
  <c r="J244" i="36"/>
  <c r="K244" i="36" s="1"/>
  <c r="I244" i="36"/>
  <c r="M244" i="36" s="1"/>
  <c r="J243" i="36"/>
  <c r="K243" i="36" s="1"/>
  <c r="I243" i="36"/>
  <c r="M243" i="36" s="1"/>
  <c r="K242" i="36"/>
  <c r="J242" i="36"/>
  <c r="I242" i="36"/>
  <c r="M242" i="36" s="1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K238" i="36"/>
  <c r="J238" i="36"/>
  <c r="I238" i="36"/>
  <c r="M238" i="36" s="1"/>
  <c r="J237" i="36"/>
  <c r="K237" i="36" s="1"/>
  <c r="I237" i="36"/>
  <c r="M237" i="36" s="1"/>
  <c r="J236" i="36"/>
  <c r="K236" i="36" s="1"/>
  <c r="I236" i="36"/>
  <c r="M236" i="36" s="1"/>
  <c r="J235" i="36"/>
  <c r="K235" i="36" s="1"/>
  <c r="I235" i="36"/>
  <c r="M235" i="36" s="1"/>
  <c r="K234" i="36"/>
  <c r="J234" i="36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J230" i="36"/>
  <c r="K230" i="36" s="1"/>
  <c r="I230" i="36"/>
  <c r="M230" i="36" s="1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K226" i="36"/>
  <c r="J226" i="36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K222" i="36"/>
  <c r="J222" i="36"/>
  <c r="I222" i="36"/>
  <c r="M222" i="36" s="1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K218" i="36"/>
  <c r="J218" i="36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J214" i="36"/>
  <c r="K214" i="36" s="1"/>
  <c r="I214" i="36"/>
  <c r="M214" i="36" s="1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K210" i="36"/>
  <c r="J210" i="36"/>
  <c r="I210" i="36"/>
  <c r="M210" i="36" s="1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K206" i="36"/>
  <c r="J206" i="36"/>
  <c r="I206" i="36"/>
  <c r="M206" i="36" s="1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K202" i="36"/>
  <c r="J202" i="36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J198" i="36"/>
  <c r="K198" i="36" s="1"/>
  <c r="I198" i="36"/>
  <c r="M198" i="36" s="1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K194" i="36"/>
  <c r="J194" i="36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K190" i="36"/>
  <c r="J190" i="36"/>
  <c r="I190" i="36"/>
  <c r="M190" i="36" s="1"/>
  <c r="J189" i="36"/>
  <c r="K189" i="36" s="1"/>
  <c r="I189" i="36"/>
  <c r="M189" i="36" s="1"/>
  <c r="J188" i="36"/>
  <c r="K188" i="36" s="1"/>
  <c r="I188" i="36"/>
  <c r="M188" i="36" s="1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J182" i="36"/>
  <c r="K182" i="36" s="1"/>
  <c r="I182" i="36"/>
  <c r="M182" i="36" s="1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K178" i="36"/>
  <c r="J178" i="36"/>
  <c r="I178" i="36"/>
  <c r="M178" i="36" s="1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K174" i="36"/>
  <c r="J174" i="36"/>
  <c r="I174" i="36"/>
  <c r="M174" i="36" s="1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K170" i="36"/>
  <c r="J170" i="36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J166" i="36"/>
  <c r="K166" i="36" s="1"/>
  <c r="I166" i="36"/>
  <c r="M166" i="36" s="1"/>
  <c r="J165" i="36"/>
  <c r="K165" i="36" s="1"/>
  <c r="I165" i="36"/>
  <c r="M165" i="36" s="1"/>
  <c r="J164" i="36"/>
  <c r="K164" i="36" s="1"/>
  <c r="I164" i="36"/>
  <c r="M164" i="36" s="1"/>
  <c r="J163" i="36"/>
  <c r="K163" i="36" s="1"/>
  <c r="I163" i="36"/>
  <c r="M163" i="36" s="1"/>
  <c r="K162" i="36"/>
  <c r="J162" i="36"/>
  <c r="I162" i="36"/>
  <c r="M162" i="36" s="1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K158" i="36"/>
  <c r="J158" i="36"/>
  <c r="I158" i="36"/>
  <c r="M158" i="36" s="1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J150" i="36"/>
  <c r="K150" i="36" s="1"/>
  <c r="I150" i="36"/>
  <c r="M150" i="36" s="1"/>
  <c r="J149" i="36"/>
  <c r="K149" i="36" s="1"/>
  <c r="I149" i="36"/>
  <c r="M149" i="36" s="1"/>
  <c r="J148" i="36"/>
  <c r="K148" i="36" s="1"/>
  <c r="I148" i="36"/>
  <c r="M148" i="36" s="1"/>
  <c r="J147" i="36"/>
  <c r="K147" i="36" s="1"/>
  <c r="I147" i="36"/>
  <c r="M147" i="36" s="1"/>
  <c r="K146" i="36"/>
  <c r="J146" i="36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K142" i="36"/>
  <c r="J142" i="36"/>
  <c r="I142" i="36"/>
  <c r="M142" i="36" s="1"/>
  <c r="J141" i="36"/>
  <c r="K141" i="36" s="1"/>
  <c r="I141" i="36"/>
  <c r="M141" i="36" s="1"/>
  <c r="J140" i="36"/>
  <c r="K140" i="36" s="1"/>
  <c r="I140" i="36"/>
  <c r="M140" i="36" s="1"/>
  <c r="A140" i="36" s="1"/>
  <c r="B140" i="36"/>
  <c r="K139" i="36"/>
  <c r="J139" i="36"/>
  <c r="I139" i="36"/>
  <c r="M139" i="36" s="1"/>
  <c r="A139" i="36" s="1"/>
  <c r="B139" i="36"/>
  <c r="M138" i="36"/>
  <c r="A138" i="36" s="1"/>
  <c r="J138" i="36"/>
  <c r="K138" i="36" s="1"/>
  <c r="I138" i="36"/>
  <c r="B138" i="36"/>
  <c r="J137" i="36"/>
  <c r="K137" i="36" s="1"/>
  <c r="I137" i="36"/>
  <c r="M137" i="36" s="1"/>
  <c r="A137" i="36" s="1"/>
  <c r="B137" i="36"/>
  <c r="J136" i="36"/>
  <c r="K136" i="36" s="1"/>
  <c r="I136" i="36"/>
  <c r="M136" i="36" s="1"/>
  <c r="A136" i="36" s="1"/>
  <c r="B136" i="36"/>
  <c r="M135" i="36"/>
  <c r="A135" i="36" s="1"/>
  <c r="J135" i="36"/>
  <c r="K135" i="36" s="1"/>
  <c r="I135" i="36"/>
  <c r="B135" i="36"/>
  <c r="M134" i="36"/>
  <c r="A134" i="36" s="1"/>
  <c r="J134" i="36"/>
  <c r="K134" i="36" s="1"/>
  <c r="I134" i="36"/>
  <c r="B134" i="36"/>
  <c r="J133" i="36"/>
  <c r="K133" i="36" s="1"/>
  <c r="I133" i="36"/>
  <c r="M133" i="36" s="1"/>
  <c r="A133" i="36" s="1"/>
  <c r="B133" i="36"/>
  <c r="J132" i="36"/>
  <c r="K132" i="36" s="1"/>
  <c r="I132" i="36"/>
  <c r="M132" i="36" s="1"/>
  <c r="A132" i="36" s="1"/>
  <c r="B132" i="36"/>
  <c r="M131" i="36"/>
  <c r="A131" i="36" s="1"/>
  <c r="J131" i="36"/>
  <c r="K131" i="36" s="1"/>
  <c r="I131" i="36"/>
  <c r="B131" i="36"/>
  <c r="M130" i="36"/>
  <c r="A130" i="36" s="1"/>
  <c r="J130" i="36"/>
  <c r="K130" i="36" s="1"/>
  <c r="I130" i="36"/>
  <c r="B130" i="36"/>
  <c r="J129" i="36"/>
  <c r="K129" i="36" s="1"/>
  <c r="I129" i="36"/>
  <c r="M129" i="36" s="1"/>
  <c r="A129" i="36" s="1"/>
  <c r="B129" i="36"/>
  <c r="J128" i="36"/>
  <c r="K128" i="36" s="1"/>
  <c r="I128" i="36"/>
  <c r="M128" i="36" s="1"/>
  <c r="A128" i="36" s="1"/>
  <c r="B128" i="36"/>
  <c r="M127" i="36"/>
  <c r="A127" i="36" s="1"/>
  <c r="J127" i="36"/>
  <c r="K127" i="36" s="1"/>
  <c r="I127" i="36"/>
  <c r="B127" i="36"/>
  <c r="M126" i="36"/>
  <c r="A126" i="36" s="1"/>
  <c r="J126" i="36"/>
  <c r="K126" i="36" s="1"/>
  <c r="I126" i="36"/>
  <c r="B126" i="36"/>
  <c r="J125" i="36"/>
  <c r="K125" i="36" s="1"/>
  <c r="I125" i="36"/>
  <c r="M125" i="36" s="1"/>
  <c r="A125" i="36" s="1"/>
  <c r="B125" i="36"/>
  <c r="J124" i="36"/>
  <c r="K124" i="36" s="1"/>
  <c r="I124" i="36"/>
  <c r="M124" i="36" s="1"/>
  <c r="A124" i="36" s="1"/>
  <c r="B124" i="36"/>
  <c r="M123" i="36"/>
  <c r="A123" i="36" s="1"/>
  <c r="J123" i="36"/>
  <c r="K123" i="36" s="1"/>
  <c r="I123" i="36"/>
  <c r="B123" i="36"/>
  <c r="M122" i="36"/>
  <c r="A122" i="36" s="1"/>
  <c r="J122" i="36"/>
  <c r="K122" i="36" s="1"/>
  <c r="I122" i="36"/>
  <c r="B122" i="36"/>
  <c r="J121" i="36"/>
  <c r="K121" i="36" s="1"/>
  <c r="I121" i="36"/>
  <c r="M121" i="36" s="1"/>
  <c r="A121" i="36" s="1"/>
  <c r="B121" i="36"/>
  <c r="J120" i="36"/>
  <c r="K120" i="36" s="1"/>
  <c r="I120" i="36"/>
  <c r="M120" i="36" s="1"/>
  <c r="A120" i="36" s="1"/>
  <c r="B120" i="36"/>
  <c r="M119" i="36"/>
  <c r="A119" i="36" s="1"/>
  <c r="J119" i="36"/>
  <c r="K119" i="36" s="1"/>
  <c r="I119" i="36"/>
  <c r="B119" i="36"/>
  <c r="M118" i="36"/>
  <c r="A118" i="36" s="1"/>
  <c r="J118" i="36"/>
  <c r="K118" i="36" s="1"/>
  <c r="I118" i="36"/>
  <c r="B118" i="36"/>
  <c r="J117" i="36"/>
  <c r="K117" i="36" s="1"/>
  <c r="I117" i="36"/>
  <c r="M117" i="36" s="1"/>
  <c r="A117" i="36" s="1"/>
  <c r="B117" i="36"/>
  <c r="J116" i="36"/>
  <c r="K116" i="36" s="1"/>
  <c r="I116" i="36"/>
  <c r="M116" i="36" s="1"/>
  <c r="A116" i="36" s="1"/>
  <c r="B116" i="36"/>
  <c r="M115" i="36"/>
  <c r="A115" i="36" s="1"/>
  <c r="J115" i="36"/>
  <c r="K115" i="36" s="1"/>
  <c r="I115" i="36"/>
  <c r="B115" i="36"/>
  <c r="M114" i="36"/>
  <c r="A114" i="36" s="1"/>
  <c r="J114" i="36"/>
  <c r="K114" i="36" s="1"/>
  <c r="I114" i="36"/>
  <c r="B114" i="36"/>
  <c r="J113" i="36"/>
  <c r="K113" i="36" s="1"/>
  <c r="I113" i="36"/>
  <c r="M113" i="36" s="1"/>
  <c r="A113" i="36" s="1"/>
  <c r="B113" i="36"/>
  <c r="J112" i="36"/>
  <c r="K112" i="36" s="1"/>
  <c r="I112" i="36"/>
  <c r="M112" i="36" s="1"/>
  <c r="A112" i="36" s="1"/>
  <c r="B112" i="36"/>
  <c r="M111" i="36"/>
  <c r="A111" i="36" s="1"/>
  <c r="J111" i="36"/>
  <c r="K111" i="36" s="1"/>
  <c r="I111" i="36"/>
  <c r="B111" i="36"/>
  <c r="M110" i="36"/>
  <c r="A110" i="36" s="1"/>
  <c r="J110" i="36"/>
  <c r="K110" i="36" s="1"/>
  <c r="I110" i="36"/>
  <c r="B110" i="36"/>
  <c r="J109" i="36"/>
  <c r="K109" i="36" s="1"/>
  <c r="I109" i="36"/>
  <c r="M109" i="36" s="1"/>
  <c r="A109" i="36" s="1"/>
  <c r="B109" i="36"/>
  <c r="J108" i="36"/>
  <c r="K108" i="36" s="1"/>
  <c r="I108" i="36"/>
  <c r="M108" i="36" s="1"/>
  <c r="A108" i="36" s="1"/>
  <c r="B108" i="36"/>
  <c r="M107" i="36"/>
  <c r="A107" i="36" s="1"/>
  <c r="J107" i="36"/>
  <c r="K107" i="36" s="1"/>
  <c r="I107" i="36"/>
  <c r="B107" i="36"/>
  <c r="M106" i="36"/>
  <c r="A106" i="36" s="1"/>
  <c r="J106" i="36"/>
  <c r="K106" i="36" s="1"/>
  <c r="I106" i="36"/>
  <c r="B106" i="36"/>
  <c r="J105" i="36"/>
  <c r="K105" i="36" s="1"/>
  <c r="I105" i="36"/>
  <c r="M105" i="36" s="1"/>
  <c r="A105" i="36" s="1"/>
  <c r="B105" i="36"/>
  <c r="J104" i="36"/>
  <c r="K104" i="36" s="1"/>
  <c r="I104" i="36"/>
  <c r="M104" i="36" s="1"/>
  <c r="A104" i="36" s="1"/>
  <c r="B104" i="36"/>
  <c r="M103" i="36"/>
  <c r="A103" i="36" s="1"/>
  <c r="J103" i="36"/>
  <c r="K103" i="36" s="1"/>
  <c r="I103" i="36"/>
  <c r="B103" i="36"/>
  <c r="M102" i="36"/>
  <c r="A102" i="36" s="1"/>
  <c r="J102" i="36"/>
  <c r="K102" i="36" s="1"/>
  <c r="I102" i="36"/>
  <c r="B102" i="36"/>
  <c r="J101" i="36"/>
  <c r="K101" i="36" s="1"/>
  <c r="I101" i="36"/>
  <c r="M101" i="36" s="1"/>
  <c r="A101" i="36" s="1"/>
  <c r="B101" i="36"/>
  <c r="J100" i="36"/>
  <c r="K100" i="36" s="1"/>
  <c r="I100" i="36"/>
  <c r="M100" i="36" s="1"/>
  <c r="A100" i="36" s="1"/>
  <c r="B100" i="36"/>
  <c r="M99" i="36"/>
  <c r="A99" i="36" s="1"/>
  <c r="J99" i="36"/>
  <c r="K99" i="36" s="1"/>
  <c r="I99" i="36"/>
  <c r="B99" i="36"/>
  <c r="M98" i="36"/>
  <c r="A98" i="36" s="1"/>
  <c r="J98" i="36"/>
  <c r="K98" i="36" s="1"/>
  <c r="I98" i="36"/>
  <c r="B98" i="36"/>
  <c r="J97" i="36"/>
  <c r="K97" i="36" s="1"/>
  <c r="I97" i="36"/>
  <c r="M97" i="36" s="1"/>
  <c r="A97" i="36" s="1"/>
  <c r="B97" i="36"/>
  <c r="J96" i="36"/>
  <c r="K96" i="36" s="1"/>
  <c r="I96" i="36"/>
  <c r="M96" i="36" s="1"/>
  <c r="A96" i="36" s="1"/>
  <c r="B96" i="36"/>
  <c r="M95" i="36"/>
  <c r="A95" i="36" s="1"/>
  <c r="J95" i="36"/>
  <c r="K95" i="36" s="1"/>
  <c r="I95" i="36"/>
  <c r="B95" i="36"/>
  <c r="M94" i="36"/>
  <c r="A94" i="36" s="1"/>
  <c r="J94" i="36"/>
  <c r="K94" i="36" s="1"/>
  <c r="I94" i="36"/>
  <c r="B94" i="36"/>
  <c r="J93" i="36"/>
  <c r="K93" i="36" s="1"/>
  <c r="I93" i="36"/>
  <c r="M93" i="36" s="1"/>
  <c r="A93" i="36" s="1"/>
  <c r="B93" i="36"/>
  <c r="J92" i="36"/>
  <c r="K92" i="36" s="1"/>
  <c r="I92" i="36"/>
  <c r="M92" i="36" s="1"/>
  <c r="A92" i="36" s="1"/>
  <c r="B92" i="36"/>
  <c r="M91" i="36"/>
  <c r="A91" i="36" s="1"/>
  <c r="J91" i="36"/>
  <c r="K91" i="36" s="1"/>
  <c r="I91" i="36"/>
  <c r="B91" i="36"/>
  <c r="M90" i="36"/>
  <c r="A90" i="36" s="1"/>
  <c r="J90" i="36"/>
  <c r="K90" i="36" s="1"/>
  <c r="I90" i="36"/>
  <c r="B90" i="36"/>
  <c r="J89" i="36"/>
  <c r="K89" i="36" s="1"/>
  <c r="I89" i="36"/>
  <c r="M89" i="36" s="1"/>
  <c r="A89" i="36" s="1"/>
  <c r="B89" i="36"/>
  <c r="J88" i="36"/>
  <c r="K88" i="36" s="1"/>
  <c r="I88" i="36"/>
  <c r="M88" i="36" s="1"/>
  <c r="A88" i="36" s="1"/>
  <c r="B88" i="36"/>
  <c r="M87" i="36"/>
  <c r="A87" i="36" s="1"/>
  <c r="J87" i="36"/>
  <c r="K87" i="36" s="1"/>
  <c r="I87" i="36"/>
  <c r="B87" i="36"/>
  <c r="M86" i="36"/>
  <c r="A86" i="36" s="1"/>
  <c r="J86" i="36"/>
  <c r="K86" i="36" s="1"/>
  <c r="I86" i="36"/>
  <c r="B86" i="36"/>
  <c r="J85" i="36"/>
  <c r="K85" i="36" s="1"/>
  <c r="I85" i="36"/>
  <c r="M85" i="36" s="1"/>
  <c r="A85" i="36" s="1"/>
  <c r="B85" i="36"/>
  <c r="J84" i="36"/>
  <c r="K84" i="36" s="1"/>
  <c r="I84" i="36"/>
  <c r="M84" i="36" s="1"/>
  <c r="A84" i="36" s="1"/>
  <c r="B84" i="36"/>
  <c r="M83" i="36"/>
  <c r="A83" i="36" s="1"/>
  <c r="J83" i="36"/>
  <c r="K83" i="36" s="1"/>
  <c r="I83" i="36"/>
  <c r="B83" i="36"/>
  <c r="M82" i="36"/>
  <c r="A82" i="36" s="1"/>
  <c r="J82" i="36"/>
  <c r="K82" i="36" s="1"/>
  <c r="I82" i="36"/>
  <c r="B82" i="36"/>
  <c r="J81" i="36"/>
  <c r="K81" i="36" s="1"/>
  <c r="I81" i="36"/>
  <c r="M81" i="36" s="1"/>
  <c r="A81" i="36" s="1"/>
  <c r="B81" i="36"/>
  <c r="J80" i="36"/>
  <c r="K80" i="36" s="1"/>
  <c r="I80" i="36"/>
  <c r="M80" i="36" s="1"/>
  <c r="A80" i="36" s="1"/>
  <c r="B80" i="36"/>
  <c r="M79" i="36"/>
  <c r="A79" i="36" s="1"/>
  <c r="J79" i="36"/>
  <c r="K79" i="36" s="1"/>
  <c r="I79" i="36"/>
  <c r="B79" i="36"/>
  <c r="M78" i="36"/>
  <c r="A78" i="36" s="1"/>
  <c r="J78" i="36"/>
  <c r="K78" i="36" s="1"/>
  <c r="I78" i="36"/>
  <c r="B78" i="36"/>
  <c r="J77" i="36"/>
  <c r="K77" i="36" s="1"/>
  <c r="I77" i="36"/>
  <c r="M77" i="36" s="1"/>
  <c r="A77" i="36" s="1"/>
  <c r="B77" i="36"/>
  <c r="J76" i="36"/>
  <c r="K76" i="36" s="1"/>
  <c r="I76" i="36"/>
  <c r="M76" i="36" s="1"/>
  <c r="A76" i="36" s="1"/>
  <c r="B76" i="36"/>
  <c r="M75" i="36"/>
  <c r="A75" i="36" s="1"/>
  <c r="J75" i="36"/>
  <c r="K75" i="36" s="1"/>
  <c r="I75" i="36"/>
  <c r="B75" i="36"/>
  <c r="M74" i="36"/>
  <c r="A74" i="36" s="1"/>
  <c r="J74" i="36"/>
  <c r="K74" i="36" s="1"/>
  <c r="I74" i="36"/>
  <c r="B74" i="36"/>
  <c r="J73" i="36"/>
  <c r="K73" i="36" s="1"/>
  <c r="I73" i="36"/>
  <c r="M73" i="36" s="1"/>
  <c r="A73" i="36" s="1"/>
  <c r="B73" i="36"/>
  <c r="J72" i="36"/>
  <c r="K72" i="36" s="1"/>
  <c r="I72" i="36"/>
  <c r="M72" i="36" s="1"/>
  <c r="A72" i="36" s="1"/>
  <c r="B72" i="36"/>
  <c r="M71" i="36"/>
  <c r="A71" i="36" s="1"/>
  <c r="J71" i="36"/>
  <c r="K71" i="36" s="1"/>
  <c r="I71" i="36"/>
  <c r="B71" i="36"/>
  <c r="M70" i="36"/>
  <c r="A70" i="36" s="1"/>
  <c r="J70" i="36"/>
  <c r="K70" i="36" s="1"/>
  <c r="I70" i="36"/>
  <c r="B70" i="36"/>
  <c r="J69" i="36"/>
  <c r="K69" i="36" s="1"/>
  <c r="I69" i="36"/>
  <c r="M69" i="36" s="1"/>
  <c r="A69" i="36" s="1"/>
  <c r="B69" i="36"/>
  <c r="J68" i="36"/>
  <c r="K68" i="36" s="1"/>
  <c r="I68" i="36"/>
  <c r="M68" i="36" s="1"/>
  <c r="A68" i="36" s="1"/>
  <c r="B68" i="36"/>
  <c r="M67" i="36"/>
  <c r="A67" i="36" s="1"/>
  <c r="J67" i="36"/>
  <c r="K67" i="36" s="1"/>
  <c r="I67" i="36"/>
  <c r="B67" i="36"/>
  <c r="M66" i="36"/>
  <c r="A66" i="36" s="1"/>
  <c r="J66" i="36"/>
  <c r="K66" i="36" s="1"/>
  <c r="I66" i="36"/>
  <c r="B66" i="36"/>
  <c r="J65" i="36"/>
  <c r="K65" i="36" s="1"/>
  <c r="I65" i="36"/>
  <c r="M65" i="36" s="1"/>
  <c r="A65" i="36" s="1"/>
  <c r="B65" i="36"/>
  <c r="J64" i="36"/>
  <c r="K64" i="36" s="1"/>
  <c r="I64" i="36"/>
  <c r="M64" i="36" s="1"/>
  <c r="A64" i="36" s="1"/>
  <c r="B64" i="36"/>
  <c r="M63" i="36"/>
  <c r="A63" i="36" s="1"/>
  <c r="J63" i="36"/>
  <c r="K63" i="36" s="1"/>
  <c r="I63" i="36"/>
  <c r="B63" i="36"/>
  <c r="M62" i="36"/>
  <c r="A62" i="36" s="1"/>
  <c r="J62" i="36"/>
  <c r="K62" i="36" s="1"/>
  <c r="I62" i="36"/>
  <c r="B62" i="36"/>
  <c r="J61" i="36"/>
  <c r="K61" i="36" s="1"/>
  <c r="I61" i="36"/>
  <c r="M61" i="36" s="1"/>
  <c r="A61" i="36" s="1"/>
  <c r="B61" i="36"/>
  <c r="J60" i="36"/>
  <c r="K60" i="36" s="1"/>
  <c r="I60" i="36"/>
  <c r="M60" i="36" s="1"/>
  <c r="A60" i="36" s="1"/>
  <c r="B60" i="36"/>
  <c r="M59" i="36"/>
  <c r="A59" i="36" s="1"/>
  <c r="J59" i="36"/>
  <c r="K59" i="36" s="1"/>
  <c r="I59" i="36"/>
  <c r="B59" i="36"/>
  <c r="M58" i="36"/>
  <c r="A58" i="36" s="1"/>
  <c r="J58" i="36"/>
  <c r="K58" i="36" s="1"/>
  <c r="I58" i="36"/>
  <c r="B58" i="36"/>
  <c r="J57" i="36"/>
  <c r="K57" i="36" s="1"/>
  <c r="I57" i="36"/>
  <c r="M57" i="36" s="1"/>
  <c r="A57" i="36" s="1"/>
  <c r="B57" i="36"/>
  <c r="J56" i="36"/>
  <c r="K56" i="36" s="1"/>
  <c r="I56" i="36"/>
  <c r="M56" i="36" s="1"/>
  <c r="A56" i="36" s="1"/>
  <c r="B56" i="36"/>
  <c r="M55" i="36"/>
  <c r="A55" i="36" s="1"/>
  <c r="J55" i="36"/>
  <c r="K55" i="36" s="1"/>
  <c r="I55" i="36"/>
  <c r="B55" i="36"/>
  <c r="M54" i="36"/>
  <c r="A54" i="36" s="1"/>
  <c r="J54" i="36"/>
  <c r="K54" i="36" s="1"/>
  <c r="I54" i="36"/>
  <c r="B54" i="36"/>
  <c r="J53" i="36"/>
  <c r="K53" i="36" s="1"/>
  <c r="I53" i="36"/>
  <c r="M53" i="36" s="1"/>
  <c r="A53" i="36" s="1"/>
  <c r="B53" i="36"/>
  <c r="J52" i="36"/>
  <c r="K52" i="36" s="1"/>
  <c r="I52" i="36"/>
  <c r="M52" i="36" s="1"/>
  <c r="A52" i="36" s="1"/>
  <c r="B52" i="36"/>
  <c r="M51" i="36"/>
  <c r="A51" i="36" s="1"/>
  <c r="J51" i="36"/>
  <c r="K51" i="36" s="1"/>
  <c r="I51" i="36"/>
  <c r="B51" i="36"/>
  <c r="M50" i="36"/>
  <c r="A50" i="36" s="1"/>
  <c r="J50" i="36"/>
  <c r="K50" i="36" s="1"/>
  <c r="I50" i="36"/>
  <c r="B50" i="36"/>
  <c r="J49" i="36"/>
  <c r="K49" i="36" s="1"/>
  <c r="I49" i="36"/>
  <c r="M49" i="36" s="1"/>
  <c r="A49" i="36" s="1"/>
  <c r="B49" i="36"/>
  <c r="J48" i="36"/>
  <c r="K48" i="36" s="1"/>
  <c r="I48" i="36"/>
  <c r="M48" i="36" s="1"/>
  <c r="A48" i="36" s="1"/>
  <c r="B48" i="36"/>
  <c r="M47" i="36"/>
  <c r="A47" i="36" s="1"/>
  <c r="J47" i="36"/>
  <c r="K47" i="36" s="1"/>
  <c r="I47" i="36"/>
  <c r="B47" i="36"/>
  <c r="M46" i="36"/>
  <c r="A46" i="36" s="1"/>
  <c r="J46" i="36"/>
  <c r="K46" i="36" s="1"/>
  <c r="I46" i="36"/>
  <c r="B46" i="36"/>
  <c r="J45" i="36"/>
  <c r="K45" i="36" s="1"/>
  <c r="I45" i="36"/>
  <c r="M45" i="36" s="1"/>
  <c r="A45" i="36" s="1"/>
  <c r="B45" i="36"/>
  <c r="M44" i="36"/>
  <c r="J44" i="36"/>
  <c r="K44" i="36" s="1"/>
  <c r="I44" i="36"/>
  <c r="B44" i="36"/>
  <c r="A44" i="36"/>
  <c r="M43" i="36"/>
  <c r="A43" i="36" s="1"/>
  <c r="J43" i="36"/>
  <c r="K43" i="36" s="1"/>
  <c r="I43" i="36"/>
  <c r="B43" i="36"/>
  <c r="M42" i="36"/>
  <c r="A42" i="36" s="1"/>
  <c r="J42" i="36"/>
  <c r="K42" i="36" s="1"/>
  <c r="I42" i="36"/>
  <c r="B42" i="36"/>
  <c r="J41" i="36"/>
  <c r="K41" i="36" s="1"/>
  <c r="I41" i="36"/>
  <c r="M41" i="36" s="1"/>
  <c r="A41" i="36" s="1"/>
  <c r="B41" i="36"/>
  <c r="M40" i="36"/>
  <c r="J40" i="36"/>
  <c r="K40" i="36" s="1"/>
  <c r="I40" i="36"/>
  <c r="B40" i="36"/>
  <c r="A40" i="36"/>
  <c r="M39" i="36"/>
  <c r="A39" i="36" s="1"/>
  <c r="J39" i="36"/>
  <c r="K39" i="36" s="1"/>
  <c r="I39" i="36"/>
  <c r="B39" i="36"/>
  <c r="M38" i="36"/>
  <c r="A38" i="36" s="1"/>
  <c r="J38" i="36"/>
  <c r="K38" i="36" s="1"/>
  <c r="I38" i="36"/>
  <c r="B38" i="36"/>
  <c r="J37" i="36"/>
  <c r="K37" i="36" s="1"/>
  <c r="I37" i="36"/>
  <c r="M37" i="36" s="1"/>
  <c r="A37" i="36" s="1"/>
  <c r="B37" i="36"/>
  <c r="M36" i="36"/>
  <c r="J36" i="36"/>
  <c r="K36" i="36" s="1"/>
  <c r="I36" i="36"/>
  <c r="B36" i="36"/>
  <c r="A36" i="36"/>
  <c r="M35" i="36"/>
  <c r="A35" i="36" s="1"/>
  <c r="J35" i="36"/>
  <c r="K35" i="36" s="1"/>
  <c r="I35" i="36"/>
  <c r="B35" i="36"/>
  <c r="M34" i="36"/>
  <c r="A34" i="36" s="1"/>
  <c r="J34" i="36"/>
  <c r="K34" i="36" s="1"/>
  <c r="I34" i="36"/>
  <c r="B34" i="36"/>
  <c r="J33" i="36"/>
  <c r="K33" i="36" s="1"/>
  <c r="I33" i="36"/>
  <c r="M33" i="36" s="1"/>
  <c r="A33" i="36" s="1"/>
  <c r="B33" i="36"/>
  <c r="M32" i="36"/>
  <c r="J32" i="36"/>
  <c r="K32" i="36" s="1"/>
  <c r="I32" i="36"/>
  <c r="B32" i="36"/>
  <c r="A32" i="36"/>
  <c r="M31" i="36"/>
  <c r="A31" i="36" s="1"/>
  <c r="J31" i="36"/>
  <c r="K31" i="36" s="1"/>
  <c r="I31" i="36"/>
  <c r="B31" i="36"/>
  <c r="M30" i="36"/>
  <c r="A30" i="36" s="1"/>
  <c r="J30" i="36"/>
  <c r="K30" i="36" s="1"/>
  <c r="I30" i="36"/>
  <c r="B30" i="36"/>
  <c r="J29" i="36"/>
  <c r="K29" i="36" s="1"/>
  <c r="I29" i="36"/>
  <c r="M29" i="36" s="1"/>
  <c r="A29" i="36" s="1"/>
  <c r="B29" i="36"/>
  <c r="M28" i="36"/>
  <c r="J28" i="36"/>
  <c r="K28" i="36" s="1"/>
  <c r="I28" i="36"/>
  <c r="B28" i="36"/>
  <c r="A28" i="36"/>
  <c r="M27" i="36"/>
  <c r="A27" i="36" s="1"/>
  <c r="J27" i="36"/>
  <c r="K27" i="36" s="1"/>
  <c r="I27" i="36"/>
  <c r="B27" i="36"/>
  <c r="M26" i="36"/>
  <c r="A26" i="36" s="1"/>
  <c r="J26" i="36"/>
  <c r="K26" i="36" s="1"/>
  <c r="I26" i="36"/>
  <c r="B26" i="36"/>
  <c r="J25" i="36"/>
  <c r="K25" i="36" s="1"/>
  <c r="I25" i="36"/>
  <c r="M25" i="36" s="1"/>
  <c r="A25" i="36" s="1"/>
  <c r="B25" i="36"/>
  <c r="M24" i="36"/>
  <c r="J24" i="36"/>
  <c r="K24" i="36" s="1"/>
  <c r="I24" i="36"/>
  <c r="B24" i="36"/>
  <c r="A24" i="36"/>
  <c r="M23" i="36"/>
  <c r="A23" i="36" s="1"/>
  <c r="J23" i="36"/>
  <c r="K23" i="36" s="1"/>
  <c r="I23" i="36"/>
  <c r="B23" i="36"/>
  <c r="M22" i="36"/>
  <c r="A22" i="36" s="1"/>
  <c r="J22" i="36"/>
  <c r="K22" i="36" s="1"/>
  <c r="I22" i="36"/>
  <c r="B22" i="36"/>
  <c r="J21" i="36"/>
  <c r="K21" i="36" s="1"/>
  <c r="I21" i="36"/>
  <c r="M21" i="36" s="1"/>
  <c r="A21" i="36" s="1"/>
  <c r="B21" i="36"/>
  <c r="M20" i="36"/>
  <c r="J20" i="36"/>
  <c r="K20" i="36" s="1"/>
  <c r="I20" i="36"/>
  <c r="B20" i="36"/>
  <c r="A20" i="36"/>
  <c r="M19" i="36"/>
  <c r="A19" i="36" s="1"/>
  <c r="J19" i="36"/>
  <c r="K19" i="36" s="1"/>
  <c r="I19" i="36"/>
  <c r="B19" i="36"/>
  <c r="M18" i="36"/>
  <c r="A18" i="36" s="1"/>
  <c r="J18" i="36"/>
  <c r="K18" i="36" s="1"/>
  <c r="I18" i="36"/>
  <c r="B18" i="36"/>
  <c r="J17" i="36"/>
  <c r="K17" i="36" s="1"/>
  <c r="I17" i="36"/>
  <c r="M17" i="36" s="1"/>
  <c r="A17" i="36" s="1"/>
  <c r="B17" i="36"/>
  <c r="K16" i="36"/>
  <c r="J16" i="36"/>
  <c r="I16" i="36"/>
  <c r="M16" i="36" s="1"/>
  <c r="A16" i="36" s="1"/>
  <c r="B16" i="36"/>
  <c r="K15" i="36"/>
  <c r="J15" i="36"/>
  <c r="I15" i="36"/>
  <c r="M15" i="36" s="1"/>
  <c r="A15" i="36" s="1"/>
  <c r="B15" i="36"/>
  <c r="AI14" i="36"/>
  <c r="M14" i="36"/>
  <c r="A14" i="36" s="1"/>
  <c r="J14" i="36"/>
  <c r="K14" i="36" s="1"/>
  <c r="I14" i="36"/>
  <c r="B14" i="36"/>
  <c r="AI13" i="36"/>
  <c r="AI16" i="36" s="1"/>
  <c r="M13" i="36"/>
  <c r="A13" i="36" s="1"/>
  <c r="K13" i="36"/>
  <c r="J13" i="36"/>
  <c r="I13" i="36"/>
  <c r="B13" i="36"/>
  <c r="AI12" i="36"/>
  <c r="M12" i="36"/>
  <c r="A12" i="36" s="1"/>
  <c r="J12" i="36"/>
  <c r="K12" i="36" s="1"/>
  <c r="I12" i="36"/>
  <c r="B12" i="36"/>
  <c r="J11" i="36"/>
  <c r="K11" i="36" s="1"/>
  <c r="I11" i="36"/>
  <c r="M11" i="36" s="1"/>
  <c r="A11" i="36" s="1"/>
  <c r="B11" i="36"/>
  <c r="M10" i="36"/>
  <c r="J10" i="36"/>
  <c r="K10" i="36" s="1"/>
  <c r="I10" i="36"/>
  <c r="B10" i="36"/>
  <c r="A10" i="36"/>
  <c r="M9" i="36"/>
  <c r="A9" i="36" s="1"/>
  <c r="K9" i="36"/>
  <c r="J9" i="36"/>
  <c r="I9" i="36"/>
  <c r="B9" i="36"/>
  <c r="M8" i="36"/>
  <c r="A8" i="36" s="1"/>
  <c r="L8" i="36"/>
  <c r="J8" i="36"/>
  <c r="K8" i="36" s="1"/>
  <c r="I8" i="36"/>
  <c r="B8" i="36"/>
  <c r="M7" i="36"/>
  <c r="A7" i="36" s="1"/>
  <c r="L7" i="36"/>
  <c r="K7" i="36"/>
  <c r="J7" i="36"/>
  <c r="I7" i="36"/>
  <c r="B7" i="36"/>
  <c r="M6" i="36"/>
  <c r="A6" i="36" s="1"/>
  <c r="L6" i="36"/>
  <c r="J6" i="36"/>
  <c r="K6" i="36" s="1"/>
  <c r="I6" i="36"/>
  <c r="B6" i="36"/>
  <c r="K2" i="36"/>
  <c r="L9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M305" i="35"/>
  <c r="J305" i="35"/>
  <c r="K305" i="35" s="1"/>
  <c r="I305" i="35"/>
  <c r="J304" i="35"/>
  <c r="K304" i="35" s="1"/>
  <c r="I304" i="35"/>
  <c r="M304" i="35" s="1"/>
  <c r="M303" i="35"/>
  <c r="J303" i="35"/>
  <c r="K303" i="35" s="1"/>
  <c r="I303" i="35"/>
  <c r="J302" i="35"/>
  <c r="K302" i="35" s="1"/>
  <c r="I302" i="35"/>
  <c r="M302" i="35" s="1"/>
  <c r="M301" i="35"/>
  <c r="J301" i="35"/>
  <c r="K301" i="35" s="1"/>
  <c r="I301" i="35"/>
  <c r="J300" i="35"/>
  <c r="K300" i="35" s="1"/>
  <c r="I300" i="35"/>
  <c r="M300" i="35" s="1"/>
  <c r="M299" i="35"/>
  <c r="J299" i="35"/>
  <c r="K299" i="35" s="1"/>
  <c r="I299" i="35"/>
  <c r="J298" i="35"/>
  <c r="K298" i="35" s="1"/>
  <c r="I298" i="35"/>
  <c r="M298" i="35" s="1"/>
  <c r="M297" i="35"/>
  <c r="J297" i="35"/>
  <c r="K297" i="35" s="1"/>
  <c r="I297" i="35"/>
  <c r="J296" i="35"/>
  <c r="K296" i="35" s="1"/>
  <c r="I296" i="35"/>
  <c r="M296" i="35" s="1"/>
  <c r="M295" i="35"/>
  <c r="J295" i="35"/>
  <c r="K295" i="35" s="1"/>
  <c r="I295" i="35"/>
  <c r="J294" i="35"/>
  <c r="K294" i="35" s="1"/>
  <c r="I294" i="35"/>
  <c r="M294" i="35" s="1"/>
  <c r="M293" i="35"/>
  <c r="J293" i="35"/>
  <c r="K293" i="35" s="1"/>
  <c r="I293" i="35"/>
  <c r="J292" i="35"/>
  <c r="K292" i="35" s="1"/>
  <c r="I292" i="35"/>
  <c r="M292" i="35" s="1"/>
  <c r="M291" i="35"/>
  <c r="J291" i="35"/>
  <c r="K291" i="35" s="1"/>
  <c r="I291" i="35"/>
  <c r="J290" i="35"/>
  <c r="K290" i="35" s="1"/>
  <c r="I290" i="35"/>
  <c r="M290" i="35" s="1"/>
  <c r="M289" i="35"/>
  <c r="J289" i="35"/>
  <c r="K289" i="35" s="1"/>
  <c r="I289" i="35"/>
  <c r="J288" i="35"/>
  <c r="K288" i="35" s="1"/>
  <c r="I288" i="35"/>
  <c r="M288" i="35" s="1"/>
  <c r="M287" i="35"/>
  <c r="J287" i="35"/>
  <c r="K287" i="35" s="1"/>
  <c r="I287" i="35"/>
  <c r="J286" i="35"/>
  <c r="K286" i="35" s="1"/>
  <c r="I286" i="35"/>
  <c r="M286" i="35" s="1"/>
  <c r="M285" i="35"/>
  <c r="J285" i="35"/>
  <c r="K285" i="35" s="1"/>
  <c r="I285" i="35"/>
  <c r="J284" i="35"/>
  <c r="K284" i="35" s="1"/>
  <c r="I284" i="35"/>
  <c r="M284" i="35" s="1"/>
  <c r="M283" i="35"/>
  <c r="J283" i="35"/>
  <c r="K283" i="35" s="1"/>
  <c r="I283" i="35"/>
  <c r="J282" i="35"/>
  <c r="K282" i="35" s="1"/>
  <c r="I282" i="35"/>
  <c r="M282" i="35" s="1"/>
  <c r="M281" i="35"/>
  <c r="J281" i="35"/>
  <c r="K281" i="35" s="1"/>
  <c r="I281" i="35"/>
  <c r="J280" i="35"/>
  <c r="K280" i="35" s="1"/>
  <c r="I280" i="35"/>
  <c r="M280" i="35" s="1"/>
  <c r="M279" i="35"/>
  <c r="J279" i="35"/>
  <c r="K279" i="35" s="1"/>
  <c r="I279" i="35"/>
  <c r="J278" i="35"/>
  <c r="K278" i="35" s="1"/>
  <c r="I278" i="35"/>
  <c r="M278" i="35" s="1"/>
  <c r="M277" i="35"/>
  <c r="J277" i="35"/>
  <c r="K277" i="35" s="1"/>
  <c r="I277" i="35"/>
  <c r="J276" i="35"/>
  <c r="K276" i="35" s="1"/>
  <c r="I276" i="35"/>
  <c r="M276" i="35" s="1"/>
  <c r="M275" i="35"/>
  <c r="J275" i="35"/>
  <c r="K275" i="35" s="1"/>
  <c r="I275" i="35"/>
  <c r="J274" i="35"/>
  <c r="K274" i="35" s="1"/>
  <c r="I274" i="35"/>
  <c r="M274" i="35" s="1"/>
  <c r="M273" i="35"/>
  <c r="J273" i="35"/>
  <c r="K273" i="35" s="1"/>
  <c r="I273" i="35"/>
  <c r="J272" i="35"/>
  <c r="K272" i="35" s="1"/>
  <c r="I272" i="35"/>
  <c r="M272" i="35" s="1"/>
  <c r="M271" i="35"/>
  <c r="J271" i="35"/>
  <c r="K271" i="35" s="1"/>
  <c r="I271" i="35"/>
  <c r="J270" i="35"/>
  <c r="K270" i="35" s="1"/>
  <c r="I270" i="35"/>
  <c r="M270" i="35" s="1"/>
  <c r="M269" i="35"/>
  <c r="J269" i="35"/>
  <c r="K269" i="35" s="1"/>
  <c r="I269" i="35"/>
  <c r="J268" i="35"/>
  <c r="K268" i="35" s="1"/>
  <c r="I268" i="35"/>
  <c r="M268" i="35" s="1"/>
  <c r="M267" i="35"/>
  <c r="J267" i="35"/>
  <c r="K267" i="35" s="1"/>
  <c r="I267" i="35"/>
  <c r="J266" i="35"/>
  <c r="K266" i="35" s="1"/>
  <c r="I266" i="35"/>
  <c r="M266" i="35" s="1"/>
  <c r="M265" i="35"/>
  <c r="J265" i="35"/>
  <c r="K265" i="35" s="1"/>
  <c r="I265" i="35"/>
  <c r="J264" i="35"/>
  <c r="K264" i="35" s="1"/>
  <c r="I264" i="35"/>
  <c r="M264" i="35" s="1"/>
  <c r="M263" i="35"/>
  <c r="J263" i="35"/>
  <c r="K263" i="35" s="1"/>
  <c r="I263" i="35"/>
  <c r="J262" i="35"/>
  <c r="K262" i="35" s="1"/>
  <c r="I262" i="35"/>
  <c r="M262" i="35" s="1"/>
  <c r="M261" i="35"/>
  <c r="J261" i="35"/>
  <c r="K261" i="35" s="1"/>
  <c r="I261" i="35"/>
  <c r="J260" i="35"/>
  <c r="K260" i="35" s="1"/>
  <c r="I260" i="35"/>
  <c r="M260" i="35" s="1"/>
  <c r="M259" i="35"/>
  <c r="J259" i="35"/>
  <c r="K259" i="35" s="1"/>
  <c r="I259" i="35"/>
  <c r="J258" i="35"/>
  <c r="K258" i="35" s="1"/>
  <c r="I258" i="35"/>
  <c r="M258" i="35" s="1"/>
  <c r="M257" i="35"/>
  <c r="J257" i="35"/>
  <c r="K257" i="35" s="1"/>
  <c r="I257" i="35"/>
  <c r="J256" i="35"/>
  <c r="K256" i="35" s="1"/>
  <c r="I256" i="35"/>
  <c r="M256" i="35" s="1"/>
  <c r="M255" i="35"/>
  <c r="J255" i="35"/>
  <c r="K255" i="35" s="1"/>
  <c r="I255" i="35"/>
  <c r="J254" i="35"/>
  <c r="K254" i="35" s="1"/>
  <c r="I254" i="35"/>
  <c r="M254" i="35" s="1"/>
  <c r="M253" i="35"/>
  <c r="J253" i="35"/>
  <c r="K253" i="35" s="1"/>
  <c r="I253" i="35"/>
  <c r="J252" i="35"/>
  <c r="K252" i="35" s="1"/>
  <c r="I252" i="35"/>
  <c r="M252" i="35" s="1"/>
  <c r="M251" i="35"/>
  <c r="J251" i="35"/>
  <c r="K251" i="35" s="1"/>
  <c r="I251" i="35"/>
  <c r="J250" i="35"/>
  <c r="K250" i="35" s="1"/>
  <c r="I250" i="35"/>
  <c r="M250" i="35" s="1"/>
  <c r="M249" i="35"/>
  <c r="J249" i="35"/>
  <c r="K249" i="35" s="1"/>
  <c r="I249" i="35"/>
  <c r="J248" i="35"/>
  <c r="K248" i="35" s="1"/>
  <c r="I248" i="35"/>
  <c r="M248" i="35" s="1"/>
  <c r="M247" i="35"/>
  <c r="J247" i="35"/>
  <c r="K247" i="35" s="1"/>
  <c r="I247" i="35"/>
  <c r="J246" i="35"/>
  <c r="K246" i="35" s="1"/>
  <c r="I246" i="35"/>
  <c r="M246" i="35" s="1"/>
  <c r="M245" i="35"/>
  <c r="J245" i="35"/>
  <c r="K245" i="35" s="1"/>
  <c r="I245" i="35"/>
  <c r="J244" i="35"/>
  <c r="K244" i="35" s="1"/>
  <c r="I244" i="35"/>
  <c r="M244" i="35" s="1"/>
  <c r="M243" i="35"/>
  <c r="J243" i="35"/>
  <c r="K243" i="35" s="1"/>
  <c r="I243" i="35"/>
  <c r="J242" i="35"/>
  <c r="K242" i="35" s="1"/>
  <c r="I242" i="35"/>
  <c r="M242" i="35" s="1"/>
  <c r="M241" i="35"/>
  <c r="J241" i="35"/>
  <c r="K241" i="35" s="1"/>
  <c r="I241" i="35"/>
  <c r="J240" i="35"/>
  <c r="K240" i="35" s="1"/>
  <c r="I240" i="35"/>
  <c r="M240" i="35" s="1"/>
  <c r="J239" i="35"/>
  <c r="K239" i="35" s="1"/>
  <c r="I239" i="35"/>
  <c r="M239" i="35" s="1"/>
  <c r="J238" i="35"/>
  <c r="K238" i="35" s="1"/>
  <c r="I238" i="35"/>
  <c r="M238" i="35" s="1"/>
  <c r="M237" i="35"/>
  <c r="J237" i="35"/>
  <c r="K237" i="35" s="1"/>
  <c r="I237" i="35"/>
  <c r="J236" i="35"/>
  <c r="K236" i="35" s="1"/>
  <c r="I236" i="35"/>
  <c r="M236" i="35" s="1"/>
  <c r="M235" i="35"/>
  <c r="J235" i="35"/>
  <c r="K235" i="35" s="1"/>
  <c r="I235" i="35"/>
  <c r="J234" i="35"/>
  <c r="K234" i="35" s="1"/>
  <c r="I234" i="35"/>
  <c r="M234" i="35" s="1"/>
  <c r="M233" i="35"/>
  <c r="J233" i="35"/>
  <c r="K233" i="35" s="1"/>
  <c r="I233" i="35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M229" i="35"/>
  <c r="J229" i="35"/>
  <c r="K229" i="35" s="1"/>
  <c r="I229" i="35"/>
  <c r="J228" i="35"/>
  <c r="K228" i="35" s="1"/>
  <c r="I228" i="35"/>
  <c r="M228" i="35" s="1"/>
  <c r="M227" i="35"/>
  <c r="J227" i="35"/>
  <c r="K227" i="35" s="1"/>
  <c r="I227" i="35"/>
  <c r="J226" i="35"/>
  <c r="K226" i="35" s="1"/>
  <c r="I226" i="35"/>
  <c r="M226" i="35" s="1"/>
  <c r="M225" i="35"/>
  <c r="J225" i="35"/>
  <c r="K225" i="35" s="1"/>
  <c r="I225" i="35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M221" i="35"/>
  <c r="J221" i="35"/>
  <c r="K221" i="35" s="1"/>
  <c r="I221" i="35"/>
  <c r="J220" i="35"/>
  <c r="K220" i="35" s="1"/>
  <c r="I220" i="35"/>
  <c r="M220" i="35" s="1"/>
  <c r="M219" i="35"/>
  <c r="J219" i="35"/>
  <c r="K219" i="35" s="1"/>
  <c r="I219" i="35"/>
  <c r="J218" i="35"/>
  <c r="K218" i="35" s="1"/>
  <c r="I218" i="35"/>
  <c r="M218" i="35" s="1"/>
  <c r="M217" i="35"/>
  <c r="J217" i="35"/>
  <c r="K217" i="35" s="1"/>
  <c r="I217" i="35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M213" i="35"/>
  <c r="J213" i="35"/>
  <c r="K213" i="35" s="1"/>
  <c r="I213" i="35"/>
  <c r="J212" i="35"/>
  <c r="K212" i="35" s="1"/>
  <c r="I212" i="35"/>
  <c r="M212" i="35" s="1"/>
  <c r="M211" i="35"/>
  <c r="J211" i="35"/>
  <c r="K211" i="35" s="1"/>
  <c r="I211" i="35"/>
  <c r="J210" i="35"/>
  <c r="K210" i="35" s="1"/>
  <c r="I210" i="35"/>
  <c r="M210" i="35" s="1"/>
  <c r="M209" i="35"/>
  <c r="J209" i="35"/>
  <c r="K209" i="35" s="1"/>
  <c r="I209" i="35"/>
  <c r="J208" i="35"/>
  <c r="K208" i="35" s="1"/>
  <c r="I208" i="35"/>
  <c r="M208" i="35" s="1"/>
  <c r="J207" i="35"/>
  <c r="K207" i="35" s="1"/>
  <c r="I207" i="35"/>
  <c r="M207" i="35" s="1"/>
  <c r="J206" i="35"/>
  <c r="K206" i="35" s="1"/>
  <c r="I206" i="35"/>
  <c r="M206" i="35" s="1"/>
  <c r="M205" i="35"/>
  <c r="J205" i="35"/>
  <c r="K205" i="35" s="1"/>
  <c r="I205" i="35"/>
  <c r="J204" i="35"/>
  <c r="K204" i="35" s="1"/>
  <c r="I204" i="35"/>
  <c r="M204" i="35" s="1"/>
  <c r="M203" i="35"/>
  <c r="J203" i="35"/>
  <c r="K203" i="35" s="1"/>
  <c r="I203" i="35"/>
  <c r="J202" i="35"/>
  <c r="K202" i="35" s="1"/>
  <c r="I202" i="35"/>
  <c r="M202" i="35" s="1"/>
  <c r="M201" i="35"/>
  <c r="J201" i="35"/>
  <c r="K201" i="35" s="1"/>
  <c r="I201" i="35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M197" i="35"/>
  <c r="J197" i="35"/>
  <c r="K197" i="35" s="1"/>
  <c r="I197" i="35"/>
  <c r="J196" i="35"/>
  <c r="K196" i="35" s="1"/>
  <c r="I196" i="35"/>
  <c r="M196" i="35" s="1"/>
  <c r="M195" i="35"/>
  <c r="J195" i="35"/>
  <c r="K195" i="35" s="1"/>
  <c r="I195" i="35"/>
  <c r="J194" i="35"/>
  <c r="K194" i="35" s="1"/>
  <c r="I194" i="35"/>
  <c r="M194" i="35" s="1"/>
  <c r="M193" i="35"/>
  <c r="J193" i="35"/>
  <c r="K193" i="35" s="1"/>
  <c r="I193" i="35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M189" i="35"/>
  <c r="J189" i="35"/>
  <c r="K189" i="35" s="1"/>
  <c r="I189" i="35"/>
  <c r="J188" i="35"/>
  <c r="K188" i="35" s="1"/>
  <c r="I188" i="35"/>
  <c r="M188" i="35" s="1"/>
  <c r="M187" i="35"/>
  <c r="J187" i="35"/>
  <c r="K187" i="35" s="1"/>
  <c r="I187" i="35"/>
  <c r="J186" i="35"/>
  <c r="K186" i="35" s="1"/>
  <c r="I186" i="35"/>
  <c r="M186" i="35" s="1"/>
  <c r="M185" i="35"/>
  <c r="J185" i="35"/>
  <c r="K185" i="35" s="1"/>
  <c r="I185" i="35"/>
  <c r="J184" i="35"/>
  <c r="K184" i="35" s="1"/>
  <c r="I184" i="35"/>
  <c r="M184" i="35" s="1"/>
  <c r="J183" i="35"/>
  <c r="K183" i="35" s="1"/>
  <c r="I183" i="35"/>
  <c r="M183" i="35" s="1"/>
  <c r="J182" i="35"/>
  <c r="K182" i="35" s="1"/>
  <c r="I182" i="35"/>
  <c r="M182" i="35" s="1"/>
  <c r="M181" i="35"/>
  <c r="J181" i="35"/>
  <c r="K181" i="35" s="1"/>
  <c r="I181" i="35"/>
  <c r="J180" i="35"/>
  <c r="K180" i="35" s="1"/>
  <c r="I180" i="35"/>
  <c r="M180" i="35" s="1"/>
  <c r="M179" i="35"/>
  <c r="J179" i="35"/>
  <c r="K179" i="35" s="1"/>
  <c r="I179" i="35"/>
  <c r="J178" i="35"/>
  <c r="K178" i="35" s="1"/>
  <c r="I178" i="35"/>
  <c r="M178" i="35" s="1"/>
  <c r="M177" i="35"/>
  <c r="J177" i="35"/>
  <c r="K177" i="35" s="1"/>
  <c r="I177" i="35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M173" i="35"/>
  <c r="J173" i="35"/>
  <c r="K173" i="35" s="1"/>
  <c r="I173" i="35"/>
  <c r="J172" i="35"/>
  <c r="K172" i="35" s="1"/>
  <c r="I172" i="35"/>
  <c r="M172" i="35" s="1"/>
  <c r="M171" i="35"/>
  <c r="J171" i="35"/>
  <c r="K171" i="35" s="1"/>
  <c r="I171" i="35"/>
  <c r="J170" i="35"/>
  <c r="K170" i="35" s="1"/>
  <c r="I170" i="35"/>
  <c r="M170" i="35" s="1"/>
  <c r="M169" i="35"/>
  <c r="J169" i="35"/>
  <c r="K169" i="35" s="1"/>
  <c r="I169" i="35"/>
  <c r="J168" i="35"/>
  <c r="K168" i="35" s="1"/>
  <c r="I168" i="35"/>
  <c r="M168" i="35" s="1"/>
  <c r="J167" i="35"/>
  <c r="K167" i="35" s="1"/>
  <c r="I167" i="35"/>
  <c r="M167" i="35" s="1"/>
  <c r="J166" i="35"/>
  <c r="K166" i="35" s="1"/>
  <c r="I166" i="35"/>
  <c r="M166" i="35" s="1"/>
  <c r="M165" i="35"/>
  <c r="J165" i="35"/>
  <c r="K165" i="35" s="1"/>
  <c r="I165" i="35"/>
  <c r="J164" i="35"/>
  <c r="K164" i="35" s="1"/>
  <c r="I164" i="35"/>
  <c r="M164" i="35" s="1"/>
  <c r="M163" i="35"/>
  <c r="J163" i="35"/>
  <c r="K163" i="35" s="1"/>
  <c r="I163" i="35"/>
  <c r="J162" i="35"/>
  <c r="K162" i="35" s="1"/>
  <c r="I162" i="35"/>
  <c r="M162" i="35" s="1"/>
  <c r="M161" i="35"/>
  <c r="J161" i="35"/>
  <c r="K161" i="35" s="1"/>
  <c r="I161" i="35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M157" i="35"/>
  <c r="J157" i="35"/>
  <c r="K157" i="35" s="1"/>
  <c r="I157" i="35"/>
  <c r="J156" i="35"/>
  <c r="K156" i="35" s="1"/>
  <c r="I156" i="35"/>
  <c r="M156" i="35" s="1"/>
  <c r="M155" i="35"/>
  <c r="J155" i="35"/>
  <c r="K155" i="35" s="1"/>
  <c r="I155" i="35"/>
  <c r="J154" i="35"/>
  <c r="K154" i="35" s="1"/>
  <c r="I154" i="35"/>
  <c r="M154" i="35" s="1"/>
  <c r="M153" i="35"/>
  <c r="J153" i="35"/>
  <c r="K153" i="35" s="1"/>
  <c r="I153" i="35"/>
  <c r="J152" i="35"/>
  <c r="K152" i="35" s="1"/>
  <c r="I152" i="35"/>
  <c r="M152" i="35" s="1"/>
  <c r="J151" i="35"/>
  <c r="K151" i="35" s="1"/>
  <c r="I151" i="35"/>
  <c r="M151" i="35" s="1"/>
  <c r="J150" i="35"/>
  <c r="K150" i="35" s="1"/>
  <c r="I150" i="35"/>
  <c r="M150" i="35" s="1"/>
  <c r="M149" i="35"/>
  <c r="J149" i="35"/>
  <c r="K149" i="35" s="1"/>
  <c r="I149" i="35"/>
  <c r="J148" i="35"/>
  <c r="K148" i="35" s="1"/>
  <c r="I148" i="35"/>
  <c r="M148" i="35" s="1"/>
  <c r="M147" i="35"/>
  <c r="J147" i="35"/>
  <c r="K147" i="35" s="1"/>
  <c r="I147" i="35"/>
  <c r="J146" i="35"/>
  <c r="K146" i="35" s="1"/>
  <c r="I146" i="35"/>
  <c r="M146" i="35" s="1"/>
  <c r="M145" i="35"/>
  <c r="J145" i="35"/>
  <c r="K145" i="35" s="1"/>
  <c r="I145" i="35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M141" i="35"/>
  <c r="J141" i="35"/>
  <c r="K141" i="35" s="1"/>
  <c r="I141" i="35"/>
  <c r="J140" i="35"/>
  <c r="K140" i="35" s="1"/>
  <c r="I140" i="35"/>
  <c r="M140" i="35" s="1"/>
  <c r="M139" i="35"/>
  <c r="J139" i="35"/>
  <c r="K139" i="35" s="1"/>
  <c r="I139" i="35"/>
  <c r="J138" i="35"/>
  <c r="K138" i="35" s="1"/>
  <c r="I138" i="35"/>
  <c r="M138" i="35" s="1"/>
  <c r="M137" i="35"/>
  <c r="J137" i="35"/>
  <c r="K137" i="35" s="1"/>
  <c r="I137" i="35"/>
  <c r="J136" i="35"/>
  <c r="K136" i="35" s="1"/>
  <c r="I136" i="35"/>
  <c r="M136" i="35" s="1"/>
  <c r="J135" i="35"/>
  <c r="K135" i="35" s="1"/>
  <c r="I135" i="35"/>
  <c r="M135" i="35" s="1"/>
  <c r="M134" i="35"/>
  <c r="J134" i="35"/>
  <c r="K134" i="35" s="1"/>
  <c r="I134" i="35"/>
  <c r="J133" i="35"/>
  <c r="K133" i="35" s="1"/>
  <c r="I133" i="35"/>
  <c r="M133" i="35" s="1"/>
  <c r="M132" i="35"/>
  <c r="J132" i="35"/>
  <c r="K132" i="35" s="1"/>
  <c r="I132" i="35"/>
  <c r="J131" i="35"/>
  <c r="K131" i="35" s="1"/>
  <c r="I131" i="35"/>
  <c r="M131" i="35" s="1"/>
  <c r="M130" i="35"/>
  <c r="J130" i="35"/>
  <c r="K130" i="35" s="1"/>
  <c r="I130" i="35"/>
  <c r="J129" i="35"/>
  <c r="K129" i="35" s="1"/>
  <c r="I129" i="35"/>
  <c r="M129" i="35" s="1"/>
  <c r="M128" i="35"/>
  <c r="J128" i="35"/>
  <c r="K128" i="35" s="1"/>
  <c r="I128" i="35"/>
  <c r="J127" i="35"/>
  <c r="K127" i="35" s="1"/>
  <c r="I127" i="35"/>
  <c r="M127" i="35" s="1"/>
  <c r="M126" i="35"/>
  <c r="J126" i="35"/>
  <c r="K126" i="35" s="1"/>
  <c r="I126" i="35"/>
  <c r="J125" i="35"/>
  <c r="K125" i="35" s="1"/>
  <c r="I125" i="35"/>
  <c r="M125" i="35" s="1"/>
  <c r="M124" i="35"/>
  <c r="J124" i="35"/>
  <c r="K124" i="35" s="1"/>
  <c r="I124" i="35"/>
  <c r="J123" i="35"/>
  <c r="K123" i="35" s="1"/>
  <c r="I123" i="35"/>
  <c r="M123" i="35" s="1"/>
  <c r="M122" i="35"/>
  <c r="J122" i="35"/>
  <c r="K122" i="35" s="1"/>
  <c r="I122" i="35"/>
  <c r="J121" i="35"/>
  <c r="K121" i="35" s="1"/>
  <c r="I121" i="35"/>
  <c r="M121" i="35" s="1"/>
  <c r="M120" i="35"/>
  <c r="J120" i="35"/>
  <c r="K120" i="35" s="1"/>
  <c r="I120" i="35"/>
  <c r="J119" i="35"/>
  <c r="K119" i="35" s="1"/>
  <c r="I119" i="35"/>
  <c r="M119" i="35" s="1"/>
  <c r="M118" i="35"/>
  <c r="J118" i="35"/>
  <c r="K118" i="35" s="1"/>
  <c r="I118" i="35"/>
  <c r="J117" i="35"/>
  <c r="K117" i="35" s="1"/>
  <c r="I117" i="35"/>
  <c r="M117" i="35" s="1"/>
  <c r="M116" i="35"/>
  <c r="J116" i="35"/>
  <c r="K116" i="35" s="1"/>
  <c r="I116" i="35"/>
  <c r="J115" i="35"/>
  <c r="K115" i="35" s="1"/>
  <c r="I115" i="35"/>
  <c r="M115" i="35" s="1"/>
  <c r="M114" i="35"/>
  <c r="J114" i="35"/>
  <c r="K114" i="35" s="1"/>
  <c r="I114" i="35"/>
  <c r="J113" i="35"/>
  <c r="K113" i="35" s="1"/>
  <c r="I113" i="35"/>
  <c r="M113" i="35" s="1"/>
  <c r="M112" i="35"/>
  <c r="J112" i="35"/>
  <c r="K112" i="35" s="1"/>
  <c r="I112" i="35"/>
  <c r="J111" i="35"/>
  <c r="K111" i="35" s="1"/>
  <c r="I111" i="35"/>
  <c r="M111" i="35" s="1"/>
  <c r="M110" i="35"/>
  <c r="J110" i="35"/>
  <c r="K110" i="35" s="1"/>
  <c r="I110" i="35"/>
  <c r="J109" i="35"/>
  <c r="K109" i="35" s="1"/>
  <c r="I109" i="35"/>
  <c r="M109" i="35" s="1"/>
  <c r="M108" i="35"/>
  <c r="J108" i="35"/>
  <c r="K108" i="35" s="1"/>
  <c r="I108" i="35"/>
  <c r="J107" i="35"/>
  <c r="K107" i="35" s="1"/>
  <c r="I107" i="35"/>
  <c r="M107" i="35" s="1"/>
  <c r="M106" i="35"/>
  <c r="J106" i="35"/>
  <c r="K106" i="35" s="1"/>
  <c r="I106" i="35"/>
  <c r="J105" i="35"/>
  <c r="K105" i="35" s="1"/>
  <c r="I105" i="35"/>
  <c r="M105" i="35" s="1"/>
  <c r="M104" i="35"/>
  <c r="J104" i="35"/>
  <c r="K104" i="35" s="1"/>
  <c r="I104" i="35"/>
  <c r="J103" i="35"/>
  <c r="K103" i="35" s="1"/>
  <c r="I103" i="35"/>
  <c r="M103" i="35" s="1"/>
  <c r="M102" i="35"/>
  <c r="J102" i="35"/>
  <c r="K102" i="35" s="1"/>
  <c r="I102" i="35"/>
  <c r="J101" i="35"/>
  <c r="K101" i="35" s="1"/>
  <c r="I101" i="35"/>
  <c r="M101" i="35" s="1"/>
  <c r="M100" i="35"/>
  <c r="J100" i="35"/>
  <c r="K100" i="35" s="1"/>
  <c r="I100" i="35"/>
  <c r="J99" i="35"/>
  <c r="K99" i="35" s="1"/>
  <c r="I99" i="35"/>
  <c r="M99" i="35" s="1"/>
  <c r="M98" i="35"/>
  <c r="J98" i="35"/>
  <c r="K98" i="35" s="1"/>
  <c r="I98" i="35"/>
  <c r="J97" i="35"/>
  <c r="K97" i="35" s="1"/>
  <c r="I97" i="35"/>
  <c r="M97" i="35" s="1"/>
  <c r="M96" i="35"/>
  <c r="J96" i="35"/>
  <c r="K96" i="35" s="1"/>
  <c r="I96" i="35"/>
  <c r="J95" i="35"/>
  <c r="K95" i="35" s="1"/>
  <c r="I95" i="35"/>
  <c r="M95" i="35" s="1"/>
  <c r="M94" i="35"/>
  <c r="J94" i="35"/>
  <c r="K94" i="35" s="1"/>
  <c r="I94" i="35"/>
  <c r="J93" i="35"/>
  <c r="K93" i="35" s="1"/>
  <c r="I93" i="35"/>
  <c r="M93" i="35" s="1"/>
  <c r="M92" i="35"/>
  <c r="J92" i="35"/>
  <c r="K92" i="35" s="1"/>
  <c r="I92" i="35"/>
  <c r="J91" i="35"/>
  <c r="K91" i="35" s="1"/>
  <c r="I91" i="35"/>
  <c r="M91" i="35" s="1"/>
  <c r="M90" i="35"/>
  <c r="J90" i="35"/>
  <c r="K90" i="35" s="1"/>
  <c r="I90" i="35"/>
  <c r="J89" i="35"/>
  <c r="K89" i="35" s="1"/>
  <c r="I89" i="35"/>
  <c r="M89" i="35" s="1"/>
  <c r="M88" i="35"/>
  <c r="J88" i="35"/>
  <c r="K88" i="35" s="1"/>
  <c r="I88" i="35"/>
  <c r="J87" i="35"/>
  <c r="K87" i="35" s="1"/>
  <c r="I87" i="35"/>
  <c r="M87" i="35" s="1"/>
  <c r="M86" i="35"/>
  <c r="J86" i="35"/>
  <c r="K86" i="35" s="1"/>
  <c r="I86" i="35"/>
  <c r="J85" i="35"/>
  <c r="K85" i="35" s="1"/>
  <c r="I85" i="35"/>
  <c r="M85" i="35" s="1"/>
  <c r="M84" i="35"/>
  <c r="J84" i="35"/>
  <c r="K84" i="35" s="1"/>
  <c r="I84" i="35"/>
  <c r="J83" i="35"/>
  <c r="K83" i="35" s="1"/>
  <c r="I83" i="35"/>
  <c r="M83" i="35" s="1"/>
  <c r="M82" i="35"/>
  <c r="J82" i="35"/>
  <c r="K82" i="35" s="1"/>
  <c r="I82" i="35"/>
  <c r="J81" i="35"/>
  <c r="K81" i="35" s="1"/>
  <c r="I81" i="35"/>
  <c r="M81" i="35" s="1"/>
  <c r="M80" i="35"/>
  <c r="J80" i="35"/>
  <c r="K80" i="35" s="1"/>
  <c r="I80" i="35"/>
  <c r="J79" i="35"/>
  <c r="K79" i="35" s="1"/>
  <c r="I79" i="35"/>
  <c r="M79" i="35" s="1"/>
  <c r="M78" i="35"/>
  <c r="J78" i="35"/>
  <c r="K78" i="35" s="1"/>
  <c r="I78" i="35"/>
  <c r="J77" i="35"/>
  <c r="K77" i="35" s="1"/>
  <c r="I77" i="35"/>
  <c r="M77" i="35" s="1"/>
  <c r="M76" i="35"/>
  <c r="J76" i="35"/>
  <c r="K76" i="35" s="1"/>
  <c r="I76" i="35"/>
  <c r="J75" i="35"/>
  <c r="K75" i="35" s="1"/>
  <c r="I75" i="35"/>
  <c r="M75" i="35" s="1"/>
  <c r="M74" i="35"/>
  <c r="J74" i="35"/>
  <c r="K74" i="35" s="1"/>
  <c r="I74" i="35"/>
  <c r="J73" i="35"/>
  <c r="K73" i="35" s="1"/>
  <c r="I73" i="35"/>
  <c r="M73" i="35" s="1"/>
  <c r="M72" i="35"/>
  <c r="J72" i="35"/>
  <c r="K72" i="35" s="1"/>
  <c r="I72" i="35"/>
  <c r="J71" i="35"/>
  <c r="K71" i="35" s="1"/>
  <c r="I71" i="35"/>
  <c r="M71" i="35" s="1"/>
  <c r="M70" i="35"/>
  <c r="J70" i="35"/>
  <c r="K70" i="35" s="1"/>
  <c r="I70" i="35"/>
  <c r="J69" i="35"/>
  <c r="K69" i="35" s="1"/>
  <c r="I69" i="35"/>
  <c r="M69" i="35" s="1"/>
  <c r="M68" i="35"/>
  <c r="J68" i="35"/>
  <c r="K68" i="35" s="1"/>
  <c r="I68" i="35"/>
  <c r="J67" i="35"/>
  <c r="K67" i="35" s="1"/>
  <c r="I67" i="35"/>
  <c r="M67" i="35" s="1"/>
  <c r="M66" i="35"/>
  <c r="J66" i="35"/>
  <c r="K66" i="35" s="1"/>
  <c r="I66" i="35"/>
  <c r="J65" i="35"/>
  <c r="K65" i="35" s="1"/>
  <c r="I65" i="35"/>
  <c r="M65" i="35" s="1"/>
  <c r="B65" i="35"/>
  <c r="K64" i="35"/>
  <c r="J64" i="35"/>
  <c r="I64" i="35"/>
  <c r="M64" i="35" s="1"/>
  <c r="B64" i="35"/>
  <c r="M63" i="35"/>
  <c r="J63" i="35"/>
  <c r="K63" i="35" s="1"/>
  <c r="I63" i="35"/>
  <c r="B63" i="35"/>
  <c r="K62" i="35"/>
  <c r="J62" i="35"/>
  <c r="I62" i="35"/>
  <c r="M62" i="35" s="1"/>
  <c r="B62" i="35"/>
  <c r="M61" i="35"/>
  <c r="J61" i="35"/>
  <c r="K61" i="35" s="1"/>
  <c r="I61" i="35"/>
  <c r="B61" i="35"/>
  <c r="J60" i="35"/>
  <c r="K60" i="35" s="1"/>
  <c r="I60" i="35"/>
  <c r="M60" i="35" s="1"/>
  <c r="B60" i="35"/>
  <c r="M59" i="35"/>
  <c r="J59" i="35"/>
  <c r="K59" i="35" s="1"/>
  <c r="I59" i="35"/>
  <c r="B59" i="35"/>
  <c r="M58" i="35"/>
  <c r="K58" i="35"/>
  <c r="J58" i="35"/>
  <c r="I58" i="35"/>
  <c r="B58" i="35"/>
  <c r="J57" i="35"/>
  <c r="K57" i="35" s="1"/>
  <c r="I57" i="35"/>
  <c r="M57" i="35" s="1"/>
  <c r="B57" i="35"/>
  <c r="K56" i="35"/>
  <c r="J56" i="35"/>
  <c r="I56" i="35"/>
  <c r="M56" i="35" s="1"/>
  <c r="B56" i="35"/>
  <c r="M55" i="35"/>
  <c r="J55" i="35"/>
  <c r="K55" i="35" s="1"/>
  <c r="I55" i="35"/>
  <c r="B55" i="35"/>
  <c r="K54" i="35"/>
  <c r="J54" i="35"/>
  <c r="I54" i="35"/>
  <c r="M54" i="35" s="1"/>
  <c r="B54" i="35"/>
  <c r="M53" i="35"/>
  <c r="J53" i="35"/>
  <c r="K53" i="35" s="1"/>
  <c r="I53" i="35"/>
  <c r="B53" i="35"/>
  <c r="J52" i="35"/>
  <c r="K52" i="35" s="1"/>
  <c r="I52" i="35"/>
  <c r="M52" i="35" s="1"/>
  <c r="B52" i="35"/>
  <c r="M51" i="35"/>
  <c r="J51" i="35"/>
  <c r="K51" i="35" s="1"/>
  <c r="I51" i="35"/>
  <c r="B51" i="35"/>
  <c r="M50" i="35"/>
  <c r="K50" i="35"/>
  <c r="J50" i="35"/>
  <c r="I50" i="35"/>
  <c r="B50" i="35"/>
  <c r="J49" i="35"/>
  <c r="K49" i="35" s="1"/>
  <c r="I49" i="35"/>
  <c r="M49" i="35" s="1"/>
  <c r="B49" i="35"/>
  <c r="K48" i="35"/>
  <c r="J48" i="35"/>
  <c r="I48" i="35"/>
  <c r="M48" i="35" s="1"/>
  <c r="B48" i="35"/>
  <c r="M47" i="35"/>
  <c r="J47" i="35"/>
  <c r="K47" i="35" s="1"/>
  <c r="I47" i="35"/>
  <c r="B47" i="35"/>
  <c r="T46" i="35"/>
  <c r="U46" i="35" s="1"/>
  <c r="R46" i="35"/>
  <c r="M46" i="35"/>
  <c r="J46" i="35"/>
  <c r="K46" i="35" s="1"/>
  <c r="I46" i="35"/>
  <c r="B46" i="35"/>
  <c r="K45" i="35"/>
  <c r="J45" i="35"/>
  <c r="I45" i="35"/>
  <c r="M45" i="35" s="1"/>
  <c r="B45" i="35"/>
  <c r="M44" i="35"/>
  <c r="J44" i="35"/>
  <c r="K44" i="35" s="1"/>
  <c r="I44" i="35"/>
  <c r="B44" i="35"/>
  <c r="J43" i="35"/>
  <c r="K43" i="35" s="1"/>
  <c r="I43" i="35"/>
  <c r="M43" i="35" s="1"/>
  <c r="B43" i="35"/>
  <c r="M42" i="35"/>
  <c r="J42" i="35"/>
  <c r="K42" i="35" s="1"/>
  <c r="I42" i="35"/>
  <c r="B42" i="35"/>
  <c r="M41" i="35"/>
  <c r="K41" i="35"/>
  <c r="J41" i="35"/>
  <c r="I41" i="35"/>
  <c r="B41" i="35"/>
  <c r="J40" i="35"/>
  <c r="K40" i="35" s="1"/>
  <c r="I40" i="35"/>
  <c r="M40" i="35" s="1"/>
  <c r="B40" i="35"/>
  <c r="K39" i="35"/>
  <c r="J39" i="35"/>
  <c r="I39" i="35"/>
  <c r="M39" i="35" s="1"/>
  <c r="B39" i="35"/>
  <c r="M38" i="35"/>
  <c r="J38" i="35"/>
  <c r="K38" i="35" s="1"/>
  <c r="I38" i="35"/>
  <c r="B38" i="35"/>
  <c r="K37" i="35"/>
  <c r="J37" i="35"/>
  <c r="I37" i="35"/>
  <c r="M37" i="35" s="1"/>
  <c r="A37" i="35" s="1"/>
  <c r="B37" i="35"/>
  <c r="K36" i="35"/>
  <c r="J36" i="35"/>
  <c r="I36" i="35"/>
  <c r="M36" i="35" s="1"/>
  <c r="A36" i="35" s="1"/>
  <c r="B36" i="35"/>
  <c r="M35" i="35"/>
  <c r="A35" i="35" s="1"/>
  <c r="K35" i="35"/>
  <c r="J35" i="35"/>
  <c r="I35" i="35"/>
  <c r="B35" i="35"/>
  <c r="J34" i="35"/>
  <c r="K34" i="35" s="1"/>
  <c r="I34" i="35"/>
  <c r="M34" i="35" s="1"/>
  <c r="A34" i="35" s="1"/>
  <c r="B34" i="35"/>
  <c r="K33" i="35"/>
  <c r="J33" i="35"/>
  <c r="I33" i="35"/>
  <c r="M33" i="35" s="1"/>
  <c r="A33" i="35" s="1"/>
  <c r="B33" i="35"/>
  <c r="K32" i="35"/>
  <c r="J32" i="35"/>
  <c r="I32" i="35"/>
  <c r="M32" i="35" s="1"/>
  <c r="A32" i="35" s="1"/>
  <c r="B32" i="35"/>
  <c r="M31" i="35"/>
  <c r="A31" i="35" s="1"/>
  <c r="K31" i="35"/>
  <c r="J31" i="35"/>
  <c r="I31" i="35"/>
  <c r="B31" i="35"/>
  <c r="J30" i="35"/>
  <c r="K30" i="35" s="1"/>
  <c r="I30" i="35"/>
  <c r="M30" i="35" s="1"/>
  <c r="A30" i="35" s="1"/>
  <c r="B30" i="35"/>
  <c r="K29" i="35"/>
  <c r="J29" i="35"/>
  <c r="I29" i="35"/>
  <c r="M29" i="35" s="1"/>
  <c r="A29" i="35" s="1"/>
  <c r="B29" i="35"/>
  <c r="K28" i="35"/>
  <c r="J28" i="35"/>
  <c r="I28" i="35"/>
  <c r="M28" i="35" s="1"/>
  <c r="A28" i="35" s="1"/>
  <c r="B28" i="35"/>
  <c r="M27" i="35"/>
  <c r="A27" i="35" s="1"/>
  <c r="K27" i="35"/>
  <c r="J27" i="35"/>
  <c r="I27" i="35"/>
  <c r="B27" i="35"/>
  <c r="J26" i="35"/>
  <c r="K26" i="35" s="1"/>
  <c r="I26" i="35"/>
  <c r="M26" i="35" s="1"/>
  <c r="A26" i="35" s="1"/>
  <c r="B26" i="35"/>
  <c r="K25" i="35"/>
  <c r="J25" i="35"/>
  <c r="I25" i="35"/>
  <c r="M25" i="35" s="1"/>
  <c r="A25" i="35" s="1"/>
  <c r="B25" i="35"/>
  <c r="K24" i="35"/>
  <c r="J24" i="35"/>
  <c r="I24" i="35"/>
  <c r="M24" i="35" s="1"/>
  <c r="A24" i="35" s="1"/>
  <c r="B24" i="35"/>
  <c r="M23" i="35"/>
  <c r="A23" i="35" s="1"/>
  <c r="K23" i="35"/>
  <c r="J23" i="35"/>
  <c r="I23" i="35"/>
  <c r="B23" i="35"/>
  <c r="J22" i="35"/>
  <c r="K22" i="35" s="1"/>
  <c r="I22" i="35"/>
  <c r="M22" i="35" s="1"/>
  <c r="A22" i="35" s="1"/>
  <c r="B22" i="35"/>
  <c r="K21" i="35"/>
  <c r="J21" i="35"/>
  <c r="I21" i="35"/>
  <c r="M21" i="35" s="1"/>
  <c r="A21" i="35" s="1"/>
  <c r="B21" i="35"/>
  <c r="K20" i="35"/>
  <c r="J20" i="35"/>
  <c r="I20" i="35"/>
  <c r="M20" i="35" s="1"/>
  <c r="A20" i="35" s="1"/>
  <c r="B20" i="35"/>
  <c r="M19" i="35"/>
  <c r="A19" i="35" s="1"/>
  <c r="K19" i="35"/>
  <c r="J19" i="35"/>
  <c r="I19" i="35"/>
  <c r="B19" i="35"/>
  <c r="J18" i="35"/>
  <c r="K18" i="35" s="1"/>
  <c r="I18" i="35"/>
  <c r="M18" i="35" s="1"/>
  <c r="A18" i="35" s="1"/>
  <c r="B18" i="35"/>
  <c r="K17" i="35"/>
  <c r="J17" i="35"/>
  <c r="I17" i="35"/>
  <c r="M17" i="35" s="1"/>
  <c r="A17" i="35" s="1"/>
  <c r="B17" i="35"/>
  <c r="M16" i="35"/>
  <c r="J16" i="35"/>
  <c r="K16" i="35" s="1"/>
  <c r="I16" i="35"/>
  <c r="B16" i="35"/>
  <c r="A16" i="35"/>
  <c r="M15" i="35"/>
  <c r="A15" i="35" s="1"/>
  <c r="J15" i="35"/>
  <c r="K15" i="35" s="1"/>
  <c r="I15" i="35"/>
  <c r="B15" i="35"/>
  <c r="AI14" i="35"/>
  <c r="M14" i="35"/>
  <c r="A14" i="35" s="1"/>
  <c r="K14" i="35"/>
  <c r="J14" i="35"/>
  <c r="I14" i="35"/>
  <c r="B14" i="35"/>
  <c r="AI13" i="35"/>
  <c r="M13" i="35"/>
  <c r="A13" i="35" s="1"/>
  <c r="J13" i="35"/>
  <c r="K13" i="35" s="1"/>
  <c r="I13" i="35"/>
  <c r="B13" i="35"/>
  <c r="AI12" i="35"/>
  <c r="AI16" i="35" s="1"/>
  <c r="J12" i="35"/>
  <c r="K12" i="35" s="1"/>
  <c r="I12" i="35"/>
  <c r="M12" i="35" s="1"/>
  <c r="A12" i="35" s="1"/>
  <c r="B12" i="35"/>
  <c r="K11" i="35"/>
  <c r="J11" i="35"/>
  <c r="I11" i="35"/>
  <c r="M11" i="35" s="1"/>
  <c r="A11" i="35" s="1"/>
  <c r="B11" i="35"/>
  <c r="K10" i="35"/>
  <c r="J10" i="35"/>
  <c r="I10" i="35"/>
  <c r="M10" i="35" s="1"/>
  <c r="A10" i="35" s="1"/>
  <c r="B10" i="35"/>
  <c r="M9" i="35"/>
  <c r="A9" i="35" s="1"/>
  <c r="L9" i="35"/>
  <c r="J9" i="35"/>
  <c r="K9" i="35" s="1"/>
  <c r="I9" i="35"/>
  <c r="B9" i="35"/>
  <c r="M8" i="35"/>
  <c r="A8" i="35" s="1"/>
  <c r="L8" i="35"/>
  <c r="K8" i="35"/>
  <c r="J8" i="35"/>
  <c r="I8" i="35"/>
  <c r="B8" i="35"/>
  <c r="L7" i="35"/>
  <c r="J7" i="35"/>
  <c r="K7" i="35" s="1"/>
  <c r="I7" i="35"/>
  <c r="M7" i="35" s="1"/>
  <c r="A7" i="35" s="1"/>
  <c r="B7" i="35"/>
  <c r="J6" i="35"/>
  <c r="K6" i="35" s="1"/>
  <c r="I6" i="35"/>
  <c r="M6" i="35" s="1"/>
  <c r="A6" i="35" s="1"/>
  <c r="B6" i="35"/>
  <c r="K2" i="35"/>
  <c r="L6" i="35" s="1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J305" i="34"/>
  <c r="K305" i="34" s="1"/>
  <c r="I305" i="34"/>
  <c r="M305" i="34" s="1"/>
  <c r="J304" i="34"/>
  <c r="K304" i="34" s="1"/>
  <c r="I304" i="34"/>
  <c r="M304" i="34" s="1"/>
  <c r="J303" i="34"/>
  <c r="K303" i="34" s="1"/>
  <c r="I303" i="34"/>
  <c r="M303" i="34" s="1"/>
  <c r="J302" i="34"/>
  <c r="K302" i="34" s="1"/>
  <c r="I302" i="34"/>
  <c r="M302" i="34" s="1"/>
  <c r="J301" i="34"/>
  <c r="K301" i="34" s="1"/>
  <c r="I301" i="34"/>
  <c r="M301" i="34" s="1"/>
  <c r="J300" i="34"/>
  <c r="K300" i="34" s="1"/>
  <c r="I300" i="34"/>
  <c r="M300" i="34" s="1"/>
  <c r="J299" i="34"/>
  <c r="K299" i="34" s="1"/>
  <c r="I299" i="34"/>
  <c r="M299" i="34" s="1"/>
  <c r="J298" i="34"/>
  <c r="K298" i="34" s="1"/>
  <c r="I298" i="34"/>
  <c r="M298" i="34" s="1"/>
  <c r="J297" i="34"/>
  <c r="K297" i="34" s="1"/>
  <c r="I297" i="34"/>
  <c r="M297" i="34" s="1"/>
  <c r="J296" i="34"/>
  <c r="K296" i="34" s="1"/>
  <c r="I296" i="34"/>
  <c r="M296" i="34" s="1"/>
  <c r="J295" i="34"/>
  <c r="K295" i="34" s="1"/>
  <c r="I295" i="34"/>
  <c r="M295" i="34" s="1"/>
  <c r="J294" i="34"/>
  <c r="K294" i="34" s="1"/>
  <c r="I294" i="34"/>
  <c r="M294" i="34" s="1"/>
  <c r="J293" i="34"/>
  <c r="K293" i="34" s="1"/>
  <c r="I293" i="34"/>
  <c r="M293" i="34" s="1"/>
  <c r="J292" i="34"/>
  <c r="K292" i="34" s="1"/>
  <c r="I292" i="34"/>
  <c r="M292" i="34" s="1"/>
  <c r="J291" i="34"/>
  <c r="K291" i="34" s="1"/>
  <c r="I291" i="34"/>
  <c r="M291" i="34" s="1"/>
  <c r="J290" i="34"/>
  <c r="K290" i="34" s="1"/>
  <c r="I290" i="34"/>
  <c r="M290" i="34" s="1"/>
  <c r="J289" i="34"/>
  <c r="K289" i="34" s="1"/>
  <c r="I289" i="34"/>
  <c r="M289" i="34" s="1"/>
  <c r="J288" i="34"/>
  <c r="K288" i="34" s="1"/>
  <c r="I288" i="34"/>
  <c r="M288" i="34" s="1"/>
  <c r="J287" i="34"/>
  <c r="K287" i="34" s="1"/>
  <c r="I287" i="34"/>
  <c r="M287" i="34" s="1"/>
  <c r="J286" i="34"/>
  <c r="K286" i="34" s="1"/>
  <c r="I286" i="34"/>
  <c r="M286" i="34" s="1"/>
  <c r="J285" i="34"/>
  <c r="K285" i="34" s="1"/>
  <c r="I285" i="34"/>
  <c r="M285" i="34" s="1"/>
  <c r="J284" i="34"/>
  <c r="K284" i="34" s="1"/>
  <c r="I284" i="34"/>
  <c r="M284" i="34" s="1"/>
  <c r="J283" i="34"/>
  <c r="K283" i="34" s="1"/>
  <c r="I283" i="34"/>
  <c r="M283" i="34" s="1"/>
  <c r="J282" i="34"/>
  <c r="K282" i="34" s="1"/>
  <c r="I282" i="34"/>
  <c r="M282" i="34" s="1"/>
  <c r="J281" i="34"/>
  <c r="K281" i="34" s="1"/>
  <c r="I281" i="34"/>
  <c r="M281" i="34" s="1"/>
  <c r="J280" i="34"/>
  <c r="K280" i="34" s="1"/>
  <c r="I280" i="34"/>
  <c r="M280" i="34" s="1"/>
  <c r="J279" i="34"/>
  <c r="K279" i="34" s="1"/>
  <c r="I279" i="34"/>
  <c r="M279" i="34" s="1"/>
  <c r="J278" i="34"/>
  <c r="K278" i="34" s="1"/>
  <c r="I278" i="34"/>
  <c r="M278" i="34" s="1"/>
  <c r="J277" i="34"/>
  <c r="K277" i="34" s="1"/>
  <c r="I277" i="34"/>
  <c r="M277" i="34" s="1"/>
  <c r="J276" i="34"/>
  <c r="K276" i="34" s="1"/>
  <c r="I276" i="34"/>
  <c r="M276" i="34" s="1"/>
  <c r="J275" i="34"/>
  <c r="K275" i="34" s="1"/>
  <c r="I275" i="34"/>
  <c r="M275" i="34" s="1"/>
  <c r="J274" i="34"/>
  <c r="K274" i="34" s="1"/>
  <c r="I274" i="34"/>
  <c r="M274" i="34" s="1"/>
  <c r="J273" i="34"/>
  <c r="K273" i="34" s="1"/>
  <c r="I273" i="34"/>
  <c r="M273" i="34" s="1"/>
  <c r="J272" i="34"/>
  <c r="K272" i="34" s="1"/>
  <c r="I272" i="34"/>
  <c r="M272" i="34" s="1"/>
  <c r="J271" i="34"/>
  <c r="K271" i="34" s="1"/>
  <c r="I271" i="34"/>
  <c r="M271" i="34" s="1"/>
  <c r="J270" i="34"/>
  <c r="K270" i="34" s="1"/>
  <c r="I270" i="34"/>
  <c r="M270" i="34" s="1"/>
  <c r="J269" i="34"/>
  <c r="K269" i="34" s="1"/>
  <c r="I269" i="34"/>
  <c r="M269" i="34" s="1"/>
  <c r="J268" i="34"/>
  <c r="K268" i="34" s="1"/>
  <c r="I268" i="34"/>
  <c r="M268" i="34" s="1"/>
  <c r="J267" i="34"/>
  <c r="K267" i="34" s="1"/>
  <c r="I267" i="34"/>
  <c r="M267" i="34" s="1"/>
  <c r="J266" i="34"/>
  <c r="K266" i="34" s="1"/>
  <c r="I266" i="34"/>
  <c r="M266" i="34" s="1"/>
  <c r="J265" i="34"/>
  <c r="K265" i="34" s="1"/>
  <c r="I265" i="34"/>
  <c r="M265" i="34" s="1"/>
  <c r="J264" i="34"/>
  <c r="K264" i="34" s="1"/>
  <c r="I264" i="34"/>
  <c r="M264" i="34" s="1"/>
  <c r="J263" i="34"/>
  <c r="K263" i="34" s="1"/>
  <c r="I263" i="34"/>
  <c r="M263" i="34" s="1"/>
  <c r="J262" i="34"/>
  <c r="K262" i="34" s="1"/>
  <c r="I262" i="34"/>
  <c r="M262" i="34" s="1"/>
  <c r="J261" i="34"/>
  <c r="K261" i="34" s="1"/>
  <c r="I261" i="34"/>
  <c r="M261" i="34" s="1"/>
  <c r="J260" i="34"/>
  <c r="K260" i="34" s="1"/>
  <c r="I260" i="34"/>
  <c r="M260" i="34" s="1"/>
  <c r="J259" i="34"/>
  <c r="K259" i="34" s="1"/>
  <c r="I259" i="34"/>
  <c r="M259" i="34" s="1"/>
  <c r="J258" i="34"/>
  <c r="K258" i="34" s="1"/>
  <c r="I258" i="34"/>
  <c r="M258" i="34" s="1"/>
  <c r="J257" i="34"/>
  <c r="K257" i="34" s="1"/>
  <c r="I257" i="34"/>
  <c r="M257" i="34" s="1"/>
  <c r="J256" i="34"/>
  <c r="K256" i="34" s="1"/>
  <c r="I256" i="34"/>
  <c r="M256" i="34" s="1"/>
  <c r="J255" i="34"/>
  <c r="K255" i="34" s="1"/>
  <c r="I255" i="34"/>
  <c r="M255" i="34" s="1"/>
  <c r="J254" i="34"/>
  <c r="K254" i="34" s="1"/>
  <c r="I254" i="34"/>
  <c r="M254" i="34" s="1"/>
  <c r="J253" i="34"/>
  <c r="K253" i="34" s="1"/>
  <c r="I253" i="34"/>
  <c r="M253" i="34" s="1"/>
  <c r="J252" i="34"/>
  <c r="K252" i="34" s="1"/>
  <c r="I252" i="34"/>
  <c r="M252" i="34" s="1"/>
  <c r="J251" i="34"/>
  <c r="K251" i="34" s="1"/>
  <c r="I251" i="34"/>
  <c r="M251" i="34" s="1"/>
  <c r="J250" i="34"/>
  <c r="K250" i="34" s="1"/>
  <c r="I250" i="34"/>
  <c r="M250" i="34" s="1"/>
  <c r="J249" i="34"/>
  <c r="K249" i="34" s="1"/>
  <c r="I249" i="34"/>
  <c r="M249" i="34" s="1"/>
  <c r="J248" i="34"/>
  <c r="K248" i="34" s="1"/>
  <c r="I248" i="34"/>
  <c r="M248" i="34" s="1"/>
  <c r="J247" i="34"/>
  <c r="K247" i="34" s="1"/>
  <c r="I247" i="34"/>
  <c r="M247" i="34" s="1"/>
  <c r="J246" i="34"/>
  <c r="K246" i="34" s="1"/>
  <c r="I246" i="34"/>
  <c r="M246" i="34" s="1"/>
  <c r="J245" i="34"/>
  <c r="K245" i="34" s="1"/>
  <c r="I245" i="34"/>
  <c r="M245" i="34" s="1"/>
  <c r="J244" i="34"/>
  <c r="K244" i="34" s="1"/>
  <c r="I244" i="34"/>
  <c r="M244" i="34" s="1"/>
  <c r="J243" i="34"/>
  <c r="K243" i="34" s="1"/>
  <c r="I243" i="34"/>
  <c r="M243" i="34" s="1"/>
  <c r="J242" i="34"/>
  <c r="K242" i="34" s="1"/>
  <c r="I242" i="34"/>
  <c r="M242" i="34" s="1"/>
  <c r="J241" i="34"/>
  <c r="K241" i="34" s="1"/>
  <c r="I241" i="34"/>
  <c r="M241" i="34" s="1"/>
  <c r="J240" i="34"/>
  <c r="K240" i="34" s="1"/>
  <c r="I240" i="34"/>
  <c r="M240" i="34" s="1"/>
  <c r="J239" i="34"/>
  <c r="K239" i="34" s="1"/>
  <c r="I239" i="34"/>
  <c r="M239" i="34" s="1"/>
  <c r="J238" i="34"/>
  <c r="K238" i="34" s="1"/>
  <c r="I238" i="34"/>
  <c r="M238" i="34" s="1"/>
  <c r="J237" i="34"/>
  <c r="K237" i="34" s="1"/>
  <c r="I237" i="34"/>
  <c r="M237" i="34" s="1"/>
  <c r="J236" i="34"/>
  <c r="K236" i="34" s="1"/>
  <c r="I236" i="34"/>
  <c r="M236" i="34" s="1"/>
  <c r="J235" i="34"/>
  <c r="K235" i="34" s="1"/>
  <c r="I235" i="34"/>
  <c r="M235" i="34" s="1"/>
  <c r="J234" i="34"/>
  <c r="K234" i="34" s="1"/>
  <c r="I234" i="34"/>
  <c r="M234" i="34" s="1"/>
  <c r="J233" i="34"/>
  <c r="K233" i="34" s="1"/>
  <c r="I233" i="34"/>
  <c r="M233" i="34" s="1"/>
  <c r="J232" i="34"/>
  <c r="K232" i="34" s="1"/>
  <c r="I232" i="34"/>
  <c r="M232" i="34" s="1"/>
  <c r="J231" i="34"/>
  <c r="K231" i="34" s="1"/>
  <c r="I231" i="34"/>
  <c r="M231" i="34" s="1"/>
  <c r="J230" i="34"/>
  <c r="K230" i="34" s="1"/>
  <c r="I230" i="34"/>
  <c r="M230" i="34" s="1"/>
  <c r="J229" i="34"/>
  <c r="K229" i="34" s="1"/>
  <c r="I229" i="34"/>
  <c r="M229" i="34" s="1"/>
  <c r="J228" i="34"/>
  <c r="K228" i="34" s="1"/>
  <c r="I228" i="34"/>
  <c r="M228" i="34" s="1"/>
  <c r="J227" i="34"/>
  <c r="K227" i="34" s="1"/>
  <c r="I227" i="34"/>
  <c r="M227" i="34" s="1"/>
  <c r="J226" i="34"/>
  <c r="K226" i="34" s="1"/>
  <c r="I226" i="34"/>
  <c r="M226" i="34" s="1"/>
  <c r="J225" i="34"/>
  <c r="K225" i="34" s="1"/>
  <c r="I225" i="34"/>
  <c r="M225" i="34" s="1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J221" i="34"/>
  <c r="K221" i="34" s="1"/>
  <c r="I221" i="34"/>
  <c r="M221" i="34" s="1"/>
  <c r="J220" i="34"/>
  <c r="K220" i="34" s="1"/>
  <c r="I220" i="34"/>
  <c r="M220" i="34" s="1"/>
  <c r="J219" i="34"/>
  <c r="K219" i="34" s="1"/>
  <c r="I219" i="34"/>
  <c r="M219" i="34" s="1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J215" i="34"/>
  <c r="K215" i="34" s="1"/>
  <c r="I215" i="34"/>
  <c r="M215" i="34" s="1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J205" i="34"/>
  <c r="K205" i="34" s="1"/>
  <c r="I205" i="34"/>
  <c r="M205" i="34" s="1"/>
  <c r="J204" i="34"/>
  <c r="K204" i="34" s="1"/>
  <c r="I204" i="34"/>
  <c r="M204" i="34" s="1"/>
  <c r="J203" i="34"/>
  <c r="K203" i="34" s="1"/>
  <c r="I203" i="34"/>
  <c r="M203" i="34" s="1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J199" i="34"/>
  <c r="K199" i="34" s="1"/>
  <c r="I199" i="34"/>
  <c r="M199" i="34" s="1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J195" i="34"/>
  <c r="K195" i="34" s="1"/>
  <c r="I195" i="34"/>
  <c r="M195" i="34" s="1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J189" i="34"/>
  <c r="K189" i="34" s="1"/>
  <c r="I189" i="34"/>
  <c r="M189" i="34" s="1"/>
  <c r="J188" i="34"/>
  <c r="K188" i="34" s="1"/>
  <c r="I188" i="34"/>
  <c r="M188" i="34" s="1"/>
  <c r="J187" i="34"/>
  <c r="K187" i="34" s="1"/>
  <c r="I187" i="34"/>
  <c r="M187" i="34" s="1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J183" i="34"/>
  <c r="K183" i="34" s="1"/>
  <c r="I183" i="34"/>
  <c r="M183" i="34" s="1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J177" i="34"/>
  <c r="K177" i="34" s="1"/>
  <c r="I177" i="34"/>
  <c r="M177" i="34" s="1"/>
  <c r="J176" i="34"/>
  <c r="K176" i="34" s="1"/>
  <c r="I176" i="34"/>
  <c r="M176" i="34" s="1"/>
  <c r="J175" i="34"/>
  <c r="K175" i="34" s="1"/>
  <c r="I175" i="34"/>
  <c r="M175" i="34" s="1"/>
  <c r="J174" i="34"/>
  <c r="K174" i="34" s="1"/>
  <c r="I174" i="34"/>
  <c r="M174" i="34" s="1"/>
  <c r="J173" i="34"/>
  <c r="K173" i="34" s="1"/>
  <c r="I173" i="34"/>
  <c r="M173" i="34" s="1"/>
  <c r="J172" i="34"/>
  <c r="K172" i="34" s="1"/>
  <c r="I172" i="34"/>
  <c r="M172" i="34" s="1"/>
  <c r="J171" i="34"/>
  <c r="K171" i="34" s="1"/>
  <c r="I171" i="34"/>
  <c r="M171" i="34" s="1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J167" i="34"/>
  <c r="K167" i="34" s="1"/>
  <c r="I167" i="34"/>
  <c r="M167" i="34" s="1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J161" i="34"/>
  <c r="K161" i="34" s="1"/>
  <c r="I161" i="34"/>
  <c r="M161" i="34" s="1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J157" i="34"/>
  <c r="K157" i="34" s="1"/>
  <c r="I157" i="34"/>
  <c r="M157" i="34" s="1"/>
  <c r="J156" i="34"/>
  <c r="K156" i="34" s="1"/>
  <c r="I156" i="34"/>
  <c r="M156" i="34" s="1"/>
  <c r="J155" i="34"/>
  <c r="K155" i="34" s="1"/>
  <c r="I155" i="34"/>
  <c r="M155" i="34" s="1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J151" i="34"/>
  <c r="K151" i="34" s="1"/>
  <c r="I151" i="34"/>
  <c r="M151" i="34" s="1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J145" i="34"/>
  <c r="K145" i="34" s="1"/>
  <c r="I145" i="34"/>
  <c r="M145" i="34" s="1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J141" i="34"/>
  <c r="K141" i="34" s="1"/>
  <c r="I141" i="34"/>
  <c r="M141" i="34" s="1"/>
  <c r="J140" i="34"/>
  <c r="K140" i="34" s="1"/>
  <c r="I140" i="34"/>
  <c r="M140" i="34" s="1"/>
  <c r="J139" i="34"/>
  <c r="K139" i="34" s="1"/>
  <c r="I139" i="34"/>
  <c r="M139" i="34" s="1"/>
  <c r="J138" i="34"/>
  <c r="K138" i="34" s="1"/>
  <c r="I138" i="34"/>
  <c r="M138" i="34" s="1"/>
  <c r="J137" i="34"/>
  <c r="K137" i="34" s="1"/>
  <c r="I137" i="34"/>
  <c r="M137" i="34" s="1"/>
  <c r="J136" i="34"/>
  <c r="K136" i="34" s="1"/>
  <c r="I136" i="34"/>
  <c r="M136" i="34" s="1"/>
  <c r="J135" i="34"/>
  <c r="K135" i="34" s="1"/>
  <c r="I135" i="34"/>
  <c r="M135" i="34" s="1"/>
  <c r="J134" i="34"/>
  <c r="K134" i="34" s="1"/>
  <c r="I134" i="34"/>
  <c r="M134" i="34" s="1"/>
  <c r="J133" i="34"/>
  <c r="K133" i="34" s="1"/>
  <c r="I133" i="34"/>
  <c r="M133" i="34" s="1"/>
  <c r="J132" i="34"/>
  <c r="K132" i="34" s="1"/>
  <c r="I132" i="34"/>
  <c r="M132" i="34" s="1"/>
  <c r="J131" i="34"/>
  <c r="K131" i="34" s="1"/>
  <c r="I131" i="34"/>
  <c r="M131" i="34" s="1"/>
  <c r="J130" i="34"/>
  <c r="K130" i="34" s="1"/>
  <c r="I130" i="34"/>
  <c r="M130" i="34" s="1"/>
  <c r="J129" i="34"/>
  <c r="K129" i="34" s="1"/>
  <c r="I129" i="34"/>
  <c r="M129" i="34" s="1"/>
  <c r="J128" i="34"/>
  <c r="K128" i="34" s="1"/>
  <c r="I128" i="34"/>
  <c r="M128" i="34" s="1"/>
  <c r="J127" i="34"/>
  <c r="K127" i="34" s="1"/>
  <c r="I127" i="34"/>
  <c r="M127" i="34" s="1"/>
  <c r="J126" i="34"/>
  <c r="K126" i="34" s="1"/>
  <c r="I126" i="34"/>
  <c r="M126" i="34" s="1"/>
  <c r="J125" i="34"/>
  <c r="K125" i="34" s="1"/>
  <c r="I125" i="34"/>
  <c r="M125" i="34" s="1"/>
  <c r="J124" i="34"/>
  <c r="K124" i="34" s="1"/>
  <c r="I124" i="34"/>
  <c r="M124" i="34" s="1"/>
  <c r="J123" i="34"/>
  <c r="K123" i="34" s="1"/>
  <c r="I123" i="34"/>
  <c r="M123" i="34" s="1"/>
  <c r="J122" i="34"/>
  <c r="K122" i="34" s="1"/>
  <c r="I122" i="34"/>
  <c r="M122" i="34" s="1"/>
  <c r="J121" i="34"/>
  <c r="K121" i="34" s="1"/>
  <c r="I121" i="34"/>
  <c r="M121" i="34" s="1"/>
  <c r="J120" i="34"/>
  <c r="K120" i="34" s="1"/>
  <c r="I120" i="34"/>
  <c r="M120" i="34" s="1"/>
  <c r="J119" i="34"/>
  <c r="K119" i="34" s="1"/>
  <c r="I119" i="34"/>
  <c r="M119" i="34" s="1"/>
  <c r="J118" i="34"/>
  <c r="K118" i="34" s="1"/>
  <c r="I118" i="34"/>
  <c r="M118" i="34" s="1"/>
  <c r="J117" i="34"/>
  <c r="K117" i="34" s="1"/>
  <c r="I117" i="34"/>
  <c r="M117" i="34" s="1"/>
  <c r="J116" i="34"/>
  <c r="K116" i="34" s="1"/>
  <c r="I116" i="34"/>
  <c r="M116" i="34" s="1"/>
  <c r="J115" i="34"/>
  <c r="K115" i="34" s="1"/>
  <c r="I115" i="34"/>
  <c r="M115" i="34" s="1"/>
  <c r="J114" i="34"/>
  <c r="K114" i="34" s="1"/>
  <c r="I114" i="34"/>
  <c r="M114" i="34" s="1"/>
  <c r="J113" i="34"/>
  <c r="K113" i="34" s="1"/>
  <c r="I113" i="34"/>
  <c r="M113" i="34" s="1"/>
  <c r="J112" i="34"/>
  <c r="K112" i="34" s="1"/>
  <c r="I112" i="34"/>
  <c r="M112" i="34" s="1"/>
  <c r="J111" i="34"/>
  <c r="K111" i="34" s="1"/>
  <c r="I111" i="34"/>
  <c r="M111" i="34" s="1"/>
  <c r="J110" i="34"/>
  <c r="K110" i="34" s="1"/>
  <c r="I110" i="34"/>
  <c r="M110" i="34" s="1"/>
  <c r="J109" i="34"/>
  <c r="K109" i="34" s="1"/>
  <c r="I109" i="34"/>
  <c r="M109" i="34" s="1"/>
  <c r="J108" i="34"/>
  <c r="K108" i="34" s="1"/>
  <c r="I108" i="34"/>
  <c r="M108" i="34" s="1"/>
  <c r="J107" i="34"/>
  <c r="K107" i="34" s="1"/>
  <c r="I107" i="34"/>
  <c r="M107" i="34" s="1"/>
  <c r="J106" i="34"/>
  <c r="K106" i="34" s="1"/>
  <c r="I106" i="34"/>
  <c r="M106" i="34" s="1"/>
  <c r="J105" i="34"/>
  <c r="K105" i="34" s="1"/>
  <c r="I105" i="34"/>
  <c r="M105" i="34" s="1"/>
  <c r="J104" i="34"/>
  <c r="K104" i="34" s="1"/>
  <c r="I104" i="34"/>
  <c r="M104" i="34" s="1"/>
  <c r="J103" i="34"/>
  <c r="K103" i="34" s="1"/>
  <c r="I103" i="34"/>
  <c r="M103" i="34" s="1"/>
  <c r="J102" i="34"/>
  <c r="K102" i="34" s="1"/>
  <c r="I102" i="34"/>
  <c r="M102" i="34" s="1"/>
  <c r="J101" i="34"/>
  <c r="K101" i="34" s="1"/>
  <c r="I101" i="34"/>
  <c r="M101" i="34" s="1"/>
  <c r="J100" i="34"/>
  <c r="K100" i="34" s="1"/>
  <c r="I100" i="34"/>
  <c r="M100" i="34" s="1"/>
  <c r="J99" i="34"/>
  <c r="K99" i="34" s="1"/>
  <c r="I99" i="34"/>
  <c r="M99" i="34" s="1"/>
  <c r="J98" i="34"/>
  <c r="K98" i="34" s="1"/>
  <c r="I98" i="34"/>
  <c r="M98" i="34" s="1"/>
  <c r="J97" i="34"/>
  <c r="K97" i="34" s="1"/>
  <c r="I97" i="34"/>
  <c r="M97" i="34" s="1"/>
  <c r="J96" i="34"/>
  <c r="K96" i="34" s="1"/>
  <c r="I96" i="34"/>
  <c r="M96" i="34" s="1"/>
  <c r="J95" i="34"/>
  <c r="K95" i="34" s="1"/>
  <c r="I95" i="34"/>
  <c r="M95" i="34" s="1"/>
  <c r="J94" i="34"/>
  <c r="K94" i="34" s="1"/>
  <c r="I94" i="34"/>
  <c r="M94" i="34" s="1"/>
  <c r="J93" i="34"/>
  <c r="K93" i="34" s="1"/>
  <c r="I93" i="34"/>
  <c r="M93" i="34" s="1"/>
  <c r="J92" i="34"/>
  <c r="K92" i="34" s="1"/>
  <c r="I92" i="34"/>
  <c r="M92" i="34" s="1"/>
  <c r="J91" i="34"/>
  <c r="K91" i="34" s="1"/>
  <c r="I91" i="34"/>
  <c r="M91" i="34" s="1"/>
  <c r="J90" i="34"/>
  <c r="K90" i="34" s="1"/>
  <c r="I90" i="34"/>
  <c r="M90" i="34" s="1"/>
  <c r="J89" i="34"/>
  <c r="K89" i="34" s="1"/>
  <c r="I89" i="34"/>
  <c r="M89" i="34" s="1"/>
  <c r="J88" i="34"/>
  <c r="K88" i="34" s="1"/>
  <c r="I88" i="34"/>
  <c r="M88" i="34" s="1"/>
  <c r="J87" i="34"/>
  <c r="K87" i="34" s="1"/>
  <c r="I87" i="34"/>
  <c r="M87" i="34" s="1"/>
  <c r="J86" i="34"/>
  <c r="K86" i="34" s="1"/>
  <c r="I86" i="34"/>
  <c r="M86" i="34" s="1"/>
  <c r="J85" i="34"/>
  <c r="K85" i="34" s="1"/>
  <c r="I85" i="34"/>
  <c r="M85" i="34" s="1"/>
  <c r="J84" i="34"/>
  <c r="K84" i="34" s="1"/>
  <c r="I84" i="34"/>
  <c r="M84" i="34" s="1"/>
  <c r="J83" i="34"/>
  <c r="K83" i="34" s="1"/>
  <c r="I83" i="34"/>
  <c r="M83" i="34" s="1"/>
  <c r="J82" i="34"/>
  <c r="K82" i="34" s="1"/>
  <c r="I82" i="34"/>
  <c r="M82" i="34" s="1"/>
  <c r="J81" i="34"/>
  <c r="K81" i="34" s="1"/>
  <c r="I81" i="34"/>
  <c r="M81" i="34" s="1"/>
  <c r="J80" i="34"/>
  <c r="K80" i="34" s="1"/>
  <c r="I80" i="34"/>
  <c r="M80" i="34" s="1"/>
  <c r="J79" i="34"/>
  <c r="K79" i="34" s="1"/>
  <c r="I79" i="34"/>
  <c r="M79" i="34" s="1"/>
  <c r="J78" i="34"/>
  <c r="K78" i="34" s="1"/>
  <c r="I78" i="34"/>
  <c r="M78" i="34" s="1"/>
  <c r="J77" i="34"/>
  <c r="K77" i="34" s="1"/>
  <c r="I77" i="34"/>
  <c r="M77" i="34" s="1"/>
  <c r="J76" i="34"/>
  <c r="K76" i="34" s="1"/>
  <c r="I76" i="34"/>
  <c r="M76" i="34" s="1"/>
  <c r="J75" i="34"/>
  <c r="K75" i="34" s="1"/>
  <c r="I75" i="34"/>
  <c r="M75" i="34" s="1"/>
  <c r="J74" i="34"/>
  <c r="K74" i="34" s="1"/>
  <c r="I74" i="34"/>
  <c r="M74" i="34" s="1"/>
  <c r="J73" i="34"/>
  <c r="K73" i="34" s="1"/>
  <c r="I73" i="34"/>
  <c r="M73" i="34" s="1"/>
  <c r="J72" i="34"/>
  <c r="K72" i="34" s="1"/>
  <c r="I72" i="34"/>
  <c r="M72" i="34" s="1"/>
  <c r="J71" i="34"/>
  <c r="K71" i="34" s="1"/>
  <c r="I71" i="34"/>
  <c r="M71" i="34" s="1"/>
  <c r="J70" i="34"/>
  <c r="K70" i="34" s="1"/>
  <c r="I70" i="34"/>
  <c r="M70" i="34" s="1"/>
  <c r="J69" i="34"/>
  <c r="K69" i="34" s="1"/>
  <c r="I69" i="34"/>
  <c r="M69" i="34" s="1"/>
  <c r="J68" i="34"/>
  <c r="K68" i="34" s="1"/>
  <c r="I68" i="34"/>
  <c r="M68" i="34" s="1"/>
  <c r="J67" i="34"/>
  <c r="K67" i="34" s="1"/>
  <c r="I67" i="34"/>
  <c r="M67" i="34" s="1"/>
  <c r="J66" i="34"/>
  <c r="K66" i="34" s="1"/>
  <c r="I66" i="34"/>
  <c r="M66" i="34" s="1"/>
  <c r="J65" i="34"/>
  <c r="K65" i="34" s="1"/>
  <c r="I65" i="34"/>
  <c r="M65" i="34" s="1"/>
  <c r="B65" i="34"/>
  <c r="J64" i="34"/>
  <c r="K64" i="34" s="1"/>
  <c r="I64" i="34"/>
  <c r="M64" i="34" s="1"/>
  <c r="B64" i="34"/>
  <c r="J63" i="34"/>
  <c r="K63" i="34" s="1"/>
  <c r="I63" i="34"/>
  <c r="M63" i="34" s="1"/>
  <c r="B63" i="34"/>
  <c r="J62" i="34"/>
  <c r="K62" i="34" s="1"/>
  <c r="I62" i="34"/>
  <c r="M62" i="34" s="1"/>
  <c r="B62" i="34"/>
  <c r="J61" i="34"/>
  <c r="K61" i="34" s="1"/>
  <c r="I61" i="34"/>
  <c r="M61" i="34" s="1"/>
  <c r="B61" i="34"/>
  <c r="J60" i="34"/>
  <c r="K60" i="34" s="1"/>
  <c r="I60" i="34"/>
  <c r="M60" i="34" s="1"/>
  <c r="B60" i="34"/>
  <c r="J59" i="34"/>
  <c r="K59" i="34" s="1"/>
  <c r="I59" i="34"/>
  <c r="M59" i="34" s="1"/>
  <c r="B59" i="34"/>
  <c r="J58" i="34"/>
  <c r="K58" i="34" s="1"/>
  <c r="I58" i="34"/>
  <c r="M58" i="34" s="1"/>
  <c r="B58" i="34"/>
  <c r="J57" i="34"/>
  <c r="K57" i="34" s="1"/>
  <c r="I57" i="34"/>
  <c r="M57" i="34" s="1"/>
  <c r="B57" i="34"/>
  <c r="J56" i="34"/>
  <c r="K56" i="34" s="1"/>
  <c r="I56" i="34"/>
  <c r="M56" i="34" s="1"/>
  <c r="B56" i="34"/>
  <c r="J55" i="34"/>
  <c r="K55" i="34" s="1"/>
  <c r="I55" i="34"/>
  <c r="M55" i="34" s="1"/>
  <c r="B55" i="34"/>
  <c r="J54" i="34"/>
  <c r="K54" i="34" s="1"/>
  <c r="I54" i="34"/>
  <c r="M54" i="34" s="1"/>
  <c r="B54" i="34"/>
  <c r="J53" i="34"/>
  <c r="K53" i="34" s="1"/>
  <c r="I53" i="34"/>
  <c r="M53" i="34" s="1"/>
  <c r="B53" i="34"/>
  <c r="J52" i="34"/>
  <c r="K52" i="34" s="1"/>
  <c r="I52" i="34"/>
  <c r="M52" i="34" s="1"/>
  <c r="B52" i="34"/>
  <c r="J51" i="34"/>
  <c r="K51" i="34" s="1"/>
  <c r="I51" i="34"/>
  <c r="M51" i="34" s="1"/>
  <c r="B51" i="34"/>
  <c r="J50" i="34"/>
  <c r="K50" i="34" s="1"/>
  <c r="I50" i="34"/>
  <c r="M50" i="34" s="1"/>
  <c r="B50" i="34"/>
  <c r="J49" i="34"/>
  <c r="K49" i="34" s="1"/>
  <c r="I49" i="34"/>
  <c r="M49" i="34" s="1"/>
  <c r="B49" i="34"/>
  <c r="J48" i="34"/>
  <c r="K48" i="34" s="1"/>
  <c r="I48" i="34"/>
  <c r="M48" i="34" s="1"/>
  <c r="B48" i="34"/>
  <c r="J47" i="34"/>
  <c r="K47" i="34" s="1"/>
  <c r="I47" i="34"/>
  <c r="M47" i="34" s="1"/>
  <c r="B47" i="34"/>
  <c r="T46" i="34"/>
  <c r="R46" i="34"/>
  <c r="U46" i="34" s="1"/>
  <c r="J46" i="34"/>
  <c r="K46" i="34" s="1"/>
  <c r="I46" i="34"/>
  <c r="M46" i="34" s="1"/>
  <c r="B46" i="34"/>
  <c r="J45" i="34"/>
  <c r="K45" i="34" s="1"/>
  <c r="I45" i="34"/>
  <c r="M45" i="34" s="1"/>
  <c r="B45" i="34"/>
  <c r="J44" i="34"/>
  <c r="K44" i="34" s="1"/>
  <c r="I44" i="34"/>
  <c r="M44" i="34" s="1"/>
  <c r="B44" i="34"/>
  <c r="J43" i="34"/>
  <c r="K43" i="34" s="1"/>
  <c r="I43" i="34"/>
  <c r="M43" i="34" s="1"/>
  <c r="B43" i="34"/>
  <c r="J42" i="34"/>
  <c r="K42" i="34" s="1"/>
  <c r="I42" i="34"/>
  <c r="M42" i="34" s="1"/>
  <c r="B42" i="34"/>
  <c r="J41" i="34"/>
  <c r="K41" i="34" s="1"/>
  <c r="I41" i="34"/>
  <c r="M41" i="34" s="1"/>
  <c r="B41" i="34"/>
  <c r="J40" i="34"/>
  <c r="K40" i="34" s="1"/>
  <c r="I40" i="34"/>
  <c r="M40" i="34" s="1"/>
  <c r="B40" i="34"/>
  <c r="J39" i="34"/>
  <c r="K39" i="34" s="1"/>
  <c r="I39" i="34"/>
  <c r="M39" i="34" s="1"/>
  <c r="B39" i="34"/>
  <c r="J38" i="34"/>
  <c r="K38" i="34" s="1"/>
  <c r="I38" i="34"/>
  <c r="M38" i="34" s="1"/>
  <c r="B38" i="34"/>
  <c r="J37" i="34"/>
  <c r="K37" i="34" s="1"/>
  <c r="I37" i="34"/>
  <c r="M37" i="34" s="1"/>
  <c r="A37" i="34" s="1"/>
  <c r="B37" i="34"/>
  <c r="J36" i="34"/>
  <c r="K36" i="34" s="1"/>
  <c r="I36" i="34"/>
  <c r="M36" i="34" s="1"/>
  <c r="A36" i="34" s="1"/>
  <c r="B36" i="34"/>
  <c r="J35" i="34"/>
  <c r="K35" i="34" s="1"/>
  <c r="I35" i="34"/>
  <c r="M35" i="34" s="1"/>
  <c r="A35" i="34" s="1"/>
  <c r="B35" i="34"/>
  <c r="J34" i="34"/>
  <c r="K34" i="34" s="1"/>
  <c r="I34" i="34"/>
  <c r="M34" i="34" s="1"/>
  <c r="A34" i="34" s="1"/>
  <c r="B34" i="34"/>
  <c r="J33" i="34"/>
  <c r="K33" i="34" s="1"/>
  <c r="I33" i="34"/>
  <c r="M33" i="34" s="1"/>
  <c r="A33" i="34" s="1"/>
  <c r="B33" i="34"/>
  <c r="J32" i="34"/>
  <c r="K32" i="34" s="1"/>
  <c r="I32" i="34"/>
  <c r="M32" i="34" s="1"/>
  <c r="A32" i="34" s="1"/>
  <c r="B32" i="34"/>
  <c r="J31" i="34"/>
  <c r="K31" i="34" s="1"/>
  <c r="I31" i="34"/>
  <c r="M31" i="34" s="1"/>
  <c r="A31" i="34" s="1"/>
  <c r="B31" i="34"/>
  <c r="J30" i="34"/>
  <c r="K30" i="34" s="1"/>
  <c r="I30" i="34"/>
  <c r="M30" i="34" s="1"/>
  <c r="B30" i="34"/>
  <c r="A30" i="34"/>
  <c r="J29" i="34"/>
  <c r="K29" i="34" s="1"/>
  <c r="I29" i="34"/>
  <c r="M29" i="34" s="1"/>
  <c r="A29" i="34" s="1"/>
  <c r="B29" i="34"/>
  <c r="J28" i="34"/>
  <c r="K28" i="34" s="1"/>
  <c r="I28" i="34"/>
  <c r="M28" i="34" s="1"/>
  <c r="A28" i="34" s="1"/>
  <c r="B28" i="34"/>
  <c r="J27" i="34"/>
  <c r="K27" i="34" s="1"/>
  <c r="I27" i="34"/>
  <c r="M27" i="34" s="1"/>
  <c r="A27" i="34" s="1"/>
  <c r="B27" i="34"/>
  <c r="J26" i="34"/>
  <c r="K26" i="34" s="1"/>
  <c r="I26" i="34"/>
  <c r="M26" i="34" s="1"/>
  <c r="B26" i="34"/>
  <c r="A26" i="34"/>
  <c r="J25" i="34"/>
  <c r="K25" i="34" s="1"/>
  <c r="I25" i="34"/>
  <c r="M25" i="34" s="1"/>
  <c r="A25" i="34" s="1"/>
  <c r="B25" i="34"/>
  <c r="J24" i="34"/>
  <c r="K24" i="34" s="1"/>
  <c r="I24" i="34"/>
  <c r="M24" i="34" s="1"/>
  <c r="A24" i="34" s="1"/>
  <c r="B24" i="34"/>
  <c r="J23" i="34"/>
  <c r="K23" i="34" s="1"/>
  <c r="I23" i="34"/>
  <c r="M23" i="34" s="1"/>
  <c r="A23" i="34" s="1"/>
  <c r="B23" i="34"/>
  <c r="J22" i="34"/>
  <c r="K22" i="34" s="1"/>
  <c r="I22" i="34"/>
  <c r="M22" i="34" s="1"/>
  <c r="B22" i="34"/>
  <c r="A22" i="34"/>
  <c r="J21" i="34"/>
  <c r="K21" i="34" s="1"/>
  <c r="I21" i="34"/>
  <c r="M21" i="34" s="1"/>
  <c r="A21" i="34" s="1"/>
  <c r="B21" i="34"/>
  <c r="J20" i="34"/>
  <c r="K20" i="34" s="1"/>
  <c r="I20" i="34"/>
  <c r="M20" i="34" s="1"/>
  <c r="A20" i="34" s="1"/>
  <c r="B20" i="34"/>
  <c r="J19" i="34"/>
  <c r="K19" i="34" s="1"/>
  <c r="I19" i="34"/>
  <c r="M19" i="34" s="1"/>
  <c r="A19" i="34" s="1"/>
  <c r="B19" i="34"/>
  <c r="J18" i="34"/>
  <c r="K18" i="34" s="1"/>
  <c r="I18" i="34"/>
  <c r="M18" i="34" s="1"/>
  <c r="B18" i="34"/>
  <c r="A18" i="34"/>
  <c r="J17" i="34"/>
  <c r="K17" i="34" s="1"/>
  <c r="I17" i="34"/>
  <c r="M17" i="34" s="1"/>
  <c r="A17" i="34" s="1"/>
  <c r="B17" i="34"/>
  <c r="AI16" i="34"/>
  <c r="J16" i="34"/>
  <c r="K16" i="34" s="1"/>
  <c r="I16" i="34"/>
  <c r="M16" i="34" s="1"/>
  <c r="A16" i="34" s="1"/>
  <c r="B16" i="34"/>
  <c r="J15" i="34"/>
  <c r="K15" i="34" s="1"/>
  <c r="I15" i="34"/>
  <c r="M15" i="34" s="1"/>
  <c r="A15" i="34" s="1"/>
  <c r="B15" i="34"/>
  <c r="AI14" i="34"/>
  <c r="J14" i="34"/>
  <c r="K14" i="34" s="1"/>
  <c r="I14" i="34"/>
  <c r="M14" i="34" s="1"/>
  <c r="A14" i="34" s="1"/>
  <c r="B14" i="34"/>
  <c r="AI13" i="34"/>
  <c r="J13" i="34"/>
  <c r="K13" i="34" s="1"/>
  <c r="I13" i="34"/>
  <c r="M13" i="34" s="1"/>
  <c r="A13" i="34" s="1"/>
  <c r="B13" i="34"/>
  <c r="AI12" i="34"/>
  <c r="J12" i="34"/>
  <c r="K12" i="34" s="1"/>
  <c r="I12" i="34"/>
  <c r="M12" i="34" s="1"/>
  <c r="B12" i="34"/>
  <c r="A12" i="34"/>
  <c r="J11" i="34"/>
  <c r="K11" i="34" s="1"/>
  <c r="I11" i="34"/>
  <c r="M11" i="34" s="1"/>
  <c r="A11" i="34" s="1"/>
  <c r="B11" i="34"/>
  <c r="J10" i="34"/>
  <c r="K10" i="34" s="1"/>
  <c r="I10" i="34"/>
  <c r="M10" i="34" s="1"/>
  <c r="A10" i="34" s="1"/>
  <c r="B10" i="34"/>
  <c r="J9" i="34"/>
  <c r="K9" i="34" s="1"/>
  <c r="I9" i="34"/>
  <c r="B9" i="34"/>
  <c r="J8" i="34"/>
  <c r="K8" i="34" s="1"/>
  <c r="I8" i="34"/>
  <c r="B8" i="34"/>
  <c r="J7" i="34"/>
  <c r="K7" i="34" s="1"/>
  <c r="I7" i="34"/>
  <c r="B7" i="34"/>
  <c r="J6" i="34"/>
  <c r="K6" i="34" s="1"/>
  <c r="I6" i="34"/>
  <c r="B6" i="34"/>
  <c r="K2" i="34"/>
  <c r="J305" i="33"/>
  <c r="K305" i="33" s="1"/>
  <c r="I305" i="33"/>
  <c r="M305" i="33" s="1"/>
  <c r="J304" i="33"/>
  <c r="K304" i="33" s="1"/>
  <c r="I304" i="33"/>
  <c r="M304" i="33" s="1"/>
  <c r="J303" i="33"/>
  <c r="K303" i="33" s="1"/>
  <c r="I303" i="33"/>
  <c r="M303" i="33" s="1"/>
  <c r="J302" i="33"/>
  <c r="K302" i="33" s="1"/>
  <c r="I302" i="33"/>
  <c r="M302" i="33" s="1"/>
  <c r="J301" i="33"/>
  <c r="K301" i="33" s="1"/>
  <c r="I301" i="33"/>
  <c r="M301" i="33" s="1"/>
  <c r="J300" i="33"/>
  <c r="K300" i="33" s="1"/>
  <c r="I300" i="33"/>
  <c r="M300" i="33" s="1"/>
  <c r="J299" i="33"/>
  <c r="K299" i="33" s="1"/>
  <c r="I299" i="33"/>
  <c r="M299" i="33" s="1"/>
  <c r="J298" i="33"/>
  <c r="K298" i="33" s="1"/>
  <c r="I298" i="33"/>
  <c r="M298" i="33" s="1"/>
  <c r="J297" i="33"/>
  <c r="K297" i="33" s="1"/>
  <c r="I297" i="33"/>
  <c r="M297" i="33" s="1"/>
  <c r="J296" i="33"/>
  <c r="K296" i="33" s="1"/>
  <c r="I296" i="33"/>
  <c r="M296" i="33" s="1"/>
  <c r="J295" i="33"/>
  <c r="K295" i="33" s="1"/>
  <c r="I295" i="33"/>
  <c r="M295" i="33" s="1"/>
  <c r="J294" i="33"/>
  <c r="K294" i="33" s="1"/>
  <c r="I294" i="33"/>
  <c r="M294" i="33" s="1"/>
  <c r="J293" i="33"/>
  <c r="K293" i="33" s="1"/>
  <c r="I293" i="33"/>
  <c r="M293" i="33" s="1"/>
  <c r="J292" i="33"/>
  <c r="K292" i="33" s="1"/>
  <c r="I292" i="33"/>
  <c r="M292" i="33" s="1"/>
  <c r="J291" i="33"/>
  <c r="K291" i="33" s="1"/>
  <c r="I291" i="33"/>
  <c r="M291" i="33" s="1"/>
  <c r="J290" i="33"/>
  <c r="K290" i="33" s="1"/>
  <c r="I290" i="33"/>
  <c r="M290" i="33" s="1"/>
  <c r="J289" i="33"/>
  <c r="K289" i="33" s="1"/>
  <c r="I289" i="33"/>
  <c r="M289" i="33" s="1"/>
  <c r="J288" i="33"/>
  <c r="K288" i="33" s="1"/>
  <c r="I288" i="33"/>
  <c r="M288" i="33" s="1"/>
  <c r="J287" i="33"/>
  <c r="K287" i="33" s="1"/>
  <c r="I287" i="33"/>
  <c r="M287" i="33" s="1"/>
  <c r="J286" i="33"/>
  <c r="K286" i="33" s="1"/>
  <c r="I286" i="33"/>
  <c r="M286" i="33" s="1"/>
  <c r="J285" i="33"/>
  <c r="K285" i="33" s="1"/>
  <c r="I285" i="33"/>
  <c r="M285" i="33" s="1"/>
  <c r="J284" i="33"/>
  <c r="K284" i="33" s="1"/>
  <c r="I284" i="33"/>
  <c r="M284" i="33" s="1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J280" i="33"/>
  <c r="K280" i="33" s="1"/>
  <c r="I280" i="33"/>
  <c r="M280" i="33" s="1"/>
  <c r="J279" i="33"/>
  <c r="K279" i="33" s="1"/>
  <c r="I279" i="33"/>
  <c r="M279" i="33" s="1"/>
  <c r="J278" i="33"/>
  <c r="K278" i="33" s="1"/>
  <c r="I278" i="33"/>
  <c r="M278" i="33" s="1"/>
  <c r="J277" i="33"/>
  <c r="K277" i="33" s="1"/>
  <c r="I277" i="33"/>
  <c r="M277" i="33" s="1"/>
  <c r="K276" i="33"/>
  <c r="J276" i="33"/>
  <c r="I276" i="33"/>
  <c r="M276" i="33" s="1"/>
  <c r="J275" i="33"/>
  <c r="K275" i="33" s="1"/>
  <c r="I275" i="33"/>
  <c r="M275" i="33" s="1"/>
  <c r="K274" i="33"/>
  <c r="J274" i="33"/>
  <c r="I274" i="33"/>
  <c r="M274" i="33" s="1"/>
  <c r="J273" i="33"/>
  <c r="K273" i="33" s="1"/>
  <c r="I273" i="33"/>
  <c r="M273" i="33" s="1"/>
  <c r="K272" i="33"/>
  <c r="J272" i="33"/>
  <c r="I272" i="33"/>
  <c r="M272" i="33" s="1"/>
  <c r="J271" i="33"/>
  <c r="K271" i="33" s="1"/>
  <c r="I271" i="33"/>
  <c r="M271" i="33" s="1"/>
  <c r="K270" i="33"/>
  <c r="J270" i="33"/>
  <c r="I270" i="33"/>
  <c r="M270" i="33" s="1"/>
  <c r="J269" i="33"/>
  <c r="K269" i="33" s="1"/>
  <c r="I269" i="33"/>
  <c r="M269" i="33" s="1"/>
  <c r="K268" i="33"/>
  <c r="J268" i="33"/>
  <c r="I268" i="33"/>
  <c r="M268" i="33" s="1"/>
  <c r="J267" i="33"/>
  <c r="K267" i="33" s="1"/>
  <c r="I267" i="33"/>
  <c r="M267" i="33" s="1"/>
  <c r="J266" i="33"/>
  <c r="K266" i="33" s="1"/>
  <c r="I266" i="33"/>
  <c r="M266" i="33" s="1"/>
  <c r="J265" i="33"/>
  <c r="K265" i="33" s="1"/>
  <c r="I265" i="33"/>
  <c r="M265" i="33" s="1"/>
  <c r="J264" i="33"/>
  <c r="K264" i="33" s="1"/>
  <c r="I264" i="33"/>
  <c r="M264" i="33" s="1"/>
  <c r="J263" i="33"/>
  <c r="K263" i="33" s="1"/>
  <c r="I263" i="33"/>
  <c r="M263" i="33" s="1"/>
  <c r="J262" i="33"/>
  <c r="K262" i="33" s="1"/>
  <c r="I262" i="33"/>
  <c r="M262" i="33" s="1"/>
  <c r="J261" i="33"/>
  <c r="K261" i="33" s="1"/>
  <c r="I261" i="33"/>
  <c r="M261" i="33" s="1"/>
  <c r="K260" i="33"/>
  <c r="J260" i="33"/>
  <c r="I260" i="33"/>
  <c r="M260" i="33" s="1"/>
  <c r="J259" i="33"/>
  <c r="K259" i="33" s="1"/>
  <c r="I259" i="33"/>
  <c r="M259" i="33" s="1"/>
  <c r="K258" i="33"/>
  <c r="J258" i="33"/>
  <c r="I258" i="33"/>
  <c r="M258" i="33" s="1"/>
  <c r="J257" i="33"/>
  <c r="K257" i="33" s="1"/>
  <c r="I257" i="33"/>
  <c r="M257" i="33" s="1"/>
  <c r="K256" i="33"/>
  <c r="J256" i="33"/>
  <c r="I256" i="33"/>
  <c r="M256" i="33" s="1"/>
  <c r="J255" i="33"/>
  <c r="K255" i="33" s="1"/>
  <c r="I255" i="33"/>
  <c r="M255" i="33" s="1"/>
  <c r="K254" i="33"/>
  <c r="J254" i="33"/>
  <c r="I254" i="33"/>
  <c r="M254" i="33" s="1"/>
  <c r="J253" i="33"/>
  <c r="K253" i="33" s="1"/>
  <c r="I253" i="33"/>
  <c r="M253" i="33" s="1"/>
  <c r="K252" i="33"/>
  <c r="J252" i="33"/>
  <c r="I252" i="33"/>
  <c r="M252" i="33" s="1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J247" i="33"/>
  <c r="K247" i="33" s="1"/>
  <c r="I247" i="33"/>
  <c r="M247" i="33" s="1"/>
  <c r="J246" i="33"/>
  <c r="K246" i="33" s="1"/>
  <c r="I246" i="33"/>
  <c r="M246" i="33" s="1"/>
  <c r="J245" i="33"/>
  <c r="K245" i="33" s="1"/>
  <c r="I245" i="33"/>
  <c r="M245" i="33" s="1"/>
  <c r="K244" i="33"/>
  <c r="J244" i="33"/>
  <c r="I244" i="33"/>
  <c r="M244" i="33" s="1"/>
  <c r="J243" i="33"/>
  <c r="K243" i="33" s="1"/>
  <c r="I243" i="33"/>
  <c r="M243" i="33" s="1"/>
  <c r="K242" i="33"/>
  <c r="J242" i="33"/>
  <c r="I242" i="33"/>
  <c r="M242" i="33" s="1"/>
  <c r="J241" i="33"/>
  <c r="K241" i="33" s="1"/>
  <c r="I241" i="33"/>
  <c r="M241" i="33" s="1"/>
  <c r="K240" i="33"/>
  <c r="J240" i="33"/>
  <c r="I240" i="33"/>
  <c r="M240" i="33" s="1"/>
  <c r="J239" i="33"/>
  <c r="K239" i="33" s="1"/>
  <c r="I239" i="33"/>
  <c r="M239" i="33" s="1"/>
  <c r="K238" i="33"/>
  <c r="J238" i="33"/>
  <c r="I238" i="33"/>
  <c r="M238" i="33" s="1"/>
  <c r="J237" i="33"/>
  <c r="K237" i="33" s="1"/>
  <c r="I237" i="33"/>
  <c r="M237" i="33" s="1"/>
  <c r="K236" i="33"/>
  <c r="J236" i="33"/>
  <c r="I236" i="33"/>
  <c r="M236" i="33" s="1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K228" i="33"/>
  <c r="J228" i="33"/>
  <c r="I228" i="33"/>
  <c r="M228" i="33" s="1"/>
  <c r="J227" i="33"/>
  <c r="K227" i="33" s="1"/>
  <c r="I227" i="33"/>
  <c r="M227" i="33" s="1"/>
  <c r="K226" i="33"/>
  <c r="J226" i="33"/>
  <c r="I226" i="33"/>
  <c r="M226" i="33" s="1"/>
  <c r="J225" i="33"/>
  <c r="K225" i="33" s="1"/>
  <c r="I225" i="33"/>
  <c r="M225" i="33" s="1"/>
  <c r="K224" i="33"/>
  <c r="J224" i="33"/>
  <c r="I224" i="33"/>
  <c r="M224" i="33" s="1"/>
  <c r="J223" i="33"/>
  <c r="K223" i="33" s="1"/>
  <c r="I223" i="33"/>
  <c r="M223" i="33" s="1"/>
  <c r="K222" i="33"/>
  <c r="J222" i="33"/>
  <c r="I222" i="33"/>
  <c r="M222" i="33" s="1"/>
  <c r="J221" i="33"/>
  <c r="K221" i="33" s="1"/>
  <c r="I221" i="33"/>
  <c r="M221" i="33" s="1"/>
  <c r="K220" i="33"/>
  <c r="J220" i="33"/>
  <c r="I220" i="33"/>
  <c r="M220" i="33" s="1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J214" i="33"/>
  <c r="K214" i="33" s="1"/>
  <c r="I214" i="33"/>
  <c r="M214" i="33" s="1"/>
  <c r="J213" i="33"/>
  <c r="K213" i="33" s="1"/>
  <c r="I213" i="33"/>
  <c r="M213" i="33" s="1"/>
  <c r="K212" i="33"/>
  <c r="J212" i="33"/>
  <c r="I212" i="33"/>
  <c r="M212" i="33" s="1"/>
  <c r="J211" i="33"/>
  <c r="K211" i="33" s="1"/>
  <c r="I211" i="33"/>
  <c r="M211" i="33" s="1"/>
  <c r="K210" i="33"/>
  <c r="J210" i="33"/>
  <c r="I210" i="33"/>
  <c r="M210" i="33" s="1"/>
  <c r="J209" i="33"/>
  <c r="K209" i="33" s="1"/>
  <c r="I209" i="33"/>
  <c r="M209" i="33" s="1"/>
  <c r="K208" i="33"/>
  <c r="J208" i="33"/>
  <c r="I208" i="33"/>
  <c r="M208" i="33" s="1"/>
  <c r="J207" i="33"/>
  <c r="K207" i="33" s="1"/>
  <c r="I207" i="33"/>
  <c r="M207" i="33" s="1"/>
  <c r="K206" i="33"/>
  <c r="J206" i="33"/>
  <c r="I206" i="33"/>
  <c r="M206" i="33" s="1"/>
  <c r="J205" i="33"/>
  <c r="K205" i="33" s="1"/>
  <c r="I205" i="33"/>
  <c r="M205" i="33" s="1"/>
  <c r="K204" i="33"/>
  <c r="J204" i="33"/>
  <c r="I204" i="33"/>
  <c r="M204" i="33" s="1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J198" i="33"/>
  <c r="K198" i="33" s="1"/>
  <c r="I198" i="33"/>
  <c r="M198" i="33" s="1"/>
  <c r="J197" i="33"/>
  <c r="K197" i="33" s="1"/>
  <c r="I197" i="33"/>
  <c r="M197" i="33" s="1"/>
  <c r="K196" i="33"/>
  <c r="J196" i="33"/>
  <c r="I196" i="33"/>
  <c r="M196" i="33" s="1"/>
  <c r="J195" i="33"/>
  <c r="K195" i="33" s="1"/>
  <c r="I195" i="33"/>
  <c r="M195" i="33" s="1"/>
  <c r="K194" i="33"/>
  <c r="J194" i="33"/>
  <c r="I194" i="33"/>
  <c r="M194" i="33" s="1"/>
  <c r="J193" i="33"/>
  <c r="K193" i="33" s="1"/>
  <c r="I193" i="33"/>
  <c r="M193" i="33" s="1"/>
  <c r="K192" i="33"/>
  <c r="J192" i="33"/>
  <c r="I192" i="33"/>
  <c r="M192" i="33" s="1"/>
  <c r="J191" i="33"/>
  <c r="K191" i="33" s="1"/>
  <c r="I191" i="33"/>
  <c r="M191" i="33" s="1"/>
  <c r="K190" i="33"/>
  <c r="J190" i="33"/>
  <c r="I190" i="33"/>
  <c r="M190" i="33" s="1"/>
  <c r="J189" i="33"/>
  <c r="K189" i="33" s="1"/>
  <c r="I189" i="33"/>
  <c r="M189" i="33" s="1"/>
  <c r="K188" i="33"/>
  <c r="J188" i="33"/>
  <c r="I188" i="33"/>
  <c r="M188" i="33" s="1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J182" i="33"/>
  <c r="K182" i="33" s="1"/>
  <c r="I182" i="33"/>
  <c r="M182" i="33" s="1"/>
  <c r="J181" i="33"/>
  <c r="K181" i="33" s="1"/>
  <c r="I181" i="33"/>
  <c r="M181" i="33" s="1"/>
  <c r="K180" i="33"/>
  <c r="J180" i="33"/>
  <c r="I180" i="33"/>
  <c r="M180" i="33" s="1"/>
  <c r="J179" i="33"/>
  <c r="K179" i="33" s="1"/>
  <c r="I179" i="33"/>
  <c r="M179" i="33" s="1"/>
  <c r="K178" i="33"/>
  <c r="J178" i="33"/>
  <c r="I178" i="33"/>
  <c r="M178" i="33" s="1"/>
  <c r="J177" i="33"/>
  <c r="K177" i="33" s="1"/>
  <c r="I177" i="33"/>
  <c r="M177" i="33" s="1"/>
  <c r="K176" i="33"/>
  <c r="J176" i="33"/>
  <c r="I176" i="33"/>
  <c r="M176" i="33" s="1"/>
  <c r="J175" i="33"/>
  <c r="K175" i="33" s="1"/>
  <c r="I175" i="33"/>
  <c r="M175" i="33" s="1"/>
  <c r="K174" i="33"/>
  <c r="J174" i="33"/>
  <c r="I174" i="33"/>
  <c r="M174" i="33" s="1"/>
  <c r="J173" i="33"/>
  <c r="K173" i="33" s="1"/>
  <c r="I173" i="33"/>
  <c r="M173" i="33" s="1"/>
  <c r="K172" i="33"/>
  <c r="J172" i="33"/>
  <c r="I172" i="33"/>
  <c r="M172" i="33" s="1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J166" i="33"/>
  <c r="K166" i="33" s="1"/>
  <c r="I166" i="33"/>
  <c r="M166" i="33" s="1"/>
  <c r="J165" i="33"/>
  <c r="K165" i="33" s="1"/>
  <c r="I165" i="33"/>
  <c r="M165" i="33" s="1"/>
  <c r="K164" i="33"/>
  <c r="J164" i="33"/>
  <c r="I164" i="33"/>
  <c r="M164" i="33" s="1"/>
  <c r="J163" i="33"/>
  <c r="K163" i="33" s="1"/>
  <c r="I163" i="33"/>
  <c r="M163" i="33" s="1"/>
  <c r="K162" i="33"/>
  <c r="J162" i="33"/>
  <c r="I162" i="33"/>
  <c r="M162" i="33" s="1"/>
  <c r="J161" i="33"/>
  <c r="K161" i="33" s="1"/>
  <c r="I161" i="33"/>
  <c r="M161" i="33" s="1"/>
  <c r="K160" i="33"/>
  <c r="J160" i="33"/>
  <c r="I160" i="33"/>
  <c r="M160" i="33" s="1"/>
  <c r="J159" i="33"/>
  <c r="K159" i="33" s="1"/>
  <c r="I159" i="33"/>
  <c r="M159" i="33" s="1"/>
  <c r="K158" i="33"/>
  <c r="J158" i="33"/>
  <c r="I158" i="33"/>
  <c r="M158" i="33" s="1"/>
  <c r="J157" i="33"/>
  <c r="K157" i="33" s="1"/>
  <c r="I157" i="33"/>
  <c r="M157" i="33" s="1"/>
  <c r="K156" i="33"/>
  <c r="J156" i="33"/>
  <c r="I156" i="33"/>
  <c r="M156" i="33" s="1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J152" i="33"/>
  <c r="K152" i="33" s="1"/>
  <c r="I152" i="33"/>
  <c r="M152" i="33" s="1"/>
  <c r="J151" i="33"/>
  <c r="K151" i="33" s="1"/>
  <c r="I151" i="33"/>
  <c r="M151" i="33" s="1"/>
  <c r="J150" i="33"/>
  <c r="K150" i="33" s="1"/>
  <c r="I150" i="33"/>
  <c r="M150" i="33" s="1"/>
  <c r="J149" i="33"/>
  <c r="K149" i="33" s="1"/>
  <c r="I149" i="33"/>
  <c r="M149" i="33" s="1"/>
  <c r="K148" i="33"/>
  <c r="J148" i="33"/>
  <c r="I148" i="33"/>
  <c r="M148" i="33" s="1"/>
  <c r="J147" i="33"/>
  <c r="K147" i="33" s="1"/>
  <c r="I147" i="33"/>
  <c r="M147" i="33" s="1"/>
  <c r="K146" i="33"/>
  <c r="J146" i="33"/>
  <c r="I146" i="33"/>
  <c r="M146" i="33" s="1"/>
  <c r="J145" i="33"/>
  <c r="K145" i="33" s="1"/>
  <c r="I145" i="33"/>
  <c r="M145" i="33" s="1"/>
  <c r="K144" i="33"/>
  <c r="J144" i="33"/>
  <c r="I144" i="33"/>
  <c r="M144" i="33" s="1"/>
  <c r="J143" i="33"/>
  <c r="K143" i="33" s="1"/>
  <c r="I143" i="33"/>
  <c r="M143" i="33" s="1"/>
  <c r="K142" i="33"/>
  <c r="J142" i="33"/>
  <c r="I142" i="33"/>
  <c r="M142" i="33" s="1"/>
  <c r="J141" i="33"/>
  <c r="K141" i="33" s="1"/>
  <c r="I141" i="33"/>
  <c r="M141" i="33" s="1"/>
  <c r="K140" i="33"/>
  <c r="J140" i="33"/>
  <c r="I140" i="33"/>
  <c r="M140" i="33" s="1"/>
  <c r="J139" i="33"/>
  <c r="K139" i="33" s="1"/>
  <c r="I139" i="33"/>
  <c r="M139" i="33" s="1"/>
  <c r="J138" i="33"/>
  <c r="K138" i="33" s="1"/>
  <c r="I138" i="33"/>
  <c r="M138" i="33" s="1"/>
  <c r="M137" i="33"/>
  <c r="K137" i="33"/>
  <c r="J137" i="33"/>
  <c r="I137" i="33"/>
  <c r="J136" i="33"/>
  <c r="K136" i="33" s="1"/>
  <c r="I136" i="33"/>
  <c r="M136" i="33" s="1"/>
  <c r="M135" i="33"/>
  <c r="K135" i="33"/>
  <c r="J135" i="33"/>
  <c r="I135" i="33"/>
  <c r="J134" i="33"/>
  <c r="K134" i="33" s="1"/>
  <c r="I134" i="33"/>
  <c r="M134" i="33" s="1"/>
  <c r="M133" i="33"/>
  <c r="K133" i="33"/>
  <c r="J133" i="33"/>
  <c r="I133" i="33"/>
  <c r="J132" i="33"/>
  <c r="K132" i="33" s="1"/>
  <c r="I132" i="33"/>
  <c r="M132" i="33" s="1"/>
  <c r="M131" i="33"/>
  <c r="K131" i="33"/>
  <c r="J131" i="33"/>
  <c r="I131" i="33"/>
  <c r="J130" i="33"/>
  <c r="K130" i="33" s="1"/>
  <c r="I130" i="33"/>
  <c r="M130" i="33" s="1"/>
  <c r="M129" i="33"/>
  <c r="K129" i="33"/>
  <c r="J129" i="33"/>
  <c r="I129" i="33"/>
  <c r="J128" i="33"/>
  <c r="K128" i="33" s="1"/>
  <c r="I128" i="33"/>
  <c r="M128" i="33" s="1"/>
  <c r="M127" i="33"/>
  <c r="K127" i="33"/>
  <c r="J127" i="33"/>
  <c r="I127" i="33"/>
  <c r="J126" i="33"/>
  <c r="K126" i="33" s="1"/>
  <c r="I126" i="33"/>
  <c r="M126" i="33" s="1"/>
  <c r="M125" i="33"/>
  <c r="K125" i="33"/>
  <c r="J125" i="33"/>
  <c r="I125" i="33"/>
  <c r="J124" i="33"/>
  <c r="K124" i="33" s="1"/>
  <c r="I124" i="33"/>
  <c r="M124" i="33" s="1"/>
  <c r="M123" i="33"/>
  <c r="K123" i="33"/>
  <c r="J123" i="33"/>
  <c r="I123" i="33"/>
  <c r="J122" i="33"/>
  <c r="K122" i="33" s="1"/>
  <c r="I122" i="33"/>
  <c r="M122" i="33" s="1"/>
  <c r="M121" i="33"/>
  <c r="K121" i="33"/>
  <c r="J121" i="33"/>
  <c r="I121" i="33"/>
  <c r="J120" i="33"/>
  <c r="K120" i="33" s="1"/>
  <c r="I120" i="33"/>
  <c r="M120" i="33" s="1"/>
  <c r="M119" i="33"/>
  <c r="K119" i="33"/>
  <c r="J119" i="33"/>
  <c r="I119" i="33"/>
  <c r="J118" i="33"/>
  <c r="K118" i="33" s="1"/>
  <c r="I118" i="33"/>
  <c r="M118" i="33" s="1"/>
  <c r="M117" i="33"/>
  <c r="K117" i="33"/>
  <c r="J117" i="33"/>
  <c r="I117" i="33"/>
  <c r="J116" i="33"/>
  <c r="K116" i="33" s="1"/>
  <c r="I116" i="33"/>
  <c r="M116" i="33" s="1"/>
  <c r="M115" i="33"/>
  <c r="K115" i="33"/>
  <c r="J115" i="33"/>
  <c r="I115" i="33"/>
  <c r="J114" i="33"/>
  <c r="K114" i="33" s="1"/>
  <c r="I114" i="33"/>
  <c r="M114" i="33" s="1"/>
  <c r="M113" i="33"/>
  <c r="K113" i="33"/>
  <c r="J113" i="33"/>
  <c r="I113" i="33"/>
  <c r="J112" i="33"/>
  <c r="K112" i="33" s="1"/>
  <c r="I112" i="33"/>
  <c r="M112" i="33" s="1"/>
  <c r="M111" i="33"/>
  <c r="K111" i="33"/>
  <c r="J111" i="33"/>
  <c r="I111" i="33"/>
  <c r="J110" i="33"/>
  <c r="K110" i="33" s="1"/>
  <c r="I110" i="33"/>
  <c r="M110" i="33" s="1"/>
  <c r="M109" i="33"/>
  <c r="K109" i="33"/>
  <c r="J109" i="33"/>
  <c r="I109" i="33"/>
  <c r="J108" i="33"/>
  <c r="K108" i="33" s="1"/>
  <c r="I108" i="33"/>
  <c r="M108" i="33" s="1"/>
  <c r="M107" i="33"/>
  <c r="K107" i="33"/>
  <c r="J107" i="33"/>
  <c r="I107" i="33"/>
  <c r="J106" i="33"/>
  <c r="K106" i="33" s="1"/>
  <c r="I106" i="33"/>
  <c r="M106" i="33" s="1"/>
  <c r="M105" i="33"/>
  <c r="K105" i="33"/>
  <c r="J105" i="33"/>
  <c r="I105" i="33"/>
  <c r="J104" i="33"/>
  <c r="K104" i="33" s="1"/>
  <c r="I104" i="33"/>
  <c r="M104" i="33" s="1"/>
  <c r="M103" i="33"/>
  <c r="K103" i="33"/>
  <c r="J103" i="33"/>
  <c r="I103" i="33"/>
  <c r="J102" i="33"/>
  <c r="K102" i="33" s="1"/>
  <c r="I102" i="33"/>
  <c r="M102" i="33" s="1"/>
  <c r="M101" i="33"/>
  <c r="K101" i="33"/>
  <c r="J101" i="33"/>
  <c r="I101" i="33"/>
  <c r="J100" i="33"/>
  <c r="K100" i="33" s="1"/>
  <c r="I100" i="33"/>
  <c r="M100" i="33" s="1"/>
  <c r="M99" i="33"/>
  <c r="K99" i="33"/>
  <c r="J99" i="33"/>
  <c r="I99" i="33"/>
  <c r="J98" i="33"/>
  <c r="K98" i="33" s="1"/>
  <c r="I98" i="33"/>
  <c r="M98" i="33" s="1"/>
  <c r="K97" i="33"/>
  <c r="J97" i="33"/>
  <c r="I97" i="33"/>
  <c r="M97" i="33" s="1"/>
  <c r="J96" i="33"/>
  <c r="K96" i="33" s="1"/>
  <c r="I96" i="33"/>
  <c r="M96" i="33" s="1"/>
  <c r="K95" i="33"/>
  <c r="J95" i="33"/>
  <c r="I95" i="33"/>
  <c r="M95" i="33" s="1"/>
  <c r="J94" i="33"/>
  <c r="K94" i="33" s="1"/>
  <c r="I94" i="33"/>
  <c r="M94" i="33" s="1"/>
  <c r="K93" i="33"/>
  <c r="J93" i="33"/>
  <c r="I93" i="33"/>
  <c r="M93" i="33" s="1"/>
  <c r="J92" i="33"/>
  <c r="K92" i="33" s="1"/>
  <c r="I92" i="33"/>
  <c r="M92" i="33" s="1"/>
  <c r="K91" i="33"/>
  <c r="J91" i="33"/>
  <c r="I91" i="33"/>
  <c r="M91" i="33" s="1"/>
  <c r="J90" i="33"/>
  <c r="K90" i="33" s="1"/>
  <c r="I90" i="33"/>
  <c r="M90" i="33" s="1"/>
  <c r="K89" i="33"/>
  <c r="J89" i="33"/>
  <c r="I89" i="33"/>
  <c r="M89" i="33" s="1"/>
  <c r="J88" i="33"/>
  <c r="K88" i="33" s="1"/>
  <c r="I88" i="33"/>
  <c r="M88" i="33" s="1"/>
  <c r="K87" i="33"/>
  <c r="J87" i="33"/>
  <c r="I87" i="33"/>
  <c r="M87" i="33" s="1"/>
  <c r="J86" i="33"/>
  <c r="K86" i="33" s="1"/>
  <c r="I86" i="33"/>
  <c r="M86" i="33" s="1"/>
  <c r="K85" i="33"/>
  <c r="J85" i="33"/>
  <c r="I85" i="33"/>
  <c r="M85" i="33" s="1"/>
  <c r="J84" i="33"/>
  <c r="K84" i="33" s="1"/>
  <c r="I84" i="33"/>
  <c r="M84" i="33" s="1"/>
  <c r="K83" i="33"/>
  <c r="J83" i="33"/>
  <c r="I83" i="33"/>
  <c r="M83" i="33" s="1"/>
  <c r="J82" i="33"/>
  <c r="K82" i="33" s="1"/>
  <c r="I82" i="33"/>
  <c r="M82" i="33" s="1"/>
  <c r="K81" i="33"/>
  <c r="J81" i="33"/>
  <c r="I81" i="33"/>
  <c r="M81" i="33" s="1"/>
  <c r="J80" i="33"/>
  <c r="K80" i="33" s="1"/>
  <c r="I80" i="33"/>
  <c r="M80" i="33" s="1"/>
  <c r="K79" i="33"/>
  <c r="J79" i="33"/>
  <c r="I79" i="33"/>
  <c r="M79" i="33" s="1"/>
  <c r="A79" i="33" s="1"/>
  <c r="J78" i="33"/>
  <c r="K78" i="33" s="1"/>
  <c r="I78" i="33"/>
  <c r="M78" i="33" s="1"/>
  <c r="A78" i="33" s="1"/>
  <c r="M77" i="33"/>
  <c r="A77" i="33" s="1"/>
  <c r="J77" i="33"/>
  <c r="K77" i="33" s="1"/>
  <c r="I77" i="33"/>
  <c r="M76" i="33"/>
  <c r="A76" i="33" s="1"/>
  <c r="J76" i="33"/>
  <c r="K76" i="33" s="1"/>
  <c r="I76" i="33"/>
  <c r="J75" i="33"/>
  <c r="K75" i="33" s="1"/>
  <c r="I75" i="33"/>
  <c r="M75" i="33" s="1"/>
  <c r="A75" i="33" s="1"/>
  <c r="M74" i="33"/>
  <c r="A74" i="33" s="1"/>
  <c r="K74" i="33"/>
  <c r="J74" i="33"/>
  <c r="I74" i="33"/>
  <c r="K73" i="33"/>
  <c r="J73" i="33"/>
  <c r="I73" i="33"/>
  <c r="M73" i="33" s="1"/>
  <c r="A73" i="33" s="1"/>
  <c r="J72" i="33"/>
  <c r="K72" i="33" s="1"/>
  <c r="I72" i="33"/>
  <c r="M72" i="33" s="1"/>
  <c r="A72" i="33" s="1"/>
  <c r="K71" i="33"/>
  <c r="J71" i="33"/>
  <c r="I71" i="33"/>
  <c r="M71" i="33" s="1"/>
  <c r="A71" i="33" s="1"/>
  <c r="J70" i="33"/>
  <c r="K70" i="33" s="1"/>
  <c r="I70" i="33"/>
  <c r="M70" i="33" s="1"/>
  <c r="A70" i="33" s="1"/>
  <c r="M69" i="33"/>
  <c r="A69" i="33" s="1"/>
  <c r="J69" i="33"/>
  <c r="K69" i="33" s="1"/>
  <c r="I69" i="33"/>
  <c r="M68" i="33"/>
  <c r="A68" i="33" s="1"/>
  <c r="J68" i="33"/>
  <c r="K68" i="33" s="1"/>
  <c r="I68" i="33"/>
  <c r="J67" i="33"/>
  <c r="K67" i="33" s="1"/>
  <c r="I67" i="33"/>
  <c r="M67" i="33" s="1"/>
  <c r="A67" i="33" s="1"/>
  <c r="M66" i="33"/>
  <c r="A66" i="33" s="1"/>
  <c r="K66" i="33"/>
  <c r="J66" i="33"/>
  <c r="I66" i="33"/>
  <c r="K65" i="33"/>
  <c r="J65" i="33"/>
  <c r="I65" i="33"/>
  <c r="M65" i="33" s="1"/>
  <c r="A65" i="33" s="1"/>
  <c r="B65" i="33"/>
  <c r="J64" i="33"/>
  <c r="K64" i="33" s="1"/>
  <c r="I64" i="33"/>
  <c r="M64" i="33" s="1"/>
  <c r="A64" i="33" s="1"/>
  <c r="B64" i="33"/>
  <c r="M63" i="33"/>
  <c r="J63" i="33"/>
  <c r="K63" i="33" s="1"/>
  <c r="I63" i="33"/>
  <c r="B63" i="33"/>
  <c r="A63" i="33"/>
  <c r="M62" i="33"/>
  <c r="A62" i="33" s="1"/>
  <c r="K62" i="33"/>
  <c r="J62" i="33"/>
  <c r="I62" i="33"/>
  <c r="B62" i="33"/>
  <c r="K61" i="33"/>
  <c r="J61" i="33"/>
  <c r="I61" i="33"/>
  <c r="M61" i="33" s="1"/>
  <c r="A61" i="33" s="1"/>
  <c r="B61" i="33"/>
  <c r="J60" i="33"/>
  <c r="K60" i="33" s="1"/>
  <c r="I60" i="33"/>
  <c r="M60" i="33" s="1"/>
  <c r="A60" i="33" s="1"/>
  <c r="B60" i="33"/>
  <c r="M59" i="33"/>
  <c r="J59" i="33"/>
  <c r="K59" i="33" s="1"/>
  <c r="I59" i="33"/>
  <c r="B59" i="33"/>
  <c r="A59" i="33"/>
  <c r="M58" i="33"/>
  <c r="A58" i="33" s="1"/>
  <c r="K58" i="33"/>
  <c r="J58" i="33"/>
  <c r="I58" i="33"/>
  <c r="B58" i="33"/>
  <c r="K57" i="33"/>
  <c r="J57" i="33"/>
  <c r="I57" i="33"/>
  <c r="M57" i="33" s="1"/>
  <c r="A57" i="33" s="1"/>
  <c r="B57" i="33"/>
  <c r="J56" i="33"/>
  <c r="K56" i="33" s="1"/>
  <c r="I56" i="33"/>
  <c r="M56" i="33" s="1"/>
  <c r="A56" i="33" s="1"/>
  <c r="B56" i="33"/>
  <c r="M55" i="33"/>
  <c r="J55" i="33"/>
  <c r="K55" i="33" s="1"/>
  <c r="I55" i="33"/>
  <c r="B55" i="33"/>
  <c r="A55" i="33"/>
  <c r="M54" i="33"/>
  <c r="A54" i="33" s="1"/>
  <c r="K54" i="33"/>
  <c r="J54" i="33"/>
  <c r="I54" i="33"/>
  <c r="B54" i="33"/>
  <c r="K53" i="33"/>
  <c r="J53" i="33"/>
  <c r="I53" i="33"/>
  <c r="M53" i="33" s="1"/>
  <c r="A53" i="33" s="1"/>
  <c r="B53" i="33"/>
  <c r="J52" i="33"/>
  <c r="K52" i="33" s="1"/>
  <c r="I52" i="33"/>
  <c r="M52" i="33" s="1"/>
  <c r="A52" i="33" s="1"/>
  <c r="B52" i="33"/>
  <c r="M51" i="33"/>
  <c r="J51" i="33"/>
  <c r="K51" i="33" s="1"/>
  <c r="I51" i="33"/>
  <c r="B51" i="33"/>
  <c r="A51" i="33"/>
  <c r="M50" i="33"/>
  <c r="A50" i="33" s="1"/>
  <c r="K50" i="33"/>
  <c r="J50" i="33"/>
  <c r="I50" i="33"/>
  <c r="B50" i="33"/>
  <c r="K49" i="33"/>
  <c r="J49" i="33"/>
  <c r="I49" i="33"/>
  <c r="M49" i="33" s="1"/>
  <c r="A49" i="33" s="1"/>
  <c r="B49" i="33"/>
  <c r="J48" i="33"/>
  <c r="K48" i="33" s="1"/>
  <c r="I48" i="33"/>
  <c r="M48" i="33" s="1"/>
  <c r="A48" i="33" s="1"/>
  <c r="B48" i="33"/>
  <c r="M47" i="33"/>
  <c r="J47" i="33"/>
  <c r="K47" i="33" s="1"/>
  <c r="I47" i="33"/>
  <c r="B47" i="33"/>
  <c r="A47" i="33"/>
  <c r="T46" i="33"/>
  <c r="R46" i="33"/>
  <c r="U46" i="33" s="1"/>
  <c r="J46" i="33"/>
  <c r="K46" i="33" s="1"/>
  <c r="I46" i="33"/>
  <c r="M46" i="33" s="1"/>
  <c r="A46" i="33" s="1"/>
  <c r="B46" i="33"/>
  <c r="M45" i="33"/>
  <c r="A45" i="33" s="1"/>
  <c r="K45" i="33"/>
  <c r="J45" i="33"/>
  <c r="I45" i="33"/>
  <c r="B45" i="33"/>
  <c r="M44" i="33"/>
  <c r="A44" i="33" s="1"/>
  <c r="J44" i="33"/>
  <c r="K44" i="33" s="1"/>
  <c r="I44" i="33"/>
  <c r="B44" i="33"/>
  <c r="J43" i="33"/>
  <c r="K43" i="33" s="1"/>
  <c r="I43" i="33"/>
  <c r="M43" i="33" s="1"/>
  <c r="A43" i="33" s="1"/>
  <c r="B43" i="33"/>
  <c r="J42" i="33"/>
  <c r="K42" i="33" s="1"/>
  <c r="I42" i="33"/>
  <c r="M42" i="33" s="1"/>
  <c r="A42" i="33" s="1"/>
  <c r="B42" i="33"/>
  <c r="M41" i="33"/>
  <c r="A41" i="33" s="1"/>
  <c r="K41" i="33"/>
  <c r="J41" i="33"/>
  <c r="I41" i="33"/>
  <c r="B41" i="33"/>
  <c r="M40" i="33"/>
  <c r="A40" i="33" s="1"/>
  <c r="J40" i="33"/>
  <c r="K40" i="33" s="1"/>
  <c r="I40" i="33"/>
  <c r="B40" i="33"/>
  <c r="M39" i="33"/>
  <c r="J39" i="33"/>
  <c r="K39" i="33" s="1"/>
  <c r="I39" i="33"/>
  <c r="B39" i="33"/>
  <c r="A39" i="33"/>
  <c r="J38" i="33"/>
  <c r="K38" i="33" s="1"/>
  <c r="I38" i="33"/>
  <c r="M38" i="33" s="1"/>
  <c r="A38" i="33" s="1"/>
  <c r="B38" i="33"/>
  <c r="M37" i="33"/>
  <c r="A37" i="33" s="1"/>
  <c r="K37" i="33"/>
  <c r="J37" i="33"/>
  <c r="I37" i="33"/>
  <c r="B37" i="33"/>
  <c r="M36" i="33"/>
  <c r="A36" i="33" s="1"/>
  <c r="J36" i="33"/>
  <c r="K36" i="33" s="1"/>
  <c r="I36" i="33"/>
  <c r="B36" i="33"/>
  <c r="M35" i="33"/>
  <c r="J35" i="33"/>
  <c r="K35" i="33" s="1"/>
  <c r="I35" i="33"/>
  <c r="B35" i="33"/>
  <c r="A35" i="33"/>
  <c r="J34" i="33"/>
  <c r="K34" i="33" s="1"/>
  <c r="I34" i="33"/>
  <c r="M34" i="33" s="1"/>
  <c r="A34" i="33" s="1"/>
  <c r="B34" i="33"/>
  <c r="M33" i="33"/>
  <c r="A33" i="33" s="1"/>
  <c r="K33" i="33"/>
  <c r="J33" i="33"/>
  <c r="I33" i="33"/>
  <c r="B33" i="33"/>
  <c r="M32" i="33"/>
  <c r="A32" i="33" s="1"/>
  <c r="J32" i="33"/>
  <c r="K32" i="33" s="1"/>
  <c r="I32" i="33"/>
  <c r="B32" i="33"/>
  <c r="M31" i="33"/>
  <c r="J31" i="33"/>
  <c r="K31" i="33" s="1"/>
  <c r="I31" i="33"/>
  <c r="B31" i="33"/>
  <c r="A31" i="33"/>
  <c r="J30" i="33"/>
  <c r="K30" i="33" s="1"/>
  <c r="I30" i="33"/>
  <c r="M30" i="33" s="1"/>
  <c r="A30" i="33" s="1"/>
  <c r="B30" i="33"/>
  <c r="M29" i="33"/>
  <c r="A29" i="33" s="1"/>
  <c r="K29" i="33"/>
  <c r="J29" i="33"/>
  <c r="I29" i="33"/>
  <c r="B29" i="33"/>
  <c r="M28" i="33"/>
  <c r="A28" i="33" s="1"/>
  <c r="J28" i="33"/>
  <c r="K28" i="33" s="1"/>
  <c r="I28" i="33"/>
  <c r="B28" i="33"/>
  <c r="M27" i="33"/>
  <c r="J27" i="33"/>
  <c r="K27" i="33" s="1"/>
  <c r="I27" i="33"/>
  <c r="B27" i="33"/>
  <c r="A27" i="33"/>
  <c r="J26" i="33"/>
  <c r="K26" i="33" s="1"/>
  <c r="I26" i="33"/>
  <c r="M26" i="33" s="1"/>
  <c r="A26" i="33" s="1"/>
  <c r="B26" i="33"/>
  <c r="M25" i="33"/>
  <c r="A25" i="33" s="1"/>
  <c r="K25" i="33"/>
  <c r="J25" i="33"/>
  <c r="I25" i="33"/>
  <c r="B25" i="33"/>
  <c r="M24" i="33"/>
  <c r="A24" i="33" s="1"/>
  <c r="J24" i="33"/>
  <c r="K24" i="33" s="1"/>
  <c r="I24" i="33"/>
  <c r="B24" i="33"/>
  <c r="M23" i="33"/>
  <c r="J23" i="33"/>
  <c r="K23" i="33" s="1"/>
  <c r="I23" i="33"/>
  <c r="B23" i="33"/>
  <c r="A23" i="33"/>
  <c r="J22" i="33"/>
  <c r="K22" i="33" s="1"/>
  <c r="I22" i="33"/>
  <c r="M22" i="33" s="1"/>
  <c r="A22" i="33" s="1"/>
  <c r="B22" i="33"/>
  <c r="M21" i="33"/>
  <c r="A21" i="33" s="1"/>
  <c r="K21" i="33"/>
  <c r="J21" i="33"/>
  <c r="I21" i="33"/>
  <c r="B21" i="33"/>
  <c r="M20" i="33"/>
  <c r="A20" i="33" s="1"/>
  <c r="J20" i="33"/>
  <c r="K20" i="33" s="1"/>
  <c r="I20" i="33"/>
  <c r="B20" i="33"/>
  <c r="M19" i="33"/>
  <c r="J19" i="33"/>
  <c r="K19" i="33" s="1"/>
  <c r="I19" i="33"/>
  <c r="B19" i="33"/>
  <c r="A19" i="33"/>
  <c r="J18" i="33"/>
  <c r="K18" i="33" s="1"/>
  <c r="I18" i="33"/>
  <c r="M18" i="33" s="1"/>
  <c r="A18" i="33" s="1"/>
  <c r="B18" i="33"/>
  <c r="M17" i="33"/>
  <c r="A17" i="33" s="1"/>
  <c r="K17" i="33"/>
  <c r="J17" i="33"/>
  <c r="I17" i="33"/>
  <c r="B17" i="33"/>
  <c r="AI16" i="33"/>
  <c r="K16" i="33"/>
  <c r="J16" i="33"/>
  <c r="I16" i="33"/>
  <c r="M16" i="33" s="1"/>
  <c r="A16" i="33" s="1"/>
  <c r="B16" i="33"/>
  <c r="K15" i="33"/>
  <c r="J15" i="33"/>
  <c r="I15" i="33"/>
  <c r="M15" i="33" s="1"/>
  <c r="A15" i="33" s="1"/>
  <c r="B15" i="33"/>
  <c r="AI14" i="33"/>
  <c r="M14" i="33"/>
  <c r="J14" i="33"/>
  <c r="K14" i="33" s="1"/>
  <c r="I14" i="33"/>
  <c r="B14" i="33"/>
  <c r="A14" i="33"/>
  <c r="AI13" i="33"/>
  <c r="J13" i="33"/>
  <c r="K13" i="33" s="1"/>
  <c r="I13" i="33"/>
  <c r="M13" i="33" s="1"/>
  <c r="A13" i="33" s="1"/>
  <c r="B13" i="33"/>
  <c r="AI12" i="33"/>
  <c r="J12" i="33"/>
  <c r="K12" i="33" s="1"/>
  <c r="I12" i="33"/>
  <c r="M12" i="33" s="1"/>
  <c r="A12" i="33" s="1"/>
  <c r="B12" i="33"/>
  <c r="M11" i="33"/>
  <c r="A11" i="33" s="1"/>
  <c r="K11" i="33"/>
  <c r="J11" i="33"/>
  <c r="I11" i="33"/>
  <c r="B11" i="33"/>
  <c r="M10" i="33"/>
  <c r="A10" i="33" s="1"/>
  <c r="J10" i="33"/>
  <c r="K10" i="33" s="1"/>
  <c r="I10" i="33"/>
  <c r="B10" i="33"/>
  <c r="K9" i="33"/>
  <c r="J9" i="33"/>
  <c r="I9" i="33"/>
  <c r="M9" i="33" s="1"/>
  <c r="A9" i="33" s="1"/>
  <c r="B9" i="33"/>
  <c r="J8" i="33"/>
  <c r="K8" i="33" s="1"/>
  <c r="I8" i="33"/>
  <c r="M8" i="33" s="1"/>
  <c r="A8" i="33" s="1"/>
  <c r="B8" i="33"/>
  <c r="J7" i="33"/>
  <c r="K7" i="33" s="1"/>
  <c r="I7" i="33"/>
  <c r="M7" i="33" s="1"/>
  <c r="A7" i="33" s="1"/>
  <c r="B7" i="33"/>
  <c r="J6" i="33"/>
  <c r="K6" i="33" s="1"/>
  <c r="I6" i="33"/>
  <c r="M6" i="33" s="1"/>
  <c r="A6" i="33" s="1"/>
  <c r="B6" i="33"/>
  <c r="K2" i="33"/>
  <c r="L6" i="33" s="1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J302" i="32"/>
  <c r="K302" i="32" s="1"/>
  <c r="I302" i="32"/>
  <c r="M302" i="32" s="1"/>
  <c r="J301" i="32"/>
  <c r="K301" i="32" s="1"/>
  <c r="I301" i="32"/>
  <c r="M301" i="32" s="1"/>
  <c r="J300" i="32"/>
  <c r="K300" i="32" s="1"/>
  <c r="I300" i="32"/>
  <c r="M300" i="32" s="1"/>
  <c r="J299" i="32"/>
  <c r="K299" i="32" s="1"/>
  <c r="I299" i="32"/>
  <c r="M299" i="32" s="1"/>
  <c r="J298" i="32"/>
  <c r="K298" i="32" s="1"/>
  <c r="I298" i="32"/>
  <c r="M298" i="32" s="1"/>
  <c r="J297" i="32"/>
  <c r="K297" i="32" s="1"/>
  <c r="I297" i="32"/>
  <c r="M297" i="32" s="1"/>
  <c r="J296" i="32"/>
  <c r="K296" i="32" s="1"/>
  <c r="I296" i="32"/>
  <c r="M296" i="32" s="1"/>
  <c r="J295" i="32"/>
  <c r="K295" i="32" s="1"/>
  <c r="I295" i="32"/>
  <c r="M295" i="32" s="1"/>
  <c r="J294" i="32"/>
  <c r="K294" i="32" s="1"/>
  <c r="I294" i="32"/>
  <c r="M294" i="32" s="1"/>
  <c r="J293" i="32"/>
  <c r="K293" i="32" s="1"/>
  <c r="I293" i="32"/>
  <c r="M293" i="32" s="1"/>
  <c r="J292" i="32"/>
  <c r="K292" i="32" s="1"/>
  <c r="I292" i="32"/>
  <c r="M292" i="32" s="1"/>
  <c r="J291" i="32"/>
  <c r="K291" i="32" s="1"/>
  <c r="I291" i="32"/>
  <c r="M291" i="32" s="1"/>
  <c r="J290" i="32"/>
  <c r="K290" i="32" s="1"/>
  <c r="I290" i="32"/>
  <c r="M290" i="32" s="1"/>
  <c r="J289" i="32"/>
  <c r="K289" i="32" s="1"/>
  <c r="I289" i="32"/>
  <c r="M289" i="32" s="1"/>
  <c r="J288" i="32"/>
  <c r="K288" i="32" s="1"/>
  <c r="I288" i="32"/>
  <c r="M288" i="32" s="1"/>
  <c r="J287" i="32"/>
  <c r="K287" i="32" s="1"/>
  <c r="I287" i="32"/>
  <c r="M287" i="32" s="1"/>
  <c r="J286" i="32"/>
  <c r="K286" i="32" s="1"/>
  <c r="I286" i="32"/>
  <c r="M286" i="32" s="1"/>
  <c r="J285" i="32"/>
  <c r="K285" i="32" s="1"/>
  <c r="I285" i="32"/>
  <c r="M285" i="32" s="1"/>
  <c r="J284" i="32"/>
  <c r="K284" i="32" s="1"/>
  <c r="I284" i="32"/>
  <c r="M284" i="32" s="1"/>
  <c r="J283" i="32"/>
  <c r="K283" i="32" s="1"/>
  <c r="I283" i="32"/>
  <c r="M283" i="32" s="1"/>
  <c r="J282" i="32"/>
  <c r="K282" i="32" s="1"/>
  <c r="I282" i="32"/>
  <c r="M282" i="32" s="1"/>
  <c r="J281" i="32"/>
  <c r="K281" i="32" s="1"/>
  <c r="I281" i="32"/>
  <c r="M281" i="32" s="1"/>
  <c r="J280" i="32"/>
  <c r="K280" i="32" s="1"/>
  <c r="I280" i="32"/>
  <c r="M280" i="32" s="1"/>
  <c r="J279" i="32"/>
  <c r="K279" i="32" s="1"/>
  <c r="I279" i="32"/>
  <c r="M279" i="32" s="1"/>
  <c r="J278" i="32"/>
  <c r="K278" i="32" s="1"/>
  <c r="I278" i="32"/>
  <c r="M278" i="32" s="1"/>
  <c r="J277" i="32"/>
  <c r="K277" i="32" s="1"/>
  <c r="I277" i="32"/>
  <c r="M277" i="32" s="1"/>
  <c r="J276" i="32"/>
  <c r="K276" i="32" s="1"/>
  <c r="I276" i="32"/>
  <c r="M276" i="32" s="1"/>
  <c r="J275" i="32"/>
  <c r="K275" i="32" s="1"/>
  <c r="I275" i="32"/>
  <c r="M275" i="32" s="1"/>
  <c r="J274" i="32"/>
  <c r="K274" i="32" s="1"/>
  <c r="I274" i="32"/>
  <c r="M274" i="32" s="1"/>
  <c r="J273" i="32"/>
  <c r="K273" i="32" s="1"/>
  <c r="I273" i="32"/>
  <c r="M273" i="32" s="1"/>
  <c r="J272" i="32"/>
  <c r="K272" i="32" s="1"/>
  <c r="I272" i="32"/>
  <c r="M272" i="32" s="1"/>
  <c r="J271" i="32"/>
  <c r="K271" i="32" s="1"/>
  <c r="I271" i="32"/>
  <c r="M271" i="32" s="1"/>
  <c r="J270" i="32"/>
  <c r="K270" i="32" s="1"/>
  <c r="I270" i="32"/>
  <c r="M270" i="32" s="1"/>
  <c r="J269" i="32"/>
  <c r="K269" i="32" s="1"/>
  <c r="I269" i="32"/>
  <c r="M269" i="32" s="1"/>
  <c r="J268" i="32"/>
  <c r="K268" i="32" s="1"/>
  <c r="I268" i="32"/>
  <c r="M268" i="32" s="1"/>
  <c r="J267" i="32"/>
  <c r="K267" i="32" s="1"/>
  <c r="I267" i="32"/>
  <c r="M267" i="32" s="1"/>
  <c r="J266" i="32"/>
  <c r="K266" i="32" s="1"/>
  <c r="I266" i="32"/>
  <c r="M266" i="32" s="1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J262" i="32"/>
  <c r="K262" i="32" s="1"/>
  <c r="I262" i="32"/>
  <c r="M262" i="32" s="1"/>
  <c r="J261" i="32"/>
  <c r="K261" i="32" s="1"/>
  <c r="I261" i="32"/>
  <c r="M261" i="32" s="1"/>
  <c r="J260" i="32"/>
  <c r="K260" i="32" s="1"/>
  <c r="I260" i="32"/>
  <c r="M260" i="32" s="1"/>
  <c r="J259" i="32"/>
  <c r="K259" i="32" s="1"/>
  <c r="I259" i="32"/>
  <c r="M259" i="32" s="1"/>
  <c r="J258" i="32"/>
  <c r="K258" i="32" s="1"/>
  <c r="I258" i="32"/>
  <c r="M258" i="32" s="1"/>
  <c r="J257" i="32"/>
  <c r="K257" i="32" s="1"/>
  <c r="I257" i="32"/>
  <c r="M257" i="32" s="1"/>
  <c r="J256" i="32"/>
  <c r="K256" i="32" s="1"/>
  <c r="I256" i="32"/>
  <c r="M256" i="32" s="1"/>
  <c r="J255" i="32"/>
  <c r="K255" i="32" s="1"/>
  <c r="I255" i="32"/>
  <c r="M255" i="32" s="1"/>
  <c r="J254" i="32"/>
  <c r="K254" i="32" s="1"/>
  <c r="I254" i="32"/>
  <c r="M254" i="32" s="1"/>
  <c r="J253" i="32"/>
  <c r="K253" i="32" s="1"/>
  <c r="I253" i="32"/>
  <c r="M253" i="32" s="1"/>
  <c r="J252" i="32"/>
  <c r="K252" i="32" s="1"/>
  <c r="I252" i="32"/>
  <c r="M252" i="32" s="1"/>
  <c r="J251" i="32"/>
  <c r="K251" i="32" s="1"/>
  <c r="I251" i="32"/>
  <c r="M251" i="32" s="1"/>
  <c r="J250" i="32"/>
  <c r="K250" i="32" s="1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J246" i="32"/>
  <c r="K246" i="32" s="1"/>
  <c r="I246" i="32"/>
  <c r="M246" i="32" s="1"/>
  <c r="J245" i="32"/>
  <c r="K245" i="32" s="1"/>
  <c r="I245" i="32"/>
  <c r="M245" i="32" s="1"/>
  <c r="J244" i="32"/>
  <c r="K244" i="32" s="1"/>
  <c r="I244" i="32"/>
  <c r="M244" i="32" s="1"/>
  <c r="J243" i="32"/>
  <c r="K243" i="32" s="1"/>
  <c r="I243" i="32"/>
  <c r="M243" i="32" s="1"/>
  <c r="J242" i="32"/>
  <c r="K242" i="32" s="1"/>
  <c r="I242" i="32"/>
  <c r="M242" i="32" s="1"/>
  <c r="J241" i="32"/>
  <c r="K241" i="32" s="1"/>
  <c r="I241" i="32"/>
  <c r="M241" i="32" s="1"/>
  <c r="J240" i="32"/>
  <c r="K240" i="32" s="1"/>
  <c r="I240" i="32"/>
  <c r="M240" i="32" s="1"/>
  <c r="J239" i="32"/>
  <c r="K239" i="32" s="1"/>
  <c r="I239" i="32"/>
  <c r="M239" i="32" s="1"/>
  <c r="J238" i="32"/>
  <c r="K238" i="32" s="1"/>
  <c r="I238" i="32"/>
  <c r="M238" i="32" s="1"/>
  <c r="J237" i="32"/>
  <c r="K237" i="32" s="1"/>
  <c r="I237" i="32"/>
  <c r="M237" i="32" s="1"/>
  <c r="J236" i="32"/>
  <c r="K236" i="32" s="1"/>
  <c r="I236" i="32"/>
  <c r="M236" i="32" s="1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J230" i="32"/>
  <c r="K230" i="32" s="1"/>
  <c r="I230" i="32"/>
  <c r="M230" i="32" s="1"/>
  <c r="J229" i="32"/>
  <c r="K229" i="32" s="1"/>
  <c r="I229" i="32"/>
  <c r="M229" i="32" s="1"/>
  <c r="J228" i="32"/>
  <c r="K228" i="32" s="1"/>
  <c r="I228" i="32"/>
  <c r="M228" i="32" s="1"/>
  <c r="J227" i="32"/>
  <c r="K227" i="32" s="1"/>
  <c r="I227" i="32"/>
  <c r="M227" i="32" s="1"/>
  <c r="J226" i="32"/>
  <c r="K226" i="32" s="1"/>
  <c r="I226" i="32"/>
  <c r="M226" i="32" s="1"/>
  <c r="J225" i="32"/>
  <c r="K225" i="32" s="1"/>
  <c r="I225" i="32"/>
  <c r="M225" i="32" s="1"/>
  <c r="J224" i="32"/>
  <c r="K224" i="32" s="1"/>
  <c r="I224" i="32"/>
  <c r="M224" i="32" s="1"/>
  <c r="J223" i="32"/>
  <c r="K223" i="32" s="1"/>
  <c r="I223" i="32"/>
  <c r="M223" i="32" s="1"/>
  <c r="J222" i="32"/>
  <c r="K222" i="32" s="1"/>
  <c r="I222" i="32"/>
  <c r="M222" i="32" s="1"/>
  <c r="J221" i="32"/>
  <c r="K221" i="32" s="1"/>
  <c r="I221" i="32"/>
  <c r="M221" i="32" s="1"/>
  <c r="J220" i="32"/>
  <c r="K220" i="32" s="1"/>
  <c r="I220" i="32"/>
  <c r="M220" i="32" s="1"/>
  <c r="J219" i="32"/>
  <c r="K219" i="32" s="1"/>
  <c r="I219" i="32"/>
  <c r="M219" i="32" s="1"/>
  <c r="J218" i="32"/>
  <c r="K218" i="32" s="1"/>
  <c r="I218" i="32"/>
  <c r="M218" i="32" s="1"/>
  <c r="J217" i="32"/>
  <c r="K217" i="32" s="1"/>
  <c r="I217" i="32"/>
  <c r="M217" i="32" s="1"/>
  <c r="J216" i="32"/>
  <c r="K216" i="32" s="1"/>
  <c r="I216" i="32"/>
  <c r="M216" i="32" s="1"/>
  <c r="J215" i="32"/>
  <c r="K215" i="32" s="1"/>
  <c r="I215" i="32"/>
  <c r="M215" i="32" s="1"/>
  <c r="J214" i="32"/>
  <c r="K214" i="32" s="1"/>
  <c r="I214" i="32"/>
  <c r="M214" i="32" s="1"/>
  <c r="J213" i="32"/>
  <c r="K213" i="32" s="1"/>
  <c r="I213" i="32"/>
  <c r="M213" i="32" s="1"/>
  <c r="J212" i="32"/>
  <c r="K212" i="32" s="1"/>
  <c r="I212" i="32"/>
  <c r="M212" i="32" s="1"/>
  <c r="J211" i="32"/>
  <c r="K211" i="32" s="1"/>
  <c r="I211" i="32"/>
  <c r="M211" i="32" s="1"/>
  <c r="J210" i="32"/>
  <c r="K210" i="32" s="1"/>
  <c r="I210" i="32"/>
  <c r="M210" i="32" s="1"/>
  <c r="J209" i="32"/>
  <c r="K209" i="32" s="1"/>
  <c r="I209" i="32"/>
  <c r="M209" i="32" s="1"/>
  <c r="J208" i="32"/>
  <c r="K208" i="32" s="1"/>
  <c r="I208" i="32"/>
  <c r="M208" i="32" s="1"/>
  <c r="J207" i="32"/>
  <c r="K207" i="32" s="1"/>
  <c r="I207" i="32"/>
  <c r="M207" i="32" s="1"/>
  <c r="J206" i="32"/>
  <c r="K206" i="32" s="1"/>
  <c r="I206" i="32"/>
  <c r="M206" i="32" s="1"/>
  <c r="J205" i="32"/>
  <c r="K205" i="32" s="1"/>
  <c r="I205" i="32"/>
  <c r="M205" i="32" s="1"/>
  <c r="J204" i="32"/>
  <c r="K204" i="32" s="1"/>
  <c r="I204" i="32"/>
  <c r="M204" i="32" s="1"/>
  <c r="J203" i="32"/>
  <c r="K203" i="32" s="1"/>
  <c r="I203" i="32"/>
  <c r="M203" i="32" s="1"/>
  <c r="J202" i="32"/>
  <c r="K202" i="32" s="1"/>
  <c r="I202" i="32"/>
  <c r="M202" i="32" s="1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J198" i="32"/>
  <c r="K198" i="32" s="1"/>
  <c r="I198" i="32"/>
  <c r="M198" i="32" s="1"/>
  <c r="J197" i="32"/>
  <c r="K197" i="32" s="1"/>
  <c r="I197" i="32"/>
  <c r="M197" i="32" s="1"/>
  <c r="J196" i="32"/>
  <c r="K196" i="32" s="1"/>
  <c r="I196" i="32"/>
  <c r="M196" i="32" s="1"/>
  <c r="J195" i="32"/>
  <c r="K195" i="32" s="1"/>
  <c r="I195" i="32"/>
  <c r="M195" i="32" s="1"/>
  <c r="J194" i="32"/>
  <c r="K194" i="32" s="1"/>
  <c r="I194" i="32"/>
  <c r="M194" i="32" s="1"/>
  <c r="J193" i="32"/>
  <c r="K193" i="32" s="1"/>
  <c r="I193" i="32"/>
  <c r="M193" i="32" s="1"/>
  <c r="J192" i="32"/>
  <c r="K192" i="32" s="1"/>
  <c r="I192" i="32"/>
  <c r="M192" i="32" s="1"/>
  <c r="J191" i="32"/>
  <c r="K191" i="32" s="1"/>
  <c r="I191" i="32"/>
  <c r="M191" i="32" s="1"/>
  <c r="J190" i="32"/>
  <c r="K190" i="32" s="1"/>
  <c r="I190" i="32"/>
  <c r="M190" i="32" s="1"/>
  <c r="J189" i="32"/>
  <c r="K189" i="32" s="1"/>
  <c r="I189" i="32"/>
  <c r="M189" i="32" s="1"/>
  <c r="J188" i="32"/>
  <c r="K188" i="32" s="1"/>
  <c r="I188" i="32"/>
  <c r="M188" i="32" s="1"/>
  <c r="J187" i="32"/>
  <c r="K187" i="32" s="1"/>
  <c r="I187" i="32"/>
  <c r="M187" i="32" s="1"/>
  <c r="J186" i="32"/>
  <c r="K186" i="32" s="1"/>
  <c r="I186" i="32"/>
  <c r="M186" i="32" s="1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J182" i="32"/>
  <c r="K182" i="32" s="1"/>
  <c r="I182" i="32"/>
  <c r="M182" i="32" s="1"/>
  <c r="J181" i="32"/>
  <c r="K181" i="32" s="1"/>
  <c r="I181" i="32"/>
  <c r="M181" i="32" s="1"/>
  <c r="J180" i="32"/>
  <c r="K180" i="32" s="1"/>
  <c r="I180" i="32"/>
  <c r="M180" i="32" s="1"/>
  <c r="J179" i="32"/>
  <c r="K179" i="32" s="1"/>
  <c r="I179" i="32"/>
  <c r="M179" i="32" s="1"/>
  <c r="J178" i="32"/>
  <c r="K178" i="32" s="1"/>
  <c r="I178" i="32"/>
  <c r="M178" i="32" s="1"/>
  <c r="J177" i="32"/>
  <c r="K177" i="32" s="1"/>
  <c r="I177" i="32"/>
  <c r="M177" i="32" s="1"/>
  <c r="J176" i="32"/>
  <c r="K176" i="32" s="1"/>
  <c r="I176" i="32"/>
  <c r="M176" i="32" s="1"/>
  <c r="J175" i="32"/>
  <c r="K175" i="32" s="1"/>
  <c r="I175" i="32"/>
  <c r="M175" i="32" s="1"/>
  <c r="J174" i="32"/>
  <c r="K174" i="32" s="1"/>
  <c r="I174" i="32"/>
  <c r="M174" i="32" s="1"/>
  <c r="J173" i="32"/>
  <c r="K173" i="32" s="1"/>
  <c r="I173" i="32"/>
  <c r="M173" i="32" s="1"/>
  <c r="J172" i="32"/>
  <c r="K172" i="32" s="1"/>
  <c r="I172" i="32"/>
  <c r="M172" i="32" s="1"/>
  <c r="J171" i="32"/>
  <c r="K171" i="32" s="1"/>
  <c r="I171" i="32"/>
  <c r="M171" i="32" s="1"/>
  <c r="J170" i="32"/>
  <c r="K170" i="32" s="1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J166" i="32"/>
  <c r="K166" i="32" s="1"/>
  <c r="I166" i="32"/>
  <c r="M166" i="32" s="1"/>
  <c r="J165" i="32"/>
  <c r="K165" i="32" s="1"/>
  <c r="I165" i="32"/>
  <c r="M165" i="32" s="1"/>
  <c r="J164" i="32"/>
  <c r="K164" i="32" s="1"/>
  <c r="I164" i="32"/>
  <c r="M164" i="32" s="1"/>
  <c r="J163" i="32"/>
  <c r="K163" i="32" s="1"/>
  <c r="I163" i="32"/>
  <c r="M163" i="32" s="1"/>
  <c r="J162" i="32"/>
  <c r="K162" i="32" s="1"/>
  <c r="I162" i="32"/>
  <c r="M162" i="32" s="1"/>
  <c r="J161" i="32"/>
  <c r="K161" i="32" s="1"/>
  <c r="I161" i="32"/>
  <c r="M161" i="32" s="1"/>
  <c r="J160" i="32"/>
  <c r="K160" i="32" s="1"/>
  <c r="I160" i="32"/>
  <c r="M160" i="32" s="1"/>
  <c r="J159" i="32"/>
  <c r="K159" i="32" s="1"/>
  <c r="I159" i="32"/>
  <c r="M159" i="32" s="1"/>
  <c r="J158" i="32"/>
  <c r="K158" i="32" s="1"/>
  <c r="I158" i="32"/>
  <c r="M158" i="32" s="1"/>
  <c r="J157" i="32"/>
  <c r="K157" i="32" s="1"/>
  <c r="I157" i="32"/>
  <c r="M157" i="32" s="1"/>
  <c r="J156" i="32"/>
  <c r="K156" i="32" s="1"/>
  <c r="I156" i="32"/>
  <c r="M156" i="32" s="1"/>
  <c r="J155" i="32"/>
  <c r="K155" i="32" s="1"/>
  <c r="I155" i="32"/>
  <c r="M155" i="32" s="1"/>
  <c r="J154" i="32"/>
  <c r="K154" i="32" s="1"/>
  <c r="I154" i="32"/>
  <c r="M154" i="32" s="1"/>
  <c r="J153" i="32"/>
  <c r="K153" i="32" s="1"/>
  <c r="I153" i="32"/>
  <c r="M153" i="32" s="1"/>
  <c r="J152" i="32"/>
  <c r="K152" i="32" s="1"/>
  <c r="I152" i="32"/>
  <c r="M152" i="32" s="1"/>
  <c r="J151" i="32"/>
  <c r="K151" i="32" s="1"/>
  <c r="I151" i="32"/>
  <c r="M151" i="32" s="1"/>
  <c r="J150" i="32"/>
  <c r="K150" i="32" s="1"/>
  <c r="I150" i="32"/>
  <c r="M150" i="32" s="1"/>
  <c r="J149" i="32"/>
  <c r="K149" i="32" s="1"/>
  <c r="I149" i="32"/>
  <c r="M149" i="32" s="1"/>
  <c r="J148" i="32"/>
  <c r="K148" i="32" s="1"/>
  <c r="I148" i="32"/>
  <c r="M148" i="32" s="1"/>
  <c r="J147" i="32"/>
  <c r="K147" i="32" s="1"/>
  <c r="I147" i="32"/>
  <c r="M147" i="32" s="1"/>
  <c r="J146" i="32"/>
  <c r="K146" i="32" s="1"/>
  <c r="I146" i="32"/>
  <c r="M146" i="32" s="1"/>
  <c r="J145" i="32"/>
  <c r="K145" i="32" s="1"/>
  <c r="I145" i="32"/>
  <c r="M145" i="32" s="1"/>
  <c r="J144" i="32"/>
  <c r="K144" i="32" s="1"/>
  <c r="I144" i="32"/>
  <c r="M144" i="32" s="1"/>
  <c r="J143" i="32"/>
  <c r="K143" i="32" s="1"/>
  <c r="I143" i="32"/>
  <c r="M143" i="32" s="1"/>
  <c r="J142" i="32"/>
  <c r="K142" i="32" s="1"/>
  <c r="I142" i="32"/>
  <c r="M142" i="32" s="1"/>
  <c r="J141" i="32"/>
  <c r="K141" i="32" s="1"/>
  <c r="I141" i="32"/>
  <c r="M141" i="32" s="1"/>
  <c r="J140" i="32"/>
  <c r="K140" i="32" s="1"/>
  <c r="I140" i="32"/>
  <c r="M140" i="32" s="1"/>
  <c r="J139" i="32"/>
  <c r="K139" i="32" s="1"/>
  <c r="I139" i="32"/>
  <c r="M139" i="32" s="1"/>
  <c r="J138" i="32"/>
  <c r="K138" i="32" s="1"/>
  <c r="I138" i="32"/>
  <c r="M138" i="32" s="1"/>
  <c r="J137" i="32"/>
  <c r="K137" i="32" s="1"/>
  <c r="I137" i="32"/>
  <c r="M137" i="32" s="1"/>
  <c r="J136" i="32"/>
  <c r="K136" i="32" s="1"/>
  <c r="I136" i="32"/>
  <c r="M136" i="32" s="1"/>
  <c r="J135" i="32"/>
  <c r="K135" i="32" s="1"/>
  <c r="I135" i="32"/>
  <c r="M135" i="32" s="1"/>
  <c r="J134" i="32"/>
  <c r="K134" i="32" s="1"/>
  <c r="I134" i="32"/>
  <c r="M134" i="32" s="1"/>
  <c r="J133" i="32"/>
  <c r="K133" i="32" s="1"/>
  <c r="I133" i="32"/>
  <c r="M133" i="32" s="1"/>
  <c r="J132" i="32"/>
  <c r="K132" i="32" s="1"/>
  <c r="I132" i="32"/>
  <c r="M132" i="32" s="1"/>
  <c r="J131" i="32"/>
  <c r="K131" i="32" s="1"/>
  <c r="I131" i="32"/>
  <c r="M131" i="32" s="1"/>
  <c r="J130" i="32"/>
  <c r="K130" i="32" s="1"/>
  <c r="I130" i="32"/>
  <c r="M130" i="32" s="1"/>
  <c r="J129" i="32"/>
  <c r="K129" i="32" s="1"/>
  <c r="I129" i="32"/>
  <c r="M129" i="32" s="1"/>
  <c r="J128" i="32"/>
  <c r="K128" i="32" s="1"/>
  <c r="I128" i="32"/>
  <c r="M128" i="32" s="1"/>
  <c r="J127" i="32"/>
  <c r="K127" i="32" s="1"/>
  <c r="I127" i="32"/>
  <c r="M127" i="32" s="1"/>
  <c r="J126" i="32"/>
  <c r="K126" i="32" s="1"/>
  <c r="I126" i="32"/>
  <c r="M126" i="32" s="1"/>
  <c r="J125" i="32"/>
  <c r="K125" i="32" s="1"/>
  <c r="I125" i="32"/>
  <c r="M125" i="32" s="1"/>
  <c r="J124" i="32"/>
  <c r="K124" i="32" s="1"/>
  <c r="I124" i="32"/>
  <c r="M124" i="32" s="1"/>
  <c r="J123" i="32"/>
  <c r="K123" i="32" s="1"/>
  <c r="I123" i="32"/>
  <c r="M123" i="32" s="1"/>
  <c r="J122" i="32"/>
  <c r="K122" i="32" s="1"/>
  <c r="I122" i="32"/>
  <c r="M122" i="32" s="1"/>
  <c r="J121" i="32"/>
  <c r="K121" i="32" s="1"/>
  <c r="I121" i="32"/>
  <c r="M121" i="32" s="1"/>
  <c r="J120" i="32"/>
  <c r="K120" i="32" s="1"/>
  <c r="I120" i="32"/>
  <c r="M120" i="32" s="1"/>
  <c r="J119" i="32"/>
  <c r="K119" i="32" s="1"/>
  <c r="I119" i="32"/>
  <c r="M119" i="32" s="1"/>
  <c r="J118" i="32"/>
  <c r="K118" i="32" s="1"/>
  <c r="I118" i="32"/>
  <c r="M118" i="32" s="1"/>
  <c r="J117" i="32"/>
  <c r="K117" i="32" s="1"/>
  <c r="I117" i="32"/>
  <c r="M117" i="32" s="1"/>
  <c r="J116" i="32"/>
  <c r="K116" i="32" s="1"/>
  <c r="I116" i="32"/>
  <c r="M116" i="32" s="1"/>
  <c r="J115" i="32"/>
  <c r="K115" i="32" s="1"/>
  <c r="I115" i="32"/>
  <c r="M115" i="32" s="1"/>
  <c r="J114" i="32"/>
  <c r="K114" i="32" s="1"/>
  <c r="I114" i="32"/>
  <c r="M114" i="32" s="1"/>
  <c r="J113" i="32"/>
  <c r="K113" i="32" s="1"/>
  <c r="I113" i="32"/>
  <c r="M113" i="32" s="1"/>
  <c r="J112" i="32"/>
  <c r="K112" i="32" s="1"/>
  <c r="I112" i="32"/>
  <c r="M112" i="32" s="1"/>
  <c r="J111" i="32"/>
  <c r="K111" i="32" s="1"/>
  <c r="I111" i="32"/>
  <c r="M111" i="32" s="1"/>
  <c r="J110" i="32"/>
  <c r="K110" i="32" s="1"/>
  <c r="I110" i="32"/>
  <c r="M110" i="32" s="1"/>
  <c r="J109" i="32"/>
  <c r="K109" i="32" s="1"/>
  <c r="I109" i="32"/>
  <c r="M109" i="32" s="1"/>
  <c r="J108" i="32"/>
  <c r="K108" i="32" s="1"/>
  <c r="I108" i="32"/>
  <c r="M108" i="32" s="1"/>
  <c r="J107" i="32"/>
  <c r="K107" i="32" s="1"/>
  <c r="I107" i="32"/>
  <c r="M107" i="32" s="1"/>
  <c r="J106" i="32"/>
  <c r="K106" i="32" s="1"/>
  <c r="I106" i="32"/>
  <c r="M106" i="32" s="1"/>
  <c r="J105" i="32"/>
  <c r="K105" i="32" s="1"/>
  <c r="I105" i="32"/>
  <c r="M105" i="32" s="1"/>
  <c r="J104" i="32"/>
  <c r="K104" i="32" s="1"/>
  <c r="I104" i="32"/>
  <c r="M104" i="32" s="1"/>
  <c r="J103" i="32"/>
  <c r="K103" i="32" s="1"/>
  <c r="I103" i="32"/>
  <c r="M103" i="32" s="1"/>
  <c r="J102" i="32"/>
  <c r="K102" i="32" s="1"/>
  <c r="I102" i="32"/>
  <c r="M102" i="32" s="1"/>
  <c r="J101" i="32"/>
  <c r="K101" i="32" s="1"/>
  <c r="I101" i="32"/>
  <c r="M101" i="32" s="1"/>
  <c r="J100" i="32"/>
  <c r="K100" i="32" s="1"/>
  <c r="I100" i="32"/>
  <c r="M100" i="32" s="1"/>
  <c r="J99" i="32"/>
  <c r="K99" i="32" s="1"/>
  <c r="I99" i="32"/>
  <c r="M99" i="32" s="1"/>
  <c r="J98" i="32"/>
  <c r="K98" i="32" s="1"/>
  <c r="I98" i="32"/>
  <c r="M98" i="32" s="1"/>
  <c r="J97" i="32"/>
  <c r="K97" i="32" s="1"/>
  <c r="I97" i="32"/>
  <c r="M97" i="32" s="1"/>
  <c r="J96" i="32"/>
  <c r="K96" i="32" s="1"/>
  <c r="I96" i="32"/>
  <c r="M96" i="32" s="1"/>
  <c r="J95" i="32"/>
  <c r="K95" i="32" s="1"/>
  <c r="I95" i="32"/>
  <c r="M95" i="32" s="1"/>
  <c r="J94" i="32"/>
  <c r="K94" i="32" s="1"/>
  <c r="I94" i="32"/>
  <c r="M94" i="32" s="1"/>
  <c r="J93" i="32"/>
  <c r="K93" i="32" s="1"/>
  <c r="I93" i="32"/>
  <c r="M93" i="32" s="1"/>
  <c r="J92" i="32"/>
  <c r="K92" i="32" s="1"/>
  <c r="I92" i="32"/>
  <c r="M92" i="32" s="1"/>
  <c r="J91" i="32"/>
  <c r="K91" i="32" s="1"/>
  <c r="I91" i="32"/>
  <c r="M91" i="32" s="1"/>
  <c r="J90" i="32"/>
  <c r="K90" i="32" s="1"/>
  <c r="I90" i="32"/>
  <c r="M90" i="32" s="1"/>
  <c r="J89" i="32"/>
  <c r="K89" i="32" s="1"/>
  <c r="I89" i="32"/>
  <c r="M89" i="32" s="1"/>
  <c r="J88" i="32"/>
  <c r="K88" i="32" s="1"/>
  <c r="I88" i="32"/>
  <c r="M88" i="32" s="1"/>
  <c r="J87" i="32"/>
  <c r="K87" i="32" s="1"/>
  <c r="I87" i="32"/>
  <c r="M87" i="32" s="1"/>
  <c r="J86" i="32"/>
  <c r="K86" i="32" s="1"/>
  <c r="I86" i="32"/>
  <c r="M86" i="32" s="1"/>
  <c r="J85" i="32"/>
  <c r="K85" i="32" s="1"/>
  <c r="I85" i="32"/>
  <c r="M85" i="32" s="1"/>
  <c r="J84" i="32"/>
  <c r="K84" i="32" s="1"/>
  <c r="I84" i="32"/>
  <c r="M84" i="32" s="1"/>
  <c r="J83" i="32"/>
  <c r="K83" i="32" s="1"/>
  <c r="I83" i="32"/>
  <c r="M83" i="32" s="1"/>
  <c r="J82" i="32"/>
  <c r="K82" i="32" s="1"/>
  <c r="I82" i="32"/>
  <c r="M82" i="32" s="1"/>
  <c r="J81" i="32"/>
  <c r="K81" i="32" s="1"/>
  <c r="I81" i="32"/>
  <c r="M81" i="32" s="1"/>
  <c r="J80" i="32"/>
  <c r="K80" i="32" s="1"/>
  <c r="I80" i="32"/>
  <c r="M80" i="32" s="1"/>
  <c r="J79" i="32"/>
  <c r="K79" i="32" s="1"/>
  <c r="I79" i="32"/>
  <c r="M79" i="32" s="1"/>
  <c r="A79" i="32" s="1"/>
  <c r="J78" i="32"/>
  <c r="K78" i="32" s="1"/>
  <c r="I78" i="32"/>
  <c r="M78" i="32" s="1"/>
  <c r="A78" i="32" s="1"/>
  <c r="J77" i="32"/>
  <c r="K77" i="32" s="1"/>
  <c r="I77" i="32"/>
  <c r="M77" i="32" s="1"/>
  <c r="A77" i="32"/>
  <c r="J76" i="32"/>
  <c r="K76" i="32" s="1"/>
  <c r="I76" i="32"/>
  <c r="M76" i="32" s="1"/>
  <c r="A76" i="32" s="1"/>
  <c r="J75" i="32"/>
  <c r="K75" i="32" s="1"/>
  <c r="I75" i="32"/>
  <c r="M75" i="32" s="1"/>
  <c r="A75" i="32" s="1"/>
  <c r="J74" i="32"/>
  <c r="K74" i="32" s="1"/>
  <c r="I74" i="32"/>
  <c r="M74" i="32" s="1"/>
  <c r="A74" i="32" s="1"/>
  <c r="J73" i="32"/>
  <c r="K73" i="32" s="1"/>
  <c r="I73" i="32"/>
  <c r="M73" i="32" s="1"/>
  <c r="A73" i="32" s="1"/>
  <c r="J72" i="32"/>
  <c r="K72" i="32" s="1"/>
  <c r="I72" i="32"/>
  <c r="M72" i="32" s="1"/>
  <c r="A72" i="32" s="1"/>
  <c r="J71" i="32"/>
  <c r="K71" i="32" s="1"/>
  <c r="I71" i="32"/>
  <c r="M71" i="32" s="1"/>
  <c r="A71" i="32" s="1"/>
  <c r="J70" i="32"/>
  <c r="K70" i="32" s="1"/>
  <c r="I70" i="32"/>
  <c r="M70" i="32" s="1"/>
  <c r="A70" i="32" s="1"/>
  <c r="J69" i="32"/>
  <c r="K69" i="32" s="1"/>
  <c r="I69" i="32"/>
  <c r="M69" i="32" s="1"/>
  <c r="A69" i="32"/>
  <c r="J68" i="32"/>
  <c r="K68" i="32" s="1"/>
  <c r="I68" i="32"/>
  <c r="M68" i="32" s="1"/>
  <c r="A68" i="32" s="1"/>
  <c r="J67" i="32"/>
  <c r="K67" i="32" s="1"/>
  <c r="I67" i="32"/>
  <c r="M67" i="32" s="1"/>
  <c r="A67" i="32" s="1"/>
  <c r="J66" i="32"/>
  <c r="K66" i="32" s="1"/>
  <c r="I66" i="32"/>
  <c r="M66" i="32" s="1"/>
  <c r="A66" i="32" s="1"/>
  <c r="J65" i="32"/>
  <c r="K65" i="32" s="1"/>
  <c r="I65" i="32"/>
  <c r="M65" i="32" s="1"/>
  <c r="A65" i="32" s="1"/>
  <c r="B65" i="32"/>
  <c r="J64" i="32"/>
  <c r="K64" i="32" s="1"/>
  <c r="I64" i="32"/>
  <c r="M64" i="32" s="1"/>
  <c r="A64" i="32" s="1"/>
  <c r="B64" i="32"/>
  <c r="J63" i="32"/>
  <c r="K63" i="32" s="1"/>
  <c r="I63" i="32"/>
  <c r="M63" i="32" s="1"/>
  <c r="B63" i="32"/>
  <c r="A63" i="32"/>
  <c r="J62" i="32"/>
  <c r="K62" i="32" s="1"/>
  <c r="I62" i="32"/>
  <c r="M62" i="32" s="1"/>
  <c r="A62" i="32" s="1"/>
  <c r="B62" i="32"/>
  <c r="J61" i="32"/>
  <c r="K61" i="32" s="1"/>
  <c r="I61" i="32"/>
  <c r="M61" i="32" s="1"/>
  <c r="A61" i="32" s="1"/>
  <c r="B61" i="32"/>
  <c r="J60" i="32"/>
  <c r="K60" i="32" s="1"/>
  <c r="I60" i="32"/>
  <c r="M60" i="32" s="1"/>
  <c r="A60" i="32" s="1"/>
  <c r="B60" i="32"/>
  <c r="J59" i="32"/>
  <c r="K59" i="32" s="1"/>
  <c r="I59" i="32"/>
  <c r="M59" i="32" s="1"/>
  <c r="B59" i="32"/>
  <c r="A59" i="32"/>
  <c r="J58" i="32"/>
  <c r="K58" i="32" s="1"/>
  <c r="I58" i="32"/>
  <c r="M58" i="32" s="1"/>
  <c r="A58" i="32" s="1"/>
  <c r="B58" i="32"/>
  <c r="J57" i="32"/>
  <c r="K57" i="32" s="1"/>
  <c r="I57" i="32"/>
  <c r="M57" i="32" s="1"/>
  <c r="A57" i="32" s="1"/>
  <c r="B57" i="32"/>
  <c r="J56" i="32"/>
  <c r="K56" i="32" s="1"/>
  <c r="I56" i="32"/>
  <c r="M56" i="32" s="1"/>
  <c r="A56" i="32" s="1"/>
  <c r="B56" i="32"/>
  <c r="J55" i="32"/>
  <c r="K55" i="32" s="1"/>
  <c r="I55" i="32"/>
  <c r="M55" i="32" s="1"/>
  <c r="B55" i="32"/>
  <c r="A55" i="32"/>
  <c r="J54" i="32"/>
  <c r="K54" i="32" s="1"/>
  <c r="I54" i="32"/>
  <c r="M54" i="32" s="1"/>
  <c r="A54" i="32" s="1"/>
  <c r="B54" i="32"/>
  <c r="J53" i="32"/>
  <c r="K53" i="32" s="1"/>
  <c r="I53" i="32"/>
  <c r="M53" i="32" s="1"/>
  <c r="A53" i="32" s="1"/>
  <c r="B53" i="32"/>
  <c r="J52" i="32"/>
  <c r="K52" i="32" s="1"/>
  <c r="I52" i="32"/>
  <c r="M52" i="32" s="1"/>
  <c r="A52" i="32" s="1"/>
  <c r="B52" i="32"/>
  <c r="J51" i="32"/>
  <c r="K51" i="32" s="1"/>
  <c r="I51" i="32"/>
  <c r="M51" i="32" s="1"/>
  <c r="B51" i="32"/>
  <c r="A51" i="32"/>
  <c r="J50" i="32"/>
  <c r="K50" i="32" s="1"/>
  <c r="I50" i="32"/>
  <c r="M50" i="32" s="1"/>
  <c r="A50" i="32" s="1"/>
  <c r="B50" i="32"/>
  <c r="J49" i="32"/>
  <c r="K49" i="32" s="1"/>
  <c r="I49" i="32"/>
  <c r="M49" i="32" s="1"/>
  <c r="A49" i="32" s="1"/>
  <c r="B49" i="32"/>
  <c r="J48" i="32"/>
  <c r="K48" i="32" s="1"/>
  <c r="I48" i="32"/>
  <c r="M48" i="32" s="1"/>
  <c r="A48" i="32" s="1"/>
  <c r="B48" i="32"/>
  <c r="J47" i="32"/>
  <c r="K47" i="32" s="1"/>
  <c r="I47" i="32"/>
  <c r="M47" i="32" s="1"/>
  <c r="B47" i="32"/>
  <c r="A47" i="32"/>
  <c r="T46" i="32"/>
  <c r="R46" i="32"/>
  <c r="U46" i="32" s="1"/>
  <c r="J46" i="32"/>
  <c r="K46" i="32" s="1"/>
  <c r="I46" i="32"/>
  <c r="M46" i="32" s="1"/>
  <c r="A46" i="32" s="1"/>
  <c r="B46" i="32"/>
  <c r="J45" i="32"/>
  <c r="K45" i="32" s="1"/>
  <c r="I45" i="32"/>
  <c r="M45" i="32" s="1"/>
  <c r="A45" i="32" s="1"/>
  <c r="B45" i="32"/>
  <c r="J44" i="32"/>
  <c r="K44" i="32" s="1"/>
  <c r="I44" i="32"/>
  <c r="M44" i="32" s="1"/>
  <c r="A44" i="32" s="1"/>
  <c r="B44" i="32"/>
  <c r="J43" i="32"/>
  <c r="K43" i="32" s="1"/>
  <c r="I43" i="32"/>
  <c r="M43" i="32" s="1"/>
  <c r="A43" i="32" s="1"/>
  <c r="B43" i="32"/>
  <c r="J42" i="32"/>
  <c r="K42" i="32" s="1"/>
  <c r="I42" i="32"/>
  <c r="M42" i="32" s="1"/>
  <c r="A42" i="32" s="1"/>
  <c r="B42" i="32"/>
  <c r="J41" i="32"/>
  <c r="K41" i="32" s="1"/>
  <c r="I41" i="32"/>
  <c r="M41" i="32" s="1"/>
  <c r="A41" i="32" s="1"/>
  <c r="B41" i="32"/>
  <c r="J40" i="32"/>
  <c r="K40" i="32" s="1"/>
  <c r="I40" i="32"/>
  <c r="M40" i="32" s="1"/>
  <c r="A40" i="32" s="1"/>
  <c r="B40" i="32"/>
  <c r="J39" i="32"/>
  <c r="K39" i="32" s="1"/>
  <c r="I39" i="32"/>
  <c r="M39" i="32" s="1"/>
  <c r="A39" i="32" s="1"/>
  <c r="B39" i="32"/>
  <c r="J38" i="32"/>
  <c r="K38" i="32" s="1"/>
  <c r="I38" i="32"/>
  <c r="M38" i="32" s="1"/>
  <c r="A38" i="32" s="1"/>
  <c r="B38" i="32"/>
  <c r="J37" i="32"/>
  <c r="K37" i="32" s="1"/>
  <c r="I37" i="32"/>
  <c r="M37" i="32" s="1"/>
  <c r="A37" i="32" s="1"/>
  <c r="B37" i="32"/>
  <c r="J36" i="32"/>
  <c r="K36" i="32" s="1"/>
  <c r="I36" i="32"/>
  <c r="M36" i="32" s="1"/>
  <c r="A36" i="32" s="1"/>
  <c r="B36" i="32"/>
  <c r="J35" i="32"/>
  <c r="K35" i="32" s="1"/>
  <c r="I35" i="32"/>
  <c r="M35" i="32" s="1"/>
  <c r="A35" i="32" s="1"/>
  <c r="B35" i="32"/>
  <c r="J34" i="32"/>
  <c r="K34" i="32" s="1"/>
  <c r="I34" i="32"/>
  <c r="M34" i="32" s="1"/>
  <c r="A34" i="32" s="1"/>
  <c r="B34" i="32"/>
  <c r="J33" i="32"/>
  <c r="K33" i="32" s="1"/>
  <c r="I33" i="32"/>
  <c r="M33" i="32" s="1"/>
  <c r="A33" i="32" s="1"/>
  <c r="B33" i="32"/>
  <c r="J32" i="32"/>
  <c r="K32" i="32" s="1"/>
  <c r="I32" i="32"/>
  <c r="M32" i="32" s="1"/>
  <c r="A32" i="32" s="1"/>
  <c r="B32" i="32"/>
  <c r="J31" i="32"/>
  <c r="K31" i="32" s="1"/>
  <c r="I31" i="32"/>
  <c r="M31" i="32" s="1"/>
  <c r="A31" i="32" s="1"/>
  <c r="B31" i="32"/>
  <c r="J30" i="32"/>
  <c r="K30" i="32" s="1"/>
  <c r="I30" i="32"/>
  <c r="M30" i="32" s="1"/>
  <c r="A30" i="32" s="1"/>
  <c r="B30" i="32"/>
  <c r="J29" i="32"/>
  <c r="K29" i="32" s="1"/>
  <c r="I29" i="32"/>
  <c r="M29" i="32" s="1"/>
  <c r="A29" i="32" s="1"/>
  <c r="B29" i="32"/>
  <c r="J28" i="32"/>
  <c r="K28" i="32" s="1"/>
  <c r="I28" i="32"/>
  <c r="M28" i="32" s="1"/>
  <c r="A28" i="32" s="1"/>
  <c r="B28" i="32"/>
  <c r="J27" i="32"/>
  <c r="K27" i="32" s="1"/>
  <c r="I27" i="32"/>
  <c r="M27" i="32" s="1"/>
  <c r="B27" i="32"/>
  <c r="A27" i="32"/>
  <c r="J26" i="32"/>
  <c r="K26" i="32" s="1"/>
  <c r="I26" i="32"/>
  <c r="M26" i="32" s="1"/>
  <c r="A26" i="32" s="1"/>
  <c r="B26" i="32"/>
  <c r="J25" i="32"/>
  <c r="K25" i="32" s="1"/>
  <c r="I25" i="32"/>
  <c r="M25" i="32" s="1"/>
  <c r="A25" i="32" s="1"/>
  <c r="B25" i="32"/>
  <c r="J24" i="32"/>
  <c r="K24" i="32" s="1"/>
  <c r="I24" i="32"/>
  <c r="M24" i="32" s="1"/>
  <c r="A24" i="32" s="1"/>
  <c r="B24" i="32"/>
  <c r="J23" i="32"/>
  <c r="K23" i="32" s="1"/>
  <c r="I23" i="32"/>
  <c r="M23" i="32" s="1"/>
  <c r="B23" i="32"/>
  <c r="A23" i="32"/>
  <c r="J22" i="32"/>
  <c r="K22" i="32" s="1"/>
  <c r="I22" i="32"/>
  <c r="M22" i="32" s="1"/>
  <c r="A22" i="32" s="1"/>
  <c r="B22" i="32"/>
  <c r="J21" i="32"/>
  <c r="K21" i="32" s="1"/>
  <c r="I21" i="32"/>
  <c r="M21" i="32" s="1"/>
  <c r="A21" i="32" s="1"/>
  <c r="B21" i="32"/>
  <c r="J20" i="32"/>
  <c r="K20" i="32" s="1"/>
  <c r="I20" i="32"/>
  <c r="M20" i="32" s="1"/>
  <c r="A20" i="32" s="1"/>
  <c r="B20" i="32"/>
  <c r="J19" i="32"/>
  <c r="K19" i="32" s="1"/>
  <c r="I19" i="32"/>
  <c r="M19" i="32" s="1"/>
  <c r="B19" i="32"/>
  <c r="A19" i="32"/>
  <c r="J18" i="32"/>
  <c r="K18" i="32" s="1"/>
  <c r="I18" i="32"/>
  <c r="M18" i="32" s="1"/>
  <c r="A18" i="32" s="1"/>
  <c r="B18" i="32"/>
  <c r="J17" i="32"/>
  <c r="K17" i="32" s="1"/>
  <c r="I17" i="32"/>
  <c r="M17" i="32" s="1"/>
  <c r="A17" i="32" s="1"/>
  <c r="B17" i="32"/>
  <c r="AI16" i="32"/>
  <c r="J16" i="32"/>
  <c r="K16" i="32" s="1"/>
  <c r="I16" i="32"/>
  <c r="M16" i="32" s="1"/>
  <c r="A16" i="32" s="1"/>
  <c r="B16" i="32"/>
  <c r="J15" i="32"/>
  <c r="K15" i="32" s="1"/>
  <c r="I15" i="32"/>
  <c r="M15" i="32" s="1"/>
  <c r="A15" i="32" s="1"/>
  <c r="B15" i="32"/>
  <c r="AI14" i="32"/>
  <c r="J14" i="32"/>
  <c r="K14" i="32" s="1"/>
  <c r="I14" i="32"/>
  <c r="M14" i="32" s="1"/>
  <c r="B14" i="32"/>
  <c r="A14" i="32"/>
  <c r="AI13" i="32"/>
  <c r="J13" i="32"/>
  <c r="K13" i="32" s="1"/>
  <c r="I13" i="32"/>
  <c r="M13" i="32" s="1"/>
  <c r="A13" i="32" s="1"/>
  <c r="B13" i="32"/>
  <c r="AI12" i="32"/>
  <c r="J12" i="32"/>
  <c r="K12" i="32" s="1"/>
  <c r="I12" i="32"/>
  <c r="M12" i="32" s="1"/>
  <c r="A12" i="32" s="1"/>
  <c r="B12" i="32"/>
  <c r="J11" i="32"/>
  <c r="K11" i="32" s="1"/>
  <c r="I11" i="32"/>
  <c r="M11" i="32" s="1"/>
  <c r="A11" i="32" s="1"/>
  <c r="B11" i="32"/>
  <c r="J10" i="32"/>
  <c r="K10" i="32" s="1"/>
  <c r="I10" i="32"/>
  <c r="M10" i="32" s="1"/>
  <c r="J9" i="32"/>
  <c r="K9" i="32" s="1"/>
  <c r="I9" i="32"/>
  <c r="B9" i="32"/>
  <c r="J8" i="32"/>
  <c r="K8" i="32" s="1"/>
  <c r="I8" i="32"/>
  <c r="B8" i="32"/>
  <c r="J7" i="32"/>
  <c r="K7" i="32" s="1"/>
  <c r="I7" i="32"/>
  <c r="B7" i="32"/>
  <c r="J6" i="32"/>
  <c r="K6" i="32" s="1"/>
  <c r="I6" i="32"/>
  <c r="B6" i="32"/>
  <c r="K2" i="32"/>
  <c r="L6" i="32" s="1"/>
  <c r="S27" i="20"/>
  <c r="S26" i="20"/>
  <c r="S25" i="20"/>
  <c r="Q25" i="20"/>
  <c r="S24" i="20"/>
  <c r="O24" i="20"/>
  <c r="S23" i="20"/>
  <c r="S28" i="20"/>
  <c r="Q28" i="20"/>
  <c r="O28" i="20"/>
  <c r="S20" i="20"/>
  <c r="S22" i="20"/>
  <c r="Q22" i="20"/>
  <c r="O22" i="20"/>
  <c r="S21" i="20"/>
  <c r="Q21" i="20"/>
  <c r="O21" i="20"/>
  <c r="S19" i="20"/>
  <c r="Q19" i="20"/>
  <c r="O19" i="20"/>
  <c r="S18" i="20"/>
  <c r="Q18" i="20"/>
  <c r="O18" i="20"/>
  <c r="S17" i="20"/>
  <c r="Q17" i="20"/>
  <c r="O17" i="20"/>
  <c r="P17" i="20" s="1"/>
  <c r="S7" i="20"/>
  <c r="Q7" i="20"/>
  <c r="O7" i="20"/>
  <c r="S12" i="20"/>
  <c r="Q12" i="20"/>
  <c r="O12" i="20"/>
  <c r="S16" i="20"/>
  <c r="Q16" i="20"/>
  <c r="O16" i="20"/>
  <c r="S6" i="20"/>
  <c r="Q6" i="20"/>
  <c r="O6" i="20"/>
  <c r="S14" i="20"/>
  <c r="Q14" i="20"/>
  <c r="O14" i="20"/>
  <c r="S15" i="20"/>
  <c r="Q15" i="20"/>
  <c r="O15" i="20"/>
  <c r="S11" i="20"/>
  <c r="Q11" i="20"/>
  <c r="O11" i="20"/>
  <c r="S13" i="20"/>
  <c r="Q13" i="20"/>
  <c r="O13" i="20"/>
  <c r="P13" i="20" s="1"/>
  <c r="S10" i="20"/>
  <c r="Q10" i="20"/>
  <c r="O10" i="20"/>
  <c r="S9" i="20"/>
  <c r="Q9" i="20"/>
  <c r="O9" i="20"/>
  <c r="S8" i="20"/>
  <c r="Q8" i="20"/>
  <c r="O8" i="20"/>
  <c r="S25" i="13"/>
  <c r="S24" i="13"/>
  <c r="S23" i="13"/>
  <c r="S18" i="13"/>
  <c r="S22" i="13"/>
  <c r="S21" i="13"/>
  <c r="S20" i="13"/>
  <c r="S19" i="13"/>
  <c r="S17" i="13"/>
  <c r="S16" i="13"/>
  <c r="S8" i="13"/>
  <c r="S15" i="13"/>
  <c r="S6" i="13"/>
  <c r="S13" i="13"/>
  <c r="S12" i="13"/>
  <c r="S14" i="13"/>
  <c r="S11" i="13"/>
  <c r="S10" i="13"/>
  <c r="S9" i="13"/>
  <c r="S7" i="13"/>
  <c r="Q25" i="13"/>
  <c r="Q24" i="13"/>
  <c r="Q23" i="13"/>
  <c r="Q22" i="13"/>
  <c r="Q21" i="13"/>
  <c r="Q20" i="13"/>
  <c r="Q19" i="13"/>
  <c r="Q17" i="13"/>
  <c r="Q16" i="13"/>
  <c r="Q8" i="13"/>
  <c r="Q15" i="13"/>
  <c r="Q6" i="13"/>
  <c r="Q13" i="13"/>
  <c r="Q12" i="13"/>
  <c r="Q14" i="13"/>
  <c r="Q11" i="13"/>
  <c r="Q10" i="13"/>
  <c r="Q9" i="13"/>
  <c r="Q7" i="13"/>
  <c r="O22" i="13"/>
  <c r="O21" i="13"/>
  <c r="O20" i="13"/>
  <c r="O19" i="13"/>
  <c r="O17" i="13"/>
  <c r="O16" i="13"/>
  <c r="O8" i="13"/>
  <c r="O15" i="13"/>
  <c r="O6" i="13"/>
  <c r="O13" i="13"/>
  <c r="P13" i="13" s="1"/>
  <c r="O12" i="13"/>
  <c r="O14" i="13"/>
  <c r="O11" i="13"/>
  <c r="O10" i="13"/>
  <c r="O9" i="13"/>
  <c r="O7" i="13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M300" i="31"/>
  <c r="K300" i="31"/>
  <c r="J300" i="31"/>
  <c r="I300" i="3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K294" i="31"/>
  <c r="J294" i="31"/>
  <c r="I294" i="31"/>
  <c r="M294" i="31" s="1"/>
  <c r="J293" i="31"/>
  <c r="K293" i="31" s="1"/>
  <c r="I293" i="31"/>
  <c r="M293" i="31" s="1"/>
  <c r="J292" i="31"/>
  <c r="K292" i="31" s="1"/>
  <c r="I292" i="31"/>
  <c r="M292" i="31" s="1"/>
  <c r="J291" i="31"/>
  <c r="K291" i="31" s="1"/>
  <c r="I291" i="31"/>
  <c r="M291" i="31" s="1"/>
  <c r="K290" i="31"/>
  <c r="J290" i="3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M284" i="31"/>
  <c r="J284" i="31"/>
  <c r="K284" i="31" s="1"/>
  <c r="I284" i="3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M278" i="31"/>
  <c r="J278" i="31"/>
  <c r="K278" i="31" s="1"/>
  <c r="I278" i="31"/>
  <c r="J277" i="31"/>
  <c r="K277" i="31" s="1"/>
  <c r="I277" i="31"/>
  <c r="M277" i="31" s="1"/>
  <c r="K276" i="31"/>
  <c r="J276" i="3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M268" i="31"/>
  <c r="J268" i="31"/>
  <c r="K268" i="31" s="1"/>
  <c r="I268" i="3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M262" i="31"/>
  <c r="J262" i="31"/>
  <c r="K262" i="31" s="1"/>
  <c r="I262" i="31"/>
  <c r="J261" i="31"/>
  <c r="K261" i="31" s="1"/>
  <c r="I261" i="31"/>
  <c r="M261" i="31" s="1"/>
  <c r="K260" i="31"/>
  <c r="J260" i="3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M254" i="31"/>
  <c r="J254" i="31"/>
  <c r="K254" i="31" s="1"/>
  <c r="I254" i="31"/>
  <c r="J253" i="31"/>
  <c r="K253" i="31" s="1"/>
  <c r="I253" i="31"/>
  <c r="M253" i="31" s="1"/>
  <c r="M252" i="31"/>
  <c r="J252" i="31"/>
  <c r="K252" i="31" s="1"/>
  <c r="I252" i="3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M246" i="31"/>
  <c r="J246" i="31"/>
  <c r="K246" i="31" s="1"/>
  <c r="I246" i="31"/>
  <c r="J245" i="31"/>
  <c r="K245" i="31" s="1"/>
  <c r="I245" i="31"/>
  <c r="M245" i="31" s="1"/>
  <c r="K244" i="31"/>
  <c r="J244" i="31"/>
  <c r="I244" i="31"/>
  <c r="M244" i="31" s="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M238" i="31"/>
  <c r="J238" i="31"/>
  <c r="K238" i="31" s="1"/>
  <c r="I238" i="31"/>
  <c r="J237" i="31"/>
  <c r="K237" i="31" s="1"/>
  <c r="I237" i="31"/>
  <c r="M237" i="31" s="1"/>
  <c r="M236" i="31"/>
  <c r="J236" i="31"/>
  <c r="K236" i="31" s="1"/>
  <c r="I236" i="3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M230" i="31"/>
  <c r="J230" i="31"/>
  <c r="K230" i="31" s="1"/>
  <c r="I230" i="31"/>
  <c r="J229" i="31"/>
  <c r="K229" i="31" s="1"/>
  <c r="I229" i="31"/>
  <c r="M229" i="31" s="1"/>
  <c r="K228" i="31"/>
  <c r="J228" i="31"/>
  <c r="I228" i="31"/>
  <c r="M228" i="31" s="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M222" i="31"/>
  <c r="J222" i="31"/>
  <c r="K222" i="31" s="1"/>
  <c r="I222" i="31"/>
  <c r="J221" i="31"/>
  <c r="K221" i="31" s="1"/>
  <c r="I221" i="31"/>
  <c r="M221" i="31" s="1"/>
  <c r="M220" i="31"/>
  <c r="J220" i="31"/>
  <c r="K220" i="31" s="1"/>
  <c r="I220" i="3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M214" i="31"/>
  <c r="J214" i="31"/>
  <c r="K214" i="31" s="1"/>
  <c r="I214" i="31"/>
  <c r="J213" i="31"/>
  <c r="K213" i="31" s="1"/>
  <c r="I213" i="31"/>
  <c r="M213" i="31" s="1"/>
  <c r="K212" i="31"/>
  <c r="J212" i="3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M206" i="31"/>
  <c r="J206" i="31"/>
  <c r="K206" i="31" s="1"/>
  <c r="I206" i="31"/>
  <c r="J205" i="31"/>
  <c r="K205" i="31" s="1"/>
  <c r="I205" i="31"/>
  <c r="M205" i="31" s="1"/>
  <c r="M204" i="31"/>
  <c r="J204" i="31"/>
  <c r="K204" i="31" s="1"/>
  <c r="I204" i="3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M198" i="31"/>
  <c r="J198" i="31"/>
  <c r="K198" i="31" s="1"/>
  <c r="I198" i="31"/>
  <c r="J197" i="31"/>
  <c r="K197" i="31" s="1"/>
  <c r="I197" i="31"/>
  <c r="M197" i="31" s="1"/>
  <c r="K196" i="31"/>
  <c r="J196" i="31"/>
  <c r="I196" i="31"/>
  <c r="M196" i="31" s="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M190" i="31"/>
  <c r="J190" i="31"/>
  <c r="K190" i="31" s="1"/>
  <c r="I190" i="3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M182" i="31"/>
  <c r="J182" i="31"/>
  <c r="K182" i="31" s="1"/>
  <c r="I182" i="31"/>
  <c r="J181" i="31"/>
  <c r="K181" i="31" s="1"/>
  <c r="I181" i="31"/>
  <c r="M181" i="31" s="1"/>
  <c r="K180" i="31"/>
  <c r="J180" i="31"/>
  <c r="I180" i="31"/>
  <c r="M180" i="31" s="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M174" i="31"/>
  <c r="J174" i="31"/>
  <c r="K174" i="31" s="1"/>
  <c r="I174" i="31"/>
  <c r="J173" i="31"/>
  <c r="K173" i="31" s="1"/>
  <c r="I173" i="31"/>
  <c r="M173" i="31" s="1"/>
  <c r="K172" i="31"/>
  <c r="J172" i="3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M166" i="31"/>
  <c r="J166" i="31"/>
  <c r="K166" i="31" s="1"/>
  <c r="I166" i="31"/>
  <c r="J165" i="31"/>
  <c r="K165" i="31" s="1"/>
  <c r="I165" i="31"/>
  <c r="M165" i="31" s="1"/>
  <c r="K164" i="31"/>
  <c r="J164" i="31"/>
  <c r="I164" i="31"/>
  <c r="M164" i="31" s="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M158" i="31"/>
  <c r="J158" i="31"/>
  <c r="K158" i="31" s="1"/>
  <c r="I158" i="31"/>
  <c r="J157" i="31"/>
  <c r="K157" i="31" s="1"/>
  <c r="I157" i="31"/>
  <c r="M157" i="31" s="1"/>
  <c r="K156" i="31"/>
  <c r="J156" i="3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M150" i="31"/>
  <c r="J150" i="31"/>
  <c r="K150" i="31" s="1"/>
  <c r="I150" i="31"/>
  <c r="J149" i="31"/>
  <c r="K149" i="31" s="1"/>
  <c r="I149" i="31"/>
  <c r="M149" i="31" s="1"/>
  <c r="K148" i="31"/>
  <c r="J148" i="31"/>
  <c r="I148" i="31"/>
  <c r="M148" i="31" s="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M142" i="31"/>
  <c r="J142" i="31"/>
  <c r="K142" i="31" s="1"/>
  <c r="I142" i="31"/>
  <c r="J141" i="31"/>
  <c r="K141" i="31" s="1"/>
  <c r="I141" i="31"/>
  <c r="M141" i="31" s="1"/>
  <c r="K140" i="31"/>
  <c r="J140" i="31"/>
  <c r="I140" i="31"/>
  <c r="M140" i="31" s="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J136" i="31"/>
  <c r="K136" i="31" s="1"/>
  <c r="I136" i="31"/>
  <c r="M136" i="31" s="1"/>
  <c r="J135" i="31"/>
  <c r="K135" i="31" s="1"/>
  <c r="I135" i="31"/>
  <c r="M135" i="31" s="1"/>
  <c r="J134" i="31"/>
  <c r="K134" i="31" s="1"/>
  <c r="I134" i="31"/>
  <c r="M134" i="31" s="1"/>
  <c r="M133" i="31"/>
  <c r="J133" i="31"/>
  <c r="K133" i="31" s="1"/>
  <c r="I133" i="31"/>
  <c r="J132" i="31"/>
  <c r="K132" i="31" s="1"/>
  <c r="I132" i="31"/>
  <c r="M132" i="31" s="1"/>
  <c r="J131" i="31"/>
  <c r="K131" i="31" s="1"/>
  <c r="I131" i="31"/>
  <c r="M131" i="31" s="1"/>
  <c r="J130" i="31"/>
  <c r="K130" i="31" s="1"/>
  <c r="I130" i="31"/>
  <c r="M130" i="31" s="1"/>
  <c r="M129" i="31"/>
  <c r="K129" i="31"/>
  <c r="J129" i="31"/>
  <c r="I129" i="31"/>
  <c r="J128" i="31"/>
  <c r="K128" i="31" s="1"/>
  <c r="I128" i="31"/>
  <c r="M128" i="31" s="1"/>
  <c r="J127" i="31"/>
  <c r="K127" i="31" s="1"/>
  <c r="I127" i="31"/>
  <c r="M127" i="31" s="1"/>
  <c r="J126" i="31"/>
  <c r="K126" i="31" s="1"/>
  <c r="I126" i="31"/>
  <c r="M126" i="31" s="1"/>
  <c r="M125" i="31"/>
  <c r="J125" i="31"/>
  <c r="K125" i="31" s="1"/>
  <c r="I125" i="31"/>
  <c r="J124" i="31"/>
  <c r="K124" i="31" s="1"/>
  <c r="I124" i="31"/>
  <c r="M124" i="31" s="1"/>
  <c r="M123" i="31"/>
  <c r="J123" i="31"/>
  <c r="K123" i="31" s="1"/>
  <c r="I123" i="31"/>
  <c r="J122" i="31"/>
  <c r="K122" i="31" s="1"/>
  <c r="I122" i="31"/>
  <c r="M122" i="31" s="1"/>
  <c r="M121" i="31"/>
  <c r="K121" i="31"/>
  <c r="J121" i="31"/>
  <c r="I121" i="31"/>
  <c r="J120" i="31"/>
  <c r="K120" i="31" s="1"/>
  <c r="I120" i="31"/>
  <c r="M120" i="31" s="1"/>
  <c r="J119" i="31"/>
  <c r="K119" i="31" s="1"/>
  <c r="I119" i="31"/>
  <c r="M119" i="31" s="1"/>
  <c r="J118" i="31"/>
  <c r="K118" i="31" s="1"/>
  <c r="I118" i="31"/>
  <c r="M118" i="31" s="1"/>
  <c r="M117" i="31"/>
  <c r="J117" i="31"/>
  <c r="K117" i="31" s="1"/>
  <c r="I117" i="31"/>
  <c r="J116" i="31"/>
  <c r="K116" i="31" s="1"/>
  <c r="I116" i="31"/>
  <c r="M116" i="31" s="1"/>
  <c r="M115" i="31"/>
  <c r="J115" i="31"/>
  <c r="K115" i="31" s="1"/>
  <c r="I115" i="31"/>
  <c r="J114" i="31"/>
  <c r="K114" i="31" s="1"/>
  <c r="I114" i="31"/>
  <c r="M114" i="31" s="1"/>
  <c r="M113" i="31"/>
  <c r="K113" i="31"/>
  <c r="J113" i="31"/>
  <c r="I113" i="31"/>
  <c r="J112" i="31"/>
  <c r="K112" i="31" s="1"/>
  <c r="I112" i="31"/>
  <c r="M112" i="31" s="1"/>
  <c r="M111" i="31"/>
  <c r="J111" i="31"/>
  <c r="K111" i="31" s="1"/>
  <c r="I111" i="31"/>
  <c r="J110" i="31"/>
  <c r="K110" i="31" s="1"/>
  <c r="I110" i="31"/>
  <c r="M110" i="31" s="1"/>
  <c r="M109" i="31"/>
  <c r="J109" i="31"/>
  <c r="K109" i="31" s="1"/>
  <c r="I109" i="31"/>
  <c r="J108" i="31"/>
  <c r="K108" i="31" s="1"/>
  <c r="I108" i="31"/>
  <c r="M108" i="31" s="1"/>
  <c r="M107" i="31"/>
  <c r="J107" i="31"/>
  <c r="K107" i="31" s="1"/>
  <c r="I107" i="31"/>
  <c r="J106" i="31"/>
  <c r="K106" i="31" s="1"/>
  <c r="I106" i="31"/>
  <c r="M106" i="31" s="1"/>
  <c r="M105" i="31"/>
  <c r="K105" i="31"/>
  <c r="J105" i="31"/>
  <c r="I105" i="31"/>
  <c r="J104" i="31"/>
  <c r="K104" i="31" s="1"/>
  <c r="I104" i="31"/>
  <c r="M104" i="31" s="1"/>
  <c r="M103" i="31"/>
  <c r="J103" i="31"/>
  <c r="K103" i="31" s="1"/>
  <c r="I103" i="31"/>
  <c r="J102" i="31"/>
  <c r="K102" i="31" s="1"/>
  <c r="I102" i="31"/>
  <c r="M102" i="31" s="1"/>
  <c r="M101" i="31"/>
  <c r="J101" i="31"/>
  <c r="K101" i="31" s="1"/>
  <c r="I101" i="31"/>
  <c r="J100" i="31"/>
  <c r="K100" i="31" s="1"/>
  <c r="I100" i="31"/>
  <c r="M100" i="31" s="1"/>
  <c r="M99" i="31"/>
  <c r="J99" i="31"/>
  <c r="K99" i="31" s="1"/>
  <c r="I99" i="31"/>
  <c r="J98" i="31"/>
  <c r="K98" i="31" s="1"/>
  <c r="I98" i="31"/>
  <c r="M98" i="31" s="1"/>
  <c r="M97" i="31"/>
  <c r="K97" i="31"/>
  <c r="J97" i="31"/>
  <c r="I97" i="31"/>
  <c r="J96" i="31"/>
  <c r="K96" i="31" s="1"/>
  <c r="I96" i="31"/>
  <c r="M96" i="31" s="1"/>
  <c r="M95" i="31"/>
  <c r="J95" i="31"/>
  <c r="K95" i="31" s="1"/>
  <c r="I95" i="31"/>
  <c r="J94" i="31"/>
  <c r="K94" i="31" s="1"/>
  <c r="I94" i="31"/>
  <c r="M94" i="31" s="1"/>
  <c r="M93" i="31"/>
  <c r="J93" i="31"/>
  <c r="K93" i="31" s="1"/>
  <c r="I93" i="31"/>
  <c r="J92" i="31"/>
  <c r="K92" i="31" s="1"/>
  <c r="I92" i="31"/>
  <c r="M92" i="31" s="1"/>
  <c r="M91" i="31"/>
  <c r="J91" i="31"/>
  <c r="K91" i="31" s="1"/>
  <c r="I91" i="31"/>
  <c r="J90" i="31"/>
  <c r="K90" i="31" s="1"/>
  <c r="I90" i="31"/>
  <c r="M90" i="31" s="1"/>
  <c r="M89" i="31"/>
  <c r="J89" i="31"/>
  <c r="K89" i="31" s="1"/>
  <c r="I89" i="31"/>
  <c r="J88" i="31"/>
  <c r="K88" i="31" s="1"/>
  <c r="I88" i="31"/>
  <c r="M88" i="31" s="1"/>
  <c r="M87" i="31"/>
  <c r="J87" i="31"/>
  <c r="K87" i="31" s="1"/>
  <c r="I87" i="31"/>
  <c r="J86" i="31"/>
  <c r="K86" i="31" s="1"/>
  <c r="I86" i="31"/>
  <c r="M86" i="31" s="1"/>
  <c r="M85" i="31"/>
  <c r="J85" i="31"/>
  <c r="K85" i="31" s="1"/>
  <c r="I85" i="31"/>
  <c r="J84" i="31"/>
  <c r="K84" i="31" s="1"/>
  <c r="I84" i="31"/>
  <c r="M84" i="31" s="1"/>
  <c r="M83" i="31"/>
  <c r="J83" i="31"/>
  <c r="K83" i="31" s="1"/>
  <c r="I83" i="31"/>
  <c r="J82" i="31"/>
  <c r="K82" i="31" s="1"/>
  <c r="I82" i="31"/>
  <c r="M82" i="31" s="1"/>
  <c r="M81" i="31"/>
  <c r="J81" i="31"/>
  <c r="K81" i="31" s="1"/>
  <c r="I81" i="31"/>
  <c r="J80" i="31"/>
  <c r="K80" i="31" s="1"/>
  <c r="I80" i="31"/>
  <c r="M80" i="31" s="1"/>
  <c r="M79" i="31"/>
  <c r="J79" i="31"/>
  <c r="K79" i="31" s="1"/>
  <c r="I79" i="31"/>
  <c r="J78" i="31"/>
  <c r="K78" i="31" s="1"/>
  <c r="I78" i="31"/>
  <c r="M78" i="31" s="1"/>
  <c r="M77" i="31"/>
  <c r="J77" i="31"/>
  <c r="K77" i="31" s="1"/>
  <c r="I77" i="31"/>
  <c r="J76" i="31"/>
  <c r="K76" i="31" s="1"/>
  <c r="I76" i="31"/>
  <c r="M76" i="31" s="1"/>
  <c r="M75" i="31"/>
  <c r="J75" i="31"/>
  <c r="K75" i="31" s="1"/>
  <c r="I75" i="31"/>
  <c r="J74" i="31"/>
  <c r="K74" i="31" s="1"/>
  <c r="I74" i="31"/>
  <c r="M74" i="31" s="1"/>
  <c r="M73" i="31"/>
  <c r="J73" i="31"/>
  <c r="K73" i="31" s="1"/>
  <c r="I73" i="31"/>
  <c r="J72" i="31"/>
  <c r="K72" i="31" s="1"/>
  <c r="I72" i="31"/>
  <c r="M72" i="31" s="1"/>
  <c r="M71" i="31"/>
  <c r="J71" i="31"/>
  <c r="K71" i="31" s="1"/>
  <c r="I71" i="31"/>
  <c r="J70" i="31"/>
  <c r="K70" i="31" s="1"/>
  <c r="I70" i="31"/>
  <c r="M70" i="31" s="1"/>
  <c r="M69" i="31"/>
  <c r="J69" i="31"/>
  <c r="K69" i="31" s="1"/>
  <c r="I69" i="31"/>
  <c r="J68" i="31"/>
  <c r="K68" i="31" s="1"/>
  <c r="I68" i="31"/>
  <c r="M68" i="31" s="1"/>
  <c r="M67" i="31"/>
  <c r="J67" i="31"/>
  <c r="K67" i="31" s="1"/>
  <c r="I67" i="31"/>
  <c r="J66" i="31"/>
  <c r="K66" i="31" s="1"/>
  <c r="I66" i="31"/>
  <c r="M66" i="31" s="1"/>
  <c r="M65" i="31"/>
  <c r="J65" i="31"/>
  <c r="K65" i="31" s="1"/>
  <c r="I65" i="31"/>
  <c r="B65" i="31"/>
  <c r="J64" i="31"/>
  <c r="K64" i="31" s="1"/>
  <c r="I64" i="31"/>
  <c r="M64" i="31" s="1"/>
  <c r="B64" i="31"/>
  <c r="M63" i="31"/>
  <c r="J63" i="31"/>
  <c r="K63" i="31" s="1"/>
  <c r="I63" i="31"/>
  <c r="B63" i="31"/>
  <c r="M62" i="31"/>
  <c r="J62" i="31"/>
  <c r="K62" i="31" s="1"/>
  <c r="I62" i="31"/>
  <c r="B62" i="31"/>
  <c r="J61" i="31"/>
  <c r="K61" i="31" s="1"/>
  <c r="I61" i="31"/>
  <c r="M61" i="31" s="1"/>
  <c r="B61" i="31"/>
  <c r="K60" i="31"/>
  <c r="J60" i="31"/>
  <c r="I60" i="31"/>
  <c r="M60" i="31" s="1"/>
  <c r="B60" i="31"/>
  <c r="K59" i="31"/>
  <c r="J59" i="31"/>
  <c r="I59" i="31"/>
  <c r="M59" i="31" s="1"/>
  <c r="B59" i="31"/>
  <c r="K58" i="31"/>
  <c r="J58" i="31"/>
  <c r="I58" i="31"/>
  <c r="M58" i="31" s="1"/>
  <c r="B58" i="31"/>
  <c r="M57" i="31"/>
  <c r="J57" i="31"/>
  <c r="K57" i="31" s="1"/>
  <c r="I57" i="31"/>
  <c r="B57" i="31"/>
  <c r="J56" i="31"/>
  <c r="K56" i="31" s="1"/>
  <c r="I56" i="31"/>
  <c r="M56" i="31" s="1"/>
  <c r="B56" i="31"/>
  <c r="M55" i="31"/>
  <c r="J55" i="31"/>
  <c r="K55" i="31" s="1"/>
  <c r="I55" i="31"/>
  <c r="B55" i="31"/>
  <c r="M54" i="31"/>
  <c r="J54" i="31"/>
  <c r="K54" i="31" s="1"/>
  <c r="I54" i="31"/>
  <c r="B54" i="31"/>
  <c r="J53" i="31"/>
  <c r="K53" i="31" s="1"/>
  <c r="I53" i="31"/>
  <c r="M53" i="31" s="1"/>
  <c r="B53" i="31"/>
  <c r="K52" i="31"/>
  <c r="J52" i="31"/>
  <c r="I52" i="31"/>
  <c r="M52" i="31" s="1"/>
  <c r="B52" i="31"/>
  <c r="K51" i="31"/>
  <c r="J51" i="31"/>
  <c r="I51" i="31"/>
  <c r="M51" i="31" s="1"/>
  <c r="B51" i="31"/>
  <c r="K50" i="31"/>
  <c r="J50" i="31"/>
  <c r="I50" i="31"/>
  <c r="M50" i="31" s="1"/>
  <c r="B50" i="31"/>
  <c r="M49" i="31"/>
  <c r="J49" i="31"/>
  <c r="K49" i="31" s="1"/>
  <c r="I49" i="31"/>
  <c r="B49" i="31"/>
  <c r="J48" i="31"/>
  <c r="K48" i="31" s="1"/>
  <c r="I48" i="31"/>
  <c r="M48" i="31" s="1"/>
  <c r="B48" i="31"/>
  <c r="M47" i="31"/>
  <c r="J47" i="31"/>
  <c r="K47" i="31" s="1"/>
  <c r="I47" i="31"/>
  <c r="B47" i="31"/>
  <c r="T46" i="31"/>
  <c r="R46" i="31"/>
  <c r="U46" i="31" s="1"/>
  <c r="J46" i="31"/>
  <c r="K46" i="31" s="1"/>
  <c r="I46" i="31"/>
  <c r="M46" i="31" s="1"/>
  <c r="B46" i="31"/>
  <c r="J45" i="31"/>
  <c r="K45" i="31" s="1"/>
  <c r="I45" i="31"/>
  <c r="M45" i="31" s="1"/>
  <c r="B45" i="31"/>
  <c r="J44" i="31"/>
  <c r="K44" i="31" s="1"/>
  <c r="I44" i="31"/>
  <c r="M44" i="31" s="1"/>
  <c r="B44" i="31"/>
  <c r="K43" i="31"/>
  <c r="J43" i="31"/>
  <c r="I43" i="31"/>
  <c r="M43" i="31" s="1"/>
  <c r="B43" i="31"/>
  <c r="K42" i="31"/>
  <c r="J42" i="31"/>
  <c r="I42" i="31"/>
  <c r="M42" i="31" s="1"/>
  <c r="B42" i="31"/>
  <c r="K41" i="31"/>
  <c r="J41" i="31"/>
  <c r="I41" i="31"/>
  <c r="M41" i="31" s="1"/>
  <c r="B41" i="31"/>
  <c r="M40" i="31"/>
  <c r="J40" i="31"/>
  <c r="K40" i="31" s="1"/>
  <c r="I40" i="31"/>
  <c r="B40" i="31"/>
  <c r="J39" i="31"/>
  <c r="K39" i="31" s="1"/>
  <c r="I39" i="31"/>
  <c r="M39" i="31" s="1"/>
  <c r="B39" i="31"/>
  <c r="J38" i="31"/>
  <c r="K38" i="31" s="1"/>
  <c r="I38" i="31"/>
  <c r="M38" i="31" s="1"/>
  <c r="B38" i="31"/>
  <c r="J37" i="31"/>
  <c r="K37" i="31" s="1"/>
  <c r="I37" i="31"/>
  <c r="M37" i="31" s="1"/>
  <c r="A37" i="31" s="1"/>
  <c r="B37" i="31"/>
  <c r="J36" i="31"/>
  <c r="K36" i="31" s="1"/>
  <c r="I36" i="31"/>
  <c r="M36" i="31" s="1"/>
  <c r="A36" i="31" s="1"/>
  <c r="B36" i="31"/>
  <c r="J35" i="31"/>
  <c r="K35" i="31" s="1"/>
  <c r="I35" i="31"/>
  <c r="M35" i="31" s="1"/>
  <c r="A35" i="31" s="1"/>
  <c r="B35" i="31"/>
  <c r="K34" i="31"/>
  <c r="J34" i="31"/>
  <c r="I34" i="31"/>
  <c r="M34" i="31" s="1"/>
  <c r="A34" i="31" s="1"/>
  <c r="B34" i="31"/>
  <c r="J33" i="31"/>
  <c r="K33" i="31" s="1"/>
  <c r="I33" i="31"/>
  <c r="M33" i="31" s="1"/>
  <c r="A33" i="31" s="1"/>
  <c r="B33" i="31"/>
  <c r="J32" i="31"/>
  <c r="K32" i="31" s="1"/>
  <c r="I32" i="31"/>
  <c r="M32" i="31" s="1"/>
  <c r="A32" i="31" s="1"/>
  <c r="B32" i="31"/>
  <c r="J31" i="31"/>
  <c r="K31" i="31" s="1"/>
  <c r="I31" i="31"/>
  <c r="M31" i="31" s="1"/>
  <c r="A31" i="31" s="1"/>
  <c r="B31" i="31"/>
  <c r="K30" i="31"/>
  <c r="J30" i="31"/>
  <c r="I30" i="31"/>
  <c r="M30" i="31" s="1"/>
  <c r="A30" i="31" s="1"/>
  <c r="B30" i="31"/>
  <c r="J29" i="31"/>
  <c r="K29" i="31" s="1"/>
  <c r="I29" i="31"/>
  <c r="M29" i="31" s="1"/>
  <c r="A29" i="31" s="1"/>
  <c r="B29" i="31"/>
  <c r="J28" i="31"/>
  <c r="K28" i="31" s="1"/>
  <c r="I28" i="31"/>
  <c r="M28" i="31" s="1"/>
  <c r="A28" i="31" s="1"/>
  <c r="B28" i="31"/>
  <c r="J27" i="31"/>
  <c r="K27" i="31" s="1"/>
  <c r="I27" i="31"/>
  <c r="M27" i="31" s="1"/>
  <c r="A27" i="31" s="1"/>
  <c r="B27" i="31"/>
  <c r="K26" i="31"/>
  <c r="J26" i="31"/>
  <c r="I26" i="31"/>
  <c r="M26" i="31" s="1"/>
  <c r="A26" i="31" s="1"/>
  <c r="B26" i="31"/>
  <c r="J25" i="31"/>
  <c r="K25" i="31" s="1"/>
  <c r="I25" i="31"/>
  <c r="M25" i="31" s="1"/>
  <c r="A25" i="31" s="1"/>
  <c r="B25" i="31"/>
  <c r="J24" i="31"/>
  <c r="K24" i="31" s="1"/>
  <c r="I24" i="31"/>
  <c r="M24" i="31" s="1"/>
  <c r="A24" i="31" s="1"/>
  <c r="B24" i="31"/>
  <c r="J23" i="31"/>
  <c r="K23" i="31" s="1"/>
  <c r="I23" i="31"/>
  <c r="M23" i="31" s="1"/>
  <c r="A23" i="31" s="1"/>
  <c r="B23" i="31"/>
  <c r="K22" i="31"/>
  <c r="J22" i="31"/>
  <c r="I22" i="31"/>
  <c r="M22" i="31" s="1"/>
  <c r="A22" i="31" s="1"/>
  <c r="B22" i="31"/>
  <c r="J21" i="31"/>
  <c r="K21" i="31" s="1"/>
  <c r="I21" i="31"/>
  <c r="M21" i="31" s="1"/>
  <c r="A21" i="31" s="1"/>
  <c r="B21" i="31"/>
  <c r="J20" i="31"/>
  <c r="K20" i="31" s="1"/>
  <c r="I20" i="31"/>
  <c r="M20" i="31" s="1"/>
  <c r="A20" i="31" s="1"/>
  <c r="B20" i="31"/>
  <c r="J19" i="31"/>
  <c r="K19" i="31" s="1"/>
  <c r="I19" i="31"/>
  <c r="M19" i="31" s="1"/>
  <c r="A19" i="31" s="1"/>
  <c r="B19" i="31"/>
  <c r="K18" i="31"/>
  <c r="J18" i="31"/>
  <c r="I18" i="31"/>
  <c r="M18" i="31" s="1"/>
  <c r="A18" i="31" s="1"/>
  <c r="B18" i="31"/>
  <c r="J17" i="31"/>
  <c r="K17" i="31" s="1"/>
  <c r="I17" i="31"/>
  <c r="M17" i="31" s="1"/>
  <c r="A17" i="31" s="1"/>
  <c r="B17" i="31"/>
  <c r="K16" i="31"/>
  <c r="J16" i="31"/>
  <c r="I16" i="31"/>
  <c r="M16" i="31" s="1"/>
  <c r="A16" i="31" s="1"/>
  <c r="B16" i="31"/>
  <c r="J15" i="31"/>
  <c r="K15" i="31" s="1"/>
  <c r="I15" i="31"/>
  <c r="M15" i="31" s="1"/>
  <c r="A15" i="31" s="1"/>
  <c r="AI14" i="31"/>
  <c r="J14" i="31"/>
  <c r="K14" i="31" s="1"/>
  <c r="I14" i="31"/>
  <c r="M14" i="31" s="1"/>
  <c r="A14" i="31" s="1"/>
  <c r="AI13" i="31"/>
  <c r="M13" i="31"/>
  <c r="J13" i="31"/>
  <c r="K13" i="31" s="1"/>
  <c r="I13" i="31"/>
  <c r="A13" i="31"/>
  <c r="AI12" i="31"/>
  <c r="AI16" i="31" s="1"/>
  <c r="J12" i="31"/>
  <c r="K12" i="31" s="1"/>
  <c r="M12" i="31" s="1"/>
  <c r="A12" i="31" s="1"/>
  <c r="I12" i="31"/>
  <c r="J11" i="31"/>
  <c r="K11" i="31" s="1"/>
  <c r="I11" i="31"/>
  <c r="M11" i="31" s="1"/>
  <c r="A11" i="31" s="1"/>
  <c r="J10" i="31"/>
  <c r="K10" i="31" s="1"/>
  <c r="I10" i="31"/>
  <c r="M10" i="31" s="1"/>
  <c r="A10" i="31" s="1"/>
  <c r="J9" i="31"/>
  <c r="K9" i="31" s="1"/>
  <c r="I9" i="31"/>
  <c r="J8" i="31"/>
  <c r="K8" i="31" s="1"/>
  <c r="I8" i="31"/>
  <c r="M8" i="31" s="1"/>
  <c r="A8" i="31" s="1"/>
  <c r="L7" i="31"/>
  <c r="J7" i="31"/>
  <c r="K7" i="31" s="1"/>
  <c r="I7" i="31"/>
  <c r="M7" i="31" s="1"/>
  <c r="A7" i="31" s="1"/>
  <c r="K6" i="31"/>
  <c r="J6" i="31"/>
  <c r="I6" i="31"/>
  <c r="K2" i="31"/>
  <c r="L8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M300" i="30"/>
  <c r="K300" i="30"/>
  <c r="J300" i="30"/>
  <c r="I300" i="30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M292" i="30"/>
  <c r="J292" i="30"/>
  <c r="K292" i="30" s="1"/>
  <c r="I292" i="30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M276" i="30"/>
  <c r="J276" i="30"/>
  <c r="K276" i="30" s="1"/>
  <c r="I276" i="30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K266" i="30"/>
  <c r="J266" i="30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M260" i="30"/>
  <c r="J260" i="30"/>
  <c r="K260" i="30" s="1"/>
  <c r="I260" i="30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K250" i="30"/>
  <c r="J250" i="30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M244" i="30"/>
  <c r="K244" i="30"/>
  <c r="J244" i="30"/>
  <c r="I244" i="30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K234" i="30"/>
  <c r="J234" i="30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M228" i="30"/>
  <c r="K228" i="30"/>
  <c r="J228" i="30"/>
  <c r="I228" i="30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K218" i="30"/>
  <c r="J218" i="30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M212" i="30"/>
  <c r="K212" i="30"/>
  <c r="J212" i="30"/>
  <c r="I212" i="30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K202" i="30"/>
  <c r="J202" i="30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M196" i="30"/>
  <c r="K196" i="30"/>
  <c r="J196" i="30"/>
  <c r="I196" i="30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K186" i="30"/>
  <c r="J186" i="30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M180" i="30"/>
  <c r="K180" i="30"/>
  <c r="J180" i="30"/>
  <c r="I180" i="30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K170" i="30"/>
  <c r="J170" i="30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M164" i="30"/>
  <c r="K164" i="30"/>
  <c r="J164" i="30"/>
  <c r="I164" i="30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K154" i="30"/>
  <c r="J154" i="30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M148" i="30"/>
  <c r="K148" i="30"/>
  <c r="J148" i="30"/>
  <c r="I148" i="30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K138" i="30"/>
  <c r="J138" i="30"/>
  <c r="I138" i="30"/>
  <c r="M138" i="30" s="1"/>
  <c r="J137" i="30"/>
  <c r="K137" i="30" s="1"/>
  <c r="I137" i="30"/>
  <c r="M137" i="30" s="1"/>
  <c r="J136" i="30"/>
  <c r="K136" i="30" s="1"/>
  <c r="I136" i="30"/>
  <c r="M136" i="30" s="1"/>
  <c r="M135" i="30"/>
  <c r="K135" i="30"/>
  <c r="J135" i="30"/>
  <c r="I135" i="30"/>
  <c r="J134" i="30"/>
  <c r="K134" i="30" s="1"/>
  <c r="I134" i="30"/>
  <c r="M134" i="30" s="1"/>
  <c r="M133" i="30"/>
  <c r="J133" i="30"/>
  <c r="K133" i="30" s="1"/>
  <c r="I133" i="30"/>
  <c r="J132" i="30"/>
  <c r="K132" i="30" s="1"/>
  <c r="I132" i="30"/>
  <c r="M132" i="30" s="1"/>
  <c r="J131" i="30"/>
  <c r="K131" i="30" s="1"/>
  <c r="I131" i="30"/>
  <c r="M131" i="30" s="1"/>
  <c r="J130" i="30"/>
  <c r="K130" i="30" s="1"/>
  <c r="I130" i="30"/>
  <c r="M130" i="30" s="1"/>
  <c r="K129" i="30"/>
  <c r="J129" i="30"/>
  <c r="I129" i="30"/>
  <c r="M129" i="30" s="1"/>
  <c r="J128" i="30"/>
  <c r="K128" i="30" s="1"/>
  <c r="I128" i="30"/>
  <c r="M128" i="30" s="1"/>
  <c r="M127" i="30"/>
  <c r="K127" i="30"/>
  <c r="J127" i="30"/>
  <c r="I127" i="30"/>
  <c r="J126" i="30"/>
  <c r="K126" i="30" s="1"/>
  <c r="I126" i="30"/>
  <c r="M126" i="30" s="1"/>
  <c r="M125" i="30"/>
  <c r="J125" i="30"/>
  <c r="K125" i="30" s="1"/>
  <c r="I125" i="30"/>
  <c r="J124" i="30"/>
  <c r="K124" i="30" s="1"/>
  <c r="I124" i="30"/>
  <c r="M124" i="30" s="1"/>
  <c r="J123" i="30"/>
  <c r="K123" i="30" s="1"/>
  <c r="I123" i="30"/>
  <c r="M123" i="30" s="1"/>
  <c r="J122" i="30"/>
  <c r="K122" i="30" s="1"/>
  <c r="I122" i="30"/>
  <c r="M122" i="30" s="1"/>
  <c r="M121" i="30"/>
  <c r="K121" i="30"/>
  <c r="J121" i="30"/>
  <c r="I121" i="30"/>
  <c r="J120" i="30"/>
  <c r="K120" i="30" s="1"/>
  <c r="I120" i="30"/>
  <c r="M120" i="30" s="1"/>
  <c r="M119" i="30"/>
  <c r="K119" i="30"/>
  <c r="J119" i="30"/>
  <c r="I119" i="30"/>
  <c r="J118" i="30"/>
  <c r="K118" i="30" s="1"/>
  <c r="I118" i="30"/>
  <c r="M118" i="30" s="1"/>
  <c r="M117" i="30"/>
  <c r="J117" i="30"/>
  <c r="K117" i="30" s="1"/>
  <c r="I117" i="30"/>
  <c r="J116" i="30"/>
  <c r="K116" i="30" s="1"/>
  <c r="I116" i="30"/>
  <c r="M116" i="30" s="1"/>
  <c r="J115" i="30"/>
  <c r="K115" i="30" s="1"/>
  <c r="I115" i="30"/>
  <c r="M115" i="30" s="1"/>
  <c r="J114" i="30"/>
  <c r="K114" i="30" s="1"/>
  <c r="I114" i="30"/>
  <c r="M114" i="30" s="1"/>
  <c r="M113" i="30"/>
  <c r="K113" i="30"/>
  <c r="J113" i="30"/>
  <c r="I113" i="30"/>
  <c r="J112" i="30"/>
  <c r="K112" i="30" s="1"/>
  <c r="I112" i="30"/>
  <c r="M112" i="30" s="1"/>
  <c r="M111" i="30"/>
  <c r="K111" i="30"/>
  <c r="J111" i="30"/>
  <c r="I111" i="30"/>
  <c r="J110" i="30"/>
  <c r="K110" i="30" s="1"/>
  <c r="I110" i="30"/>
  <c r="M110" i="30" s="1"/>
  <c r="M109" i="30"/>
  <c r="J109" i="30"/>
  <c r="K109" i="30" s="1"/>
  <c r="I109" i="30"/>
  <c r="J108" i="30"/>
  <c r="K108" i="30" s="1"/>
  <c r="I108" i="30"/>
  <c r="M108" i="30" s="1"/>
  <c r="J107" i="30"/>
  <c r="K107" i="30" s="1"/>
  <c r="I107" i="30"/>
  <c r="M107" i="30" s="1"/>
  <c r="J106" i="30"/>
  <c r="K106" i="30" s="1"/>
  <c r="I106" i="30"/>
  <c r="M106" i="30" s="1"/>
  <c r="M105" i="30"/>
  <c r="K105" i="30"/>
  <c r="J105" i="30"/>
  <c r="I105" i="30"/>
  <c r="J104" i="30"/>
  <c r="K104" i="30" s="1"/>
  <c r="I104" i="30"/>
  <c r="M104" i="30" s="1"/>
  <c r="M103" i="30"/>
  <c r="K103" i="30"/>
  <c r="J103" i="30"/>
  <c r="I103" i="30"/>
  <c r="J102" i="30"/>
  <c r="K102" i="30" s="1"/>
  <c r="I102" i="30"/>
  <c r="M102" i="30" s="1"/>
  <c r="M101" i="30"/>
  <c r="J101" i="30"/>
  <c r="K101" i="30" s="1"/>
  <c r="I101" i="30"/>
  <c r="J100" i="30"/>
  <c r="K100" i="30" s="1"/>
  <c r="I100" i="30"/>
  <c r="M100" i="30" s="1"/>
  <c r="J99" i="30"/>
  <c r="K99" i="30" s="1"/>
  <c r="I99" i="30"/>
  <c r="M99" i="30" s="1"/>
  <c r="J98" i="30"/>
  <c r="K98" i="30" s="1"/>
  <c r="I98" i="30"/>
  <c r="M98" i="30" s="1"/>
  <c r="M97" i="30"/>
  <c r="K97" i="30"/>
  <c r="J97" i="30"/>
  <c r="I97" i="30"/>
  <c r="J96" i="30"/>
  <c r="K96" i="30" s="1"/>
  <c r="I96" i="30"/>
  <c r="M96" i="30" s="1"/>
  <c r="M95" i="30"/>
  <c r="K95" i="30"/>
  <c r="J95" i="30"/>
  <c r="I95" i="30"/>
  <c r="J94" i="30"/>
  <c r="K94" i="30" s="1"/>
  <c r="I94" i="30"/>
  <c r="M94" i="30" s="1"/>
  <c r="M93" i="30"/>
  <c r="J93" i="30"/>
  <c r="K93" i="30" s="1"/>
  <c r="I93" i="30"/>
  <c r="J92" i="30"/>
  <c r="K92" i="30" s="1"/>
  <c r="I92" i="30"/>
  <c r="M92" i="30" s="1"/>
  <c r="J91" i="30"/>
  <c r="K91" i="30" s="1"/>
  <c r="I91" i="30"/>
  <c r="M91" i="30" s="1"/>
  <c r="J90" i="30"/>
  <c r="K90" i="30" s="1"/>
  <c r="I90" i="30"/>
  <c r="M90" i="30" s="1"/>
  <c r="M89" i="30"/>
  <c r="K89" i="30"/>
  <c r="J89" i="30"/>
  <c r="I89" i="30"/>
  <c r="J88" i="30"/>
  <c r="K88" i="30" s="1"/>
  <c r="I88" i="30"/>
  <c r="M88" i="30" s="1"/>
  <c r="M87" i="30"/>
  <c r="K87" i="30"/>
  <c r="J87" i="30"/>
  <c r="I87" i="30"/>
  <c r="J86" i="30"/>
  <c r="K86" i="30" s="1"/>
  <c r="I86" i="30"/>
  <c r="M86" i="30" s="1"/>
  <c r="M85" i="30"/>
  <c r="J85" i="30"/>
  <c r="K85" i="30" s="1"/>
  <c r="I85" i="30"/>
  <c r="J84" i="30"/>
  <c r="K84" i="30" s="1"/>
  <c r="I84" i="30"/>
  <c r="M84" i="30" s="1"/>
  <c r="J83" i="30"/>
  <c r="K83" i="30" s="1"/>
  <c r="I83" i="30"/>
  <c r="M83" i="30" s="1"/>
  <c r="J82" i="30"/>
  <c r="K82" i="30" s="1"/>
  <c r="I82" i="30"/>
  <c r="M82" i="30" s="1"/>
  <c r="M81" i="30"/>
  <c r="J81" i="30"/>
  <c r="K81" i="30" s="1"/>
  <c r="I81" i="30"/>
  <c r="J80" i="30"/>
  <c r="K80" i="30" s="1"/>
  <c r="I80" i="30"/>
  <c r="M80" i="30" s="1"/>
  <c r="M79" i="30"/>
  <c r="K79" i="30"/>
  <c r="J79" i="30"/>
  <c r="I79" i="30"/>
  <c r="J78" i="30"/>
  <c r="K78" i="30" s="1"/>
  <c r="I78" i="30"/>
  <c r="M78" i="30" s="1"/>
  <c r="M77" i="30"/>
  <c r="J77" i="30"/>
  <c r="K77" i="30" s="1"/>
  <c r="I77" i="30"/>
  <c r="J76" i="30"/>
  <c r="K76" i="30" s="1"/>
  <c r="I76" i="30"/>
  <c r="M76" i="30" s="1"/>
  <c r="J75" i="30"/>
  <c r="K75" i="30" s="1"/>
  <c r="I75" i="30"/>
  <c r="M75" i="30" s="1"/>
  <c r="J74" i="30"/>
  <c r="K74" i="30" s="1"/>
  <c r="I74" i="30"/>
  <c r="M74" i="30" s="1"/>
  <c r="M73" i="30"/>
  <c r="J73" i="30"/>
  <c r="K73" i="30" s="1"/>
  <c r="I73" i="30"/>
  <c r="J72" i="30"/>
  <c r="K72" i="30" s="1"/>
  <c r="I72" i="30"/>
  <c r="M72" i="30" s="1"/>
  <c r="M71" i="30"/>
  <c r="J71" i="30"/>
  <c r="K71" i="30" s="1"/>
  <c r="I71" i="30"/>
  <c r="J70" i="30"/>
  <c r="K70" i="30" s="1"/>
  <c r="I70" i="30"/>
  <c r="M70" i="30" s="1"/>
  <c r="M69" i="30"/>
  <c r="J69" i="30"/>
  <c r="K69" i="30" s="1"/>
  <c r="I69" i="30"/>
  <c r="J68" i="30"/>
  <c r="K68" i="30" s="1"/>
  <c r="I68" i="30"/>
  <c r="M68" i="30" s="1"/>
  <c r="J67" i="30"/>
  <c r="K67" i="30" s="1"/>
  <c r="I67" i="30"/>
  <c r="M67" i="30" s="1"/>
  <c r="J66" i="30"/>
  <c r="K66" i="30" s="1"/>
  <c r="I66" i="30"/>
  <c r="M66" i="30" s="1"/>
  <c r="M65" i="30"/>
  <c r="J65" i="30"/>
  <c r="K65" i="30" s="1"/>
  <c r="I65" i="30"/>
  <c r="B65" i="30"/>
  <c r="J64" i="30"/>
  <c r="K64" i="30" s="1"/>
  <c r="I64" i="30"/>
  <c r="M64" i="30" s="1"/>
  <c r="B64" i="30"/>
  <c r="M63" i="30"/>
  <c r="J63" i="30"/>
  <c r="K63" i="30" s="1"/>
  <c r="I63" i="30"/>
  <c r="B63" i="30"/>
  <c r="J62" i="30"/>
  <c r="K62" i="30" s="1"/>
  <c r="I62" i="30"/>
  <c r="M62" i="30" s="1"/>
  <c r="B62" i="30"/>
  <c r="J61" i="30"/>
  <c r="K61" i="30" s="1"/>
  <c r="I61" i="30"/>
  <c r="M61" i="30" s="1"/>
  <c r="B61" i="30"/>
  <c r="J60" i="30"/>
  <c r="K60" i="30" s="1"/>
  <c r="I60" i="30"/>
  <c r="M60" i="30" s="1"/>
  <c r="B60" i="30"/>
  <c r="K59" i="30"/>
  <c r="J59" i="30"/>
  <c r="I59" i="30"/>
  <c r="M59" i="30" s="1"/>
  <c r="B59" i="30"/>
  <c r="J58" i="30"/>
  <c r="K58" i="30" s="1"/>
  <c r="I58" i="30"/>
  <c r="M58" i="30" s="1"/>
  <c r="B58" i="30"/>
  <c r="M57" i="30"/>
  <c r="J57" i="30"/>
  <c r="K57" i="30" s="1"/>
  <c r="I57" i="30"/>
  <c r="B57" i="30"/>
  <c r="J56" i="30"/>
  <c r="K56" i="30" s="1"/>
  <c r="I56" i="30"/>
  <c r="M56" i="30" s="1"/>
  <c r="B56" i="30"/>
  <c r="M55" i="30"/>
  <c r="J55" i="30"/>
  <c r="K55" i="30" s="1"/>
  <c r="I55" i="30"/>
  <c r="B55" i="30"/>
  <c r="J54" i="30"/>
  <c r="K54" i="30" s="1"/>
  <c r="I54" i="30"/>
  <c r="M54" i="30" s="1"/>
  <c r="B54" i="30"/>
  <c r="J53" i="30"/>
  <c r="K53" i="30" s="1"/>
  <c r="I53" i="30"/>
  <c r="M53" i="30" s="1"/>
  <c r="B53" i="30"/>
  <c r="J52" i="30"/>
  <c r="K52" i="30" s="1"/>
  <c r="I52" i="30"/>
  <c r="M52" i="30" s="1"/>
  <c r="B52" i="30"/>
  <c r="K51" i="30"/>
  <c r="J51" i="30"/>
  <c r="I51" i="30"/>
  <c r="M51" i="30" s="1"/>
  <c r="B51" i="30"/>
  <c r="J50" i="30"/>
  <c r="K50" i="30" s="1"/>
  <c r="I50" i="30"/>
  <c r="M50" i="30" s="1"/>
  <c r="B50" i="30"/>
  <c r="M49" i="30"/>
  <c r="J49" i="30"/>
  <c r="K49" i="30" s="1"/>
  <c r="I49" i="30"/>
  <c r="B49" i="30"/>
  <c r="J48" i="30"/>
  <c r="K48" i="30" s="1"/>
  <c r="I48" i="30"/>
  <c r="M48" i="30" s="1"/>
  <c r="B48" i="30"/>
  <c r="M47" i="30"/>
  <c r="J47" i="30"/>
  <c r="K47" i="30" s="1"/>
  <c r="I47" i="30"/>
  <c r="B47" i="30"/>
  <c r="T46" i="30"/>
  <c r="R46" i="30"/>
  <c r="U46" i="30" s="1"/>
  <c r="J46" i="30"/>
  <c r="K46" i="30" s="1"/>
  <c r="I46" i="30"/>
  <c r="M46" i="30" s="1"/>
  <c r="B46" i="30"/>
  <c r="J45" i="30"/>
  <c r="K45" i="30" s="1"/>
  <c r="I45" i="30"/>
  <c r="M45" i="30" s="1"/>
  <c r="B45" i="30"/>
  <c r="J44" i="30"/>
  <c r="K44" i="30" s="1"/>
  <c r="I44" i="30"/>
  <c r="M44" i="30" s="1"/>
  <c r="B44" i="30"/>
  <c r="J43" i="30"/>
  <c r="K43" i="30" s="1"/>
  <c r="I43" i="30"/>
  <c r="M43" i="30" s="1"/>
  <c r="B43" i="30"/>
  <c r="J42" i="30"/>
  <c r="K42" i="30" s="1"/>
  <c r="I42" i="30"/>
  <c r="M42" i="30" s="1"/>
  <c r="B42" i="30"/>
  <c r="J41" i="30"/>
  <c r="K41" i="30" s="1"/>
  <c r="I41" i="30"/>
  <c r="M41" i="30" s="1"/>
  <c r="B41" i="30"/>
  <c r="K40" i="30"/>
  <c r="J40" i="30"/>
  <c r="I40" i="30"/>
  <c r="M40" i="30" s="1"/>
  <c r="B40" i="30"/>
  <c r="J39" i="30"/>
  <c r="K39" i="30" s="1"/>
  <c r="I39" i="30"/>
  <c r="M39" i="30" s="1"/>
  <c r="B39" i="30"/>
  <c r="J38" i="30"/>
  <c r="K38" i="30" s="1"/>
  <c r="I38" i="30"/>
  <c r="M38" i="30" s="1"/>
  <c r="B38" i="30"/>
  <c r="J37" i="30"/>
  <c r="K37" i="30" s="1"/>
  <c r="I37" i="30"/>
  <c r="M37" i="30" s="1"/>
  <c r="A37" i="30" s="1"/>
  <c r="B37" i="30"/>
  <c r="J36" i="30"/>
  <c r="K36" i="30" s="1"/>
  <c r="I36" i="30"/>
  <c r="M36" i="30" s="1"/>
  <c r="A36" i="30" s="1"/>
  <c r="B36" i="30"/>
  <c r="K35" i="30"/>
  <c r="J35" i="30"/>
  <c r="I35" i="30"/>
  <c r="M35" i="30" s="1"/>
  <c r="A35" i="30" s="1"/>
  <c r="B35" i="30"/>
  <c r="M34" i="30"/>
  <c r="A34" i="30" s="1"/>
  <c r="J34" i="30"/>
  <c r="K34" i="30" s="1"/>
  <c r="I34" i="30"/>
  <c r="B34" i="30"/>
  <c r="J33" i="30"/>
  <c r="K33" i="30" s="1"/>
  <c r="I33" i="30"/>
  <c r="M33" i="30" s="1"/>
  <c r="A33" i="30" s="1"/>
  <c r="B33" i="30"/>
  <c r="J32" i="30"/>
  <c r="K32" i="30" s="1"/>
  <c r="I32" i="30"/>
  <c r="M32" i="30" s="1"/>
  <c r="A32" i="30" s="1"/>
  <c r="B32" i="30"/>
  <c r="K31" i="30"/>
  <c r="J31" i="30"/>
  <c r="I31" i="30"/>
  <c r="M31" i="30" s="1"/>
  <c r="A31" i="30" s="1"/>
  <c r="B31" i="30"/>
  <c r="M30" i="30"/>
  <c r="A30" i="30" s="1"/>
  <c r="J30" i="30"/>
  <c r="K30" i="30" s="1"/>
  <c r="I30" i="30"/>
  <c r="B30" i="30"/>
  <c r="J29" i="30"/>
  <c r="K29" i="30" s="1"/>
  <c r="I29" i="30"/>
  <c r="M29" i="30" s="1"/>
  <c r="A29" i="30" s="1"/>
  <c r="B29" i="30"/>
  <c r="J28" i="30"/>
  <c r="K28" i="30" s="1"/>
  <c r="I28" i="30"/>
  <c r="M28" i="30" s="1"/>
  <c r="A28" i="30" s="1"/>
  <c r="B28" i="30"/>
  <c r="K27" i="30"/>
  <c r="J27" i="30"/>
  <c r="I27" i="30"/>
  <c r="M27" i="30" s="1"/>
  <c r="A27" i="30" s="1"/>
  <c r="B27" i="30"/>
  <c r="M26" i="30"/>
  <c r="A26" i="30" s="1"/>
  <c r="J26" i="30"/>
  <c r="K26" i="30" s="1"/>
  <c r="I26" i="30"/>
  <c r="B26" i="30"/>
  <c r="J25" i="30"/>
  <c r="K25" i="30" s="1"/>
  <c r="I25" i="30"/>
  <c r="M25" i="30" s="1"/>
  <c r="A25" i="30" s="1"/>
  <c r="B25" i="30"/>
  <c r="J24" i="30"/>
  <c r="K24" i="30" s="1"/>
  <c r="I24" i="30"/>
  <c r="M24" i="30" s="1"/>
  <c r="A24" i="30" s="1"/>
  <c r="B24" i="30"/>
  <c r="K23" i="30"/>
  <c r="J23" i="30"/>
  <c r="I23" i="30"/>
  <c r="M23" i="30" s="1"/>
  <c r="A23" i="30" s="1"/>
  <c r="B23" i="30"/>
  <c r="M22" i="30"/>
  <c r="A22" i="30" s="1"/>
  <c r="J22" i="30"/>
  <c r="K22" i="30" s="1"/>
  <c r="I22" i="30"/>
  <c r="B22" i="30"/>
  <c r="J21" i="30"/>
  <c r="K21" i="30" s="1"/>
  <c r="I21" i="30"/>
  <c r="M21" i="30" s="1"/>
  <c r="A21" i="30" s="1"/>
  <c r="B21" i="30"/>
  <c r="J20" i="30"/>
  <c r="K20" i="30" s="1"/>
  <c r="I20" i="30"/>
  <c r="M20" i="30" s="1"/>
  <c r="A20" i="30" s="1"/>
  <c r="B20" i="30"/>
  <c r="K19" i="30"/>
  <c r="J19" i="30"/>
  <c r="I19" i="30"/>
  <c r="M19" i="30" s="1"/>
  <c r="A19" i="30" s="1"/>
  <c r="B19" i="30"/>
  <c r="M18" i="30"/>
  <c r="A18" i="30" s="1"/>
  <c r="J18" i="30"/>
  <c r="K18" i="30" s="1"/>
  <c r="I18" i="30"/>
  <c r="B18" i="30"/>
  <c r="J17" i="30"/>
  <c r="K17" i="30" s="1"/>
  <c r="I17" i="30"/>
  <c r="M17" i="30" s="1"/>
  <c r="A17" i="30" s="1"/>
  <c r="J16" i="30"/>
  <c r="K16" i="30" s="1"/>
  <c r="I16" i="30"/>
  <c r="J15" i="30"/>
  <c r="K15" i="30" s="1"/>
  <c r="I15" i="30"/>
  <c r="M15" i="30" s="1"/>
  <c r="A15" i="30" s="1"/>
  <c r="AI14" i="30"/>
  <c r="J14" i="30"/>
  <c r="K14" i="30" s="1"/>
  <c r="I14" i="30"/>
  <c r="M14" i="30" s="1"/>
  <c r="A14" i="30" s="1"/>
  <c r="AI13" i="30"/>
  <c r="J13" i="30"/>
  <c r="K13" i="30" s="1"/>
  <c r="I13" i="30"/>
  <c r="M13" i="30" s="1"/>
  <c r="A13" i="30" s="1"/>
  <c r="AI12" i="30"/>
  <c r="AI16" i="30" s="1"/>
  <c r="K12" i="30"/>
  <c r="J12" i="30"/>
  <c r="I12" i="30"/>
  <c r="M12" i="30" s="1"/>
  <c r="A12" i="30" s="1"/>
  <c r="M11" i="30"/>
  <c r="A11" i="30" s="1"/>
  <c r="J11" i="30"/>
  <c r="K11" i="30" s="1"/>
  <c r="I11" i="30"/>
  <c r="J10" i="30"/>
  <c r="K10" i="30" s="1"/>
  <c r="I10" i="30"/>
  <c r="J9" i="30"/>
  <c r="K9" i="30" s="1"/>
  <c r="I9" i="30"/>
  <c r="M9" i="30" s="1"/>
  <c r="A9" i="30" s="1"/>
  <c r="J8" i="30"/>
  <c r="K8" i="30" s="1"/>
  <c r="I8" i="30"/>
  <c r="L7" i="30"/>
  <c r="K7" i="30"/>
  <c r="M7" i="30" s="1"/>
  <c r="A7" i="30" s="1"/>
  <c r="J7" i="30"/>
  <c r="I7" i="30"/>
  <c r="J6" i="30"/>
  <c r="K6" i="30" s="1"/>
  <c r="I6" i="30"/>
  <c r="Q24" i="20"/>
  <c r="K2" i="30"/>
  <c r="L8" i="30" s="1"/>
  <c r="M8" i="30" s="1"/>
  <c r="A8" i="30" s="1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J302" i="29"/>
  <c r="K302" i="29" s="1"/>
  <c r="I302" i="29"/>
  <c r="M302" i="29" s="1"/>
  <c r="J301" i="29"/>
  <c r="K301" i="29" s="1"/>
  <c r="I301" i="29"/>
  <c r="M301" i="29" s="1"/>
  <c r="J300" i="29"/>
  <c r="K300" i="29" s="1"/>
  <c r="I300" i="29"/>
  <c r="M300" i="29" s="1"/>
  <c r="J299" i="29"/>
  <c r="K299" i="29" s="1"/>
  <c r="I299" i="29"/>
  <c r="M299" i="29" s="1"/>
  <c r="J298" i="29"/>
  <c r="K298" i="29" s="1"/>
  <c r="I298" i="29"/>
  <c r="M298" i="29" s="1"/>
  <c r="M297" i="29"/>
  <c r="J297" i="29"/>
  <c r="K297" i="29" s="1"/>
  <c r="I297" i="29"/>
  <c r="J296" i="29"/>
  <c r="K296" i="29" s="1"/>
  <c r="I296" i="29"/>
  <c r="M296" i="29" s="1"/>
  <c r="J295" i="29"/>
  <c r="K295" i="29" s="1"/>
  <c r="I295" i="29"/>
  <c r="M295" i="29" s="1"/>
  <c r="J294" i="29"/>
  <c r="K294" i="29" s="1"/>
  <c r="I294" i="29"/>
  <c r="M294" i="29" s="1"/>
  <c r="J293" i="29"/>
  <c r="K293" i="29" s="1"/>
  <c r="I293" i="29"/>
  <c r="M293" i="29" s="1"/>
  <c r="J292" i="29"/>
  <c r="K292" i="29" s="1"/>
  <c r="I292" i="29"/>
  <c r="M292" i="29" s="1"/>
  <c r="J291" i="29"/>
  <c r="K291" i="29" s="1"/>
  <c r="I291" i="29"/>
  <c r="M291" i="29" s="1"/>
  <c r="J290" i="29"/>
  <c r="K290" i="29" s="1"/>
  <c r="I290" i="29"/>
  <c r="M290" i="29" s="1"/>
  <c r="J289" i="29"/>
  <c r="K289" i="29" s="1"/>
  <c r="I289" i="29"/>
  <c r="M289" i="29" s="1"/>
  <c r="J288" i="29"/>
  <c r="K288" i="29" s="1"/>
  <c r="I288" i="29"/>
  <c r="M288" i="29" s="1"/>
  <c r="J287" i="29"/>
  <c r="K287" i="29" s="1"/>
  <c r="I287" i="29"/>
  <c r="M287" i="29" s="1"/>
  <c r="J286" i="29"/>
  <c r="K286" i="29" s="1"/>
  <c r="I286" i="29"/>
  <c r="M286" i="29" s="1"/>
  <c r="J285" i="29"/>
  <c r="K285" i="29" s="1"/>
  <c r="I285" i="29"/>
  <c r="M285" i="29" s="1"/>
  <c r="J284" i="29"/>
  <c r="K284" i="29" s="1"/>
  <c r="I284" i="29"/>
  <c r="M284" i="29" s="1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J280" i="29"/>
  <c r="K280" i="29" s="1"/>
  <c r="I280" i="29"/>
  <c r="M280" i="29" s="1"/>
  <c r="M279" i="29"/>
  <c r="J279" i="29"/>
  <c r="K279" i="29" s="1"/>
  <c r="I279" i="29"/>
  <c r="J278" i="29"/>
  <c r="K278" i="29" s="1"/>
  <c r="I278" i="29"/>
  <c r="M278" i="29" s="1"/>
  <c r="J277" i="29"/>
  <c r="K277" i="29" s="1"/>
  <c r="I277" i="29"/>
  <c r="M277" i="29" s="1"/>
  <c r="J276" i="29"/>
  <c r="K276" i="29" s="1"/>
  <c r="I276" i="29"/>
  <c r="M276" i="29" s="1"/>
  <c r="J275" i="29"/>
  <c r="K275" i="29" s="1"/>
  <c r="I275" i="29"/>
  <c r="M275" i="29" s="1"/>
  <c r="J274" i="29"/>
  <c r="K274" i="29" s="1"/>
  <c r="I274" i="29"/>
  <c r="M274" i="29" s="1"/>
  <c r="J273" i="29"/>
  <c r="K273" i="29" s="1"/>
  <c r="I273" i="29"/>
  <c r="M273" i="29" s="1"/>
  <c r="J272" i="29"/>
  <c r="K272" i="29" s="1"/>
  <c r="I272" i="29"/>
  <c r="M272" i="29" s="1"/>
  <c r="J271" i="29"/>
  <c r="K271" i="29" s="1"/>
  <c r="I271" i="29"/>
  <c r="M271" i="29" s="1"/>
  <c r="J270" i="29"/>
  <c r="K270" i="29" s="1"/>
  <c r="I270" i="29"/>
  <c r="M270" i="29" s="1"/>
  <c r="J269" i="29"/>
  <c r="K269" i="29" s="1"/>
  <c r="I269" i="29"/>
  <c r="M269" i="29" s="1"/>
  <c r="J268" i="29"/>
  <c r="K268" i="29" s="1"/>
  <c r="I268" i="29"/>
  <c r="M268" i="29" s="1"/>
  <c r="M267" i="29"/>
  <c r="J267" i="29"/>
  <c r="K267" i="29" s="1"/>
  <c r="I267" i="29"/>
  <c r="J266" i="29"/>
  <c r="K266" i="29" s="1"/>
  <c r="I266" i="29"/>
  <c r="M266" i="29" s="1"/>
  <c r="J265" i="29"/>
  <c r="K265" i="29" s="1"/>
  <c r="I265" i="29"/>
  <c r="M265" i="29" s="1"/>
  <c r="J264" i="29"/>
  <c r="K264" i="29" s="1"/>
  <c r="I264" i="29"/>
  <c r="M264" i="29" s="1"/>
  <c r="J263" i="29"/>
  <c r="K263" i="29" s="1"/>
  <c r="I263" i="29"/>
  <c r="M263" i="29" s="1"/>
  <c r="J262" i="29"/>
  <c r="K262" i="29" s="1"/>
  <c r="I262" i="29"/>
  <c r="M262" i="29" s="1"/>
  <c r="J261" i="29"/>
  <c r="K261" i="29" s="1"/>
  <c r="I261" i="29"/>
  <c r="M261" i="29" s="1"/>
  <c r="J260" i="29"/>
  <c r="K260" i="29" s="1"/>
  <c r="I260" i="29"/>
  <c r="M260" i="29" s="1"/>
  <c r="J259" i="29"/>
  <c r="K259" i="29" s="1"/>
  <c r="I259" i="29"/>
  <c r="M259" i="29" s="1"/>
  <c r="J258" i="29"/>
  <c r="K258" i="29" s="1"/>
  <c r="I258" i="29"/>
  <c r="M258" i="29" s="1"/>
  <c r="J257" i="29"/>
  <c r="K257" i="29" s="1"/>
  <c r="I257" i="29"/>
  <c r="M257" i="29" s="1"/>
  <c r="J256" i="29"/>
  <c r="K256" i="29" s="1"/>
  <c r="I256" i="29"/>
  <c r="M256" i="29" s="1"/>
  <c r="J255" i="29"/>
  <c r="K255" i="29" s="1"/>
  <c r="I255" i="29"/>
  <c r="M255" i="29" s="1"/>
  <c r="J254" i="29"/>
  <c r="K254" i="29" s="1"/>
  <c r="I254" i="29"/>
  <c r="M254" i="29" s="1"/>
  <c r="J253" i="29"/>
  <c r="K253" i="29" s="1"/>
  <c r="I253" i="29"/>
  <c r="M253" i="29" s="1"/>
  <c r="J252" i="29"/>
  <c r="K252" i="29" s="1"/>
  <c r="I252" i="29"/>
  <c r="M252" i="29" s="1"/>
  <c r="J251" i="29"/>
  <c r="K251" i="29" s="1"/>
  <c r="I251" i="29"/>
  <c r="M251" i="29" s="1"/>
  <c r="J250" i="29"/>
  <c r="K250" i="29" s="1"/>
  <c r="I250" i="29"/>
  <c r="M250" i="29" s="1"/>
  <c r="M249" i="29"/>
  <c r="J249" i="29"/>
  <c r="K249" i="29" s="1"/>
  <c r="I249" i="29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J245" i="29"/>
  <c r="K245" i="29" s="1"/>
  <c r="I245" i="29"/>
  <c r="M245" i="29" s="1"/>
  <c r="J244" i="29"/>
  <c r="K244" i="29" s="1"/>
  <c r="I244" i="29"/>
  <c r="M244" i="29" s="1"/>
  <c r="J243" i="29"/>
  <c r="K243" i="29" s="1"/>
  <c r="I243" i="29"/>
  <c r="M243" i="29" s="1"/>
  <c r="J242" i="29"/>
  <c r="K242" i="29" s="1"/>
  <c r="I242" i="29"/>
  <c r="M242" i="29" s="1"/>
  <c r="J241" i="29"/>
  <c r="K241" i="29" s="1"/>
  <c r="I241" i="29"/>
  <c r="M241" i="29" s="1"/>
  <c r="J240" i="29"/>
  <c r="K240" i="29" s="1"/>
  <c r="I240" i="29"/>
  <c r="M240" i="29" s="1"/>
  <c r="J239" i="29"/>
  <c r="K239" i="29" s="1"/>
  <c r="I239" i="29"/>
  <c r="M239" i="29" s="1"/>
  <c r="J238" i="29"/>
  <c r="K238" i="29" s="1"/>
  <c r="I238" i="29"/>
  <c r="M238" i="29" s="1"/>
  <c r="J237" i="29"/>
  <c r="K237" i="29" s="1"/>
  <c r="I237" i="29"/>
  <c r="M237" i="29" s="1"/>
  <c r="J236" i="29"/>
  <c r="K236" i="29" s="1"/>
  <c r="I236" i="29"/>
  <c r="M236" i="29" s="1"/>
  <c r="J235" i="29"/>
  <c r="K235" i="29" s="1"/>
  <c r="I235" i="29"/>
  <c r="M235" i="29" s="1"/>
  <c r="J234" i="29"/>
  <c r="K234" i="29" s="1"/>
  <c r="I234" i="29"/>
  <c r="M234" i="29" s="1"/>
  <c r="J233" i="29"/>
  <c r="K233" i="29" s="1"/>
  <c r="I233" i="29"/>
  <c r="M233" i="29" s="1"/>
  <c r="J232" i="29"/>
  <c r="K232" i="29" s="1"/>
  <c r="I232" i="29"/>
  <c r="M232" i="29" s="1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J224" i="29"/>
  <c r="K224" i="29" s="1"/>
  <c r="I224" i="29"/>
  <c r="M224" i="29" s="1"/>
  <c r="J223" i="29"/>
  <c r="K223" i="29" s="1"/>
  <c r="I223" i="29"/>
  <c r="M223" i="29" s="1"/>
  <c r="J222" i="29"/>
  <c r="K222" i="29" s="1"/>
  <c r="I222" i="29"/>
  <c r="M222" i="29" s="1"/>
  <c r="J221" i="29"/>
  <c r="K221" i="29" s="1"/>
  <c r="I221" i="29"/>
  <c r="M221" i="29" s="1"/>
  <c r="J220" i="29"/>
  <c r="K220" i="29" s="1"/>
  <c r="I220" i="29"/>
  <c r="M220" i="29" s="1"/>
  <c r="M219" i="29"/>
  <c r="J219" i="29"/>
  <c r="K219" i="29" s="1"/>
  <c r="I219" i="29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J212" i="29"/>
  <c r="K212" i="29" s="1"/>
  <c r="I212" i="29"/>
  <c r="M212" i="29" s="1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J208" i="29"/>
  <c r="K208" i="29" s="1"/>
  <c r="I208" i="29"/>
  <c r="M208" i="29" s="1"/>
  <c r="J207" i="29"/>
  <c r="K207" i="29" s="1"/>
  <c r="I207" i="29"/>
  <c r="M207" i="29" s="1"/>
  <c r="J206" i="29"/>
  <c r="K206" i="29" s="1"/>
  <c r="I206" i="29"/>
  <c r="M206" i="29" s="1"/>
  <c r="J205" i="29"/>
  <c r="K205" i="29" s="1"/>
  <c r="I205" i="29"/>
  <c r="M205" i="29" s="1"/>
  <c r="J204" i="29"/>
  <c r="K204" i="29" s="1"/>
  <c r="I204" i="29"/>
  <c r="M204" i="29" s="1"/>
  <c r="J203" i="29"/>
  <c r="K203" i="29" s="1"/>
  <c r="I203" i="29"/>
  <c r="M203" i="29" s="1"/>
  <c r="J202" i="29"/>
  <c r="K202" i="29" s="1"/>
  <c r="I202" i="29"/>
  <c r="M202" i="29" s="1"/>
  <c r="M201" i="29"/>
  <c r="J201" i="29"/>
  <c r="K201" i="29" s="1"/>
  <c r="I201" i="29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J196" i="29"/>
  <c r="K196" i="29" s="1"/>
  <c r="I196" i="29"/>
  <c r="M196" i="29" s="1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J191" i="29"/>
  <c r="K191" i="29" s="1"/>
  <c r="I191" i="29"/>
  <c r="M191" i="29" s="1"/>
  <c r="J190" i="29"/>
  <c r="K190" i="29" s="1"/>
  <c r="I190" i="29"/>
  <c r="M190" i="29" s="1"/>
  <c r="J189" i="29"/>
  <c r="K189" i="29" s="1"/>
  <c r="I189" i="29"/>
  <c r="M189" i="29" s="1"/>
  <c r="J188" i="29"/>
  <c r="K188" i="29" s="1"/>
  <c r="I188" i="29"/>
  <c r="M188" i="29" s="1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J181" i="29"/>
  <c r="K181" i="29" s="1"/>
  <c r="I181" i="29"/>
  <c r="M181" i="29" s="1"/>
  <c r="J180" i="29"/>
  <c r="K180" i="29" s="1"/>
  <c r="I180" i="29"/>
  <c r="M180" i="29" s="1"/>
  <c r="J179" i="29"/>
  <c r="K179" i="29" s="1"/>
  <c r="I179" i="29"/>
  <c r="M179" i="29" s="1"/>
  <c r="J178" i="29"/>
  <c r="K178" i="29" s="1"/>
  <c r="I178" i="29"/>
  <c r="M178" i="29" s="1"/>
  <c r="J177" i="29"/>
  <c r="K177" i="29" s="1"/>
  <c r="I177" i="29"/>
  <c r="M177" i="29" s="1"/>
  <c r="J176" i="29"/>
  <c r="K176" i="29" s="1"/>
  <c r="I176" i="29"/>
  <c r="M176" i="29" s="1"/>
  <c r="J175" i="29"/>
  <c r="K175" i="29" s="1"/>
  <c r="I175" i="29"/>
  <c r="M175" i="29" s="1"/>
  <c r="J174" i="29"/>
  <c r="K174" i="29" s="1"/>
  <c r="I174" i="29"/>
  <c r="M174" i="29" s="1"/>
  <c r="J173" i="29"/>
  <c r="K173" i="29" s="1"/>
  <c r="I173" i="29"/>
  <c r="M173" i="29" s="1"/>
  <c r="J172" i="29"/>
  <c r="K172" i="29" s="1"/>
  <c r="I172" i="29"/>
  <c r="M172" i="29" s="1"/>
  <c r="M171" i="29"/>
  <c r="J171" i="29"/>
  <c r="K171" i="29" s="1"/>
  <c r="I171" i="29"/>
  <c r="J170" i="29"/>
  <c r="K170" i="29" s="1"/>
  <c r="I170" i="29"/>
  <c r="M170" i="29" s="1"/>
  <c r="J169" i="29"/>
  <c r="K169" i="29" s="1"/>
  <c r="I169" i="29"/>
  <c r="M169" i="29" s="1"/>
  <c r="J168" i="29"/>
  <c r="K168" i="29" s="1"/>
  <c r="I168" i="29"/>
  <c r="M168" i="29" s="1"/>
  <c r="J167" i="29"/>
  <c r="K167" i="29" s="1"/>
  <c r="I167" i="29"/>
  <c r="M167" i="29" s="1"/>
  <c r="J166" i="29"/>
  <c r="K166" i="29" s="1"/>
  <c r="I166" i="29"/>
  <c r="M166" i="29" s="1"/>
  <c r="J165" i="29"/>
  <c r="K165" i="29" s="1"/>
  <c r="I165" i="29"/>
  <c r="M165" i="29" s="1"/>
  <c r="J164" i="29"/>
  <c r="K164" i="29" s="1"/>
  <c r="I164" i="29"/>
  <c r="M164" i="29" s="1"/>
  <c r="J163" i="29"/>
  <c r="K163" i="29" s="1"/>
  <c r="I163" i="29"/>
  <c r="M163" i="29" s="1"/>
  <c r="J162" i="29"/>
  <c r="K162" i="29" s="1"/>
  <c r="I162" i="29"/>
  <c r="M162" i="29" s="1"/>
  <c r="J161" i="29"/>
  <c r="K161" i="29" s="1"/>
  <c r="I161" i="29"/>
  <c r="M161" i="29" s="1"/>
  <c r="J160" i="29"/>
  <c r="K160" i="29" s="1"/>
  <c r="I160" i="29"/>
  <c r="M160" i="29" s="1"/>
  <c r="J159" i="29"/>
  <c r="K159" i="29" s="1"/>
  <c r="I159" i="29"/>
  <c r="M159" i="29" s="1"/>
  <c r="J158" i="29"/>
  <c r="K158" i="29" s="1"/>
  <c r="I158" i="29"/>
  <c r="M158" i="29" s="1"/>
  <c r="J157" i="29"/>
  <c r="K157" i="29" s="1"/>
  <c r="I157" i="29"/>
  <c r="M157" i="29" s="1"/>
  <c r="J156" i="29"/>
  <c r="K156" i="29" s="1"/>
  <c r="I156" i="29"/>
  <c r="M156" i="29" s="1"/>
  <c r="J155" i="29"/>
  <c r="K155" i="29" s="1"/>
  <c r="I155" i="29"/>
  <c r="M155" i="29" s="1"/>
  <c r="J154" i="29"/>
  <c r="K154" i="29" s="1"/>
  <c r="I154" i="29"/>
  <c r="M154" i="29" s="1"/>
  <c r="M153" i="29"/>
  <c r="J153" i="29"/>
  <c r="K153" i="29" s="1"/>
  <c r="I153" i="29"/>
  <c r="J152" i="29"/>
  <c r="K152" i="29" s="1"/>
  <c r="I152" i="29"/>
  <c r="M152" i="29" s="1"/>
  <c r="J151" i="29"/>
  <c r="K151" i="29" s="1"/>
  <c r="I151" i="29"/>
  <c r="M151" i="29" s="1"/>
  <c r="J150" i="29"/>
  <c r="K150" i="29" s="1"/>
  <c r="I150" i="29"/>
  <c r="M150" i="29" s="1"/>
  <c r="J149" i="29"/>
  <c r="K149" i="29" s="1"/>
  <c r="I149" i="29"/>
  <c r="M149" i="29" s="1"/>
  <c r="J148" i="29"/>
  <c r="K148" i="29" s="1"/>
  <c r="I148" i="29"/>
  <c r="M148" i="29" s="1"/>
  <c r="J147" i="29"/>
  <c r="K147" i="29" s="1"/>
  <c r="I147" i="29"/>
  <c r="M147" i="29" s="1"/>
  <c r="J146" i="29"/>
  <c r="K146" i="29" s="1"/>
  <c r="I146" i="29"/>
  <c r="M146" i="29" s="1"/>
  <c r="J145" i="29"/>
  <c r="K145" i="29" s="1"/>
  <c r="I145" i="29"/>
  <c r="M145" i="29" s="1"/>
  <c r="J144" i="29"/>
  <c r="K144" i="29" s="1"/>
  <c r="I144" i="29"/>
  <c r="M144" i="29" s="1"/>
  <c r="J143" i="29"/>
  <c r="K143" i="29" s="1"/>
  <c r="I143" i="29"/>
  <c r="M143" i="29" s="1"/>
  <c r="J142" i="29"/>
  <c r="K142" i="29" s="1"/>
  <c r="I142" i="29"/>
  <c r="M142" i="29" s="1"/>
  <c r="J141" i="29"/>
  <c r="K141" i="29" s="1"/>
  <c r="I141" i="29"/>
  <c r="M141" i="29" s="1"/>
  <c r="J140" i="29"/>
  <c r="K140" i="29" s="1"/>
  <c r="I140" i="29"/>
  <c r="M140" i="29" s="1"/>
  <c r="J139" i="29"/>
  <c r="K139" i="29" s="1"/>
  <c r="I139" i="29"/>
  <c r="M139" i="29" s="1"/>
  <c r="J138" i="29"/>
  <c r="K138" i="29" s="1"/>
  <c r="I138" i="29"/>
  <c r="M138" i="29" s="1"/>
  <c r="M137" i="29"/>
  <c r="J137" i="29"/>
  <c r="K137" i="29" s="1"/>
  <c r="I137" i="29"/>
  <c r="J136" i="29"/>
  <c r="K136" i="29" s="1"/>
  <c r="I136" i="29"/>
  <c r="M136" i="29" s="1"/>
  <c r="J135" i="29"/>
  <c r="K135" i="29" s="1"/>
  <c r="I135" i="29"/>
  <c r="M135" i="29" s="1"/>
  <c r="J134" i="29"/>
  <c r="K134" i="29" s="1"/>
  <c r="I134" i="29"/>
  <c r="M134" i="29" s="1"/>
  <c r="J133" i="29"/>
  <c r="K133" i="29" s="1"/>
  <c r="I133" i="29"/>
  <c r="M133" i="29" s="1"/>
  <c r="J132" i="29"/>
  <c r="K132" i="29" s="1"/>
  <c r="I132" i="29"/>
  <c r="M132" i="29" s="1"/>
  <c r="J131" i="29"/>
  <c r="K131" i="29" s="1"/>
  <c r="I131" i="29"/>
  <c r="M131" i="29" s="1"/>
  <c r="J130" i="29"/>
  <c r="K130" i="29" s="1"/>
  <c r="I130" i="29"/>
  <c r="M130" i="29" s="1"/>
  <c r="J129" i="29"/>
  <c r="K129" i="29" s="1"/>
  <c r="I129" i="29"/>
  <c r="M129" i="29" s="1"/>
  <c r="K128" i="29"/>
  <c r="J128" i="29"/>
  <c r="I128" i="29"/>
  <c r="M128" i="29" s="1"/>
  <c r="J127" i="29"/>
  <c r="K127" i="29" s="1"/>
  <c r="I127" i="29"/>
  <c r="M127" i="29" s="1"/>
  <c r="J126" i="29"/>
  <c r="K126" i="29" s="1"/>
  <c r="I126" i="29"/>
  <c r="M126" i="29" s="1"/>
  <c r="J125" i="29"/>
  <c r="K125" i="29" s="1"/>
  <c r="I125" i="29"/>
  <c r="M125" i="29" s="1"/>
  <c r="K124" i="29"/>
  <c r="J124" i="29"/>
  <c r="I124" i="29"/>
  <c r="M124" i="29" s="1"/>
  <c r="J123" i="29"/>
  <c r="K123" i="29" s="1"/>
  <c r="I123" i="29"/>
  <c r="M123" i="29" s="1"/>
  <c r="K122" i="29"/>
  <c r="J122" i="29"/>
  <c r="I122" i="29"/>
  <c r="M122" i="29" s="1"/>
  <c r="J121" i="29"/>
  <c r="K121" i="29" s="1"/>
  <c r="I121" i="29"/>
  <c r="M121" i="29" s="1"/>
  <c r="J120" i="29"/>
  <c r="K120" i="29" s="1"/>
  <c r="I120" i="29"/>
  <c r="M120" i="29" s="1"/>
  <c r="J119" i="29"/>
  <c r="K119" i="29" s="1"/>
  <c r="I119" i="29"/>
  <c r="M119" i="29" s="1"/>
  <c r="J118" i="29"/>
  <c r="K118" i="29" s="1"/>
  <c r="I118" i="29"/>
  <c r="M118" i="29" s="1"/>
  <c r="J117" i="29"/>
  <c r="K117" i="29" s="1"/>
  <c r="I117" i="29"/>
  <c r="M117" i="29" s="1"/>
  <c r="J116" i="29"/>
  <c r="K116" i="29" s="1"/>
  <c r="I116" i="29"/>
  <c r="M116" i="29" s="1"/>
  <c r="J115" i="29"/>
  <c r="K115" i="29" s="1"/>
  <c r="I115" i="29"/>
  <c r="M115" i="29" s="1"/>
  <c r="J114" i="29"/>
  <c r="K114" i="29" s="1"/>
  <c r="I114" i="29"/>
  <c r="M114" i="29" s="1"/>
  <c r="J113" i="29"/>
  <c r="K113" i="29" s="1"/>
  <c r="I113" i="29"/>
  <c r="M113" i="29" s="1"/>
  <c r="K112" i="29"/>
  <c r="J112" i="29"/>
  <c r="I112" i="29"/>
  <c r="M112" i="29" s="1"/>
  <c r="J111" i="29"/>
  <c r="K111" i="29" s="1"/>
  <c r="I111" i="29"/>
  <c r="M111" i="29" s="1"/>
  <c r="J110" i="29"/>
  <c r="K110" i="29" s="1"/>
  <c r="I110" i="29"/>
  <c r="M110" i="29" s="1"/>
  <c r="J109" i="29"/>
  <c r="K109" i="29" s="1"/>
  <c r="I109" i="29"/>
  <c r="M109" i="29" s="1"/>
  <c r="K108" i="29"/>
  <c r="J108" i="29"/>
  <c r="I108" i="29"/>
  <c r="M108" i="29" s="1"/>
  <c r="J107" i="29"/>
  <c r="K107" i="29" s="1"/>
  <c r="I107" i="29"/>
  <c r="M107" i="29" s="1"/>
  <c r="K106" i="29"/>
  <c r="J106" i="29"/>
  <c r="I106" i="29"/>
  <c r="M106" i="29" s="1"/>
  <c r="J105" i="29"/>
  <c r="K105" i="29" s="1"/>
  <c r="I105" i="29"/>
  <c r="M105" i="29" s="1"/>
  <c r="J104" i="29"/>
  <c r="K104" i="29" s="1"/>
  <c r="I104" i="29"/>
  <c r="M104" i="29" s="1"/>
  <c r="J103" i="29"/>
  <c r="K103" i="29" s="1"/>
  <c r="I103" i="29"/>
  <c r="M103" i="29" s="1"/>
  <c r="J102" i="29"/>
  <c r="K102" i="29" s="1"/>
  <c r="I102" i="29"/>
  <c r="M102" i="29" s="1"/>
  <c r="J101" i="29"/>
  <c r="K101" i="29" s="1"/>
  <c r="I101" i="29"/>
  <c r="M101" i="29" s="1"/>
  <c r="J100" i="29"/>
  <c r="K100" i="29" s="1"/>
  <c r="I100" i="29"/>
  <c r="M100" i="29" s="1"/>
  <c r="J99" i="29"/>
  <c r="K99" i="29" s="1"/>
  <c r="I99" i="29"/>
  <c r="M99" i="29" s="1"/>
  <c r="J98" i="29"/>
  <c r="K98" i="29" s="1"/>
  <c r="I98" i="29"/>
  <c r="M98" i="29" s="1"/>
  <c r="J97" i="29"/>
  <c r="K97" i="29" s="1"/>
  <c r="I97" i="29"/>
  <c r="M97" i="29" s="1"/>
  <c r="K96" i="29"/>
  <c r="J96" i="29"/>
  <c r="I96" i="29"/>
  <c r="M96" i="29" s="1"/>
  <c r="J95" i="29"/>
  <c r="K95" i="29" s="1"/>
  <c r="I95" i="29"/>
  <c r="M95" i="29" s="1"/>
  <c r="J94" i="29"/>
  <c r="K94" i="29" s="1"/>
  <c r="I94" i="29"/>
  <c r="M94" i="29" s="1"/>
  <c r="J93" i="29"/>
  <c r="K93" i="29" s="1"/>
  <c r="I93" i="29"/>
  <c r="M93" i="29" s="1"/>
  <c r="K92" i="29"/>
  <c r="J92" i="29"/>
  <c r="I92" i="29"/>
  <c r="M92" i="29" s="1"/>
  <c r="J91" i="29"/>
  <c r="K91" i="29" s="1"/>
  <c r="I91" i="29"/>
  <c r="M91" i="29" s="1"/>
  <c r="K90" i="29"/>
  <c r="J90" i="29"/>
  <c r="I90" i="29"/>
  <c r="M90" i="29" s="1"/>
  <c r="J89" i="29"/>
  <c r="K89" i="29" s="1"/>
  <c r="I89" i="29"/>
  <c r="M89" i="29" s="1"/>
  <c r="J88" i="29"/>
  <c r="K88" i="29" s="1"/>
  <c r="I88" i="29"/>
  <c r="M88" i="29" s="1"/>
  <c r="J87" i="29"/>
  <c r="K87" i="29" s="1"/>
  <c r="I87" i="29"/>
  <c r="M87" i="29" s="1"/>
  <c r="J86" i="29"/>
  <c r="K86" i="29" s="1"/>
  <c r="I86" i="29"/>
  <c r="M86" i="29" s="1"/>
  <c r="J85" i="29"/>
  <c r="K85" i="29" s="1"/>
  <c r="I85" i="29"/>
  <c r="M85" i="29" s="1"/>
  <c r="J84" i="29"/>
  <c r="K84" i="29" s="1"/>
  <c r="I84" i="29"/>
  <c r="M84" i="29" s="1"/>
  <c r="J83" i="29"/>
  <c r="K83" i="29" s="1"/>
  <c r="I83" i="29"/>
  <c r="M83" i="29" s="1"/>
  <c r="J82" i="29"/>
  <c r="K82" i="29" s="1"/>
  <c r="I82" i="29"/>
  <c r="M82" i="29" s="1"/>
  <c r="J81" i="29"/>
  <c r="K81" i="29" s="1"/>
  <c r="I81" i="29"/>
  <c r="M81" i="29" s="1"/>
  <c r="K80" i="29"/>
  <c r="J80" i="29"/>
  <c r="I80" i="29"/>
  <c r="M80" i="29" s="1"/>
  <c r="J79" i="29"/>
  <c r="K79" i="29" s="1"/>
  <c r="I79" i="29"/>
  <c r="M79" i="29" s="1"/>
  <c r="J78" i="29"/>
  <c r="K78" i="29" s="1"/>
  <c r="I78" i="29"/>
  <c r="M78" i="29" s="1"/>
  <c r="J77" i="29"/>
  <c r="K77" i="29" s="1"/>
  <c r="I77" i="29"/>
  <c r="M77" i="29" s="1"/>
  <c r="K76" i="29"/>
  <c r="J76" i="29"/>
  <c r="I76" i="29"/>
  <c r="M76" i="29" s="1"/>
  <c r="J75" i="29"/>
  <c r="K75" i="29" s="1"/>
  <c r="I75" i="29"/>
  <c r="M75" i="29" s="1"/>
  <c r="K74" i="29"/>
  <c r="J74" i="29"/>
  <c r="I74" i="29"/>
  <c r="M74" i="29" s="1"/>
  <c r="J73" i="29"/>
  <c r="K73" i="29" s="1"/>
  <c r="I73" i="29"/>
  <c r="M73" i="29" s="1"/>
  <c r="J72" i="29"/>
  <c r="K72" i="29" s="1"/>
  <c r="I72" i="29"/>
  <c r="M72" i="29" s="1"/>
  <c r="J71" i="29"/>
  <c r="K71" i="29" s="1"/>
  <c r="I71" i="29"/>
  <c r="M71" i="29" s="1"/>
  <c r="J70" i="29"/>
  <c r="K70" i="29" s="1"/>
  <c r="I70" i="29"/>
  <c r="M70" i="29" s="1"/>
  <c r="J69" i="29"/>
  <c r="K69" i="29" s="1"/>
  <c r="I69" i="29"/>
  <c r="M69" i="29" s="1"/>
  <c r="J68" i="29"/>
  <c r="K68" i="29" s="1"/>
  <c r="I68" i="29"/>
  <c r="M68" i="29" s="1"/>
  <c r="J67" i="29"/>
  <c r="K67" i="29" s="1"/>
  <c r="I67" i="29"/>
  <c r="M67" i="29" s="1"/>
  <c r="J66" i="29"/>
  <c r="K66" i="29" s="1"/>
  <c r="I66" i="29"/>
  <c r="M66" i="29" s="1"/>
  <c r="J65" i="29"/>
  <c r="K65" i="29" s="1"/>
  <c r="I65" i="29"/>
  <c r="M65" i="29" s="1"/>
  <c r="B65" i="29"/>
  <c r="K64" i="29"/>
  <c r="J64" i="29"/>
  <c r="I64" i="29"/>
  <c r="M64" i="29" s="1"/>
  <c r="B64" i="29"/>
  <c r="J63" i="29"/>
  <c r="K63" i="29" s="1"/>
  <c r="I63" i="29"/>
  <c r="M63" i="29" s="1"/>
  <c r="B63" i="29"/>
  <c r="J62" i="29"/>
  <c r="K62" i="29" s="1"/>
  <c r="I62" i="29"/>
  <c r="M62" i="29" s="1"/>
  <c r="B62" i="29"/>
  <c r="J61" i="29"/>
  <c r="K61" i="29" s="1"/>
  <c r="I61" i="29"/>
  <c r="M61" i="29" s="1"/>
  <c r="B61" i="29"/>
  <c r="J60" i="29"/>
  <c r="K60" i="29" s="1"/>
  <c r="I60" i="29"/>
  <c r="M60" i="29" s="1"/>
  <c r="B60" i="29"/>
  <c r="J59" i="29"/>
  <c r="K59" i="29" s="1"/>
  <c r="I59" i="29"/>
  <c r="M59" i="29" s="1"/>
  <c r="B59" i="29"/>
  <c r="M58" i="29"/>
  <c r="J58" i="29"/>
  <c r="K58" i="29" s="1"/>
  <c r="I58" i="29"/>
  <c r="B58" i="29"/>
  <c r="J57" i="29"/>
  <c r="K57" i="29" s="1"/>
  <c r="I57" i="29"/>
  <c r="M57" i="29" s="1"/>
  <c r="B57" i="29"/>
  <c r="M56" i="29"/>
  <c r="J56" i="29"/>
  <c r="K56" i="29" s="1"/>
  <c r="I56" i="29"/>
  <c r="B56" i="29"/>
  <c r="J55" i="29"/>
  <c r="K55" i="29" s="1"/>
  <c r="I55" i="29"/>
  <c r="M55" i="29" s="1"/>
  <c r="B55" i="29"/>
  <c r="J54" i="29"/>
  <c r="K54" i="29" s="1"/>
  <c r="I54" i="29"/>
  <c r="M54" i="29" s="1"/>
  <c r="B54" i="29"/>
  <c r="J53" i="29"/>
  <c r="K53" i="29" s="1"/>
  <c r="I53" i="29"/>
  <c r="M53" i="29" s="1"/>
  <c r="B53" i="29"/>
  <c r="J52" i="29"/>
  <c r="K52" i="29" s="1"/>
  <c r="I52" i="29"/>
  <c r="M52" i="29" s="1"/>
  <c r="B52" i="29"/>
  <c r="J51" i="29"/>
  <c r="K51" i="29" s="1"/>
  <c r="I51" i="29"/>
  <c r="M51" i="29" s="1"/>
  <c r="B51" i="29"/>
  <c r="J50" i="29"/>
  <c r="K50" i="29" s="1"/>
  <c r="I50" i="29"/>
  <c r="M50" i="29" s="1"/>
  <c r="B50" i="29"/>
  <c r="J49" i="29"/>
  <c r="K49" i="29" s="1"/>
  <c r="I49" i="29"/>
  <c r="M49" i="29" s="1"/>
  <c r="B49" i="29"/>
  <c r="M48" i="29"/>
  <c r="K48" i="29"/>
  <c r="J48" i="29"/>
  <c r="I48" i="29"/>
  <c r="B48" i="29"/>
  <c r="J47" i="29"/>
  <c r="K47" i="29" s="1"/>
  <c r="I47" i="29"/>
  <c r="M47" i="29" s="1"/>
  <c r="B47" i="29"/>
  <c r="T46" i="29"/>
  <c r="R46" i="29"/>
  <c r="U46" i="29" s="1"/>
  <c r="J46" i="29"/>
  <c r="K46" i="29" s="1"/>
  <c r="I46" i="29"/>
  <c r="M46" i="29" s="1"/>
  <c r="B46" i="29"/>
  <c r="J45" i="29"/>
  <c r="K45" i="29" s="1"/>
  <c r="I45" i="29"/>
  <c r="M45" i="29" s="1"/>
  <c r="B45" i="29"/>
  <c r="K44" i="29"/>
  <c r="J44" i="29"/>
  <c r="I44" i="29"/>
  <c r="M44" i="29" s="1"/>
  <c r="B44" i="29"/>
  <c r="J43" i="29"/>
  <c r="K43" i="29" s="1"/>
  <c r="I43" i="29"/>
  <c r="M43" i="29" s="1"/>
  <c r="B43" i="29"/>
  <c r="M42" i="29"/>
  <c r="J42" i="29"/>
  <c r="K42" i="29" s="1"/>
  <c r="I42" i="29"/>
  <c r="B42" i="29"/>
  <c r="J41" i="29"/>
  <c r="K41" i="29" s="1"/>
  <c r="I41" i="29"/>
  <c r="M41" i="29" s="1"/>
  <c r="B41" i="29"/>
  <c r="J40" i="29"/>
  <c r="K40" i="29" s="1"/>
  <c r="I40" i="29"/>
  <c r="M40" i="29" s="1"/>
  <c r="B40" i="29"/>
  <c r="J39" i="29"/>
  <c r="K39" i="29" s="1"/>
  <c r="I39" i="29"/>
  <c r="M39" i="29" s="1"/>
  <c r="B39" i="29"/>
  <c r="J38" i="29"/>
  <c r="K38" i="29" s="1"/>
  <c r="I38" i="29"/>
  <c r="M38" i="29" s="1"/>
  <c r="B38" i="29"/>
  <c r="J37" i="29"/>
  <c r="K37" i="29" s="1"/>
  <c r="I37" i="29"/>
  <c r="M37" i="29" s="1"/>
  <c r="A37" i="29" s="1"/>
  <c r="B37" i="29"/>
  <c r="M36" i="29"/>
  <c r="A36" i="29" s="1"/>
  <c r="J36" i="29"/>
  <c r="K36" i="29" s="1"/>
  <c r="I36" i="29"/>
  <c r="B36" i="29"/>
  <c r="J35" i="29"/>
  <c r="K35" i="29" s="1"/>
  <c r="I35" i="29"/>
  <c r="M35" i="29" s="1"/>
  <c r="A35" i="29" s="1"/>
  <c r="B35" i="29"/>
  <c r="M34" i="29"/>
  <c r="J34" i="29"/>
  <c r="K34" i="29" s="1"/>
  <c r="I34" i="29"/>
  <c r="B34" i="29"/>
  <c r="A34" i="29"/>
  <c r="J33" i="29"/>
  <c r="K33" i="29" s="1"/>
  <c r="I33" i="29"/>
  <c r="M33" i="29" s="1"/>
  <c r="A33" i="29" s="1"/>
  <c r="B33" i="29"/>
  <c r="K32" i="29"/>
  <c r="J32" i="29"/>
  <c r="I32" i="29"/>
  <c r="M32" i="29" s="1"/>
  <c r="A32" i="29" s="1"/>
  <c r="B32" i="29"/>
  <c r="M31" i="29"/>
  <c r="A31" i="29" s="1"/>
  <c r="J31" i="29"/>
  <c r="K31" i="29" s="1"/>
  <c r="I31" i="29"/>
  <c r="B31" i="29"/>
  <c r="J30" i="29"/>
  <c r="K30" i="29" s="1"/>
  <c r="I30" i="29"/>
  <c r="M30" i="29" s="1"/>
  <c r="A30" i="29" s="1"/>
  <c r="B30" i="29"/>
  <c r="J29" i="29"/>
  <c r="K29" i="29" s="1"/>
  <c r="I29" i="29"/>
  <c r="M29" i="29" s="1"/>
  <c r="A29" i="29" s="1"/>
  <c r="B29" i="29"/>
  <c r="J28" i="29"/>
  <c r="K28" i="29" s="1"/>
  <c r="I28" i="29"/>
  <c r="M28" i="29" s="1"/>
  <c r="A28" i="29" s="1"/>
  <c r="B28" i="29"/>
  <c r="M27" i="29"/>
  <c r="A27" i="29" s="1"/>
  <c r="J27" i="29"/>
  <c r="K27" i="29" s="1"/>
  <c r="I27" i="29"/>
  <c r="B27" i="29"/>
  <c r="J26" i="29"/>
  <c r="K26" i="29" s="1"/>
  <c r="I26" i="29"/>
  <c r="M26" i="29" s="1"/>
  <c r="A26" i="29" s="1"/>
  <c r="B26" i="29"/>
  <c r="J25" i="29"/>
  <c r="K25" i="29" s="1"/>
  <c r="I25" i="29"/>
  <c r="M25" i="29" s="1"/>
  <c r="A25" i="29" s="1"/>
  <c r="B25" i="29"/>
  <c r="K24" i="29"/>
  <c r="J24" i="29"/>
  <c r="I24" i="29"/>
  <c r="M24" i="29" s="1"/>
  <c r="A24" i="29" s="1"/>
  <c r="B24" i="29"/>
  <c r="M23" i="29"/>
  <c r="A23" i="29" s="1"/>
  <c r="J23" i="29"/>
  <c r="K23" i="29" s="1"/>
  <c r="I23" i="29"/>
  <c r="B23" i="29"/>
  <c r="J22" i="29"/>
  <c r="K22" i="29" s="1"/>
  <c r="I22" i="29"/>
  <c r="M22" i="29" s="1"/>
  <c r="A22" i="29" s="1"/>
  <c r="B22" i="29"/>
  <c r="J21" i="29"/>
  <c r="K21" i="29" s="1"/>
  <c r="I21" i="29"/>
  <c r="M21" i="29" s="1"/>
  <c r="A21" i="29" s="1"/>
  <c r="B21" i="29"/>
  <c r="J20" i="29"/>
  <c r="K20" i="29" s="1"/>
  <c r="I20" i="29"/>
  <c r="M20" i="29" s="1"/>
  <c r="A20" i="29" s="1"/>
  <c r="B20" i="29"/>
  <c r="M19" i="29"/>
  <c r="A19" i="29" s="1"/>
  <c r="J19" i="29"/>
  <c r="K19" i="29" s="1"/>
  <c r="I19" i="29"/>
  <c r="B19" i="29"/>
  <c r="J18" i="29"/>
  <c r="K18" i="29" s="1"/>
  <c r="I18" i="29"/>
  <c r="M18" i="29" s="1"/>
  <c r="A18" i="29" s="1"/>
  <c r="B18" i="29"/>
  <c r="J17" i="29"/>
  <c r="K17" i="29" s="1"/>
  <c r="I17" i="29"/>
  <c r="M17" i="29" s="1"/>
  <c r="A17" i="29" s="1"/>
  <c r="B17" i="29"/>
  <c r="AI16" i="29"/>
  <c r="J16" i="29"/>
  <c r="K16" i="29" s="1"/>
  <c r="I16" i="29"/>
  <c r="M16" i="29" s="1"/>
  <c r="A16" i="29" s="1"/>
  <c r="B16" i="29"/>
  <c r="O20" i="20" s="1"/>
  <c r="P20" i="20" s="1"/>
  <c r="K15" i="29"/>
  <c r="J15" i="29"/>
  <c r="I15" i="29"/>
  <c r="M15" i="29" s="1"/>
  <c r="A15" i="29" s="1"/>
  <c r="AI14" i="29"/>
  <c r="J14" i="29"/>
  <c r="K14" i="29" s="1"/>
  <c r="I14" i="29"/>
  <c r="M14" i="29" s="1"/>
  <c r="A14" i="29" s="1"/>
  <c r="AI13" i="29"/>
  <c r="K13" i="29"/>
  <c r="J13" i="29"/>
  <c r="I13" i="29"/>
  <c r="M13" i="29" s="1"/>
  <c r="A13" i="29" s="1"/>
  <c r="AI12" i="29"/>
  <c r="J12" i="29"/>
  <c r="K12" i="29" s="1"/>
  <c r="I12" i="29"/>
  <c r="M12" i="29" s="1"/>
  <c r="A12" i="29" s="1"/>
  <c r="J11" i="29"/>
  <c r="K11" i="29" s="1"/>
  <c r="I11" i="29"/>
  <c r="M11" i="29" s="1"/>
  <c r="A11" i="29" s="1"/>
  <c r="J10" i="29"/>
  <c r="K10" i="29" s="1"/>
  <c r="M10" i="29" s="1"/>
  <c r="A10" i="29" s="1"/>
  <c r="I10" i="29"/>
  <c r="J9" i="29"/>
  <c r="K9" i="29" s="1"/>
  <c r="I9" i="29"/>
  <c r="M9" i="29" s="1"/>
  <c r="A9" i="29" s="1"/>
  <c r="K8" i="29"/>
  <c r="J8" i="29"/>
  <c r="I8" i="29"/>
  <c r="J7" i="29"/>
  <c r="K7" i="29" s="1"/>
  <c r="I7" i="29"/>
  <c r="J6" i="29"/>
  <c r="K6" i="29" s="1"/>
  <c r="I6" i="29"/>
  <c r="K2" i="29"/>
  <c r="L6" i="29" s="1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K15" i="13" s="1"/>
  <c r="B14" i="17"/>
  <c r="B13" i="17"/>
  <c r="B12" i="17"/>
  <c r="B11" i="17"/>
  <c r="B10" i="17"/>
  <c r="B9" i="17"/>
  <c r="B8" i="17"/>
  <c r="B7" i="17"/>
  <c r="K13" i="13"/>
  <c r="B6" i="17"/>
  <c r="K10" i="20"/>
  <c r="K15" i="20"/>
  <c r="B6" i="16"/>
  <c r="B7" i="16"/>
  <c r="B8" i="16"/>
  <c r="B9" i="16"/>
  <c r="B10" i="16"/>
  <c r="B11" i="16"/>
  <c r="B12" i="16"/>
  <c r="I8" i="13" s="1"/>
  <c r="B13" i="16"/>
  <c r="I27" i="20" s="1"/>
  <c r="B14" i="16"/>
  <c r="U25" i="13"/>
  <c r="I25" i="13"/>
  <c r="G25" i="13"/>
  <c r="H25" i="13" s="1"/>
  <c r="E25" i="13"/>
  <c r="A25" i="13"/>
  <c r="B65" i="28"/>
  <c r="B64" i="28"/>
  <c r="B63" i="28"/>
  <c r="B62" i="28"/>
  <c r="B61" i="28"/>
  <c r="B60" i="28"/>
  <c r="B59" i="28"/>
  <c r="B58" i="28"/>
  <c r="B57" i="28"/>
  <c r="B56" i="28"/>
  <c r="B55" i="28"/>
  <c r="B54" i="28"/>
  <c r="B53" i="28"/>
  <c r="B52" i="28"/>
  <c r="B51" i="28"/>
  <c r="B50" i="28"/>
  <c r="B49" i="28"/>
  <c r="B48" i="28"/>
  <c r="B47" i="28"/>
  <c r="B46" i="28"/>
  <c r="B45" i="28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A18" i="15"/>
  <c r="A16" i="15"/>
  <c r="A15" i="15"/>
  <c r="B6" i="14"/>
  <c r="B7" i="14"/>
  <c r="B8" i="14"/>
  <c r="B9" i="14"/>
  <c r="B10" i="14"/>
  <c r="B11" i="14"/>
  <c r="B12" i="14"/>
  <c r="B13" i="14"/>
  <c r="I6" i="19"/>
  <c r="I6" i="18"/>
  <c r="I6" i="17"/>
  <c r="I6" i="16"/>
  <c r="I6" i="15"/>
  <c r="I6" i="14"/>
  <c r="B78" i="28"/>
  <c r="B77" i="28"/>
  <c r="U27" i="20"/>
  <c r="M27" i="20"/>
  <c r="G27" i="20"/>
  <c r="E27" i="20"/>
  <c r="U26" i="20"/>
  <c r="G26" i="20"/>
  <c r="E26" i="20"/>
  <c r="U19" i="20"/>
  <c r="M19" i="20"/>
  <c r="K19" i="20"/>
  <c r="I19" i="20"/>
  <c r="G19" i="20"/>
  <c r="E19" i="20"/>
  <c r="U22" i="20"/>
  <c r="M22" i="20"/>
  <c r="K22" i="20"/>
  <c r="I22" i="20"/>
  <c r="G22" i="20"/>
  <c r="E22" i="20"/>
  <c r="U24" i="20"/>
  <c r="I24" i="20"/>
  <c r="G24" i="20"/>
  <c r="E24" i="20"/>
  <c r="U21" i="20"/>
  <c r="M21" i="20"/>
  <c r="I21" i="20"/>
  <c r="G21" i="20"/>
  <c r="E21" i="20"/>
  <c r="U28" i="20"/>
  <c r="M28" i="20"/>
  <c r="G28" i="20"/>
  <c r="E28" i="20"/>
  <c r="U20" i="20"/>
  <c r="I20" i="20"/>
  <c r="G20" i="20"/>
  <c r="E20" i="20"/>
  <c r="U17" i="20"/>
  <c r="M17" i="20"/>
  <c r="I17" i="20"/>
  <c r="G17" i="20"/>
  <c r="E17" i="20"/>
  <c r="U11" i="20"/>
  <c r="M11" i="20"/>
  <c r="K11" i="20"/>
  <c r="I11" i="20"/>
  <c r="G11" i="20"/>
  <c r="E11" i="20"/>
  <c r="U18" i="20"/>
  <c r="M18" i="20"/>
  <c r="I18" i="20"/>
  <c r="G18" i="20"/>
  <c r="E18" i="20"/>
  <c r="U7" i="20"/>
  <c r="M7" i="20"/>
  <c r="I7" i="20"/>
  <c r="G7" i="20"/>
  <c r="E7" i="20"/>
  <c r="U23" i="20"/>
  <c r="I23" i="20"/>
  <c r="G23" i="20"/>
  <c r="E23" i="20"/>
  <c r="U14" i="20"/>
  <c r="M14" i="20"/>
  <c r="K14" i="20"/>
  <c r="I14" i="20"/>
  <c r="G14" i="20"/>
  <c r="E14" i="20"/>
  <c r="U25" i="20"/>
  <c r="I25" i="20"/>
  <c r="G25" i="20"/>
  <c r="E25" i="20"/>
  <c r="U10" i="20"/>
  <c r="M10" i="20"/>
  <c r="I10" i="20"/>
  <c r="G10" i="20"/>
  <c r="E10" i="20"/>
  <c r="U12" i="20"/>
  <c r="M12" i="20"/>
  <c r="K12" i="20"/>
  <c r="I12" i="20"/>
  <c r="G12" i="20"/>
  <c r="E12" i="20"/>
  <c r="U6" i="20"/>
  <c r="M6" i="20"/>
  <c r="I6" i="20"/>
  <c r="G6" i="20"/>
  <c r="E6" i="20"/>
  <c r="U13" i="20"/>
  <c r="M13" i="20"/>
  <c r="I13" i="20"/>
  <c r="G13" i="20"/>
  <c r="E13" i="20"/>
  <c r="U16" i="20"/>
  <c r="M16" i="20"/>
  <c r="I16" i="20"/>
  <c r="G16" i="20"/>
  <c r="E16" i="20"/>
  <c r="U15" i="20"/>
  <c r="M15" i="20"/>
  <c r="I15" i="20"/>
  <c r="G15" i="20"/>
  <c r="E15" i="20"/>
  <c r="U9" i="20"/>
  <c r="M9" i="20"/>
  <c r="I9" i="20"/>
  <c r="G9" i="20"/>
  <c r="E9" i="20"/>
  <c r="U8" i="20"/>
  <c r="M8" i="20"/>
  <c r="I8" i="20"/>
  <c r="G8" i="20"/>
  <c r="E8" i="20"/>
  <c r="J305" i="28"/>
  <c r="K305" i="28" s="1"/>
  <c r="I305" i="28"/>
  <c r="J304" i="28"/>
  <c r="K304" i="28" s="1"/>
  <c r="I304" i="28"/>
  <c r="J303" i="28"/>
  <c r="K303" i="28" s="1"/>
  <c r="I303" i="28"/>
  <c r="N303" i="28" s="1"/>
  <c r="A303" i="28" s="1"/>
  <c r="J302" i="28"/>
  <c r="K302" i="28" s="1"/>
  <c r="I302" i="28"/>
  <c r="N302" i="28" s="1"/>
  <c r="A302" i="28" s="1"/>
  <c r="J301" i="28"/>
  <c r="K301" i="28" s="1"/>
  <c r="I301" i="28"/>
  <c r="J300" i="28"/>
  <c r="K300" i="28" s="1"/>
  <c r="I300" i="28"/>
  <c r="J299" i="28"/>
  <c r="K299" i="28" s="1"/>
  <c r="I299" i="28"/>
  <c r="J298" i="28"/>
  <c r="K298" i="28" s="1"/>
  <c r="I298" i="28"/>
  <c r="M298" i="28" s="1"/>
  <c r="J297" i="28"/>
  <c r="K297" i="28" s="1"/>
  <c r="I297" i="28"/>
  <c r="J296" i="28"/>
  <c r="K296" i="28" s="1"/>
  <c r="I296" i="28"/>
  <c r="N296" i="28" s="1"/>
  <c r="A296" i="28" s="1"/>
  <c r="J295" i="28"/>
  <c r="K295" i="28" s="1"/>
  <c r="I295" i="28"/>
  <c r="M295" i="28" s="1"/>
  <c r="J294" i="28"/>
  <c r="K294" i="28" s="1"/>
  <c r="I294" i="28"/>
  <c r="M294" i="28" s="1"/>
  <c r="J293" i="28"/>
  <c r="K293" i="28" s="1"/>
  <c r="I293" i="28"/>
  <c r="J292" i="28"/>
  <c r="K292" i="28" s="1"/>
  <c r="I292" i="28"/>
  <c r="J291" i="28"/>
  <c r="K291" i="28" s="1"/>
  <c r="I291" i="28"/>
  <c r="N291" i="28" s="1"/>
  <c r="A291" i="28" s="1"/>
  <c r="J290" i="28"/>
  <c r="K290" i="28" s="1"/>
  <c r="I290" i="28"/>
  <c r="N290" i="28" s="1"/>
  <c r="A290" i="28" s="1"/>
  <c r="J289" i="28"/>
  <c r="K289" i="28" s="1"/>
  <c r="I289" i="28"/>
  <c r="J288" i="28"/>
  <c r="K288" i="28" s="1"/>
  <c r="I288" i="28"/>
  <c r="N288" i="28" s="1"/>
  <c r="A288" i="28" s="1"/>
  <c r="J287" i="28"/>
  <c r="K287" i="28" s="1"/>
  <c r="I287" i="28"/>
  <c r="N287" i="28" s="1"/>
  <c r="A287" i="28" s="1"/>
  <c r="J286" i="28"/>
  <c r="K286" i="28" s="1"/>
  <c r="I286" i="28"/>
  <c r="J285" i="28"/>
  <c r="K285" i="28" s="1"/>
  <c r="I285" i="28"/>
  <c r="J284" i="28"/>
  <c r="K284" i="28" s="1"/>
  <c r="I284" i="28"/>
  <c r="J283" i="28"/>
  <c r="K283" i="28" s="1"/>
  <c r="I283" i="28"/>
  <c r="N283" i="28" s="1"/>
  <c r="A283" i="28" s="1"/>
  <c r="J282" i="28"/>
  <c r="K282" i="28" s="1"/>
  <c r="I282" i="28"/>
  <c r="J281" i="28"/>
  <c r="K281" i="28" s="1"/>
  <c r="I281" i="28"/>
  <c r="J280" i="28"/>
  <c r="K280" i="28" s="1"/>
  <c r="I280" i="28"/>
  <c r="N280" i="28" s="1"/>
  <c r="A280" i="28" s="1"/>
  <c r="J279" i="28"/>
  <c r="K279" i="28" s="1"/>
  <c r="I279" i="28"/>
  <c r="N279" i="28" s="1"/>
  <c r="A279" i="28" s="1"/>
  <c r="J278" i="28"/>
  <c r="K278" i="28" s="1"/>
  <c r="I278" i="28"/>
  <c r="N278" i="28" s="1"/>
  <c r="A278" i="28" s="1"/>
  <c r="J277" i="28"/>
  <c r="K277" i="28" s="1"/>
  <c r="I277" i="28"/>
  <c r="J276" i="28"/>
  <c r="K276" i="28" s="1"/>
  <c r="I276" i="28"/>
  <c r="J275" i="28"/>
  <c r="K275" i="28" s="1"/>
  <c r="I275" i="28"/>
  <c r="N275" i="28" s="1"/>
  <c r="A275" i="28" s="1"/>
  <c r="J274" i="28"/>
  <c r="K274" i="28" s="1"/>
  <c r="I274" i="28"/>
  <c r="J273" i="28"/>
  <c r="K273" i="28" s="1"/>
  <c r="I273" i="28"/>
  <c r="J272" i="28"/>
  <c r="K272" i="28" s="1"/>
  <c r="I272" i="28"/>
  <c r="J271" i="28"/>
  <c r="K271" i="28" s="1"/>
  <c r="I271" i="28"/>
  <c r="J270" i="28"/>
  <c r="K270" i="28" s="1"/>
  <c r="I270" i="28"/>
  <c r="J269" i="28"/>
  <c r="K269" i="28" s="1"/>
  <c r="I269" i="28"/>
  <c r="J268" i="28"/>
  <c r="K268" i="28" s="1"/>
  <c r="I268" i="28"/>
  <c r="J267" i="28"/>
  <c r="K267" i="28" s="1"/>
  <c r="I267" i="28"/>
  <c r="M267" i="28" s="1"/>
  <c r="J266" i="28"/>
  <c r="K266" i="28" s="1"/>
  <c r="I266" i="28"/>
  <c r="N266" i="28" s="1"/>
  <c r="A266" i="28" s="1"/>
  <c r="J265" i="28"/>
  <c r="K265" i="28" s="1"/>
  <c r="I265" i="28"/>
  <c r="J264" i="28"/>
  <c r="K264" i="28" s="1"/>
  <c r="I264" i="28"/>
  <c r="N264" i="28" s="1"/>
  <c r="A264" i="28" s="1"/>
  <c r="J263" i="28"/>
  <c r="K263" i="28" s="1"/>
  <c r="I263" i="28"/>
  <c r="N263" i="28" s="1"/>
  <c r="A263" i="28" s="1"/>
  <c r="J262" i="28"/>
  <c r="K262" i="28" s="1"/>
  <c r="I262" i="28"/>
  <c r="N262" i="28" s="1"/>
  <c r="A262" i="28" s="1"/>
  <c r="J261" i="28"/>
  <c r="K261" i="28" s="1"/>
  <c r="I261" i="28"/>
  <c r="J260" i="28"/>
  <c r="K260" i="28" s="1"/>
  <c r="I260" i="28"/>
  <c r="J259" i="28"/>
  <c r="K259" i="28" s="1"/>
  <c r="I259" i="28"/>
  <c r="N259" i="28" s="1"/>
  <c r="A259" i="28" s="1"/>
  <c r="J258" i="28"/>
  <c r="K258" i="28" s="1"/>
  <c r="I258" i="28"/>
  <c r="J257" i="28"/>
  <c r="K257" i="28" s="1"/>
  <c r="I257" i="28"/>
  <c r="J256" i="28"/>
  <c r="K256" i="28" s="1"/>
  <c r="I256" i="28"/>
  <c r="N256" i="28" s="1"/>
  <c r="A256" i="28" s="1"/>
  <c r="J255" i="28"/>
  <c r="K255" i="28" s="1"/>
  <c r="I255" i="28"/>
  <c r="N255" i="28" s="1"/>
  <c r="A255" i="28" s="1"/>
  <c r="J254" i="28"/>
  <c r="K254" i="28" s="1"/>
  <c r="I254" i="28"/>
  <c r="M254" i="28" s="1"/>
  <c r="J253" i="28"/>
  <c r="K253" i="28" s="1"/>
  <c r="I253" i="28"/>
  <c r="J252" i="28"/>
  <c r="K252" i="28" s="1"/>
  <c r="I252" i="28"/>
  <c r="J251" i="28"/>
  <c r="K251" i="28" s="1"/>
  <c r="I251" i="28"/>
  <c r="N251" i="28" s="1"/>
  <c r="A251" i="28" s="1"/>
  <c r="J250" i="28"/>
  <c r="K250" i="28" s="1"/>
  <c r="I250" i="28"/>
  <c r="N250" i="28" s="1"/>
  <c r="A250" i="28" s="1"/>
  <c r="B250" i="28"/>
  <c r="J249" i="28"/>
  <c r="K249" i="28" s="1"/>
  <c r="I249" i="28"/>
  <c r="B249" i="28"/>
  <c r="J248" i="28"/>
  <c r="K248" i="28" s="1"/>
  <c r="I248" i="28"/>
  <c r="B248" i="28"/>
  <c r="J247" i="28"/>
  <c r="K247" i="28" s="1"/>
  <c r="I247" i="28"/>
  <c r="M247" i="28" s="1"/>
  <c r="B247" i="28"/>
  <c r="J246" i="28"/>
  <c r="K246" i="28" s="1"/>
  <c r="I246" i="28"/>
  <c r="B246" i="28"/>
  <c r="J245" i="28"/>
  <c r="K245" i="28" s="1"/>
  <c r="I245" i="28"/>
  <c r="N245" i="28" s="1"/>
  <c r="A245" i="28" s="1"/>
  <c r="B245" i="28"/>
  <c r="J244" i="28"/>
  <c r="K244" i="28" s="1"/>
  <c r="I244" i="28"/>
  <c r="M244" i="28" s="1"/>
  <c r="B244" i="28"/>
  <c r="J243" i="28"/>
  <c r="K243" i="28" s="1"/>
  <c r="I243" i="28"/>
  <c r="N243" i="28" s="1"/>
  <c r="A243" i="28" s="1"/>
  <c r="B243" i="28"/>
  <c r="J242" i="28"/>
  <c r="K242" i="28" s="1"/>
  <c r="I242" i="28"/>
  <c r="B242" i="28"/>
  <c r="J241" i="28"/>
  <c r="K241" i="28" s="1"/>
  <c r="I241" i="28"/>
  <c r="B241" i="28"/>
  <c r="J240" i="28"/>
  <c r="K240" i="28" s="1"/>
  <c r="I240" i="28"/>
  <c r="B240" i="28"/>
  <c r="J239" i="28"/>
  <c r="K239" i="28" s="1"/>
  <c r="I239" i="28"/>
  <c r="B239" i="28"/>
  <c r="J238" i="28"/>
  <c r="K238" i="28" s="1"/>
  <c r="I238" i="28"/>
  <c r="B238" i="28"/>
  <c r="J237" i="28"/>
  <c r="K237" i="28" s="1"/>
  <c r="I237" i="28"/>
  <c r="M237" i="28" s="1"/>
  <c r="B237" i="28"/>
  <c r="J236" i="28"/>
  <c r="K236" i="28" s="1"/>
  <c r="I236" i="28"/>
  <c r="B236" i="28"/>
  <c r="J235" i="28"/>
  <c r="K235" i="28" s="1"/>
  <c r="I235" i="28"/>
  <c r="N235" i="28" s="1"/>
  <c r="A235" i="28" s="1"/>
  <c r="B235" i="28"/>
  <c r="J234" i="28"/>
  <c r="K234" i="28" s="1"/>
  <c r="I234" i="28"/>
  <c r="B234" i="28"/>
  <c r="J233" i="28"/>
  <c r="K233" i="28" s="1"/>
  <c r="I233" i="28"/>
  <c r="B233" i="28"/>
  <c r="J232" i="28"/>
  <c r="K232" i="28" s="1"/>
  <c r="I232" i="28"/>
  <c r="B232" i="28"/>
  <c r="J231" i="28"/>
  <c r="K231" i="28" s="1"/>
  <c r="I231" i="28"/>
  <c r="M231" i="28" s="1"/>
  <c r="B231" i="28"/>
  <c r="J230" i="28"/>
  <c r="K230" i="28" s="1"/>
  <c r="I230" i="28"/>
  <c r="B230" i="28"/>
  <c r="J229" i="28"/>
  <c r="K229" i="28" s="1"/>
  <c r="I229" i="28"/>
  <c r="M229" i="28" s="1"/>
  <c r="B229" i="28"/>
  <c r="J228" i="28"/>
  <c r="K228" i="28" s="1"/>
  <c r="I228" i="28"/>
  <c r="N228" i="28" s="1"/>
  <c r="A228" i="28" s="1"/>
  <c r="B228" i="28"/>
  <c r="J227" i="28"/>
  <c r="K227" i="28" s="1"/>
  <c r="I227" i="28"/>
  <c r="M227" i="28" s="1"/>
  <c r="B227" i="28"/>
  <c r="J226" i="28"/>
  <c r="K226" i="28" s="1"/>
  <c r="I226" i="28"/>
  <c r="N226" i="28" s="1"/>
  <c r="A226" i="28" s="1"/>
  <c r="B226" i="28"/>
  <c r="J225" i="28"/>
  <c r="K225" i="28" s="1"/>
  <c r="I225" i="28"/>
  <c r="B225" i="28"/>
  <c r="J224" i="28"/>
  <c r="K224" i="28" s="1"/>
  <c r="I224" i="28"/>
  <c r="B224" i="28"/>
  <c r="J223" i="28"/>
  <c r="K223" i="28" s="1"/>
  <c r="I223" i="28"/>
  <c r="B223" i="28"/>
  <c r="J222" i="28"/>
  <c r="K222" i="28" s="1"/>
  <c r="I222" i="28"/>
  <c r="B222" i="28"/>
  <c r="J221" i="28"/>
  <c r="K221" i="28" s="1"/>
  <c r="I221" i="28"/>
  <c r="M221" i="28" s="1"/>
  <c r="B221" i="28"/>
  <c r="J220" i="28"/>
  <c r="K220" i="28" s="1"/>
  <c r="I220" i="28"/>
  <c r="N220" i="28" s="1"/>
  <c r="A220" i="28" s="1"/>
  <c r="B220" i="28"/>
  <c r="J219" i="28"/>
  <c r="K219" i="28" s="1"/>
  <c r="I219" i="28"/>
  <c r="N219" i="28" s="1"/>
  <c r="A219" i="28" s="1"/>
  <c r="B219" i="28"/>
  <c r="J218" i="28"/>
  <c r="K218" i="28" s="1"/>
  <c r="I218" i="28"/>
  <c r="B218" i="28"/>
  <c r="J217" i="28"/>
  <c r="K217" i="28" s="1"/>
  <c r="I217" i="28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B214" i="28"/>
  <c r="J213" i="28"/>
  <c r="K213" i="28" s="1"/>
  <c r="I213" i="28"/>
  <c r="B213" i="28"/>
  <c r="J212" i="28"/>
  <c r="K212" i="28" s="1"/>
  <c r="I212" i="28"/>
  <c r="M212" i="28" s="1"/>
  <c r="B212" i="28"/>
  <c r="J211" i="28"/>
  <c r="K211" i="28" s="1"/>
  <c r="I211" i="28"/>
  <c r="B211" i="28"/>
  <c r="J210" i="28"/>
  <c r="K210" i="28" s="1"/>
  <c r="I210" i="28"/>
  <c r="N210" i="28" s="1"/>
  <c r="A210" i="28" s="1"/>
  <c r="B210" i="28"/>
  <c r="J209" i="28"/>
  <c r="K209" i="28" s="1"/>
  <c r="I209" i="28"/>
  <c r="B209" i="28"/>
  <c r="J208" i="28"/>
  <c r="K208" i="28" s="1"/>
  <c r="I208" i="28"/>
  <c r="B208" i="28"/>
  <c r="J207" i="28"/>
  <c r="K207" i="28" s="1"/>
  <c r="I207" i="28"/>
  <c r="B207" i="28"/>
  <c r="J206" i="28"/>
  <c r="K206" i="28" s="1"/>
  <c r="I206" i="28"/>
  <c r="B206" i="28"/>
  <c r="J205" i="28"/>
  <c r="K205" i="28" s="1"/>
  <c r="I205" i="28"/>
  <c r="B205" i="28"/>
  <c r="J204" i="28"/>
  <c r="K204" i="28" s="1"/>
  <c r="I204" i="28"/>
  <c r="N204" i="28" s="1"/>
  <c r="A204" i="28" s="1"/>
  <c r="B204" i="28"/>
  <c r="J203" i="28"/>
  <c r="K203" i="28" s="1"/>
  <c r="I203" i="28"/>
  <c r="N203" i="28" s="1"/>
  <c r="A203" i="28" s="1"/>
  <c r="B203" i="28"/>
  <c r="J202" i="28"/>
  <c r="K202" i="28" s="1"/>
  <c r="I202" i="28"/>
  <c r="N202" i="28" s="1"/>
  <c r="A202" i="28" s="1"/>
  <c r="B202" i="28"/>
  <c r="J201" i="28"/>
  <c r="K201" i="28" s="1"/>
  <c r="I201" i="28"/>
  <c r="B201" i="28"/>
  <c r="J200" i="28"/>
  <c r="K200" i="28" s="1"/>
  <c r="I200" i="28"/>
  <c r="B200" i="28"/>
  <c r="J199" i="28"/>
  <c r="K199" i="28" s="1"/>
  <c r="I199" i="28"/>
  <c r="B199" i="28"/>
  <c r="J198" i="28"/>
  <c r="K198" i="28" s="1"/>
  <c r="I198" i="28"/>
  <c r="B198" i="28"/>
  <c r="J197" i="28"/>
  <c r="K197" i="28" s="1"/>
  <c r="I197" i="28"/>
  <c r="M197" i="28" s="1"/>
  <c r="B197" i="28"/>
  <c r="J196" i="28"/>
  <c r="K196" i="28" s="1"/>
  <c r="I196" i="28"/>
  <c r="N196" i="28" s="1"/>
  <c r="A196" i="28" s="1"/>
  <c r="B196" i="28"/>
  <c r="J195" i="28"/>
  <c r="K195" i="28" s="1"/>
  <c r="I195" i="28"/>
  <c r="N195" i="28" s="1"/>
  <c r="A195" i="28" s="1"/>
  <c r="B195" i="28"/>
  <c r="J194" i="28"/>
  <c r="K194" i="28" s="1"/>
  <c r="I194" i="28"/>
  <c r="B194" i="28"/>
  <c r="J193" i="28"/>
  <c r="K193" i="28" s="1"/>
  <c r="I193" i="28"/>
  <c r="B193" i="28"/>
  <c r="J192" i="28"/>
  <c r="K192" i="28" s="1"/>
  <c r="I192" i="28"/>
  <c r="B192" i="28"/>
  <c r="J191" i="28"/>
  <c r="K191" i="28" s="1"/>
  <c r="I191" i="28"/>
  <c r="B191" i="28"/>
  <c r="J190" i="28"/>
  <c r="K190" i="28" s="1"/>
  <c r="I190" i="28"/>
  <c r="B190" i="28"/>
  <c r="J189" i="28"/>
  <c r="K189" i="28" s="1"/>
  <c r="I189" i="28"/>
  <c r="N189" i="28" s="1"/>
  <c r="A189" i="28" s="1"/>
  <c r="B189" i="28"/>
  <c r="J188" i="28"/>
  <c r="K188" i="28" s="1"/>
  <c r="I188" i="28"/>
  <c r="B188" i="28"/>
  <c r="J187" i="28"/>
  <c r="K187" i="28" s="1"/>
  <c r="I187" i="28"/>
  <c r="N187" i="28" s="1"/>
  <c r="A187" i="28" s="1"/>
  <c r="B187" i="28"/>
  <c r="J186" i="28"/>
  <c r="K186" i="28" s="1"/>
  <c r="I186" i="28"/>
  <c r="B186" i="28"/>
  <c r="J185" i="28"/>
  <c r="K185" i="28" s="1"/>
  <c r="I185" i="28"/>
  <c r="B185" i="28"/>
  <c r="J184" i="28"/>
  <c r="K184" i="28" s="1"/>
  <c r="I184" i="28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M181" i="28" s="1"/>
  <c r="B181" i="28"/>
  <c r="J180" i="28"/>
  <c r="K180" i="28" s="1"/>
  <c r="I180" i="28"/>
  <c r="N180" i="28" s="1"/>
  <c r="A180" i="28" s="1"/>
  <c r="B180" i="28"/>
  <c r="J179" i="28"/>
  <c r="K179" i="28" s="1"/>
  <c r="I179" i="28"/>
  <c r="B179" i="28"/>
  <c r="J178" i="28"/>
  <c r="K178" i="28" s="1"/>
  <c r="I178" i="28"/>
  <c r="N178" i="28" s="1"/>
  <c r="A178" i="28" s="1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B174" i="28"/>
  <c r="J173" i="28"/>
  <c r="K173" i="28" s="1"/>
  <c r="I173" i="28"/>
  <c r="B173" i="28"/>
  <c r="J172" i="28"/>
  <c r="K172" i="28" s="1"/>
  <c r="I172" i="28"/>
  <c r="N172" i="28" s="1"/>
  <c r="A172" i="28" s="1"/>
  <c r="B172" i="28"/>
  <c r="J171" i="28"/>
  <c r="K171" i="28" s="1"/>
  <c r="I171" i="28"/>
  <c r="B171" i="28"/>
  <c r="J170" i="28"/>
  <c r="K170" i="28" s="1"/>
  <c r="I170" i="28"/>
  <c r="N170" i="28" s="1"/>
  <c r="A170" i="28" s="1"/>
  <c r="B170" i="28"/>
  <c r="J169" i="28"/>
  <c r="K169" i="28" s="1"/>
  <c r="I169" i="28"/>
  <c r="B169" i="28"/>
  <c r="J168" i="28"/>
  <c r="K168" i="28" s="1"/>
  <c r="I168" i="28"/>
  <c r="B168" i="28"/>
  <c r="J167" i="28"/>
  <c r="K167" i="28" s="1"/>
  <c r="I167" i="28"/>
  <c r="M167" i="28" s="1"/>
  <c r="B167" i="28"/>
  <c r="J166" i="28"/>
  <c r="K166" i="28" s="1"/>
  <c r="I166" i="28"/>
  <c r="M166" i="28" s="1"/>
  <c r="B166" i="28"/>
  <c r="J165" i="28"/>
  <c r="K165" i="28" s="1"/>
  <c r="I165" i="28"/>
  <c r="M165" i="28" s="1"/>
  <c r="B165" i="28"/>
  <c r="J164" i="28"/>
  <c r="K164" i="28" s="1"/>
  <c r="I164" i="28"/>
  <c r="N164" i="28" s="1"/>
  <c r="A164" i="28" s="1"/>
  <c r="B164" i="28"/>
  <c r="J163" i="28"/>
  <c r="K163" i="28" s="1"/>
  <c r="I163" i="28"/>
  <c r="N163" i="28" s="1"/>
  <c r="A163" i="28" s="1"/>
  <c r="B163" i="28"/>
  <c r="J162" i="28"/>
  <c r="K162" i="28" s="1"/>
  <c r="I162" i="28"/>
  <c r="N162" i="28" s="1"/>
  <c r="A162" i="28" s="1"/>
  <c r="B162" i="28"/>
  <c r="J161" i="28"/>
  <c r="K161" i="28" s="1"/>
  <c r="I161" i="28"/>
  <c r="B161" i="28"/>
  <c r="J160" i="28"/>
  <c r="K160" i="28" s="1"/>
  <c r="I160" i="28"/>
  <c r="B160" i="28"/>
  <c r="J159" i="28"/>
  <c r="K159" i="28" s="1"/>
  <c r="I159" i="28"/>
  <c r="M159" i="28" s="1"/>
  <c r="B159" i="28"/>
  <c r="J158" i="28"/>
  <c r="K158" i="28" s="1"/>
  <c r="I158" i="28"/>
  <c r="B158" i="28"/>
  <c r="J157" i="28"/>
  <c r="K157" i="28" s="1"/>
  <c r="I157" i="28"/>
  <c r="N157" i="28" s="1"/>
  <c r="A157" i="28" s="1"/>
  <c r="B157" i="28"/>
  <c r="J156" i="28"/>
  <c r="K156" i="28" s="1"/>
  <c r="I156" i="28"/>
  <c r="M156" i="28" s="1"/>
  <c r="B156" i="28"/>
  <c r="J155" i="28"/>
  <c r="K155" i="28" s="1"/>
  <c r="I155" i="28"/>
  <c r="B155" i="28"/>
  <c r="J154" i="28"/>
  <c r="K154" i="28" s="1"/>
  <c r="I154" i="28"/>
  <c r="N154" i="28" s="1"/>
  <c r="A154" i="28" s="1"/>
  <c r="B154" i="28"/>
  <c r="J153" i="28"/>
  <c r="K153" i="28" s="1"/>
  <c r="I153" i="28"/>
  <c r="B153" i="28"/>
  <c r="J152" i="28"/>
  <c r="K152" i="28" s="1"/>
  <c r="I152" i="28"/>
  <c r="B152" i="28"/>
  <c r="J151" i="28"/>
  <c r="K151" i="28" s="1"/>
  <c r="I151" i="28"/>
  <c r="B151" i="28"/>
  <c r="J150" i="28"/>
  <c r="K150" i="28" s="1"/>
  <c r="I150" i="28"/>
  <c r="M150" i="28" s="1"/>
  <c r="B150" i="28"/>
  <c r="J149" i="28"/>
  <c r="K149" i="28" s="1"/>
  <c r="I149" i="28"/>
  <c r="M149" i="28" s="1"/>
  <c r="B149" i="28"/>
  <c r="J148" i="28"/>
  <c r="K148" i="28" s="1"/>
  <c r="I148" i="28"/>
  <c r="M148" i="28" s="1"/>
  <c r="B148" i="28"/>
  <c r="J147" i="28"/>
  <c r="K147" i="28" s="1"/>
  <c r="I147" i="28"/>
  <c r="B147" i="28"/>
  <c r="J146" i="28"/>
  <c r="K146" i="28" s="1"/>
  <c r="I146" i="28"/>
  <c r="B146" i="28"/>
  <c r="J145" i="28"/>
  <c r="K145" i="28" s="1"/>
  <c r="I145" i="28"/>
  <c r="B145" i="28"/>
  <c r="J144" i="28"/>
  <c r="K144" i="28" s="1"/>
  <c r="I144" i="28"/>
  <c r="B144" i="28"/>
  <c r="J143" i="28"/>
  <c r="K143" i="28" s="1"/>
  <c r="I143" i="28"/>
  <c r="M143" i="28" s="1"/>
  <c r="B143" i="28"/>
  <c r="J142" i="28"/>
  <c r="K142" i="28" s="1"/>
  <c r="I142" i="28"/>
  <c r="B142" i="28"/>
  <c r="J141" i="28"/>
  <c r="K141" i="28" s="1"/>
  <c r="I141" i="28"/>
  <c r="N141" i="28" s="1"/>
  <c r="A141" i="28" s="1"/>
  <c r="B141" i="28"/>
  <c r="J140" i="28"/>
  <c r="K140" i="28" s="1"/>
  <c r="I140" i="28"/>
  <c r="N140" i="28" s="1"/>
  <c r="A140" i="28" s="1"/>
  <c r="B140" i="28"/>
  <c r="J139" i="28"/>
  <c r="K139" i="28" s="1"/>
  <c r="I139" i="28"/>
  <c r="M139" i="28" s="1"/>
  <c r="B139" i="28"/>
  <c r="J138" i="28"/>
  <c r="K138" i="28" s="1"/>
  <c r="I138" i="28"/>
  <c r="B138" i="28"/>
  <c r="J137" i="28"/>
  <c r="K137" i="28" s="1"/>
  <c r="I137" i="28"/>
  <c r="B137" i="28"/>
  <c r="J136" i="28"/>
  <c r="K136" i="28" s="1"/>
  <c r="I136" i="28"/>
  <c r="M136" i="28" s="1"/>
  <c r="B136" i="28"/>
  <c r="J135" i="28"/>
  <c r="K135" i="28" s="1"/>
  <c r="I135" i="28"/>
  <c r="B135" i="28"/>
  <c r="J134" i="28"/>
  <c r="K134" i="28" s="1"/>
  <c r="I134" i="28"/>
  <c r="B134" i="28"/>
  <c r="J133" i="28"/>
  <c r="K133" i="28" s="1"/>
  <c r="I133" i="28"/>
  <c r="B133" i="28"/>
  <c r="J132" i="28"/>
  <c r="K132" i="28" s="1"/>
  <c r="I132" i="28"/>
  <c r="N132" i="28" s="1"/>
  <c r="A132" i="28" s="1"/>
  <c r="B132" i="28"/>
  <c r="J131" i="28"/>
  <c r="K131" i="28" s="1"/>
  <c r="I131" i="28"/>
  <c r="B131" i="28"/>
  <c r="J130" i="28"/>
  <c r="K130" i="28" s="1"/>
  <c r="I130" i="28"/>
  <c r="N130" i="28" s="1"/>
  <c r="A130" i="28" s="1"/>
  <c r="B130" i="28"/>
  <c r="J129" i="28"/>
  <c r="K129" i="28" s="1"/>
  <c r="I129" i="28"/>
  <c r="B129" i="28"/>
  <c r="J128" i="28"/>
  <c r="K128" i="28" s="1"/>
  <c r="I128" i="28"/>
  <c r="M128" i="28" s="1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N125" i="28" s="1"/>
  <c r="A125" i="28" s="1"/>
  <c r="B125" i="28"/>
  <c r="J124" i="28"/>
  <c r="K124" i="28" s="1"/>
  <c r="I124" i="28"/>
  <c r="B124" i="28"/>
  <c r="J123" i="28"/>
  <c r="K123" i="28" s="1"/>
  <c r="I123" i="28"/>
  <c r="B123" i="28"/>
  <c r="J122" i="28"/>
  <c r="K122" i="28" s="1"/>
  <c r="I122" i="28"/>
  <c r="M122" i="28" s="1"/>
  <c r="B122" i="28"/>
  <c r="J121" i="28"/>
  <c r="K121" i="28" s="1"/>
  <c r="I121" i="28"/>
  <c r="N121" i="28" s="1"/>
  <c r="A121" i="28" s="1"/>
  <c r="B121" i="28"/>
  <c r="J120" i="28"/>
  <c r="K120" i="28" s="1"/>
  <c r="I120" i="28"/>
  <c r="B120" i="28"/>
  <c r="J119" i="28"/>
  <c r="K119" i="28" s="1"/>
  <c r="I119" i="28"/>
  <c r="B119" i="28"/>
  <c r="J118" i="28"/>
  <c r="K118" i="28" s="1"/>
  <c r="I118" i="28"/>
  <c r="N118" i="28" s="1"/>
  <c r="A118" i="28" s="1"/>
  <c r="B118" i="28"/>
  <c r="J117" i="28"/>
  <c r="K117" i="28" s="1"/>
  <c r="I117" i="28"/>
  <c r="N117" i="28" s="1"/>
  <c r="A117" i="28" s="1"/>
  <c r="B117" i="28"/>
  <c r="J116" i="28"/>
  <c r="K116" i="28" s="1"/>
  <c r="I116" i="28"/>
  <c r="N116" i="28" s="1"/>
  <c r="A116" i="28" s="1"/>
  <c r="B116" i="28"/>
  <c r="J115" i="28"/>
  <c r="K115" i="28" s="1"/>
  <c r="I115" i="28"/>
  <c r="B115" i="28"/>
  <c r="J114" i="28"/>
  <c r="K114" i="28" s="1"/>
  <c r="I114" i="28"/>
  <c r="N114" i="28" s="1"/>
  <c r="A114" i="28" s="1"/>
  <c r="B114" i="28"/>
  <c r="J113" i="28"/>
  <c r="K113" i="28" s="1"/>
  <c r="I113" i="28"/>
  <c r="B113" i="28"/>
  <c r="J112" i="28"/>
  <c r="K112" i="28" s="1"/>
  <c r="I112" i="28"/>
  <c r="M112" i="28" s="1"/>
  <c r="B112" i="28"/>
  <c r="J111" i="28"/>
  <c r="K111" i="28" s="1"/>
  <c r="I111" i="28"/>
  <c r="N111" i="28" s="1"/>
  <c r="A111" i="28" s="1"/>
  <c r="B111" i="28"/>
  <c r="J110" i="28"/>
  <c r="K110" i="28" s="1"/>
  <c r="I110" i="28"/>
  <c r="M110" i="28" s="1"/>
  <c r="B110" i="28"/>
  <c r="J109" i="28"/>
  <c r="K109" i="28" s="1"/>
  <c r="I109" i="28"/>
  <c r="N109" i="28" s="1"/>
  <c r="A109" i="28" s="1"/>
  <c r="B109" i="28"/>
  <c r="J108" i="28"/>
  <c r="K108" i="28" s="1"/>
  <c r="I108" i="28"/>
  <c r="B108" i="28"/>
  <c r="J107" i="28"/>
  <c r="K107" i="28" s="1"/>
  <c r="I107" i="28"/>
  <c r="M107" i="28" s="1"/>
  <c r="B107" i="28"/>
  <c r="J106" i="28"/>
  <c r="K106" i="28" s="1"/>
  <c r="I106" i="28"/>
  <c r="M106" i="28" s="1"/>
  <c r="B106" i="28"/>
  <c r="J105" i="28"/>
  <c r="K105" i="28" s="1"/>
  <c r="I105" i="28"/>
  <c r="B105" i="28"/>
  <c r="J104" i="28"/>
  <c r="K104" i="28" s="1"/>
  <c r="I104" i="28"/>
  <c r="M104" i="28" s="1"/>
  <c r="B104" i="28"/>
  <c r="J103" i="28"/>
  <c r="K103" i="28" s="1"/>
  <c r="I103" i="28"/>
  <c r="B103" i="28"/>
  <c r="J102" i="28"/>
  <c r="K102" i="28" s="1"/>
  <c r="I102" i="28"/>
  <c r="M102" i="28" s="1"/>
  <c r="B102" i="28"/>
  <c r="J101" i="28"/>
  <c r="K101" i="28" s="1"/>
  <c r="I101" i="28"/>
  <c r="B101" i="28"/>
  <c r="J100" i="28"/>
  <c r="K100" i="28" s="1"/>
  <c r="I100" i="28"/>
  <c r="M100" i="28" s="1"/>
  <c r="B100" i="28"/>
  <c r="J99" i="28"/>
  <c r="K99" i="28" s="1"/>
  <c r="I99" i="28"/>
  <c r="B99" i="28"/>
  <c r="J98" i="28"/>
  <c r="K98" i="28" s="1"/>
  <c r="I98" i="28"/>
  <c r="B98" i="28"/>
  <c r="J97" i="28"/>
  <c r="K97" i="28" s="1"/>
  <c r="I97" i="28"/>
  <c r="B97" i="28"/>
  <c r="J96" i="28"/>
  <c r="K96" i="28" s="1"/>
  <c r="I96" i="28"/>
  <c r="M96" i="28" s="1"/>
  <c r="B96" i="28"/>
  <c r="J95" i="28"/>
  <c r="K95" i="28" s="1"/>
  <c r="I95" i="28"/>
  <c r="B95" i="28"/>
  <c r="J94" i="28"/>
  <c r="K94" i="28" s="1"/>
  <c r="I94" i="28"/>
  <c r="M94" i="28" s="1"/>
  <c r="B94" i="28"/>
  <c r="J93" i="28"/>
  <c r="K93" i="28" s="1"/>
  <c r="I93" i="28"/>
  <c r="M93" i="28" s="1"/>
  <c r="B93" i="28"/>
  <c r="J92" i="28"/>
  <c r="K92" i="28" s="1"/>
  <c r="I92" i="28"/>
  <c r="B92" i="28"/>
  <c r="J91" i="28"/>
  <c r="K91" i="28" s="1"/>
  <c r="I91" i="28"/>
  <c r="B91" i="28"/>
  <c r="J90" i="28"/>
  <c r="K90" i="28" s="1"/>
  <c r="I90" i="28"/>
  <c r="N90" i="28" s="1"/>
  <c r="A90" i="28" s="1"/>
  <c r="B90" i="28"/>
  <c r="J89" i="28"/>
  <c r="K89" i="28" s="1"/>
  <c r="I89" i="28"/>
  <c r="B89" i="28"/>
  <c r="J88" i="28"/>
  <c r="K88" i="28" s="1"/>
  <c r="I88" i="28"/>
  <c r="B88" i="28"/>
  <c r="J87" i="28"/>
  <c r="K87" i="28" s="1"/>
  <c r="I87" i="28"/>
  <c r="B87" i="28"/>
  <c r="J86" i="28"/>
  <c r="K86" i="28" s="1"/>
  <c r="I86" i="28"/>
  <c r="N86" i="28" s="1"/>
  <c r="A86" i="28" s="1"/>
  <c r="B86" i="28"/>
  <c r="J85" i="28"/>
  <c r="K85" i="28" s="1"/>
  <c r="I85" i="28"/>
  <c r="B85" i="28"/>
  <c r="J84" i="28"/>
  <c r="K84" i="28" s="1"/>
  <c r="I84" i="28"/>
  <c r="M84" i="28" s="1"/>
  <c r="B84" i="28"/>
  <c r="J83" i="28"/>
  <c r="K83" i="28" s="1"/>
  <c r="I83" i="28"/>
  <c r="B83" i="28"/>
  <c r="J82" i="28"/>
  <c r="K82" i="28" s="1"/>
  <c r="I82" i="28"/>
  <c r="N82" i="28" s="1"/>
  <c r="A82" i="28" s="1"/>
  <c r="B82" i="28"/>
  <c r="J81" i="28"/>
  <c r="K81" i="28" s="1"/>
  <c r="I81" i="28"/>
  <c r="B81" i="28"/>
  <c r="J80" i="28"/>
  <c r="K80" i="28" s="1"/>
  <c r="I80" i="28"/>
  <c r="B80" i="28"/>
  <c r="J79" i="28"/>
  <c r="K79" i="28" s="1"/>
  <c r="I79" i="28"/>
  <c r="N79" i="28" s="1"/>
  <c r="A79" i="28" s="1"/>
  <c r="B79" i="28"/>
  <c r="J78" i="28"/>
  <c r="K78" i="28" s="1"/>
  <c r="I78" i="28"/>
  <c r="J77" i="28"/>
  <c r="K77" i="28" s="1"/>
  <c r="I77" i="28"/>
  <c r="N77" i="28" s="1"/>
  <c r="A77" i="28" s="1"/>
  <c r="AX22" i="20" a="1"/>
  <c r="AX22" i="20" s="1"/>
  <c r="J76" i="28"/>
  <c r="K76" i="28" s="1"/>
  <c r="I76" i="28"/>
  <c r="B76" i="28"/>
  <c r="J75" i="28"/>
  <c r="K75" i="28" s="1"/>
  <c r="I75" i="28"/>
  <c r="B75" i="28"/>
  <c r="J74" i="28"/>
  <c r="K74" i="28" s="1"/>
  <c r="I74" i="28"/>
  <c r="B74" i="28"/>
  <c r="J73" i="28"/>
  <c r="K73" i="28" s="1"/>
  <c r="I73" i="28"/>
  <c r="B73" i="28"/>
  <c r="J72" i="28"/>
  <c r="K72" i="28" s="1"/>
  <c r="I72" i="28"/>
  <c r="B72" i="28"/>
  <c r="J71" i="28"/>
  <c r="K71" i="28" s="1"/>
  <c r="I71" i="28"/>
  <c r="B71" i="28"/>
  <c r="J70" i="28"/>
  <c r="K70" i="28" s="1"/>
  <c r="I70" i="28"/>
  <c r="M70" i="28" s="1"/>
  <c r="B70" i="28"/>
  <c r="J69" i="28"/>
  <c r="K69" i="28" s="1"/>
  <c r="I69" i="28"/>
  <c r="B69" i="28"/>
  <c r="J68" i="28"/>
  <c r="K68" i="28" s="1"/>
  <c r="I68" i="28"/>
  <c r="B68" i="28"/>
  <c r="J67" i="28"/>
  <c r="K67" i="28" s="1"/>
  <c r="I67" i="28"/>
  <c r="J66" i="28"/>
  <c r="K66" i="28" s="1"/>
  <c r="I66" i="28"/>
  <c r="B66" i="28"/>
  <c r="J65" i="28"/>
  <c r="K65" i="28" s="1"/>
  <c r="I65" i="28"/>
  <c r="J64" i="28"/>
  <c r="K64" i="28" s="1"/>
  <c r="I64" i="28"/>
  <c r="J63" i="28"/>
  <c r="K63" i="28" s="1"/>
  <c r="I63" i="28"/>
  <c r="J62" i="28"/>
  <c r="K62" i="28" s="1"/>
  <c r="I62" i="28"/>
  <c r="J61" i="28"/>
  <c r="K61" i="28" s="1"/>
  <c r="I61" i="28"/>
  <c r="J60" i="28"/>
  <c r="K60" i="28" s="1"/>
  <c r="I60" i="28"/>
  <c r="J59" i="28"/>
  <c r="K59" i="28" s="1"/>
  <c r="I59" i="28"/>
  <c r="J58" i="28"/>
  <c r="K58" i="28" s="1"/>
  <c r="I58" i="28"/>
  <c r="J57" i="28"/>
  <c r="K57" i="28" s="1"/>
  <c r="I57" i="28"/>
  <c r="M57" i="28" s="1"/>
  <c r="J56" i="28"/>
  <c r="K56" i="28" s="1"/>
  <c r="I56" i="28"/>
  <c r="J55" i="28"/>
  <c r="K55" i="28" s="1"/>
  <c r="I55" i="28"/>
  <c r="J54" i="28"/>
  <c r="K54" i="28" s="1"/>
  <c r="I54" i="28"/>
  <c r="J53" i="28"/>
  <c r="K53" i="28" s="1"/>
  <c r="I53" i="28"/>
  <c r="J52" i="28"/>
  <c r="K52" i="28" s="1"/>
  <c r="I52" i="28"/>
  <c r="J51" i="28"/>
  <c r="K51" i="28" s="1"/>
  <c r="I51" i="28"/>
  <c r="M51" i="28" s="1"/>
  <c r="J50" i="28"/>
  <c r="K50" i="28" s="1"/>
  <c r="I50" i="28"/>
  <c r="M50" i="28" s="1"/>
  <c r="J49" i="28"/>
  <c r="K49" i="28" s="1"/>
  <c r="I49" i="28"/>
  <c r="J48" i="28"/>
  <c r="K48" i="28" s="1"/>
  <c r="I48" i="28"/>
  <c r="J47" i="28"/>
  <c r="K47" i="28" s="1"/>
  <c r="I47" i="28"/>
  <c r="M47" i="28" s="1"/>
  <c r="N47" i="28" s="1"/>
  <c r="A47" i="28" s="1"/>
  <c r="J46" i="28"/>
  <c r="K46" i="28" s="1"/>
  <c r="I46" i="28"/>
  <c r="J45" i="28"/>
  <c r="K45" i="28" s="1"/>
  <c r="I45" i="28"/>
  <c r="J44" i="28"/>
  <c r="K44" i="28" s="1"/>
  <c r="I44" i="28"/>
  <c r="J43" i="28"/>
  <c r="K43" i="28" s="1"/>
  <c r="I43" i="28"/>
  <c r="M43" i="28" s="1"/>
  <c r="J42" i="28"/>
  <c r="K42" i="28" s="1"/>
  <c r="I42" i="28"/>
  <c r="M42" i="28" s="1"/>
  <c r="J41" i="28"/>
  <c r="K41" i="28" s="1"/>
  <c r="I41" i="28"/>
  <c r="J40" i="28"/>
  <c r="K40" i="28" s="1"/>
  <c r="I40" i="28"/>
  <c r="J39" i="28"/>
  <c r="K39" i="28" s="1"/>
  <c r="I39" i="28"/>
  <c r="J38" i="28"/>
  <c r="K38" i="28" s="1"/>
  <c r="I38" i="28"/>
  <c r="J37" i="28"/>
  <c r="K37" i="28" s="1"/>
  <c r="I37" i="28"/>
  <c r="J36" i="28"/>
  <c r="K36" i="28" s="1"/>
  <c r="I36" i="28"/>
  <c r="M36" i="28" s="1"/>
  <c r="N36" i="28" s="1"/>
  <c r="A36" i="28" s="1"/>
  <c r="J35" i="28"/>
  <c r="K35" i="28" s="1"/>
  <c r="I35" i="28"/>
  <c r="J34" i="28"/>
  <c r="K34" i="28" s="1"/>
  <c r="I34" i="28"/>
  <c r="J33" i="28"/>
  <c r="K33" i="28" s="1"/>
  <c r="I33" i="28"/>
  <c r="J32" i="28"/>
  <c r="K32" i="28" s="1"/>
  <c r="I32" i="28"/>
  <c r="M32" i="28" s="1"/>
  <c r="J31" i="28"/>
  <c r="K31" i="28" s="1"/>
  <c r="I31" i="28"/>
  <c r="J30" i="28"/>
  <c r="K30" i="28" s="1"/>
  <c r="I30" i="28"/>
  <c r="J29" i="28"/>
  <c r="K29" i="28" s="1"/>
  <c r="I29" i="28"/>
  <c r="M29" i="28" s="1"/>
  <c r="N29" i="28" s="1"/>
  <c r="A29" i="28" s="1"/>
  <c r="J28" i="28"/>
  <c r="K28" i="28" s="1"/>
  <c r="I28" i="28"/>
  <c r="M28" i="28" s="1"/>
  <c r="N28" i="28" s="1"/>
  <c r="A28" i="28" s="1"/>
  <c r="J27" i="28"/>
  <c r="K27" i="28" s="1"/>
  <c r="I27" i="28"/>
  <c r="J26" i="28"/>
  <c r="K26" i="28" s="1"/>
  <c r="I26" i="28"/>
  <c r="M26" i="28" s="1"/>
  <c r="J25" i="28"/>
  <c r="K25" i="28" s="1"/>
  <c r="I25" i="28"/>
  <c r="J24" i="28"/>
  <c r="K24" i="28" s="1"/>
  <c r="I24" i="28"/>
  <c r="J23" i="28"/>
  <c r="K23" i="28" s="1"/>
  <c r="I23" i="28"/>
  <c r="J22" i="28"/>
  <c r="K22" i="28" s="1"/>
  <c r="I22" i="28"/>
  <c r="J21" i="28"/>
  <c r="K21" i="28" s="1"/>
  <c r="I21" i="28"/>
  <c r="J20" i="28"/>
  <c r="K20" i="28" s="1"/>
  <c r="I20" i="28"/>
  <c r="M20" i="28" s="1"/>
  <c r="N20" i="28" s="1"/>
  <c r="A20" i="28" s="1"/>
  <c r="J19" i="28"/>
  <c r="K19" i="28" s="1"/>
  <c r="I19" i="28"/>
  <c r="J18" i="28"/>
  <c r="K18" i="28" s="1"/>
  <c r="I18" i="28"/>
  <c r="J17" i="28"/>
  <c r="K17" i="28" s="1"/>
  <c r="I17" i="28"/>
  <c r="AJ16" i="28"/>
  <c r="J16" i="28"/>
  <c r="K16" i="28" s="1"/>
  <c r="I16" i="28"/>
  <c r="J15" i="28"/>
  <c r="K15" i="28" s="1"/>
  <c r="I15" i="28"/>
  <c r="M15" i="28" s="1"/>
  <c r="AJ14" i="28"/>
  <c r="J14" i="28"/>
  <c r="K14" i="28" s="1"/>
  <c r="I14" i="28"/>
  <c r="AJ13" i="28"/>
  <c r="J13" i="28"/>
  <c r="K13" i="28" s="1"/>
  <c r="I13" i="28"/>
  <c r="AJ12" i="28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J305" i="27"/>
  <c r="K305" i="27" s="1"/>
  <c r="I305" i="27"/>
  <c r="M305" i="27" s="1"/>
  <c r="J304" i="27"/>
  <c r="K304" i="27" s="1"/>
  <c r="I304" i="27"/>
  <c r="M304" i="27" s="1"/>
  <c r="J303" i="27"/>
  <c r="K303" i="27" s="1"/>
  <c r="I303" i="27"/>
  <c r="M303" i="27" s="1"/>
  <c r="J302" i="27"/>
  <c r="K302" i="27" s="1"/>
  <c r="I302" i="27"/>
  <c r="M302" i="27" s="1"/>
  <c r="J301" i="27"/>
  <c r="K301" i="27" s="1"/>
  <c r="I301" i="27"/>
  <c r="M301" i="27" s="1"/>
  <c r="J300" i="27"/>
  <c r="K300" i="27" s="1"/>
  <c r="I300" i="27"/>
  <c r="M300" i="27" s="1"/>
  <c r="J299" i="27"/>
  <c r="K299" i="27" s="1"/>
  <c r="I299" i="27"/>
  <c r="M299" i="27" s="1"/>
  <c r="J298" i="27"/>
  <c r="K298" i="27" s="1"/>
  <c r="I298" i="27"/>
  <c r="M298" i="27" s="1"/>
  <c r="J297" i="27"/>
  <c r="K297" i="27" s="1"/>
  <c r="I297" i="27"/>
  <c r="M297" i="27" s="1"/>
  <c r="J296" i="27"/>
  <c r="K296" i="27" s="1"/>
  <c r="I296" i="27"/>
  <c r="M296" i="27" s="1"/>
  <c r="J295" i="27"/>
  <c r="K295" i="27" s="1"/>
  <c r="I295" i="27"/>
  <c r="M295" i="27" s="1"/>
  <c r="J294" i="27"/>
  <c r="K294" i="27" s="1"/>
  <c r="I294" i="27"/>
  <c r="M294" i="27" s="1"/>
  <c r="J293" i="27"/>
  <c r="K293" i="27" s="1"/>
  <c r="I293" i="27"/>
  <c r="M293" i="27" s="1"/>
  <c r="J292" i="27"/>
  <c r="K292" i="27" s="1"/>
  <c r="I292" i="27"/>
  <c r="M292" i="27" s="1"/>
  <c r="J291" i="27"/>
  <c r="K291" i="27" s="1"/>
  <c r="I291" i="27"/>
  <c r="M291" i="27" s="1"/>
  <c r="J290" i="27"/>
  <c r="K290" i="27" s="1"/>
  <c r="I290" i="27"/>
  <c r="M290" i="27" s="1"/>
  <c r="J289" i="27"/>
  <c r="K289" i="27" s="1"/>
  <c r="I289" i="27"/>
  <c r="M289" i="27" s="1"/>
  <c r="J288" i="27"/>
  <c r="K288" i="27" s="1"/>
  <c r="I288" i="27"/>
  <c r="M288" i="27" s="1"/>
  <c r="J287" i="27"/>
  <c r="K287" i="27" s="1"/>
  <c r="I287" i="27"/>
  <c r="M287" i="27" s="1"/>
  <c r="J286" i="27"/>
  <c r="K286" i="27" s="1"/>
  <c r="I286" i="27"/>
  <c r="M286" i="27" s="1"/>
  <c r="J285" i="27"/>
  <c r="K285" i="27" s="1"/>
  <c r="I285" i="27"/>
  <c r="M285" i="27" s="1"/>
  <c r="J284" i="27"/>
  <c r="K284" i="27" s="1"/>
  <c r="I284" i="27"/>
  <c r="M284" i="27" s="1"/>
  <c r="J283" i="27"/>
  <c r="K283" i="27" s="1"/>
  <c r="I283" i="27"/>
  <c r="M283" i="27" s="1"/>
  <c r="J282" i="27"/>
  <c r="K282" i="27" s="1"/>
  <c r="I282" i="27"/>
  <c r="M282" i="27" s="1"/>
  <c r="J281" i="27"/>
  <c r="K281" i="27" s="1"/>
  <c r="I281" i="27"/>
  <c r="M281" i="27" s="1"/>
  <c r="J280" i="27"/>
  <c r="K280" i="27" s="1"/>
  <c r="I280" i="27"/>
  <c r="M280" i="27" s="1"/>
  <c r="J279" i="27"/>
  <c r="K279" i="27" s="1"/>
  <c r="I279" i="27"/>
  <c r="M279" i="27" s="1"/>
  <c r="J278" i="27"/>
  <c r="K278" i="27" s="1"/>
  <c r="I278" i="27"/>
  <c r="M278" i="27" s="1"/>
  <c r="J277" i="27"/>
  <c r="K277" i="27" s="1"/>
  <c r="I277" i="27"/>
  <c r="M277" i="27" s="1"/>
  <c r="J276" i="27"/>
  <c r="K276" i="27" s="1"/>
  <c r="I276" i="27"/>
  <c r="M276" i="27" s="1"/>
  <c r="J275" i="27"/>
  <c r="K275" i="27" s="1"/>
  <c r="I275" i="27"/>
  <c r="M275" i="27" s="1"/>
  <c r="J274" i="27"/>
  <c r="K274" i="27" s="1"/>
  <c r="I274" i="27"/>
  <c r="M274" i="27" s="1"/>
  <c r="J273" i="27"/>
  <c r="K273" i="27" s="1"/>
  <c r="I273" i="27"/>
  <c r="M273" i="27" s="1"/>
  <c r="J272" i="27"/>
  <c r="K272" i="27" s="1"/>
  <c r="I272" i="27"/>
  <c r="M272" i="27" s="1"/>
  <c r="J271" i="27"/>
  <c r="K271" i="27" s="1"/>
  <c r="I271" i="27"/>
  <c r="M271" i="27" s="1"/>
  <c r="J270" i="27"/>
  <c r="K270" i="27" s="1"/>
  <c r="I270" i="27"/>
  <c r="M270" i="27" s="1"/>
  <c r="J269" i="27"/>
  <c r="K269" i="27" s="1"/>
  <c r="I269" i="27"/>
  <c r="M269" i="27" s="1"/>
  <c r="J268" i="27"/>
  <c r="K268" i="27" s="1"/>
  <c r="I268" i="27"/>
  <c r="M268" i="27" s="1"/>
  <c r="J267" i="27"/>
  <c r="K267" i="27" s="1"/>
  <c r="I267" i="27"/>
  <c r="M267" i="27" s="1"/>
  <c r="J266" i="27"/>
  <c r="K266" i="27" s="1"/>
  <c r="I266" i="27"/>
  <c r="M266" i="27" s="1"/>
  <c r="J265" i="27"/>
  <c r="K265" i="27" s="1"/>
  <c r="I265" i="27"/>
  <c r="M265" i="27" s="1"/>
  <c r="J264" i="27"/>
  <c r="K264" i="27" s="1"/>
  <c r="I264" i="27"/>
  <c r="M264" i="27" s="1"/>
  <c r="J263" i="27"/>
  <c r="K263" i="27" s="1"/>
  <c r="I263" i="27"/>
  <c r="M263" i="27" s="1"/>
  <c r="J262" i="27"/>
  <c r="K262" i="27" s="1"/>
  <c r="I262" i="27"/>
  <c r="M262" i="27" s="1"/>
  <c r="J261" i="27"/>
  <c r="K261" i="27" s="1"/>
  <c r="I261" i="27"/>
  <c r="M261" i="27" s="1"/>
  <c r="J260" i="27"/>
  <c r="K260" i="27" s="1"/>
  <c r="I260" i="27"/>
  <c r="M260" i="27" s="1"/>
  <c r="J259" i="27"/>
  <c r="K259" i="27" s="1"/>
  <c r="I259" i="27"/>
  <c r="M259" i="27" s="1"/>
  <c r="J258" i="27"/>
  <c r="K258" i="27" s="1"/>
  <c r="I258" i="27"/>
  <c r="M258" i="27" s="1"/>
  <c r="J257" i="27"/>
  <c r="K257" i="27" s="1"/>
  <c r="I257" i="27"/>
  <c r="M257" i="27" s="1"/>
  <c r="J256" i="27"/>
  <c r="K256" i="27" s="1"/>
  <c r="I256" i="27"/>
  <c r="M256" i="27" s="1"/>
  <c r="J255" i="27"/>
  <c r="K255" i="27" s="1"/>
  <c r="I255" i="27"/>
  <c r="M255" i="27" s="1"/>
  <c r="J254" i="27"/>
  <c r="K254" i="27" s="1"/>
  <c r="I254" i="27"/>
  <c r="M254" i="27" s="1"/>
  <c r="J253" i="27"/>
  <c r="K253" i="27" s="1"/>
  <c r="I253" i="27"/>
  <c r="M253" i="27" s="1"/>
  <c r="J252" i="27"/>
  <c r="K252" i="27" s="1"/>
  <c r="I252" i="27"/>
  <c r="M252" i="27" s="1"/>
  <c r="J251" i="27"/>
  <c r="K251" i="27" s="1"/>
  <c r="I251" i="27"/>
  <c r="M251" i="27" s="1"/>
  <c r="J250" i="27"/>
  <c r="K250" i="27" s="1"/>
  <c r="I250" i="27"/>
  <c r="M250" i="27" s="1"/>
  <c r="J249" i="27"/>
  <c r="K249" i="27" s="1"/>
  <c r="I249" i="27"/>
  <c r="M249" i="27" s="1"/>
  <c r="J248" i="27"/>
  <c r="K248" i="27" s="1"/>
  <c r="I248" i="27"/>
  <c r="M248" i="27" s="1"/>
  <c r="J247" i="27"/>
  <c r="K247" i="27" s="1"/>
  <c r="I247" i="27"/>
  <c r="M247" i="27" s="1"/>
  <c r="J246" i="27"/>
  <c r="K246" i="27" s="1"/>
  <c r="I246" i="27"/>
  <c r="M246" i="27" s="1"/>
  <c r="J245" i="27"/>
  <c r="K245" i="27" s="1"/>
  <c r="I245" i="27"/>
  <c r="M245" i="27" s="1"/>
  <c r="J244" i="27"/>
  <c r="K244" i="27" s="1"/>
  <c r="I244" i="27"/>
  <c r="M244" i="27" s="1"/>
  <c r="J243" i="27"/>
  <c r="K243" i="27" s="1"/>
  <c r="I243" i="27"/>
  <c r="M243" i="27" s="1"/>
  <c r="J242" i="27"/>
  <c r="K242" i="27" s="1"/>
  <c r="I242" i="27"/>
  <c r="M242" i="27" s="1"/>
  <c r="J241" i="27"/>
  <c r="K241" i="27" s="1"/>
  <c r="I241" i="27"/>
  <c r="M241" i="27" s="1"/>
  <c r="J240" i="27"/>
  <c r="K240" i="27" s="1"/>
  <c r="I240" i="27"/>
  <c r="M240" i="27" s="1"/>
  <c r="J239" i="27"/>
  <c r="K239" i="27" s="1"/>
  <c r="I239" i="27"/>
  <c r="M239" i="27" s="1"/>
  <c r="J238" i="27"/>
  <c r="K238" i="27" s="1"/>
  <c r="I238" i="27"/>
  <c r="M238" i="27" s="1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J232" i="27"/>
  <c r="K232" i="27" s="1"/>
  <c r="I232" i="27"/>
  <c r="M232" i="27" s="1"/>
  <c r="J231" i="27"/>
  <c r="K231" i="27" s="1"/>
  <c r="I231" i="27"/>
  <c r="M231" i="27" s="1"/>
  <c r="J230" i="27"/>
  <c r="K230" i="27" s="1"/>
  <c r="I230" i="27"/>
  <c r="M230" i="27" s="1"/>
  <c r="J229" i="27"/>
  <c r="K229" i="27" s="1"/>
  <c r="I229" i="27"/>
  <c r="M229" i="27" s="1"/>
  <c r="J228" i="27"/>
  <c r="K228" i="27" s="1"/>
  <c r="I228" i="27"/>
  <c r="M228" i="27" s="1"/>
  <c r="J227" i="27"/>
  <c r="K227" i="27" s="1"/>
  <c r="I227" i="27"/>
  <c r="M227" i="27" s="1"/>
  <c r="J226" i="27"/>
  <c r="K226" i="27" s="1"/>
  <c r="I226" i="27"/>
  <c r="M226" i="27" s="1"/>
  <c r="J225" i="27"/>
  <c r="K225" i="27" s="1"/>
  <c r="I225" i="27"/>
  <c r="M225" i="27" s="1"/>
  <c r="J224" i="27"/>
  <c r="K224" i="27" s="1"/>
  <c r="I224" i="27"/>
  <c r="M224" i="27" s="1"/>
  <c r="J223" i="27"/>
  <c r="K223" i="27" s="1"/>
  <c r="I223" i="27"/>
  <c r="M223" i="27" s="1"/>
  <c r="J222" i="27"/>
  <c r="K222" i="27" s="1"/>
  <c r="I222" i="27"/>
  <c r="M222" i="27" s="1"/>
  <c r="J221" i="27"/>
  <c r="K221" i="27" s="1"/>
  <c r="I221" i="27"/>
  <c r="M221" i="27" s="1"/>
  <c r="J220" i="27"/>
  <c r="K220" i="27" s="1"/>
  <c r="I220" i="27"/>
  <c r="M220" i="27" s="1"/>
  <c r="J219" i="27"/>
  <c r="K219" i="27" s="1"/>
  <c r="I219" i="27"/>
  <c r="M219" i="27" s="1"/>
  <c r="J218" i="27"/>
  <c r="K218" i="27" s="1"/>
  <c r="I218" i="27"/>
  <c r="M218" i="27" s="1"/>
  <c r="J217" i="27"/>
  <c r="K217" i="27" s="1"/>
  <c r="I217" i="27"/>
  <c r="M217" i="27" s="1"/>
  <c r="J216" i="27"/>
  <c r="K216" i="27" s="1"/>
  <c r="I216" i="27"/>
  <c r="M216" i="27" s="1"/>
  <c r="J215" i="27"/>
  <c r="K215" i="27" s="1"/>
  <c r="I215" i="27"/>
  <c r="M215" i="27" s="1"/>
  <c r="J214" i="27"/>
  <c r="K214" i="27" s="1"/>
  <c r="I214" i="27"/>
  <c r="M214" i="27" s="1"/>
  <c r="J213" i="27"/>
  <c r="K213" i="27" s="1"/>
  <c r="I213" i="27"/>
  <c r="M213" i="27" s="1"/>
  <c r="J212" i="27"/>
  <c r="K212" i="27" s="1"/>
  <c r="I212" i="27"/>
  <c r="M212" i="27" s="1"/>
  <c r="J211" i="27"/>
  <c r="K211" i="27" s="1"/>
  <c r="I211" i="27"/>
  <c r="M211" i="27" s="1"/>
  <c r="J210" i="27"/>
  <c r="K210" i="27" s="1"/>
  <c r="I210" i="27"/>
  <c r="M210" i="27" s="1"/>
  <c r="J209" i="27"/>
  <c r="K209" i="27" s="1"/>
  <c r="I209" i="27"/>
  <c r="M209" i="27" s="1"/>
  <c r="J208" i="27"/>
  <c r="K208" i="27" s="1"/>
  <c r="I208" i="27"/>
  <c r="M208" i="27" s="1"/>
  <c r="J207" i="27"/>
  <c r="K207" i="27" s="1"/>
  <c r="I207" i="27"/>
  <c r="M207" i="27" s="1"/>
  <c r="J206" i="27"/>
  <c r="K206" i="27" s="1"/>
  <c r="I206" i="27"/>
  <c r="M206" i="27" s="1"/>
  <c r="J205" i="27"/>
  <c r="K205" i="27" s="1"/>
  <c r="I205" i="27"/>
  <c r="M205" i="27" s="1"/>
  <c r="J204" i="27"/>
  <c r="K204" i="27" s="1"/>
  <c r="I204" i="27"/>
  <c r="M204" i="27" s="1"/>
  <c r="J203" i="27"/>
  <c r="K203" i="27" s="1"/>
  <c r="I203" i="27"/>
  <c r="M203" i="27" s="1"/>
  <c r="J202" i="27"/>
  <c r="K202" i="27" s="1"/>
  <c r="I202" i="27"/>
  <c r="M202" i="27" s="1"/>
  <c r="J201" i="27"/>
  <c r="K201" i="27" s="1"/>
  <c r="I201" i="27"/>
  <c r="M201" i="27" s="1"/>
  <c r="J200" i="27"/>
  <c r="K200" i="27" s="1"/>
  <c r="I200" i="27"/>
  <c r="M200" i="27" s="1"/>
  <c r="J199" i="27"/>
  <c r="K199" i="27" s="1"/>
  <c r="I199" i="27"/>
  <c r="M199" i="27" s="1"/>
  <c r="J198" i="27"/>
  <c r="K198" i="27" s="1"/>
  <c r="I198" i="27"/>
  <c r="M198" i="27" s="1"/>
  <c r="J197" i="27"/>
  <c r="K197" i="27" s="1"/>
  <c r="I197" i="27"/>
  <c r="M197" i="27" s="1"/>
  <c r="J196" i="27"/>
  <c r="K196" i="27" s="1"/>
  <c r="I196" i="27"/>
  <c r="M196" i="27" s="1"/>
  <c r="J195" i="27"/>
  <c r="K195" i="27" s="1"/>
  <c r="I195" i="27"/>
  <c r="M195" i="27" s="1"/>
  <c r="J194" i="27"/>
  <c r="K194" i="27" s="1"/>
  <c r="I194" i="27"/>
  <c r="M194" i="27" s="1"/>
  <c r="J193" i="27"/>
  <c r="K193" i="27" s="1"/>
  <c r="I193" i="27"/>
  <c r="M193" i="27" s="1"/>
  <c r="J192" i="27"/>
  <c r="K192" i="27" s="1"/>
  <c r="I192" i="27"/>
  <c r="M192" i="27" s="1"/>
  <c r="J191" i="27"/>
  <c r="K191" i="27" s="1"/>
  <c r="I191" i="27"/>
  <c r="M191" i="27" s="1"/>
  <c r="J190" i="27"/>
  <c r="K190" i="27" s="1"/>
  <c r="I190" i="27"/>
  <c r="M190" i="27" s="1"/>
  <c r="J189" i="27"/>
  <c r="K189" i="27" s="1"/>
  <c r="I189" i="27"/>
  <c r="M189" i="27" s="1"/>
  <c r="J188" i="27"/>
  <c r="K188" i="27" s="1"/>
  <c r="I188" i="27"/>
  <c r="M188" i="27" s="1"/>
  <c r="J187" i="27"/>
  <c r="K187" i="27" s="1"/>
  <c r="I187" i="27"/>
  <c r="M187" i="27" s="1"/>
  <c r="J186" i="27"/>
  <c r="K186" i="27" s="1"/>
  <c r="I186" i="27"/>
  <c r="M186" i="27" s="1"/>
  <c r="J185" i="27"/>
  <c r="K185" i="27" s="1"/>
  <c r="I185" i="27"/>
  <c r="M185" i="27" s="1"/>
  <c r="J184" i="27"/>
  <c r="K184" i="27" s="1"/>
  <c r="I184" i="27"/>
  <c r="M184" i="27" s="1"/>
  <c r="J183" i="27"/>
  <c r="K183" i="27" s="1"/>
  <c r="I183" i="27"/>
  <c r="M183" i="27" s="1"/>
  <c r="J182" i="27"/>
  <c r="K182" i="27" s="1"/>
  <c r="I182" i="27"/>
  <c r="M182" i="27" s="1"/>
  <c r="J181" i="27"/>
  <c r="K181" i="27" s="1"/>
  <c r="I181" i="27"/>
  <c r="M181" i="27" s="1"/>
  <c r="J180" i="27"/>
  <c r="K180" i="27" s="1"/>
  <c r="I180" i="27"/>
  <c r="M180" i="27" s="1"/>
  <c r="J179" i="27"/>
  <c r="K179" i="27" s="1"/>
  <c r="I179" i="27"/>
  <c r="M179" i="27" s="1"/>
  <c r="J178" i="27"/>
  <c r="K178" i="27" s="1"/>
  <c r="I178" i="27"/>
  <c r="M178" i="27" s="1"/>
  <c r="J177" i="27"/>
  <c r="K177" i="27" s="1"/>
  <c r="I177" i="27"/>
  <c r="M177" i="27" s="1"/>
  <c r="J176" i="27"/>
  <c r="K176" i="27" s="1"/>
  <c r="I176" i="27"/>
  <c r="M176" i="27" s="1"/>
  <c r="J175" i="27"/>
  <c r="K175" i="27" s="1"/>
  <c r="I175" i="27"/>
  <c r="M175" i="27" s="1"/>
  <c r="J174" i="27"/>
  <c r="K174" i="27" s="1"/>
  <c r="I174" i="27"/>
  <c r="M174" i="27" s="1"/>
  <c r="J173" i="27"/>
  <c r="K173" i="27" s="1"/>
  <c r="I173" i="27"/>
  <c r="M173" i="27" s="1"/>
  <c r="J172" i="27"/>
  <c r="K172" i="27" s="1"/>
  <c r="I172" i="27"/>
  <c r="M172" i="27" s="1"/>
  <c r="J171" i="27"/>
  <c r="K171" i="27" s="1"/>
  <c r="I171" i="27"/>
  <c r="M171" i="27" s="1"/>
  <c r="J170" i="27"/>
  <c r="K170" i="27" s="1"/>
  <c r="I170" i="27"/>
  <c r="M170" i="27" s="1"/>
  <c r="J169" i="27"/>
  <c r="K169" i="27" s="1"/>
  <c r="I169" i="27"/>
  <c r="M169" i="27" s="1"/>
  <c r="J168" i="27"/>
  <c r="K168" i="27" s="1"/>
  <c r="I168" i="27"/>
  <c r="M168" i="27" s="1"/>
  <c r="J167" i="27"/>
  <c r="K167" i="27" s="1"/>
  <c r="I167" i="27"/>
  <c r="M167" i="27" s="1"/>
  <c r="J166" i="27"/>
  <c r="K166" i="27" s="1"/>
  <c r="I166" i="27"/>
  <c r="M166" i="27" s="1"/>
  <c r="J165" i="27"/>
  <c r="K165" i="27" s="1"/>
  <c r="I165" i="27"/>
  <c r="M165" i="27" s="1"/>
  <c r="J164" i="27"/>
  <c r="K164" i="27" s="1"/>
  <c r="I164" i="27"/>
  <c r="M164" i="27" s="1"/>
  <c r="J163" i="27"/>
  <c r="K163" i="27" s="1"/>
  <c r="I163" i="27"/>
  <c r="M163" i="27" s="1"/>
  <c r="J162" i="27"/>
  <c r="K162" i="27" s="1"/>
  <c r="I162" i="27"/>
  <c r="M162" i="27" s="1"/>
  <c r="J161" i="27"/>
  <c r="K161" i="27" s="1"/>
  <c r="I161" i="27"/>
  <c r="M161" i="27" s="1"/>
  <c r="J160" i="27"/>
  <c r="K160" i="27" s="1"/>
  <c r="I160" i="27"/>
  <c r="M160" i="27" s="1"/>
  <c r="J159" i="27"/>
  <c r="K159" i="27" s="1"/>
  <c r="I159" i="27"/>
  <c r="M159" i="27" s="1"/>
  <c r="J158" i="27"/>
  <c r="K158" i="27" s="1"/>
  <c r="I158" i="27"/>
  <c r="M158" i="27" s="1"/>
  <c r="J157" i="27"/>
  <c r="K157" i="27" s="1"/>
  <c r="I157" i="27"/>
  <c r="M157" i="27" s="1"/>
  <c r="J156" i="27"/>
  <c r="K156" i="27" s="1"/>
  <c r="I156" i="27"/>
  <c r="M156" i="27" s="1"/>
  <c r="J155" i="27"/>
  <c r="K155" i="27" s="1"/>
  <c r="I155" i="27"/>
  <c r="M155" i="27" s="1"/>
  <c r="J154" i="27"/>
  <c r="K154" i="27" s="1"/>
  <c r="I154" i="27"/>
  <c r="M154" i="27" s="1"/>
  <c r="J153" i="27"/>
  <c r="K153" i="27" s="1"/>
  <c r="I153" i="27"/>
  <c r="M153" i="27" s="1"/>
  <c r="J152" i="27"/>
  <c r="K152" i="27" s="1"/>
  <c r="I152" i="27"/>
  <c r="M152" i="27" s="1"/>
  <c r="J151" i="27"/>
  <c r="K151" i="27" s="1"/>
  <c r="I151" i="27"/>
  <c r="M151" i="27" s="1"/>
  <c r="J150" i="27"/>
  <c r="K150" i="27" s="1"/>
  <c r="I150" i="27"/>
  <c r="M150" i="27" s="1"/>
  <c r="J149" i="27"/>
  <c r="K149" i="27" s="1"/>
  <c r="I149" i="27"/>
  <c r="M149" i="27" s="1"/>
  <c r="J148" i="27"/>
  <c r="K148" i="27" s="1"/>
  <c r="I148" i="27"/>
  <c r="M148" i="27" s="1"/>
  <c r="J147" i="27"/>
  <c r="K147" i="27" s="1"/>
  <c r="I147" i="27"/>
  <c r="M147" i="27" s="1"/>
  <c r="J146" i="27"/>
  <c r="K146" i="27" s="1"/>
  <c r="I146" i="27"/>
  <c r="M146" i="27" s="1"/>
  <c r="J145" i="27"/>
  <c r="K145" i="27" s="1"/>
  <c r="I145" i="27"/>
  <c r="M145" i="27" s="1"/>
  <c r="J144" i="27"/>
  <c r="K144" i="27" s="1"/>
  <c r="I144" i="27"/>
  <c r="M144" i="27" s="1"/>
  <c r="J143" i="27"/>
  <c r="K143" i="27" s="1"/>
  <c r="I143" i="27"/>
  <c r="M143" i="27" s="1"/>
  <c r="J142" i="27"/>
  <c r="K142" i="27" s="1"/>
  <c r="I142" i="27"/>
  <c r="M142" i="27" s="1"/>
  <c r="J141" i="27"/>
  <c r="K141" i="27" s="1"/>
  <c r="I141" i="27"/>
  <c r="M141" i="27" s="1"/>
  <c r="J140" i="27"/>
  <c r="K140" i="27" s="1"/>
  <c r="I140" i="27"/>
  <c r="M140" i="27" s="1"/>
  <c r="J139" i="27"/>
  <c r="K139" i="27" s="1"/>
  <c r="I139" i="27"/>
  <c r="M139" i="27" s="1"/>
  <c r="J138" i="27"/>
  <c r="K138" i="27" s="1"/>
  <c r="I138" i="27"/>
  <c r="M138" i="27" s="1"/>
  <c r="J137" i="27"/>
  <c r="K137" i="27" s="1"/>
  <c r="I137" i="27"/>
  <c r="M137" i="27" s="1"/>
  <c r="J136" i="27"/>
  <c r="K136" i="27" s="1"/>
  <c r="I136" i="27"/>
  <c r="M136" i="27" s="1"/>
  <c r="J135" i="27"/>
  <c r="K135" i="27" s="1"/>
  <c r="I135" i="27"/>
  <c r="M135" i="27" s="1"/>
  <c r="J134" i="27"/>
  <c r="K134" i="27" s="1"/>
  <c r="I134" i="27"/>
  <c r="M134" i="27" s="1"/>
  <c r="J133" i="27"/>
  <c r="K133" i="27" s="1"/>
  <c r="I133" i="27"/>
  <c r="M133" i="27" s="1"/>
  <c r="J132" i="27"/>
  <c r="K132" i="27" s="1"/>
  <c r="I132" i="27"/>
  <c r="M132" i="27" s="1"/>
  <c r="J131" i="27"/>
  <c r="K131" i="27" s="1"/>
  <c r="I131" i="27"/>
  <c r="M131" i="27" s="1"/>
  <c r="J130" i="27"/>
  <c r="K130" i="27" s="1"/>
  <c r="I130" i="27"/>
  <c r="M130" i="27" s="1"/>
  <c r="J129" i="27"/>
  <c r="K129" i="27" s="1"/>
  <c r="I129" i="27"/>
  <c r="M129" i="27" s="1"/>
  <c r="J128" i="27"/>
  <c r="K128" i="27" s="1"/>
  <c r="I128" i="27"/>
  <c r="M128" i="27" s="1"/>
  <c r="J127" i="27"/>
  <c r="K127" i="27" s="1"/>
  <c r="I127" i="27"/>
  <c r="M127" i="27" s="1"/>
  <c r="J126" i="27"/>
  <c r="K126" i="27" s="1"/>
  <c r="I126" i="27"/>
  <c r="M126" i="27" s="1"/>
  <c r="J125" i="27"/>
  <c r="K125" i="27" s="1"/>
  <c r="I125" i="27"/>
  <c r="M125" i="27" s="1"/>
  <c r="J124" i="27"/>
  <c r="K124" i="27" s="1"/>
  <c r="I124" i="27"/>
  <c r="M124" i="27" s="1"/>
  <c r="J123" i="27"/>
  <c r="K123" i="27" s="1"/>
  <c r="I123" i="27"/>
  <c r="M123" i="27" s="1"/>
  <c r="J122" i="27"/>
  <c r="K122" i="27" s="1"/>
  <c r="I122" i="27"/>
  <c r="M122" i="27" s="1"/>
  <c r="J121" i="27"/>
  <c r="K121" i="27" s="1"/>
  <c r="I121" i="27"/>
  <c r="M121" i="27" s="1"/>
  <c r="J120" i="27"/>
  <c r="K120" i="27" s="1"/>
  <c r="I120" i="27"/>
  <c r="M120" i="27" s="1"/>
  <c r="J119" i="27"/>
  <c r="K119" i="27" s="1"/>
  <c r="I119" i="27"/>
  <c r="M119" i="27" s="1"/>
  <c r="J118" i="27"/>
  <c r="K118" i="27" s="1"/>
  <c r="I118" i="27"/>
  <c r="M118" i="27" s="1"/>
  <c r="J117" i="27"/>
  <c r="K117" i="27" s="1"/>
  <c r="I117" i="27"/>
  <c r="M117" i="27" s="1"/>
  <c r="J116" i="27"/>
  <c r="K116" i="27" s="1"/>
  <c r="I116" i="27"/>
  <c r="M116" i="27" s="1"/>
  <c r="J115" i="27"/>
  <c r="K115" i="27" s="1"/>
  <c r="I115" i="27"/>
  <c r="M115" i="27" s="1"/>
  <c r="J114" i="27"/>
  <c r="K114" i="27" s="1"/>
  <c r="I114" i="27"/>
  <c r="M114" i="27" s="1"/>
  <c r="J113" i="27"/>
  <c r="K113" i="27" s="1"/>
  <c r="I113" i="27"/>
  <c r="M113" i="27" s="1"/>
  <c r="J112" i="27"/>
  <c r="K112" i="27" s="1"/>
  <c r="I112" i="27"/>
  <c r="M112" i="27" s="1"/>
  <c r="J111" i="27"/>
  <c r="K111" i="27" s="1"/>
  <c r="I111" i="27"/>
  <c r="M111" i="27" s="1"/>
  <c r="J110" i="27"/>
  <c r="K110" i="27" s="1"/>
  <c r="I110" i="27"/>
  <c r="M110" i="27" s="1"/>
  <c r="J109" i="27"/>
  <c r="K109" i="27" s="1"/>
  <c r="I109" i="27"/>
  <c r="M109" i="27" s="1"/>
  <c r="J108" i="27"/>
  <c r="K108" i="27" s="1"/>
  <c r="I108" i="27"/>
  <c r="M108" i="27" s="1"/>
  <c r="J107" i="27"/>
  <c r="K107" i="27" s="1"/>
  <c r="I107" i="27"/>
  <c r="M107" i="27" s="1"/>
  <c r="J106" i="27"/>
  <c r="K106" i="27" s="1"/>
  <c r="I106" i="27"/>
  <c r="M106" i="27" s="1"/>
  <c r="J105" i="27"/>
  <c r="K105" i="27" s="1"/>
  <c r="I105" i="27"/>
  <c r="M105" i="27" s="1"/>
  <c r="J104" i="27"/>
  <c r="K104" i="27" s="1"/>
  <c r="I104" i="27"/>
  <c r="M104" i="27" s="1"/>
  <c r="J103" i="27"/>
  <c r="K103" i="27" s="1"/>
  <c r="I103" i="27"/>
  <c r="M103" i="27" s="1"/>
  <c r="J102" i="27"/>
  <c r="K102" i="27" s="1"/>
  <c r="I102" i="27"/>
  <c r="M102" i="27" s="1"/>
  <c r="J101" i="27"/>
  <c r="K101" i="27" s="1"/>
  <c r="I101" i="27"/>
  <c r="M101" i="27" s="1"/>
  <c r="J100" i="27"/>
  <c r="K100" i="27" s="1"/>
  <c r="I100" i="27"/>
  <c r="M100" i="27" s="1"/>
  <c r="J99" i="27"/>
  <c r="K99" i="27" s="1"/>
  <c r="I99" i="27"/>
  <c r="M99" i="27" s="1"/>
  <c r="J98" i="27"/>
  <c r="K98" i="27" s="1"/>
  <c r="I98" i="27"/>
  <c r="M98" i="27" s="1"/>
  <c r="J97" i="27"/>
  <c r="K97" i="27" s="1"/>
  <c r="I97" i="27"/>
  <c r="M97" i="27" s="1"/>
  <c r="J96" i="27"/>
  <c r="K96" i="27" s="1"/>
  <c r="I96" i="27"/>
  <c r="M96" i="27" s="1"/>
  <c r="J95" i="27"/>
  <c r="K95" i="27" s="1"/>
  <c r="I95" i="27"/>
  <c r="M95" i="27" s="1"/>
  <c r="J94" i="27"/>
  <c r="K94" i="27" s="1"/>
  <c r="I94" i="27"/>
  <c r="M94" i="27" s="1"/>
  <c r="J93" i="27"/>
  <c r="K93" i="27" s="1"/>
  <c r="I93" i="27"/>
  <c r="M93" i="27" s="1"/>
  <c r="J92" i="27"/>
  <c r="K92" i="27" s="1"/>
  <c r="I92" i="27"/>
  <c r="M92" i="27" s="1"/>
  <c r="J91" i="27"/>
  <c r="K91" i="27" s="1"/>
  <c r="I91" i="27"/>
  <c r="M91" i="27" s="1"/>
  <c r="J90" i="27"/>
  <c r="K90" i="27" s="1"/>
  <c r="I90" i="27"/>
  <c r="M90" i="27" s="1"/>
  <c r="J89" i="27"/>
  <c r="K89" i="27" s="1"/>
  <c r="I89" i="27"/>
  <c r="M89" i="27" s="1"/>
  <c r="J88" i="27"/>
  <c r="K88" i="27" s="1"/>
  <c r="I88" i="27"/>
  <c r="M88" i="27" s="1"/>
  <c r="J87" i="27"/>
  <c r="K87" i="27" s="1"/>
  <c r="I87" i="27"/>
  <c r="M87" i="27" s="1"/>
  <c r="J86" i="27"/>
  <c r="K86" i="27" s="1"/>
  <c r="I86" i="27"/>
  <c r="M86" i="27" s="1"/>
  <c r="J85" i="27"/>
  <c r="K85" i="27" s="1"/>
  <c r="I85" i="27"/>
  <c r="M85" i="27" s="1"/>
  <c r="J84" i="27"/>
  <c r="K84" i="27" s="1"/>
  <c r="I84" i="27"/>
  <c r="M84" i="27" s="1"/>
  <c r="J83" i="27"/>
  <c r="K83" i="27" s="1"/>
  <c r="I83" i="27"/>
  <c r="M83" i="27" s="1"/>
  <c r="J82" i="27"/>
  <c r="K82" i="27" s="1"/>
  <c r="I82" i="27"/>
  <c r="M82" i="27" s="1"/>
  <c r="J81" i="27"/>
  <c r="K81" i="27" s="1"/>
  <c r="I81" i="27"/>
  <c r="M81" i="27" s="1"/>
  <c r="J80" i="27"/>
  <c r="K80" i="27" s="1"/>
  <c r="I80" i="27"/>
  <c r="M80" i="27" s="1"/>
  <c r="J79" i="27"/>
  <c r="K79" i="27" s="1"/>
  <c r="I79" i="27"/>
  <c r="M79" i="27" s="1"/>
  <c r="A79" i="27" s="1"/>
  <c r="J78" i="27"/>
  <c r="K78" i="27" s="1"/>
  <c r="I78" i="27"/>
  <c r="M78" i="27" s="1"/>
  <c r="A78" i="27" s="1"/>
  <c r="J77" i="27"/>
  <c r="K77" i="27" s="1"/>
  <c r="I77" i="27"/>
  <c r="M77" i="27" s="1"/>
  <c r="A77" i="27" s="1"/>
  <c r="J76" i="27"/>
  <c r="K76" i="27" s="1"/>
  <c r="I76" i="27"/>
  <c r="M76" i="27" s="1"/>
  <c r="A76" i="27" s="1"/>
  <c r="J75" i="27"/>
  <c r="K75" i="27" s="1"/>
  <c r="I75" i="27"/>
  <c r="M75" i="27" s="1"/>
  <c r="A75" i="27" s="1"/>
  <c r="J74" i="27"/>
  <c r="K74" i="27" s="1"/>
  <c r="I74" i="27"/>
  <c r="M74" i="27" s="1"/>
  <c r="A74" i="27" s="1"/>
  <c r="J73" i="27"/>
  <c r="K73" i="27" s="1"/>
  <c r="I73" i="27"/>
  <c r="M73" i="27" s="1"/>
  <c r="A73" i="27" s="1"/>
  <c r="J72" i="27"/>
  <c r="K72" i="27" s="1"/>
  <c r="I72" i="27"/>
  <c r="M72" i="27" s="1"/>
  <c r="A72" i="27"/>
  <c r="J71" i="27"/>
  <c r="K71" i="27" s="1"/>
  <c r="I71" i="27"/>
  <c r="M71" i="27" s="1"/>
  <c r="A71" i="27" s="1"/>
  <c r="J70" i="27"/>
  <c r="K70" i="27" s="1"/>
  <c r="I70" i="27"/>
  <c r="M70" i="27" s="1"/>
  <c r="A70" i="27" s="1"/>
  <c r="J69" i="27"/>
  <c r="K69" i="27" s="1"/>
  <c r="I69" i="27"/>
  <c r="M69" i="27" s="1"/>
  <c r="A69" i="27" s="1"/>
  <c r="J68" i="27"/>
  <c r="K68" i="27" s="1"/>
  <c r="I68" i="27"/>
  <c r="M68" i="27" s="1"/>
  <c r="A68" i="27" s="1"/>
  <c r="J67" i="27"/>
  <c r="K67" i="27" s="1"/>
  <c r="I67" i="27"/>
  <c r="M67" i="27" s="1"/>
  <c r="A67" i="27" s="1"/>
  <c r="J66" i="27"/>
  <c r="K66" i="27" s="1"/>
  <c r="I66" i="27"/>
  <c r="M66" i="27" s="1"/>
  <c r="A66" i="27" s="1"/>
  <c r="J65" i="27"/>
  <c r="K65" i="27" s="1"/>
  <c r="I65" i="27"/>
  <c r="M65" i="27" s="1"/>
  <c r="A65" i="27" s="1"/>
  <c r="B65" i="27"/>
  <c r="J64" i="27"/>
  <c r="K64" i="27" s="1"/>
  <c r="I64" i="27"/>
  <c r="M64" i="27" s="1"/>
  <c r="A64" i="27" s="1"/>
  <c r="B64" i="27"/>
  <c r="J63" i="27"/>
  <c r="K63" i="27" s="1"/>
  <c r="I63" i="27"/>
  <c r="M63" i="27" s="1"/>
  <c r="A63" i="27" s="1"/>
  <c r="B63" i="27"/>
  <c r="J62" i="27"/>
  <c r="K62" i="27" s="1"/>
  <c r="I62" i="27"/>
  <c r="M62" i="27" s="1"/>
  <c r="A62" i="27" s="1"/>
  <c r="B62" i="27"/>
  <c r="J61" i="27"/>
  <c r="K61" i="27" s="1"/>
  <c r="I61" i="27"/>
  <c r="M61" i="27" s="1"/>
  <c r="A61" i="27" s="1"/>
  <c r="B61" i="27"/>
  <c r="J60" i="27"/>
  <c r="K60" i="27" s="1"/>
  <c r="I60" i="27"/>
  <c r="M60" i="27" s="1"/>
  <c r="A60" i="27" s="1"/>
  <c r="B60" i="27"/>
  <c r="J59" i="27"/>
  <c r="K59" i="27" s="1"/>
  <c r="I59" i="27"/>
  <c r="M59" i="27" s="1"/>
  <c r="A59" i="27" s="1"/>
  <c r="B59" i="27"/>
  <c r="J58" i="27"/>
  <c r="K58" i="27" s="1"/>
  <c r="I58" i="27"/>
  <c r="M58" i="27" s="1"/>
  <c r="A58" i="27" s="1"/>
  <c r="B58" i="27"/>
  <c r="J57" i="27"/>
  <c r="K57" i="27" s="1"/>
  <c r="I57" i="27"/>
  <c r="M57" i="27" s="1"/>
  <c r="A57" i="27" s="1"/>
  <c r="B57" i="27"/>
  <c r="J56" i="27"/>
  <c r="K56" i="27" s="1"/>
  <c r="I56" i="27"/>
  <c r="M56" i="27" s="1"/>
  <c r="A56" i="27" s="1"/>
  <c r="B56" i="27"/>
  <c r="J55" i="27"/>
  <c r="K55" i="27" s="1"/>
  <c r="I55" i="27"/>
  <c r="M55" i="27" s="1"/>
  <c r="B55" i="27"/>
  <c r="A55" i="27"/>
  <c r="J54" i="27"/>
  <c r="K54" i="27" s="1"/>
  <c r="I54" i="27"/>
  <c r="M54" i="27" s="1"/>
  <c r="A54" i="27" s="1"/>
  <c r="B54" i="27"/>
  <c r="J53" i="27"/>
  <c r="K53" i="27" s="1"/>
  <c r="I53" i="27"/>
  <c r="M53" i="27" s="1"/>
  <c r="A53" i="27" s="1"/>
  <c r="B53" i="27"/>
  <c r="J52" i="27"/>
  <c r="K52" i="27" s="1"/>
  <c r="I52" i="27"/>
  <c r="M52" i="27" s="1"/>
  <c r="A52" i="27" s="1"/>
  <c r="B52" i="27"/>
  <c r="J51" i="27"/>
  <c r="K51" i="27" s="1"/>
  <c r="I51" i="27"/>
  <c r="M51" i="27" s="1"/>
  <c r="B51" i="27"/>
  <c r="A51" i="27"/>
  <c r="J50" i="27"/>
  <c r="K50" i="27" s="1"/>
  <c r="I50" i="27"/>
  <c r="M50" i="27" s="1"/>
  <c r="A50" i="27" s="1"/>
  <c r="B50" i="27"/>
  <c r="J49" i="27"/>
  <c r="K49" i="27" s="1"/>
  <c r="I49" i="27"/>
  <c r="M49" i="27" s="1"/>
  <c r="A49" i="27" s="1"/>
  <c r="B49" i="27"/>
  <c r="J48" i="27"/>
  <c r="K48" i="27" s="1"/>
  <c r="I48" i="27"/>
  <c r="M48" i="27" s="1"/>
  <c r="A48" i="27" s="1"/>
  <c r="B48" i="27"/>
  <c r="J47" i="27"/>
  <c r="K47" i="27" s="1"/>
  <c r="I47" i="27"/>
  <c r="M47" i="27" s="1"/>
  <c r="A47" i="27" s="1"/>
  <c r="B47" i="27"/>
  <c r="T46" i="27"/>
  <c r="R46" i="27"/>
  <c r="J46" i="27"/>
  <c r="K46" i="27" s="1"/>
  <c r="I46" i="27"/>
  <c r="M46" i="27" s="1"/>
  <c r="B46" i="27"/>
  <c r="A46" i="27"/>
  <c r="J45" i="27"/>
  <c r="K45" i="27" s="1"/>
  <c r="I45" i="27"/>
  <c r="M45" i="27" s="1"/>
  <c r="A45" i="27" s="1"/>
  <c r="B45" i="27"/>
  <c r="J44" i="27"/>
  <c r="K44" i="27" s="1"/>
  <c r="I44" i="27"/>
  <c r="M44" i="27" s="1"/>
  <c r="A44" i="27" s="1"/>
  <c r="B44" i="27"/>
  <c r="J43" i="27"/>
  <c r="K43" i="27" s="1"/>
  <c r="I43" i="27"/>
  <c r="M43" i="27" s="1"/>
  <c r="A43" i="27" s="1"/>
  <c r="B43" i="27"/>
  <c r="J42" i="27"/>
  <c r="K42" i="27" s="1"/>
  <c r="I42" i="27"/>
  <c r="M42" i="27" s="1"/>
  <c r="A42" i="27" s="1"/>
  <c r="B42" i="27"/>
  <c r="J41" i="27"/>
  <c r="K41" i="27" s="1"/>
  <c r="I41" i="27"/>
  <c r="M41" i="27" s="1"/>
  <c r="A41" i="27" s="1"/>
  <c r="B41" i="27"/>
  <c r="J40" i="27"/>
  <c r="K40" i="27" s="1"/>
  <c r="I40" i="27"/>
  <c r="M40" i="27" s="1"/>
  <c r="A40" i="27" s="1"/>
  <c r="B40" i="27"/>
  <c r="J39" i="27"/>
  <c r="K39" i="27" s="1"/>
  <c r="I39" i="27"/>
  <c r="M39" i="27" s="1"/>
  <c r="A39" i="27" s="1"/>
  <c r="B39" i="27"/>
  <c r="J38" i="27"/>
  <c r="K38" i="27" s="1"/>
  <c r="I38" i="27"/>
  <c r="M38" i="27" s="1"/>
  <c r="A38" i="27" s="1"/>
  <c r="B38" i="27"/>
  <c r="J37" i="27"/>
  <c r="K37" i="27" s="1"/>
  <c r="I37" i="27"/>
  <c r="M37" i="27" s="1"/>
  <c r="A37" i="27" s="1"/>
  <c r="B37" i="27"/>
  <c r="J36" i="27"/>
  <c r="K36" i="27" s="1"/>
  <c r="I36" i="27"/>
  <c r="M36" i="27" s="1"/>
  <c r="A36" i="27" s="1"/>
  <c r="B36" i="27"/>
  <c r="J35" i="27"/>
  <c r="K35" i="27" s="1"/>
  <c r="I35" i="27"/>
  <c r="M35" i="27" s="1"/>
  <c r="A35" i="27" s="1"/>
  <c r="B35" i="27"/>
  <c r="J34" i="27"/>
  <c r="K34" i="27" s="1"/>
  <c r="I34" i="27"/>
  <c r="M34" i="27" s="1"/>
  <c r="A34" i="27" s="1"/>
  <c r="B34" i="27"/>
  <c r="J33" i="27"/>
  <c r="K33" i="27" s="1"/>
  <c r="I33" i="27"/>
  <c r="M33" i="27" s="1"/>
  <c r="B33" i="27"/>
  <c r="A33" i="27"/>
  <c r="J32" i="27"/>
  <c r="K32" i="27" s="1"/>
  <c r="I32" i="27"/>
  <c r="M32" i="27" s="1"/>
  <c r="A32" i="27" s="1"/>
  <c r="B32" i="27"/>
  <c r="J31" i="27"/>
  <c r="K31" i="27" s="1"/>
  <c r="I31" i="27"/>
  <c r="M31" i="27" s="1"/>
  <c r="A31" i="27" s="1"/>
  <c r="B31" i="27"/>
  <c r="J30" i="27"/>
  <c r="K30" i="27" s="1"/>
  <c r="I30" i="27"/>
  <c r="M30" i="27" s="1"/>
  <c r="A30" i="27" s="1"/>
  <c r="B30" i="27"/>
  <c r="J29" i="27"/>
  <c r="K29" i="27" s="1"/>
  <c r="I29" i="27"/>
  <c r="M29" i="27" s="1"/>
  <c r="A29" i="27" s="1"/>
  <c r="B29" i="27"/>
  <c r="J28" i="27"/>
  <c r="K28" i="27" s="1"/>
  <c r="I28" i="27"/>
  <c r="M28" i="27" s="1"/>
  <c r="J27" i="27"/>
  <c r="K27" i="27" s="1"/>
  <c r="I27" i="27"/>
  <c r="M27" i="27" s="1"/>
  <c r="A27" i="27" s="1"/>
  <c r="B27" i="27"/>
  <c r="J26" i="27"/>
  <c r="K26" i="27" s="1"/>
  <c r="I26" i="27"/>
  <c r="M26" i="27" s="1"/>
  <c r="A26" i="27" s="1"/>
  <c r="B26" i="27"/>
  <c r="J25" i="27"/>
  <c r="K25" i="27" s="1"/>
  <c r="I25" i="27"/>
  <c r="M25" i="27" s="1"/>
  <c r="A25" i="27" s="1"/>
  <c r="B25" i="27"/>
  <c r="J24" i="27"/>
  <c r="K24" i="27" s="1"/>
  <c r="I24" i="27"/>
  <c r="M24" i="27" s="1"/>
  <c r="A24" i="27" s="1"/>
  <c r="B24" i="27"/>
  <c r="J23" i="27"/>
  <c r="K23" i="27" s="1"/>
  <c r="I23" i="27"/>
  <c r="M23" i="27" s="1"/>
  <c r="A23" i="27" s="1"/>
  <c r="B23" i="27"/>
  <c r="J22" i="27"/>
  <c r="K22" i="27" s="1"/>
  <c r="I22" i="27"/>
  <c r="B22" i="27"/>
  <c r="J21" i="27"/>
  <c r="K21" i="27" s="1"/>
  <c r="I21" i="27"/>
  <c r="M21" i="27" s="1"/>
  <c r="A21" i="27" s="1"/>
  <c r="B21" i="27"/>
  <c r="J20" i="27"/>
  <c r="K20" i="27" s="1"/>
  <c r="I20" i="27"/>
  <c r="M20" i="27" s="1"/>
  <c r="A20" i="27" s="1"/>
  <c r="B20" i="27"/>
  <c r="J19" i="27"/>
  <c r="K19" i="27" s="1"/>
  <c r="I19" i="27"/>
  <c r="B19" i="27"/>
  <c r="J18" i="27"/>
  <c r="K18" i="27" s="1"/>
  <c r="I18" i="27"/>
  <c r="M18" i="27" s="1"/>
  <c r="A18" i="27" s="1"/>
  <c r="B18" i="27"/>
  <c r="J17" i="27"/>
  <c r="K17" i="27" s="1"/>
  <c r="I17" i="27"/>
  <c r="B17" i="27"/>
  <c r="J16" i="27"/>
  <c r="K16" i="27" s="1"/>
  <c r="I16" i="27"/>
  <c r="B16" i="27"/>
  <c r="J15" i="27"/>
  <c r="K15" i="27" s="1"/>
  <c r="I15" i="27"/>
  <c r="B15" i="27"/>
  <c r="AI14" i="27"/>
  <c r="J14" i="27"/>
  <c r="K14" i="27" s="1"/>
  <c r="I14" i="27"/>
  <c r="M14" i="27" s="1"/>
  <c r="A14" i="27" s="1"/>
  <c r="B14" i="27"/>
  <c r="AI13" i="27"/>
  <c r="J13" i="27"/>
  <c r="K13" i="27" s="1"/>
  <c r="I13" i="27"/>
  <c r="B13" i="27"/>
  <c r="AI12" i="27"/>
  <c r="J12" i="27"/>
  <c r="K12" i="27" s="1"/>
  <c r="I12" i="27"/>
  <c r="M12" i="27" s="1"/>
  <c r="A12" i="27" s="1"/>
  <c r="B12" i="27"/>
  <c r="J11" i="27"/>
  <c r="K11" i="27" s="1"/>
  <c r="I11" i="27"/>
  <c r="M11" i="27" s="1"/>
  <c r="A11" i="27" s="1"/>
  <c r="B11" i="27"/>
  <c r="J10" i="27"/>
  <c r="K10" i="27" s="1"/>
  <c r="I10" i="27"/>
  <c r="B10" i="27"/>
  <c r="J9" i="27"/>
  <c r="K9" i="27" s="1"/>
  <c r="I9" i="27"/>
  <c r="B9" i="27"/>
  <c r="J8" i="27"/>
  <c r="K8" i="27" s="1"/>
  <c r="I8" i="27"/>
  <c r="B8" i="27"/>
  <c r="J7" i="27"/>
  <c r="K7" i="27" s="1"/>
  <c r="I7" i="27"/>
  <c r="B7" i="27"/>
  <c r="J6" i="27"/>
  <c r="K6" i="27" s="1"/>
  <c r="I6" i="27"/>
  <c r="B6" i="27"/>
  <c r="K2" i="27"/>
  <c r="L7" i="27" s="1"/>
  <c r="J305" i="26"/>
  <c r="K305" i="26" s="1"/>
  <c r="I305" i="26"/>
  <c r="M305" i="26" s="1"/>
  <c r="J304" i="26"/>
  <c r="K304" i="26" s="1"/>
  <c r="I304" i="26"/>
  <c r="M304" i="26" s="1"/>
  <c r="J303" i="26"/>
  <c r="K303" i="26" s="1"/>
  <c r="I303" i="26"/>
  <c r="M303" i="26" s="1"/>
  <c r="J302" i="26"/>
  <c r="K302" i="26" s="1"/>
  <c r="I302" i="26"/>
  <c r="M302" i="26" s="1"/>
  <c r="J301" i="26"/>
  <c r="K301" i="26" s="1"/>
  <c r="I301" i="26"/>
  <c r="M301" i="26" s="1"/>
  <c r="K300" i="26"/>
  <c r="J300" i="26"/>
  <c r="I300" i="26"/>
  <c r="M300" i="26" s="1"/>
  <c r="J299" i="26"/>
  <c r="K299" i="26" s="1"/>
  <c r="I299" i="26"/>
  <c r="M299" i="26" s="1"/>
  <c r="J298" i="26"/>
  <c r="K298" i="26" s="1"/>
  <c r="I298" i="26"/>
  <c r="M298" i="26" s="1"/>
  <c r="J297" i="26"/>
  <c r="K297" i="26" s="1"/>
  <c r="I297" i="26"/>
  <c r="M297" i="26" s="1"/>
  <c r="J296" i="26"/>
  <c r="K296" i="26" s="1"/>
  <c r="I296" i="26"/>
  <c r="M296" i="26" s="1"/>
  <c r="J295" i="26"/>
  <c r="K295" i="26" s="1"/>
  <c r="I295" i="26"/>
  <c r="M295" i="26" s="1"/>
  <c r="J294" i="26"/>
  <c r="K294" i="26" s="1"/>
  <c r="I294" i="26"/>
  <c r="M294" i="26" s="1"/>
  <c r="J293" i="26"/>
  <c r="K293" i="26" s="1"/>
  <c r="I293" i="26"/>
  <c r="M293" i="26" s="1"/>
  <c r="M292" i="26"/>
  <c r="J292" i="26"/>
  <c r="K292" i="26" s="1"/>
  <c r="I292" i="26"/>
  <c r="J291" i="26"/>
  <c r="K291" i="26" s="1"/>
  <c r="I291" i="26"/>
  <c r="M291" i="26" s="1"/>
  <c r="J290" i="26"/>
  <c r="K290" i="26" s="1"/>
  <c r="I290" i="26"/>
  <c r="M290" i="26" s="1"/>
  <c r="J289" i="26"/>
  <c r="K289" i="26" s="1"/>
  <c r="I289" i="26"/>
  <c r="M289" i="26" s="1"/>
  <c r="J288" i="26"/>
  <c r="K288" i="26" s="1"/>
  <c r="I288" i="26"/>
  <c r="M288" i="26" s="1"/>
  <c r="M287" i="26"/>
  <c r="J287" i="26"/>
  <c r="K287" i="26" s="1"/>
  <c r="I287" i="26"/>
  <c r="J286" i="26"/>
  <c r="K286" i="26" s="1"/>
  <c r="I286" i="26"/>
  <c r="M286" i="26" s="1"/>
  <c r="J285" i="26"/>
  <c r="K285" i="26" s="1"/>
  <c r="I285" i="26"/>
  <c r="M285" i="26" s="1"/>
  <c r="K284" i="26"/>
  <c r="J284" i="26"/>
  <c r="I284" i="26"/>
  <c r="M284" i="26" s="1"/>
  <c r="M283" i="26"/>
  <c r="J283" i="26"/>
  <c r="K283" i="26" s="1"/>
  <c r="I283" i="26"/>
  <c r="J282" i="26"/>
  <c r="K282" i="26" s="1"/>
  <c r="I282" i="26"/>
  <c r="M282" i="26" s="1"/>
  <c r="M281" i="26"/>
  <c r="J281" i="26"/>
  <c r="K281" i="26" s="1"/>
  <c r="I281" i="26"/>
  <c r="M280" i="26"/>
  <c r="J280" i="26"/>
  <c r="K280" i="26" s="1"/>
  <c r="I280" i="26"/>
  <c r="J279" i="26"/>
  <c r="K279" i="26" s="1"/>
  <c r="I279" i="26"/>
  <c r="M279" i="26" s="1"/>
  <c r="M278" i="26"/>
  <c r="K278" i="26"/>
  <c r="J278" i="26"/>
  <c r="I278" i="26"/>
  <c r="J277" i="26"/>
  <c r="K277" i="26" s="1"/>
  <c r="I277" i="26"/>
  <c r="M277" i="26" s="1"/>
  <c r="M276" i="26"/>
  <c r="J276" i="26"/>
  <c r="K276" i="26" s="1"/>
  <c r="I276" i="26"/>
  <c r="J275" i="26"/>
  <c r="K275" i="26" s="1"/>
  <c r="I275" i="26"/>
  <c r="M275" i="26" s="1"/>
  <c r="M274" i="26"/>
  <c r="J274" i="26"/>
  <c r="K274" i="26" s="1"/>
  <c r="I274" i="26"/>
  <c r="J273" i="26"/>
  <c r="K273" i="26" s="1"/>
  <c r="I273" i="26"/>
  <c r="M273" i="26" s="1"/>
  <c r="J272" i="26"/>
  <c r="K272" i="26" s="1"/>
  <c r="I272" i="26"/>
  <c r="M272" i="26" s="1"/>
  <c r="J271" i="26"/>
  <c r="K271" i="26" s="1"/>
  <c r="I271" i="26"/>
  <c r="M271" i="26" s="1"/>
  <c r="J270" i="26"/>
  <c r="K270" i="26" s="1"/>
  <c r="I270" i="26"/>
  <c r="M270" i="26" s="1"/>
  <c r="J269" i="26"/>
  <c r="K269" i="26" s="1"/>
  <c r="I269" i="26"/>
  <c r="M269" i="26" s="1"/>
  <c r="J268" i="26"/>
  <c r="K268" i="26" s="1"/>
  <c r="I268" i="26"/>
  <c r="M268" i="26" s="1"/>
  <c r="J267" i="26"/>
  <c r="K267" i="26" s="1"/>
  <c r="I267" i="26"/>
  <c r="M267" i="26" s="1"/>
  <c r="J266" i="26"/>
  <c r="K266" i="26" s="1"/>
  <c r="I266" i="26"/>
  <c r="M266" i="26" s="1"/>
  <c r="J265" i="26"/>
  <c r="K265" i="26" s="1"/>
  <c r="I265" i="26"/>
  <c r="M265" i="26" s="1"/>
  <c r="J264" i="26"/>
  <c r="K264" i="26" s="1"/>
  <c r="I264" i="26"/>
  <c r="M264" i="26" s="1"/>
  <c r="M263" i="26"/>
  <c r="J263" i="26"/>
  <c r="K263" i="26" s="1"/>
  <c r="I263" i="26"/>
  <c r="K262" i="26"/>
  <c r="J262" i="26"/>
  <c r="I262" i="26"/>
  <c r="M262" i="26" s="1"/>
  <c r="J261" i="26"/>
  <c r="K261" i="26" s="1"/>
  <c r="I261" i="26"/>
  <c r="M261" i="26" s="1"/>
  <c r="J260" i="26"/>
  <c r="K260" i="26" s="1"/>
  <c r="I260" i="26"/>
  <c r="M260" i="26" s="1"/>
  <c r="J259" i="26"/>
  <c r="K259" i="26" s="1"/>
  <c r="I259" i="26"/>
  <c r="M259" i="26" s="1"/>
  <c r="K258" i="26"/>
  <c r="J258" i="26"/>
  <c r="I258" i="26"/>
  <c r="M258" i="26" s="1"/>
  <c r="J257" i="26"/>
  <c r="K257" i="26" s="1"/>
  <c r="I257" i="26"/>
  <c r="M257" i="26" s="1"/>
  <c r="J256" i="26"/>
  <c r="K256" i="26" s="1"/>
  <c r="I256" i="26"/>
  <c r="M256" i="26" s="1"/>
  <c r="M255" i="26"/>
  <c r="J255" i="26"/>
  <c r="K255" i="26" s="1"/>
  <c r="I255" i="26"/>
  <c r="J254" i="26"/>
  <c r="K254" i="26" s="1"/>
  <c r="I254" i="26"/>
  <c r="M254" i="26" s="1"/>
  <c r="J253" i="26"/>
  <c r="K253" i="26" s="1"/>
  <c r="I253" i="26"/>
  <c r="M253" i="26" s="1"/>
  <c r="J252" i="26"/>
  <c r="K252" i="26" s="1"/>
  <c r="I252" i="26"/>
  <c r="M252" i="26" s="1"/>
  <c r="J251" i="26"/>
  <c r="K251" i="26" s="1"/>
  <c r="I251" i="26"/>
  <c r="M251" i="26" s="1"/>
  <c r="J250" i="26"/>
  <c r="K250" i="26" s="1"/>
  <c r="I250" i="26"/>
  <c r="M250" i="26" s="1"/>
  <c r="M249" i="26"/>
  <c r="J249" i="26"/>
  <c r="K249" i="26" s="1"/>
  <c r="I249" i="26"/>
  <c r="J248" i="26"/>
  <c r="K248" i="26" s="1"/>
  <c r="I248" i="26"/>
  <c r="M248" i="26" s="1"/>
  <c r="J247" i="26"/>
  <c r="K247" i="26" s="1"/>
  <c r="I247" i="26"/>
  <c r="M247" i="26" s="1"/>
  <c r="M246" i="26"/>
  <c r="K246" i="26"/>
  <c r="J246" i="26"/>
  <c r="I246" i="26"/>
  <c r="J245" i="26"/>
  <c r="K245" i="26" s="1"/>
  <c r="I245" i="26"/>
  <c r="M245" i="26" s="1"/>
  <c r="J244" i="26"/>
  <c r="K244" i="26" s="1"/>
  <c r="I244" i="26"/>
  <c r="M244" i="26" s="1"/>
  <c r="J243" i="26"/>
  <c r="K243" i="26" s="1"/>
  <c r="I243" i="26"/>
  <c r="M243" i="26" s="1"/>
  <c r="J242" i="26"/>
  <c r="K242" i="26" s="1"/>
  <c r="I242" i="26"/>
  <c r="M242" i="26" s="1"/>
  <c r="J241" i="26"/>
  <c r="K241" i="26" s="1"/>
  <c r="I241" i="26"/>
  <c r="M241" i="26" s="1"/>
  <c r="M240" i="26"/>
  <c r="K240" i="26"/>
  <c r="J240" i="26"/>
  <c r="I240" i="26"/>
  <c r="J239" i="26"/>
  <c r="K239" i="26" s="1"/>
  <c r="I239" i="26"/>
  <c r="M239" i="26" s="1"/>
  <c r="K238" i="26"/>
  <c r="J238" i="26"/>
  <c r="I238" i="26"/>
  <c r="M238" i="26" s="1"/>
  <c r="J237" i="26"/>
  <c r="K237" i="26" s="1"/>
  <c r="I237" i="26"/>
  <c r="M237" i="26" s="1"/>
  <c r="J236" i="26"/>
  <c r="K236" i="26" s="1"/>
  <c r="I236" i="26"/>
  <c r="M236" i="26" s="1"/>
  <c r="J235" i="26"/>
  <c r="K235" i="26" s="1"/>
  <c r="I235" i="26"/>
  <c r="M235" i="26" s="1"/>
  <c r="J234" i="26"/>
  <c r="K234" i="26" s="1"/>
  <c r="I234" i="26"/>
  <c r="M234" i="26" s="1"/>
  <c r="J233" i="26"/>
  <c r="K233" i="26" s="1"/>
  <c r="I233" i="26"/>
  <c r="M233" i="26" s="1"/>
  <c r="J232" i="26"/>
  <c r="K232" i="26" s="1"/>
  <c r="I232" i="26"/>
  <c r="M232" i="26" s="1"/>
  <c r="J231" i="26"/>
  <c r="K231" i="26" s="1"/>
  <c r="I231" i="26"/>
  <c r="M231" i="26" s="1"/>
  <c r="J230" i="26"/>
  <c r="K230" i="26" s="1"/>
  <c r="I230" i="26"/>
  <c r="M230" i="26" s="1"/>
  <c r="J229" i="26"/>
  <c r="K229" i="26" s="1"/>
  <c r="I229" i="26"/>
  <c r="M229" i="26" s="1"/>
  <c r="M228" i="26"/>
  <c r="J228" i="26"/>
  <c r="K228" i="26" s="1"/>
  <c r="I228" i="26"/>
  <c r="J227" i="26"/>
  <c r="K227" i="26" s="1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J222" i="26"/>
  <c r="K222" i="26" s="1"/>
  <c r="I222" i="26"/>
  <c r="M222" i="26" s="1"/>
  <c r="J221" i="26"/>
  <c r="K221" i="26" s="1"/>
  <c r="I221" i="26"/>
  <c r="M221" i="26" s="1"/>
  <c r="J220" i="26"/>
  <c r="K220" i="26" s="1"/>
  <c r="I220" i="26"/>
  <c r="M220" i="26" s="1"/>
  <c r="M219" i="26"/>
  <c r="J219" i="26"/>
  <c r="K219" i="26" s="1"/>
  <c r="I219" i="26"/>
  <c r="J218" i="26"/>
  <c r="K218" i="26" s="1"/>
  <c r="I218" i="26"/>
  <c r="M218" i="26" s="1"/>
  <c r="J217" i="26"/>
  <c r="K217" i="26" s="1"/>
  <c r="I217" i="26"/>
  <c r="M217" i="26" s="1"/>
  <c r="M216" i="26"/>
  <c r="J216" i="26"/>
  <c r="K216" i="26" s="1"/>
  <c r="I216" i="26"/>
  <c r="M215" i="26"/>
  <c r="J215" i="26"/>
  <c r="K215" i="26" s="1"/>
  <c r="I215" i="26"/>
  <c r="J214" i="26"/>
  <c r="K214" i="26" s="1"/>
  <c r="I214" i="26"/>
  <c r="M214" i="26" s="1"/>
  <c r="M213" i="26"/>
  <c r="K213" i="26"/>
  <c r="J213" i="26"/>
  <c r="I213" i="26"/>
  <c r="J212" i="26"/>
  <c r="K212" i="26" s="1"/>
  <c r="I212" i="26"/>
  <c r="M212" i="26" s="1"/>
  <c r="J211" i="26"/>
  <c r="K211" i="26" s="1"/>
  <c r="I211" i="26"/>
  <c r="M211" i="26" s="1"/>
  <c r="M210" i="26"/>
  <c r="J210" i="26"/>
  <c r="K210" i="26" s="1"/>
  <c r="I210" i="26"/>
  <c r="J209" i="26"/>
  <c r="K209" i="26" s="1"/>
  <c r="I209" i="26"/>
  <c r="M209" i="26" s="1"/>
  <c r="J208" i="26"/>
  <c r="K208" i="26" s="1"/>
  <c r="I208" i="26"/>
  <c r="M208" i="26" s="1"/>
  <c r="J207" i="26"/>
  <c r="K207" i="26" s="1"/>
  <c r="I207" i="26"/>
  <c r="M207" i="26" s="1"/>
  <c r="J206" i="26"/>
  <c r="K206" i="26" s="1"/>
  <c r="I206" i="26"/>
  <c r="M206" i="26" s="1"/>
  <c r="J205" i="26"/>
  <c r="K205" i="26" s="1"/>
  <c r="I205" i="26"/>
  <c r="M205" i="26" s="1"/>
  <c r="J204" i="26"/>
  <c r="K204" i="26" s="1"/>
  <c r="I204" i="26"/>
  <c r="M204" i="26" s="1"/>
  <c r="M203" i="26"/>
  <c r="K203" i="26"/>
  <c r="J203" i="26"/>
  <c r="I203" i="26"/>
  <c r="J202" i="26"/>
  <c r="K202" i="26" s="1"/>
  <c r="I202" i="26"/>
  <c r="M202" i="26" s="1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J198" i="26"/>
  <c r="K198" i="26" s="1"/>
  <c r="I198" i="26"/>
  <c r="M198" i="26" s="1"/>
  <c r="J197" i="26"/>
  <c r="K197" i="26" s="1"/>
  <c r="I197" i="26"/>
  <c r="M197" i="26" s="1"/>
  <c r="J196" i="26"/>
  <c r="K196" i="26" s="1"/>
  <c r="I196" i="26"/>
  <c r="M196" i="26" s="1"/>
  <c r="J195" i="26"/>
  <c r="K195" i="26" s="1"/>
  <c r="I195" i="26"/>
  <c r="M195" i="26" s="1"/>
  <c r="M194" i="26"/>
  <c r="J194" i="26"/>
  <c r="K194" i="26" s="1"/>
  <c r="I194" i="26"/>
  <c r="K193" i="26"/>
  <c r="J193" i="26"/>
  <c r="I193" i="26"/>
  <c r="M193" i="26" s="1"/>
  <c r="J192" i="26"/>
  <c r="K192" i="26" s="1"/>
  <c r="I192" i="26"/>
  <c r="M192" i="26" s="1"/>
  <c r="J191" i="26"/>
  <c r="K191" i="26" s="1"/>
  <c r="I191" i="26"/>
  <c r="M191" i="26" s="1"/>
  <c r="J190" i="26"/>
  <c r="K190" i="26" s="1"/>
  <c r="I190" i="26"/>
  <c r="M190" i="26" s="1"/>
  <c r="J189" i="26"/>
  <c r="K189" i="26" s="1"/>
  <c r="I189" i="26"/>
  <c r="M189" i="26" s="1"/>
  <c r="M188" i="26"/>
  <c r="J188" i="26"/>
  <c r="K188" i="26" s="1"/>
  <c r="I188" i="26"/>
  <c r="J187" i="26"/>
  <c r="K187" i="26" s="1"/>
  <c r="I187" i="26"/>
  <c r="M187" i="26" s="1"/>
  <c r="J186" i="26"/>
  <c r="K186" i="26" s="1"/>
  <c r="I186" i="26"/>
  <c r="M186" i="26" s="1"/>
  <c r="M185" i="26"/>
  <c r="J185" i="26"/>
  <c r="K185" i="26" s="1"/>
  <c r="I185" i="26"/>
  <c r="J184" i="26"/>
  <c r="K184" i="26" s="1"/>
  <c r="I184" i="26"/>
  <c r="M184" i="26" s="1"/>
  <c r="M183" i="26"/>
  <c r="K183" i="26"/>
  <c r="J183" i="26"/>
  <c r="I183" i="26"/>
  <c r="J182" i="26"/>
  <c r="K182" i="26" s="1"/>
  <c r="I182" i="26"/>
  <c r="M182" i="26" s="1"/>
  <c r="J181" i="26"/>
  <c r="K181" i="26" s="1"/>
  <c r="I181" i="26"/>
  <c r="M181" i="26" s="1"/>
  <c r="J180" i="26"/>
  <c r="K180" i="26" s="1"/>
  <c r="I180" i="26"/>
  <c r="M180" i="26" s="1"/>
  <c r="J179" i="26"/>
  <c r="K179" i="26" s="1"/>
  <c r="I179" i="26"/>
  <c r="M179" i="26" s="1"/>
  <c r="J178" i="26"/>
  <c r="K178" i="26" s="1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J172" i="26"/>
  <c r="K172" i="26" s="1"/>
  <c r="I172" i="26"/>
  <c r="M172" i="26" s="1"/>
  <c r="J171" i="26"/>
  <c r="K171" i="26" s="1"/>
  <c r="I171" i="26"/>
  <c r="M171" i="26" s="1"/>
  <c r="J170" i="26"/>
  <c r="K170" i="26" s="1"/>
  <c r="I170" i="26"/>
  <c r="M170" i="26" s="1"/>
  <c r="M169" i="26"/>
  <c r="J169" i="26"/>
  <c r="K169" i="26" s="1"/>
  <c r="I169" i="26"/>
  <c r="J168" i="26"/>
  <c r="K168" i="26" s="1"/>
  <c r="I168" i="26"/>
  <c r="M168" i="26" s="1"/>
  <c r="J167" i="26"/>
  <c r="K167" i="26" s="1"/>
  <c r="I167" i="26"/>
  <c r="M167" i="26" s="1"/>
  <c r="J166" i="26"/>
  <c r="K166" i="26" s="1"/>
  <c r="I166" i="26"/>
  <c r="M166" i="26" s="1"/>
  <c r="J165" i="26"/>
  <c r="K165" i="26" s="1"/>
  <c r="I165" i="26"/>
  <c r="M165" i="26" s="1"/>
  <c r="J164" i="26"/>
  <c r="K164" i="26" s="1"/>
  <c r="I164" i="26"/>
  <c r="M164" i="26" s="1"/>
  <c r="J163" i="26"/>
  <c r="K163" i="26" s="1"/>
  <c r="I163" i="26"/>
  <c r="M163" i="26" s="1"/>
  <c r="M162" i="26"/>
  <c r="J162" i="26"/>
  <c r="K162" i="26" s="1"/>
  <c r="I162" i="26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M158" i="26"/>
  <c r="J158" i="26"/>
  <c r="K158" i="26" s="1"/>
  <c r="I158" i="26"/>
  <c r="J157" i="26"/>
  <c r="K157" i="26" s="1"/>
  <c r="I157" i="26"/>
  <c r="M157" i="26" s="1"/>
  <c r="J156" i="26"/>
  <c r="K156" i="26" s="1"/>
  <c r="I156" i="26"/>
  <c r="M156" i="26" s="1"/>
  <c r="M155" i="26"/>
  <c r="J155" i="26"/>
  <c r="K155" i="26" s="1"/>
  <c r="I155" i="26"/>
  <c r="J154" i="26"/>
  <c r="K154" i="26" s="1"/>
  <c r="I154" i="26"/>
  <c r="M154" i="26" s="1"/>
  <c r="M153" i="26"/>
  <c r="K153" i="26"/>
  <c r="J153" i="26"/>
  <c r="I153" i="26"/>
  <c r="J152" i="26"/>
  <c r="K152" i="26" s="1"/>
  <c r="I152" i="26"/>
  <c r="M152" i="26" s="1"/>
  <c r="J151" i="26"/>
  <c r="K151" i="26" s="1"/>
  <c r="I151" i="26"/>
  <c r="M151" i="26" s="1"/>
  <c r="J150" i="26"/>
  <c r="K150" i="26" s="1"/>
  <c r="I150" i="26"/>
  <c r="M150" i="26" s="1"/>
  <c r="J149" i="26"/>
  <c r="K149" i="26" s="1"/>
  <c r="I149" i="26"/>
  <c r="M149" i="26" s="1"/>
  <c r="J148" i="26"/>
  <c r="K148" i="26" s="1"/>
  <c r="I148" i="26"/>
  <c r="M148" i="26" s="1"/>
  <c r="J147" i="26"/>
  <c r="K147" i="26" s="1"/>
  <c r="I147" i="26"/>
  <c r="M147" i="26" s="1"/>
  <c r="J146" i="26"/>
  <c r="K146" i="26" s="1"/>
  <c r="I146" i="26"/>
  <c r="M146" i="26" s="1"/>
  <c r="J145" i="26"/>
  <c r="K145" i="26" s="1"/>
  <c r="I145" i="26"/>
  <c r="M145" i="26" s="1"/>
  <c r="M144" i="26"/>
  <c r="J144" i="26"/>
  <c r="K144" i="26" s="1"/>
  <c r="I144" i="26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M141" i="26" s="1"/>
  <c r="M140" i="26"/>
  <c r="J140" i="26"/>
  <c r="K140" i="26" s="1"/>
  <c r="I140" i="26"/>
  <c r="J139" i="26"/>
  <c r="K139" i="26" s="1"/>
  <c r="I139" i="26"/>
  <c r="M139" i="26" s="1"/>
  <c r="J138" i="26"/>
  <c r="K138" i="26" s="1"/>
  <c r="I138" i="26"/>
  <c r="M138" i="26" s="1"/>
  <c r="M137" i="26"/>
  <c r="J137" i="26"/>
  <c r="K137" i="26" s="1"/>
  <c r="I137" i="26"/>
  <c r="J136" i="26"/>
  <c r="K136" i="26" s="1"/>
  <c r="I136" i="26"/>
  <c r="M136" i="26" s="1"/>
  <c r="J135" i="26"/>
  <c r="K135" i="26" s="1"/>
  <c r="I135" i="26"/>
  <c r="M135" i="26" s="1"/>
  <c r="J134" i="26"/>
  <c r="K134" i="26" s="1"/>
  <c r="I134" i="26"/>
  <c r="M134" i="26" s="1"/>
  <c r="K133" i="26"/>
  <c r="J133" i="26"/>
  <c r="I133" i="26"/>
  <c r="M133" i="26" s="1"/>
  <c r="J132" i="26"/>
  <c r="K132" i="26" s="1"/>
  <c r="I132" i="26"/>
  <c r="M132" i="26" s="1"/>
  <c r="J131" i="26"/>
  <c r="K131" i="26" s="1"/>
  <c r="I131" i="26"/>
  <c r="M131" i="26" s="1"/>
  <c r="J130" i="26"/>
  <c r="K130" i="26" s="1"/>
  <c r="I130" i="26"/>
  <c r="M130" i="26" s="1"/>
  <c r="K129" i="26"/>
  <c r="J129" i="26"/>
  <c r="I129" i="26"/>
  <c r="M129" i="26" s="1"/>
  <c r="J128" i="26"/>
  <c r="K128" i="26" s="1"/>
  <c r="I128" i="26"/>
  <c r="M128" i="26" s="1"/>
  <c r="J127" i="26"/>
  <c r="K127" i="26" s="1"/>
  <c r="I127" i="26"/>
  <c r="M127" i="26" s="1"/>
  <c r="M126" i="26"/>
  <c r="J126" i="26"/>
  <c r="K126" i="26" s="1"/>
  <c r="I126" i="26"/>
  <c r="J125" i="26"/>
  <c r="K125" i="26" s="1"/>
  <c r="I125" i="26"/>
  <c r="M125" i="26" s="1"/>
  <c r="J124" i="26"/>
  <c r="K124" i="26" s="1"/>
  <c r="I124" i="26"/>
  <c r="M124" i="26" s="1"/>
  <c r="K123" i="26"/>
  <c r="J123" i="26"/>
  <c r="I123" i="26"/>
  <c r="M123" i="26" s="1"/>
  <c r="J122" i="26"/>
  <c r="K122" i="26" s="1"/>
  <c r="I122" i="26"/>
  <c r="M122" i="26" s="1"/>
  <c r="K121" i="26"/>
  <c r="J121" i="26"/>
  <c r="I121" i="26"/>
  <c r="M121" i="26" s="1"/>
  <c r="M120" i="26"/>
  <c r="J120" i="26"/>
  <c r="K120" i="26" s="1"/>
  <c r="I120" i="26"/>
  <c r="J119" i="26"/>
  <c r="K119" i="26" s="1"/>
  <c r="I119" i="26"/>
  <c r="M119" i="26" s="1"/>
  <c r="J118" i="26"/>
  <c r="K118" i="26" s="1"/>
  <c r="I118" i="26"/>
  <c r="M118" i="26" s="1"/>
  <c r="J117" i="26"/>
  <c r="K117" i="26" s="1"/>
  <c r="I117" i="26"/>
  <c r="M117" i="26" s="1"/>
  <c r="J116" i="26"/>
  <c r="K116" i="26" s="1"/>
  <c r="I116" i="26"/>
  <c r="M116" i="26" s="1"/>
  <c r="J115" i="26"/>
  <c r="K115" i="26" s="1"/>
  <c r="I115" i="26"/>
  <c r="M115" i="26" s="1"/>
  <c r="J114" i="26"/>
  <c r="K114" i="26" s="1"/>
  <c r="I114" i="26"/>
  <c r="M114" i="26" s="1"/>
  <c r="K113" i="26"/>
  <c r="J113" i="26"/>
  <c r="I113" i="26"/>
  <c r="M113" i="26" s="1"/>
  <c r="M112" i="26"/>
  <c r="J112" i="26"/>
  <c r="K112" i="26" s="1"/>
  <c r="I112" i="26"/>
  <c r="K111" i="26"/>
  <c r="J111" i="26"/>
  <c r="I111" i="26"/>
  <c r="M111" i="26" s="1"/>
  <c r="J110" i="26"/>
  <c r="K110" i="26" s="1"/>
  <c r="I110" i="26"/>
  <c r="M110" i="26" s="1"/>
  <c r="J109" i="26"/>
  <c r="K109" i="26" s="1"/>
  <c r="I109" i="26"/>
  <c r="M109" i="26" s="1"/>
  <c r="J108" i="26"/>
  <c r="K108" i="26" s="1"/>
  <c r="I108" i="26"/>
  <c r="M108" i="26" s="1"/>
  <c r="K107" i="26"/>
  <c r="J107" i="26"/>
  <c r="I107" i="26"/>
  <c r="M107" i="26" s="1"/>
  <c r="J106" i="26"/>
  <c r="K106" i="26" s="1"/>
  <c r="I106" i="26"/>
  <c r="M106" i="26" s="1"/>
  <c r="J105" i="26"/>
  <c r="K105" i="26" s="1"/>
  <c r="I105" i="26"/>
  <c r="M105" i="26" s="1"/>
  <c r="J104" i="26"/>
  <c r="K104" i="26" s="1"/>
  <c r="I104" i="26"/>
  <c r="M104" i="26" s="1"/>
  <c r="J103" i="26"/>
  <c r="K103" i="26" s="1"/>
  <c r="I103" i="26"/>
  <c r="M103" i="26" s="1"/>
  <c r="J102" i="26"/>
  <c r="K102" i="26" s="1"/>
  <c r="I102" i="26"/>
  <c r="M102" i="26" s="1"/>
  <c r="J101" i="26"/>
  <c r="K101" i="26" s="1"/>
  <c r="I101" i="26"/>
  <c r="M101" i="26" s="1"/>
  <c r="J100" i="26"/>
  <c r="K100" i="26" s="1"/>
  <c r="I100" i="26"/>
  <c r="M100" i="26" s="1"/>
  <c r="J99" i="26"/>
  <c r="K99" i="26" s="1"/>
  <c r="I99" i="26"/>
  <c r="M99" i="26" s="1"/>
  <c r="J98" i="26"/>
  <c r="K98" i="26" s="1"/>
  <c r="I98" i="26"/>
  <c r="M98" i="26" s="1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J94" i="26"/>
  <c r="K94" i="26" s="1"/>
  <c r="I94" i="26"/>
  <c r="M94" i="26" s="1"/>
  <c r="J93" i="26"/>
  <c r="K93" i="26" s="1"/>
  <c r="I93" i="26"/>
  <c r="M93" i="26" s="1"/>
  <c r="J92" i="26"/>
  <c r="K92" i="26" s="1"/>
  <c r="I92" i="26"/>
  <c r="M92" i="26" s="1"/>
  <c r="J91" i="26"/>
  <c r="K91" i="26" s="1"/>
  <c r="I91" i="26"/>
  <c r="M91" i="26" s="1"/>
  <c r="J90" i="26"/>
  <c r="K90" i="26" s="1"/>
  <c r="I90" i="26"/>
  <c r="M90" i="26" s="1"/>
  <c r="K89" i="26"/>
  <c r="J89" i="26"/>
  <c r="I89" i="26"/>
  <c r="M89" i="26" s="1"/>
  <c r="J88" i="26"/>
  <c r="K88" i="26" s="1"/>
  <c r="I88" i="26"/>
  <c r="M88" i="26" s="1"/>
  <c r="J87" i="26"/>
  <c r="K87" i="26" s="1"/>
  <c r="I87" i="26"/>
  <c r="M87" i="26" s="1"/>
  <c r="J86" i="26"/>
  <c r="K86" i="26" s="1"/>
  <c r="I86" i="26"/>
  <c r="M86" i="26" s="1"/>
  <c r="J85" i="26"/>
  <c r="K85" i="26" s="1"/>
  <c r="I85" i="26"/>
  <c r="M85" i="26" s="1"/>
  <c r="J84" i="26"/>
  <c r="K84" i="26" s="1"/>
  <c r="I84" i="26"/>
  <c r="M84" i="26" s="1"/>
  <c r="J83" i="26"/>
  <c r="K83" i="26" s="1"/>
  <c r="I83" i="26"/>
  <c r="M83" i="26" s="1"/>
  <c r="J82" i="26"/>
  <c r="K82" i="26" s="1"/>
  <c r="I82" i="26"/>
  <c r="M82" i="26" s="1"/>
  <c r="J81" i="26"/>
  <c r="K81" i="26" s="1"/>
  <c r="I81" i="26"/>
  <c r="M81" i="26" s="1"/>
  <c r="M80" i="26"/>
  <c r="J80" i="26"/>
  <c r="K80" i="26" s="1"/>
  <c r="I80" i="26"/>
  <c r="J79" i="26"/>
  <c r="K79" i="26" s="1"/>
  <c r="I79" i="26"/>
  <c r="M79" i="26" s="1"/>
  <c r="J78" i="26"/>
  <c r="K78" i="26" s="1"/>
  <c r="I78" i="26"/>
  <c r="M78" i="26" s="1"/>
  <c r="J77" i="26"/>
  <c r="K77" i="26" s="1"/>
  <c r="I77" i="26"/>
  <c r="M77" i="26" s="1"/>
  <c r="J76" i="26"/>
  <c r="K76" i="26" s="1"/>
  <c r="I76" i="26"/>
  <c r="M76" i="26" s="1"/>
  <c r="J75" i="26"/>
  <c r="K75" i="26" s="1"/>
  <c r="I75" i="26"/>
  <c r="M75" i="26" s="1"/>
  <c r="J74" i="26"/>
  <c r="K74" i="26" s="1"/>
  <c r="I74" i="26"/>
  <c r="M74" i="26" s="1"/>
  <c r="M73" i="26"/>
  <c r="J73" i="26"/>
  <c r="K73" i="26" s="1"/>
  <c r="I73" i="26"/>
  <c r="J72" i="26"/>
  <c r="K72" i="26" s="1"/>
  <c r="I72" i="26"/>
  <c r="M72" i="26" s="1"/>
  <c r="M71" i="26"/>
  <c r="J71" i="26"/>
  <c r="K71" i="26" s="1"/>
  <c r="I71" i="26"/>
  <c r="J70" i="26"/>
  <c r="K70" i="26" s="1"/>
  <c r="I70" i="26"/>
  <c r="M70" i="26" s="1"/>
  <c r="J69" i="26"/>
  <c r="K69" i="26" s="1"/>
  <c r="I69" i="26"/>
  <c r="M69" i="26" s="1"/>
  <c r="J68" i="26"/>
  <c r="K68" i="26" s="1"/>
  <c r="I68" i="26"/>
  <c r="M68" i="26" s="1"/>
  <c r="J67" i="26"/>
  <c r="K67" i="26" s="1"/>
  <c r="I67" i="26"/>
  <c r="M67" i="26" s="1"/>
  <c r="J66" i="26"/>
  <c r="K66" i="26" s="1"/>
  <c r="I66" i="26"/>
  <c r="M66" i="26" s="1"/>
  <c r="M65" i="26"/>
  <c r="J65" i="26"/>
  <c r="K65" i="26" s="1"/>
  <c r="I65" i="26"/>
  <c r="B65" i="26"/>
  <c r="J64" i="26"/>
  <c r="K64" i="26" s="1"/>
  <c r="I64" i="26"/>
  <c r="M64" i="26" s="1"/>
  <c r="B64" i="26"/>
  <c r="M63" i="26"/>
  <c r="J63" i="26"/>
  <c r="K63" i="26" s="1"/>
  <c r="I63" i="26"/>
  <c r="B63" i="26"/>
  <c r="J62" i="26"/>
  <c r="K62" i="26" s="1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J59" i="26"/>
  <c r="K59" i="26" s="1"/>
  <c r="I59" i="26"/>
  <c r="M59" i="26" s="1"/>
  <c r="B59" i="26"/>
  <c r="K58" i="26"/>
  <c r="J58" i="26"/>
  <c r="I58" i="26"/>
  <c r="M58" i="26" s="1"/>
  <c r="B58" i="26"/>
  <c r="M57" i="26"/>
  <c r="J57" i="26"/>
  <c r="K57" i="26" s="1"/>
  <c r="I57" i="26"/>
  <c r="B57" i="26"/>
  <c r="J56" i="26"/>
  <c r="K56" i="26" s="1"/>
  <c r="I56" i="26"/>
  <c r="M56" i="26" s="1"/>
  <c r="B56" i="26"/>
  <c r="M55" i="26"/>
  <c r="J55" i="26"/>
  <c r="K55" i="26" s="1"/>
  <c r="I55" i="26"/>
  <c r="B55" i="26"/>
  <c r="J54" i="26"/>
  <c r="K54" i="26" s="1"/>
  <c r="I54" i="26"/>
  <c r="M54" i="26" s="1"/>
  <c r="B54" i="26"/>
  <c r="J53" i="26"/>
  <c r="K53" i="26" s="1"/>
  <c r="I53" i="26"/>
  <c r="M53" i="26" s="1"/>
  <c r="B53" i="26"/>
  <c r="J52" i="26"/>
  <c r="K52" i="26" s="1"/>
  <c r="I52" i="26"/>
  <c r="M52" i="26" s="1"/>
  <c r="B52" i="26"/>
  <c r="J51" i="26"/>
  <c r="K51" i="26" s="1"/>
  <c r="I51" i="26"/>
  <c r="M51" i="26" s="1"/>
  <c r="B51" i="26"/>
  <c r="J50" i="26"/>
  <c r="K50" i="26" s="1"/>
  <c r="I50" i="26"/>
  <c r="M50" i="26" s="1"/>
  <c r="B50" i="26"/>
  <c r="J49" i="26"/>
  <c r="K49" i="26" s="1"/>
  <c r="I49" i="26"/>
  <c r="M49" i="26" s="1"/>
  <c r="B49" i="26"/>
  <c r="J48" i="26"/>
  <c r="K48" i="26" s="1"/>
  <c r="I48" i="26"/>
  <c r="M48" i="26" s="1"/>
  <c r="B48" i="26"/>
  <c r="J47" i="26"/>
  <c r="K47" i="26" s="1"/>
  <c r="I47" i="26"/>
  <c r="M47" i="26" s="1"/>
  <c r="B47" i="26"/>
  <c r="T46" i="26"/>
  <c r="R46" i="26"/>
  <c r="U46" i="26" s="1"/>
  <c r="J46" i="26"/>
  <c r="K46" i="26" s="1"/>
  <c r="I46" i="26"/>
  <c r="M46" i="26" s="1"/>
  <c r="B46" i="26"/>
  <c r="M45" i="26"/>
  <c r="J45" i="26"/>
  <c r="K45" i="26" s="1"/>
  <c r="I45" i="26"/>
  <c r="B45" i="26"/>
  <c r="J44" i="26"/>
  <c r="K44" i="26" s="1"/>
  <c r="I44" i="26"/>
  <c r="M44" i="26" s="1"/>
  <c r="B44" i="26"/>
  <c r="J43" i="26"/>
  <c r="K43" i="26" s="1"/>
  <c r="I43" i="26"/>
  <c r="M43" i="26" s="1"/>
  <c r="B43" i="26"/>
  <c r="J42" i="26"/>
  <c r="K42" i="26" s="1"/>
  <c r="I42" i="26"/>
  <c r="M42" i="26" s="1"/>
  <c r="B42" i="26"/>
  <c r="J41" i="26"/>
  <c r="K41" i="26" s="1"/>
  <c r="I41" i="26"/>
  <c r="M41" i="26" s="1"/>
  <c r="B41" i="26"/>
  <c r="M40" i="26"/>
  <c r="K40" i="26"/>
  <c r="J40" i="26"/>
  <c r="I40" i="26"/>
  <c r="B40" i="26"/>
  <c r="J39" i="26"/>
  <c r="K39" i="26" s="1"/>
  <c r="I39" i="26"/>
  <c r="M39" i="26" s="1"/>
  <c r="B39" i="26"/>
  <c r="K38" i="26"/>
  <c r="J38" i="26"/>
  <c r="I38" i="26"/>
  <c r="M38" i="26" s="1"/>
  <c r="B38" i="26"/>
  <c r="J37" i="26"/>
  <c r="K37" i="26" s="1"/>
  <c r="I37" i="26"/>
  <c r="M37" i="26" s="1"/>
  <c r="A37" i="26" s="1"/>
  <c r="B37" i="26"/>
  <c r="J36" i="26"/>
  <c r="K36" i="26" s="1"/>
  <c r="I36" i="26"/>
  <c r="M36" i="26" s="1"/>
  <c r="A36" i="26" s="1"/>
  <c r="B36" i="26"/>
  <c r="J35" i="26"/>
  <c r="K35" i="26" s="1"/>
  <c r="I35" i="26"/>
  <c r="M35" i="26" s="1"/>
  <c r="A35" i="26" s="1"/>
  <c r="B35" i="26"/>
  <c r="J34" i="26"/>
  <c r="K34" i="26" s="1"/>
  <c r="I34" i="26"/>
  <c r="M34" i="26" s="1"/>
  <c r="A34" i="26" s="1"/>
  <c r="B34" i="26"/>
  <c r="J33" i="26"/>
  <c r="K33" i="26" s="1"/>
  <c r="I33" i="26"/>
  <c r="M33" i="26" s="1"/>
  <c r="A33" i="26" s="1"/>
  <c r="B33" i="26"/>
  <c r="J32" i="26"/>
  <c r="K32" i="26" s="1"/>
  <c r="I32" i="26"/>
  <c r="M32" i="26" s="1"/>
  <c r="A32" i="26" s="1"/>
  <c r="B32" i="26"/>
  <c r="J31" i="26"/>
  <c r="K31" i="26" s="1"/>
  <c r="I31" i="26"/>
  <c r="M31" i="26" s="1"/>
  <c r="A31" i="26" s="1"/>
  <c r="B31" i="26"/>
  <c r="J30" i="26"/>
  <c r="K30" i="26" s="1"/>
  <c r="I30" i="26"/>
  <c r="M30" i="26" s="1"/>
  <c r="A30" i="26" s="1"/>
  <c r="B30" i="26"/>
  <c r="M29" i="26"/>
  <c r="A29" i="26" s="1"/>
  <c r="J29" i="26"/>
  <c r="K29" i="26" s="1"/>
  <c r="I29" i="26"/>
  <c r="B29" i="26"/>
  <c r="J28" i="26"/>
  <c r="K28" i="26" s="1"/>
  <c r="I28" i="26"/>
  <c r="M28" i="26" s="1"/>
  <c r="B28" i="26"/>
  <c r="A28" i="26"/>
  <c r="J27" i="26"/>
  <c r="K27" i="26" s="1"/>
  <c r="I27" i="26"/>
  <c r="M27" i="26" s="1"/>
  <c r="A27" i="26" s="1"/>
  <c r="B27" i="26"/>
  <c r="J26" i="26"/>
  <c r="K26" i="26" s="1"/>
  <c r="I26" i="26"/>
  <c r="M26" i="26" s="1"/>
  <c r="A26" i="26" s="1"/>
  <c r="B26" i="26"/>
  <c r="J25" i="26"/>
  <c r="K25" i="26" s="1"/>
  <c r="I25" i="26"/>
  <c r="M25" i="26" s="1"/>
  <c r="B25" i="26"/>
  <c r="A25" i="26"/>
  <c r="J24" i="26"/>
  <c r="K24" i="26" s="1"/>
  <c r="I24" i="26"/>
  <c r="M24" i="26" s="1"/>
  <c r="A24" i="26" s="1"/>
  <c r="B24" i="26"/>
  <c r="J23" i="26"/>
  <c r="K23" i="26" s="1"/>
  <c r="I23" i="26"/>
  <c r="M23" i="26" s="1"/>
  <c r="A23" i="26" s="1"/>
  <c r="B23" i="26"/>
  <c r="J22" i="26"/>
  <c r="K22" i="26" s="1"/>
  <c r="I22" i="26"/>
  <c r="M22" i="26" s="1"/>
  <c r="A22" i="26" s="1"/>
  <c r="B22" i="26"/>
  <c r="J21" i="26"/>
  <c r="K21" i="26" s="1"/>
  <c r="I21" i="26"/>
  <c r="M21" i="26" s="1"/>
  <c r="A21" i="26" s="1"/>
  <c r="B21" i="26"/>
  <c r="J20" i="26"/>
  <c r="K20" i="26" s="1"/>
  <c r="I20" i="26"/>
  <c r="M20" i="26" s="1"/>
  <c r="A20" i="26" s="1"/>
  <c r="B20" i="26"/>
  <c r="J19" i="26"/>
  <c r="K19" i="26" s="1"/>
  <c r="I19" i="26"/>
  <c r="M19" i="26" s="1"/>
  <c r="A19" i="26" s="1"/>
  <c r="B19" i="26"/>
  <c r="J18" i="26"/>
  <c r="K18" i="26" s="1"/>
  <c r="I18" i="26"/>
  <c r="M18" i="26" s="1"/>
  <c r="A18" i="26" s="1"/>
  <c r="B18" i="26"/>
  <c r="J17" i="26"/>
  <c r="K17" i="26" s="1"/>
  <c r="I17" i="26"/>
  <c r="M17" i="26" s="1"/>
  <c r="A17" i="26" s="1"/>
  <c r="B17" i="26"/>
  <c r="J16" i="26"/>
  <c r="K16" i="26" s="1"/>
  <c r="I16" i="26"/>
  <c r="B16" i="26"/>
  <c r="J15" i="26"/>
  <c r="K15" i="26" s="1"/>
  <c r="I15" i="26"/>
  <c r="M15" i="26" s="1"/>
  <c r="A15" i="26" s="1"/>
  <c r="B15" i="26"/>
  <c r="AI14" i="26"/>
  <c r="J14" i="26"/>
  <c r="K14" i="26" s="1"/>
  <c r="M14" i="26" s="1"/>
  <c r="A14" i="26" s="1"/>
  <c r="I14" i="26"/>
  <c r="B14" i="26"/>
  <c r="AI13" i="26"/>
  <c r="J13" i="26"/>
  <c r="K13" i="26" s="1"/>
  <c r="I13" i="26"/>
  <c r="M13" i="26" s="1"/>
  <c r="A13" i="26" s="1"/>
  <c r="B13" i="26"/>
  <c r="AI12" i="26"/>
  <c r="AI16" i="26" s="1"/>
  <c r="M12" i="26"/>
  <c r="A12" i="26" s="1"/>
  <c r="J12" i="26"/>
  <c r="K12" i="26" s="1"/>
  <c r="I12" i="26"/>
  <c r="B12" i="26"/>
  <c r="J11" i="26"/>
  <c r="K11" i="26" s="1"/>
  <c r="I11" i="26"/>
  <c r="B11" i="26"/>
  <c r="J10" i="26"/>
  <c r="K10" i="26" s="1"/>
  <c r="I10" i="26"/>
  <c r="M10" i="26" s="1"/>
  <c r="A10" i="26" s="1"/>
  <c r="B10" i="26"/>
  <c r="J9" i="26"/>
  <c r="K9" i="26" s="1"/>
  <c r="I9" i="26"/>
  <c r="B9" i="26"/>
  <c r="J8" i="26"/>
  <c r="K8" i="26" s="1"/>
  <c r="I8" i="26"/>
  <c r="B8" i="26"/>
  <c r="J7" i="26"/>
  <c r="K7" i="26" s="1"/>
  <c r="I7" i="26"/>
  <c r="B7" i="26"/>
  <c r="J6" i="26"/>
  <c r="K6" i="26" s="1"/>
  <c r="I6" i="26"/>
  <c r="M6" i="26" s="1"/>
  <c r="A6" i="26" s="1"/>
  <c r="B6" i="26"/>
  <c r="K2" i="26"/>
  <c r="L6" i="26" s="1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M299" i="25"/>
  <c r="J299" i="25"/>
  <c r="K299" i="25" s="1"/>
  <c r="I299" i="25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K293" i="25"/>
  <c r="J293" i="25"/>
  <c r="I293" i="25"/>
  <c r="M293" i="25" s="1"/>
  <c r="M292" i="25"/>
  <c r="J292" i="25"/>
  <c r="K292" i="25" s="1"/>
  <c r="I292" i="25"/>
  <c r="M291" i="25"/>
  <c r="J291" i="25"/>
  <c r="K291" i="25" s="1"/>
  <c r="I291" i="25"/>
  <c r="J290" i="25"/>
  <c r="K290" i="25" s="1"/>
  <c r="I290" i="25"/>
  <c r="M290" i="25" s="1"/>
  <c r="K289" i="25"/>
  <c r="J289" i="25"/>
  <c r="I289" i="25"/>
  <c r="M289" i="25" s="1"/>
  <c r="J288" i="25"/>
  <c r="K288" i="25" s="1"/>
  <c r="I288" i="25"/>
  <c r="M288" i="25" s="1"/>
  <c r="M287" i="25"/>
  <c r="J287" i="25"/>
  <c r="K287" i="25" s="1"/>
  <c r="I287" i="25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M277" i="25"/>
  <c r="J277" i="25"/>
  <c r="K277" i="25" s="1"/>
  <c r="I277" i="25"/>
  <c r="J276" i="25"/>
  <c r="K276" i="25" s="1"/>
  <c r="I276" i="25"/>
  <c r="M276" i="25" s="1"/>
  <c r="J275" i="25"/>
  <c r="K275" i="25" s="1"/>
  <c r="I275" i="25"/>
  <c r="M275" i="25" s="1"/>
  <c r="J274" i="25"/>
  <c r="K274" i="25" s="1"/>
  <c r="I274" i="25"/>
  <c r="M274" i="25" s="1"/>
  <c r="M273" i="25"/>
  <c r="J273" i="25"/>
  <c r="K273" i="25" s="1"/>
  <c r="I273" i="25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M267" i="25"/>
  <c r="J267" i="25"/>
  <c r="K267" i="25" s="1"/>
  <c r="I267" i="25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M259" i="25"/>
  <c r="K259" i="25"/>
  <c r="J259" i="25"/>
  <c r="I259" i="25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M252" i="25"/>
  <c r="J252" i="25"/>
  <c r="K252" i="25" s="1"/>
  <c r="I252" i="25"/>
  <c r="M251" i="25"/>
  <c r="J251" i="25"/>
  <c r="K251" i="25" s="1"/>
  <c r="I251" i="25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M246" i="25"/>
  <c r="J246" i="25"/>
  <c r="K246" i="25" s="1"/>
  <c r="I246" i="25"/>
  <c r="J245" i="25"/>
  <c r="K245" i="25" s="1"/>
  <c r="I245" i="25"/>
  <c r="M245" i="25" s="1"/>
  <c r="J244" i="25"/>
  <c r="K244" i="25" s="1"/>
  <c r="I244" i="25"/>
  <c r="M244" i="25" s="1"/>
  <c r="M243" i="25"/>
  <c r="J243" i="25"/>
  <c r="K243" i="25" s="1"/>
  <c r="I243" i="25"/>
  <c r="J242" i="25"/>
  <c r="K242" i="25" s="1"/>
  <c r="I242" i="25"/>
  <c r="M242" i="25" s="1"/>
  <c r="M241" i="25"/>
  <c r="J241" i="25"/>
  <c r="K241" i="25" s="1"/>
  <c r="I241" i="25"/>
  <c r="J240" i="25"/>
  <c r="K240" i="25" s="1"/>
  <c r="I240" i="25"/>
  <c r="M240" i="25" s="1"/>
  <c r="M239" i="25"/>
  <c r="J239" i="25"/>
  <c r="K239" i="25" s="1"/>
  <c r="I239" i="25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M232" i="25"/>
  <c r="J232" i="25"/>
  <c r="K232" i="25" s="1"/>
  <c r="I232" i="25"/>
  <c r="J231" i="25"/>
  <c r="K231" i="25" s="1"/>
  <c r="I231" i="25"/>
  <c r="M231" i="25" s="1"/>
  <c r="J230" i="25"/>
  <c r="K230" i="25" s="1"/>
  <c r="I230" i="25"/>
  <c r="M230" i="25" s="1"/>
  <c r="K229" i="25"/>
  <c r="J229" i="25"/>
  <c r="I229" i="25"/>
  <c r="M229" i="25" s="1"/>
  <c r="J228" i="25"/>
  <c r="K228" i="25" s="1"/>
  <c r="I228" i="25"/>
  <c r="M228" i="25" s="1"/>
  <c r="K227" i="25"/>
  <c r="J227" i="25"/>
  <c r="I227" i="25"/>
  <c r="M227" i="25" s="1"/>
  <c r="M226" i="25"/>
  <c r="J226" i="25"/>
  <c r="K226" i="25" s="1"/>
  <c r="I226" i="25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K221" i="25"/>
  <c r="J221" i="25"/>
  <c r="I221" i="25"/>
  <c r="M221" i="25" s="1"/>
  <c r="J220" i="25"/>
  <c r="K220" i="25" s="1"/>
  <c r="I220" i="25"/>
  <c r="M220" i="25" s="1"/>
  <c r="K219" i="25"/>
  <c r="J219" i="25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M213" i="25"/>
  <c r="J213" i="25"/>
  <c r="K213" i="25" s="1"/>
  <c r="I213" i="25"/>
  <c r="M212" i="25"/>
  <c r="J212" i="25"/>
  <c r="K212" i="25" s="1"/>
  <c r="I212" i="25"/>
  <c r="K211" i="25"/>
  <c r="J211" i="25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M207" i="25"/>
  <c r="J207" i="25"/>
  <c r="K207" i="25" s="1"/>
  <c r="I207" i="25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M202" i="25"/>
  <c r="J202" i="25"/>
  <c r="K202" i="25" s="1"/>
  <c r="I202" i="25"/>
  <c r="K201" i="25"/>
  <c r="J201" i="25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K197" i="25"/>
  <c r="J197" i="25"/>
  <c r="I197" i="25"/>
  <c r="M197" i="25" s="1"/>
  <c r="M196" i="25"/>
  <c r="J196" i="25"/>
  <c r="K196" i="25" s="1"/>
  <c r="I196" i="25"/>
  <c r="M195" i="25"/>
  <c r="J195" i="25"/>
  <c r="K195" i="25" s="1"/>
  <c r="I195" i="25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M189" i="25"/>
  <c r="J189" i="25"/>
  <c r="K189" i="25" s="1"/>
  <c r="I189" i="25"/>
  <c r="J188" i="25"/>
  <c r="K188" i="25" s="1"/>
  <c r="I188" i="25"/>
  <c r="M188" i="25" s="1"/>
  <c r="K187" i="25"/>
  <c r="J187" i="25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K181" i="25"/>
  <c r="J181" i="25"/>
  <c r="I181" i="25"/>
  <c r="M181" i="25" s="1"/>
  <c r="J180" i="25"/>
  <c r="K180" i="25" s="1"/>
  <c r="I180" i="25"/>
  <c r="M180" i="25" s="1"/>
  <c r="K179" i="25"/>
  <c r="J179" i="25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M171" i="25"/>
  <c r="K171" i="25"/>
  <c r="J171" i="25"/>
  <c r="I171" i="25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K165" i="25"/>
  <c r="J165" i="25"/>
  <c r="I165" i="25"/>
  <c r="M165" i="25" s="1"/>
  <c r="M164" i="25"/>
  <c r="J164" i="25"/>
  <c r="K164" i="25" s="1"/>
  <c r="I164" i="25"/>
  <c r="M163" i="25"/>
  <c r="J163" i="25"/>
  <c r="K163" i="25" s="1"/>
  <c r="I163" i="25"/>
  <c r="J162" i="25"/>
  <c r="K162" i="25" s="1"/>
  <c r="I162" i="25"/>
  <c r="M162" i="25" s="1"/>
  <c r="M161" i="25"/>
  <c r="J161" i="25"/>
  <c r="K161" i="25" s="1"/>
  <c r="I161" i="25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M154" i="25"/>
  <c r="J154" i="25"/>
  <c r="K154" i="25" s="1"/>
  <c r="I154" i="25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M147" i="25"/>
  <c r="J147" i="25"/>
  <c r="K147" i="25" s="1"/>
  <c r="I147" i="25"/>
  <c r="J146" i="25"/>
  <c r="K146" i="25" s="1"/>
  <c r="I146" i="25"/>
  <c r="M146" i="25" s="1"/>
  <c r="M145" i="25"/>
  <c r="J145" i="25"/>
  <c r="K145" i="25" s="1"/>
  <c r="I145" i="25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M140" i="25"/>
  <c r="J140" i="25"/>
  <c r="K140" i="25" s="1"/>
  <c r="I140" i="25"/>
  <c r="M139" i="25"/>
  <c r="J139" i="25"/>
  <c r="K139" i="25" s="1"/>
  <c r="I139" i="25"/>
  <c r="M138" i="25"/>
  <c r="J138" i="25"/>
  <c r="K138" i="25" s="1"/>
  <c r="I138" i="25"/>
  <c r="J137" i="25"/>
  <c r="K137" i="25" s="1"/>
  <c r="I137" i="25"/>
  <c r="M137" i="25" s="1"/>
  <c r="M136" i="25"/>
  <c r="J136" i="25"/>
  <c r="K136" i="25" s="1"/>
  <c r="I136" i="25"/>
  <c r="J135" i="25"/>
  <c r="K135" i="25" s="1"/>
  <c r="I135" i="25"/>
  <c r="M135" i="25" s="1"/>
  <c r="M134" i="25"/>
  <c r="J134" i="25"/>
  <c r="K134" i="25" s="1"/>
  <c r="I134" i="25"/>
  <c r="M133" i="25"/>
  <c r="K133" i="25"/>
  <c r="J133" i="25"/>
  <c r="I133" i="25"/>
  <c r="J132" i="25"/>
  <c r="K132" i="25" s="1"/>
  <c r="I132" i="25"/>
  <c r="M132" i="25" s="1"/>
  <c r="M131" i="25"/>
  <c r="J131" i="25"/>
  <c r="K131" i="25" s="1"/>
  <c r="I131" i="25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M124" i="25"/>
  <c r="J124" i="25"/>
  <c r="K124" i="25" s="1"/>
  <c r="I124" i="25"/>
  <c r="M123" i="25"/>
  <c r="J123" i="25"/>
  <c r="K123" i="25" s="1"/>
  <c r="I123" i="25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M118" i="25"/>
  <c r="J118" i="25"/>
  <c r="K118" i="25" s="1"/>
  <c r="I118" i="25"/>
  <c r="J117" i="25"/>
  <c r="K117" i="25" s="1"/>
  <c r="I117" i="25"/>
  <c r="M117" i="25" s="1"/>
  <c r="J116" i="25"/>
  <c r="K116" i="25" s="1"/>
  <c r="I116" i="25"/>
  <c r="M116" i="25" s="1"/>
  <c r="M115" i="25"/>
  <c r="J115" i="25"/>
  <c r="K115" i="25" s="1"/>
  <c r="I115" i="25"/>
  <c r="J114" i="25"/>
  <c r="K114" i="25" s="1"/>
  <c r="I114" i="25"/>
  <c r="M114" i="25" s="1"/>
  <c r="M113" i="25"/>
  <c r="J113" i="25"/>
  <c r="K113" i="25" s="1"/>
  <c r="I113" i="25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M108" i="25"/>
  <c r="J108" i="25"/>
  <c r="K108" i="25" s="1"/>
  <c r="I108" i="25"/>
  <c r="K107" i="25"/>
  <c r="J107" i="25"/>
  <c r="I107" i="25"/>
  <c r="M107" i="25" s="1"/>
  <c r="M106" i="25"/>
  <c r="J106" i="25"/>
  <c r="K106" i="25" s="1"/>
  <c r="I106" i="25"/>
  <c r="J105" i="25"/>
  <c r="K105" i="25" s="1"/>
  <c r="I105" i="25"/>
  <c r="M105" i="25" s="1"/>
  <c r="M104" i="25"/>
  <c r="J104" i="25"/>
  <c r="K104" i="25" s="1"/>
  <c r="I104" i="25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J100" i="25"/>
  <c r="K100" i="25" s="1"/>
  <c r="I100" i="25"/>
  <c r="M100" i="25" s="1"/>
  <c r="M99" i="25"/>
  <c r="J99" i="25"/>
  <c r="K99" i="25" s="1"/>
  <c r="I99" i="25"/>
  <c r="M98" i="25"/>
  <c r="J98" i="25"/>
  <c r="K98" i="25" s="1"/>
  <c r="I98" i="25"/>
  <c r="K97" i="25"/>
  <c r="J97" i="25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K93" i="25"/>
  <c r="J93" i="25"/>
  <c r="I93" i="25"/>
  <c r="M93" i="25" s="1"/>
  <c r="J92" i="25"/>
  <c r="K92" i="25" s="1"/>
  <c r="I92" i="25"/>
  <c r="M92" i="25" s="1"/>
  <c r="J91" i="25"/>
  <c r="K91" i="25" s="1"/>
  <c r="I91" i="25"/>
  <c r="M91" i="25" s="1"/>
  <c r="M90" i="25"/>
  <c r="J90" i="25"/>
  <c r="K90" i="25" s="1"/>
  <c r="I90" i="25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K85" i="25"/>
  <c r="J85" i="25"/>
  <c r="I85" i="25"/>
  <c r="M85" i="25" s="1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M81" i="25"/>
  <c r="K81" i="25"/>
  <c r="J81" i="25"/>
  <c r="I81" i="25"/>
  <c r="J80" i="25"/>
  <c r="K80" i="25" s="1"/>
  <c r="I80" i="25"/>
  <c r="M80" i="25" s="1"/>
  <c r="M79" i="25"/>
  <c r="J79" i="25"/>
  <c r="K79" i="25" s="1"/>
  <c r="I79" i="25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M74" i="25"/>
  <c r="J74" i="25"/>
  <c r="K74" i="25" s="1"/>
  <c r="I74" i="25"/>
  <c r="K73" i="25"/>
  <c r="J73" i="25"/>
  <c r="I73" i="25"/>
  <c r="M73" i="25" s="1"/>
  <c r="J72" i="25"/>
  <c r="K72" i="25" s="1"/>
  <c r="I72" i="25"/>
  <c r="M72" i="25" s="1"/>
  <c r="J71" i="25"/>
  <c r="K71" i="25" s="1"/>
  <c r="I71" i="25"/>
  <c r="M71" i="25" s="1"/>
  <c r="M70" i="25"/>
  <c r="J70" i="25"/>
  <c r="K70" i="25" s="1"/>
  <c r="I70" i="25"/>
  <c r="K69" i="25"/>
  <c r="J69" i="25"/>
  <c r="I69" i="25"/>
  <c r="M69" i="25" s="1"/>
  <c r="M68" i="25"/>
  <c r="J68" i="25"/>
  <c r="K68" i="25" s="1"/>
  <c r="I68" i="25"/>
  <c r="M67" i="25"/>
  <c r="J67" i="25"/>
  <c r="K67" i="25" s="1"/>
  <c r="I67" i="25"/>
  <c r="J66" i="25"/>
  <c r="K66" i="25" s="1"/>
  <c r="I66" i="25"/>
  <c r="M66" i="25" s="1"/>
  <c r="J65" i="25"/>
  <c r="K65" i="25" s="1"/>
  <c r="I65" i="25"/>
  <c r="M65" i="25" s="1"/>
  <c r="B65" i="25"/>
  <c r="J64" i="25"/>
  <c r="K64" i="25" s="1"/>
  <c r="I64" i="25"/>
  <c r="M64" i="25" s="1"/>
  <c r="B64" i="25"/>
  <c r="M63" i="25"/>
  <c r="J63" i="25"/>
  <c r="K63" i="25" s="1"/>
  <c r="I63" i="25"/>
  <c r="B63" i="25"/>
  <c r="K62" i="25"/>
  <c r="J62" i="25"/>
  <c r="I62" i="25"/>
  <c r="M62" i="25" s="1"/>
  <c r="B62" i="25"/>
  <c r="J61" i="25"/>
  <c r="K61" i="25" s="1"/>
  <c r="I61" i="25"/>
  <c r="M61" i="25" s="1"/>
  <c r="B61" i="25"/>
  <c r="M60" i="25"/>
  <c r="A60" i="25" s="1"/>
  <c r="K60" i="25"/>
  <c r="J60" i="25"/>
  <c r="I60" i="25"/>
  <c r="B60" i="25"/>
  <c r="J59" i="25"/>
  <c r="K59" i="25" s="1"/>
  <c r="I59" i="25"/>
  <c r="M59" i="25" s="1"/>
  <c r="A59" i="25" s="1"/>
  <c r="B59" i="25"/>
  <c r="J58" i="25"/>
  <c r="K58" i="25" s="1"/>
  <c r="I58" i="25"/>
  <c r="M58" i="25" s="1"/>
  <c r="A58" i="25" s="1"/>
  <c r="B58" i="25"/>
  <c r="K57" i="25"/>
  <c r="J57" i="25"/>
  <c r="I57" i="25"/>
  <c r="M57" i="25" s="1"/>
  <c r="A57" i="25" s="1"/>
  <c r="B57" i="25"/>
  <c r="J56" i="25"/>
  <c r="K56" i="25" s="1"/>
  <c r="I56" i="25"/>
  <c r="M56" i="25" s="1"/>
  <c r="A56" i="25" s="1"/>
  <c r="B56" i="25"/>
  <c r="M55" i="25"/>
  <c r="A55" i="25" s="1"/>
  <c r="J55" i="25"/>
  <c r="K55" i="25" s="1"/>
  <c r="I55" i="25"/>
  <c r="B55" i="25"/>
  <c r="J54" i="25"/>
  <c r="K54" i="25" s="1"/>
  <c r="I54" i="25"/>
  <c r="M54" i="25" s="1"/>
  <c r="B54" i="25"/>
  <c r="A54" i="25"/>
  <c r="K53" i="25"/>
  <c r="J53" i="25"/>
  <c r="I53" i="25"/>
  <c r="M53" i="25" s="1"/>
  <c r="A53" i="25" s="1"/>
  <c r="B53" i="25"/>
  <c r="J52" i="25"/>
  <c r="K52" i="25" s="1"/>
  <c r="I52" i="25"/>
  <c r="M52" i="25" s="1"/>
  <c r="A52" i="25" s="1"/>
  <c r="B52" i="25"/>
  <c r="J51" i="25"/>
  <c r="K51" i="25" s="1"/>
  <c r="I51" i="25"/>
  <c r="M51" i="25" s="1"/>
  <c r="B51" i="25"/>
  <c r="A51" i="25"/>
  <c r="J50" i="25"/>
  <c r="K50" i="25" s="1"/>
  <c r="I50" i="25"/>
  <c r="M50" i="25" s="1"/>
  <c r="A50" i="25" s="1"/>
  <c r="B50" i="25"/>
  <c r="M49" i="25"/>
  <c r="A49" i="25" s="1"/>
  <c r="J49" i="25"/>
  <c r="K49" i="25" s="1"/>
  <c r="I49" i="25"/>
  <c r="B49" i="25"/>
  <c r="M48" i="25"/>
  <c r="A48" i="25" s="1"/>
  <c r="J48" i="25"/>
  <c r="K48" i="25" s="1"/>
  <c r="I48" i="25"/>
  <c r="B48" i="25"/>
  <c r="J47" i="25"/>
  <c r="K47" i="25" s="1"/>
  <c r="I47" i="25"/>
  <c r="M47" i="25" s="1"/>
  <c r="A47" i="25" s="1"/>
  <c r="B47" i="25"/>
  <c r="T46" i="25"/>
  <c r="R46" i="25"/>
  <c r="U46" i="25" s="1"/>
  <c r="J46" i="25"/>
  <c r="K46" i="25" s="1"/>
  <c r="I46" i="25"/>
  <c r="M46" i="25" s="1"/>
  <c r="A46" i="25" s="1"/>
  <c r="B46" i="25"/>
  <c r="J45" i="25"/>
  <c r="K45" i="25" s="1"/>
  <c r="I45" i="25"/>
  <c r="M45" i="25" s="1"/>
  <c r="A45" i="25" s="1"/>
  <c r="B45" i="25"/>
  <c r="J44" i="25"/>
  <c r="K44" i="25" s="1"/>
  <c r="I44" i="25"/>
  <c r="M44" i="25" s="1"/>
  <c r="A44" i="25" s="1"/>
  <c r="B44" i="25"/>
  <c r="K43" i="25"/>
  <c r="J43" i="25"/>
  <c r="I43" i="25"/>
  <c r="M43" i="25" s="1"/>
  <c r="A43" i="25" s="1"/>
  <c r="B43" i="25"/>
  <c r="M42" i="25"/>
  <c r="A42" i="25" s="1"/>
  <c r="J42" i="25"/>
  <c r="K42" i="25" s="1"/>
  <c r="I42" i="25"/>
  <c r="B42" i="25"/>
  <c r="J41" i="25"/>
  <c r="K41" i="25" s="1"/>
  <c r="I41" i="25"/>
  <c r="M41" i="25" s="1"/>
  <c r="A41" i="25" s="1"/>
  <c r="B41" i="25"/>
  <c r="J40" i="25"/>
  <c r="K40" i="25" s="1"/>
  <c r="I40" i="25"/>
  <c r="M40" i="25" s="1"/>
  <c r="A40" i="25" s="1"/>
  <c r="B40" i="25"/>
  <c r="M39" i="25"/>
  <c r="A39" i="25" s="1"/>
  <c r="J39" i="25"/>
  <c r="K39" i="25" s="1"/>
  <c r="I39" i="25"/>
  <c r="B39" i="25"/>
  <c r="J38" i="25"/>
  <c r="K38" i="25" s="1"/>
  <c r="I38" i="25"/>
  <c r="M38" i="25" s="1"/>
  <c r="A38" i="25" s="1"/>
  <c r="B38" i="25"/>
  <c r="K37" i="25"/>
  <c r="J37" i="25"/>
  <c r="I37" i="25"/>
  <c r="M37" i="25" s="1"/>
  <c r="B37" i="25"/>
  <c r="A37" i="25"/>
  <c r="M36" i="25"/>
  <c r="A36" i="25" s="1"/>
  <c r="J36" i="25"/>
  <c r="K36" i="25" s="1"/>
  <c r="I36" i="25"/>
  <c r="B36" i="25"/>
  <c r="M35" i="25"/>
  <c r="A35" i="25" s="1"/>
  <c r="J35" i="25"/>
  <c r="K35" i="25" s="1"/>
  <c r="I35" i="25"/>
  <c r="B35" i="25"/>
  <c r="M34" i="25"/>
  <c r="A34" i="25" s="1"/>
  <c r="J34" i="25"/>
  <c r="K34" i="25" s="1"/>
  <c r="I34" i="25"/>
  <c r="B34" i="25"/>
  <c r="J33" i="25"/>
  <c r="K33" i="25" s="1"/>
  <c r="I33" i="25"/>
  <c r="M33" i="25" s="1"/>
  <c r="A33" i="25" s="1"/>
  <c r="B33" i="25"/>
  <c r="J32" i="25"/>
  <c r="K32" i="25" s="1"/>
  <c r="I32" i="25"/>
  <c r="M32" i="25" s="1"/>
  <c r="B32" i="25"/>
  <c r="A32" i="25"/>
  <c r="J31" i="25"/>
  <c r="K31" i="25" s="1"/>
  <c r="I31" i="25"/>
  <c r="M31" i="25" s="1"/>
  <c r="A31" i="25" s="1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A28" i="25" s="1"/>
  <c r="B28" i="25"/>
  <c r="J27" i="25"/>
  <c r="K27" i="25" s="1"/>
  <c r="I27" i="25"/>
  <c r="M27" i="25" s="1"/>
  <c r="A27" i="25" s="1"/>
  <c r="B27" i="25"/>
  <c r="J26" i="25"/>
  <c r="K26" i="25" s="1"/>
  <c r="I26" i="25"/>
  <c r="M26" i="25" s="1"/>
  <c r="A26" i="25" s="1"/>
  <c r="B26" i="25"/>
  <c r="J25" i="25"/>
  <c r="K25" i="25" s="1"/>
  <c r="I25" i="25"/>
  <c r="M25" i="25" s="1"/>
  <c r="J24" i="25"/>
  <c r="K24" i="25" s="1"/>
  <c r="I24" i="25"/>
  <c r="M24" i="25" s="1"/>
  <c r="A24" i="25" s="1"/>
  <c r="B24" i="25"/>
  <c r="J23" i="25"/>
  <c r="K23" i="25" s="1"/>
  <c r="M23" i="25" s="1"/>
  <c r="A23" i="25" s="1"/>
  <c r="I23" i="25"/>
  <c r="B23" i="25"/>
  <c r="K22" i="25"/>
  <c r="J22" i="25"/>
  <c r="I22" i="25"/>
  <c r="B22" i="25"/>
  <c r="J21" i="25"/>
  <c r="K21" i="25" s="1"/>
  <c r="I21" i="25"/>
  <c r="M21" i="25" s="1"/>
  <c r="A21" i="25" s="1"/>
  <c r="B21" i="25"/>
  <c r="J20" i="25"/>
  <c r="K20" i="25" s="1"/>
  <c r="I20" i="25"/>
  <c r="B20" i="25"/>
  <c r="K19" i="25"/>
  <c r="J19" i="25"/>
  <c r="I19" i="25"/>
  <c r="M19" i="25" s="1"/>
  <c r="A19" i="25" s="1"/>
  <c r="B19" i="25"/>
  <c r="J18" i="25"/>
  <c r="K18" i="25" s="1"/>
  <c r="I18" i="25"/>
  <c r="M18" i="25" s="1"/>
  <c r="A18" i="25" s="1"/>
  <c r="B18" i="25"/>
  <c r="J17" i="25"/>
  <c r="K17" i="25" s="1"/>
  <c r="I17" i="25"/>
  <c r="B17" i="25"/>
  <c r="J16" i="25"/>
  <c r="K16" i="25" s="1"/>
  <c r="I16" i="25"/>
  <c r="B16" i="25"/>
  <c r="K15" i="25"/>
  <c r="J15" i="25"/>
  <c r="I15" i="25"/>
  <c r="M15" i="25" s="1"/>
  <c r="A15" i="25" s="1"/>
  <c r="B15" i="25"/>
  <c r="AI14" i="25"/>
  <c r="J14" i="25"/>
  <c r="K14" i="25" s="1"/>
  <c r="M14" i="25" s="1"/>
  <c r="A14" i="25" s="1"/>
  <c r="I14" i="25"/>
  <c r="B14" i="25"/>
  <c r="AI13" i="25"/>
  <c r="J13" i="25"/>
  <c r="K13" i="25" s="1"/>
  <c r="I13" i="25"/>
  <c r="B13" i="25"/>
  <c r="AI12" i="25"/>
  <c r="AI16" i="25" s="1"/>
  <c r="J12" i="25"/>
  <c r="K12" i="25" s="1"/>
  <c r="I12" i="25"/>
  <c r="B12" i="25"/>
  <c r="J11" i="25"/>
  <c r="K11" i="25" s="1"/>
  <c r="I11" i="25"/>
  <c r="M11" i="25" s="1"/>
  <c r="A11" i="25" s="1"/>
  <c r="B11" i="25"/>
  <c r="J10" i="25"/>
  <c r="K10" i="25" s="1"/>
  <c r="I10" i="25"/>
  <c r="M10" i="25" s="1"/>
  <c r="A10" i="25" s="1"/>
  <c r="B10" i="25"/>
  <c r="K9" i="25"/>
  <c r="J9" i="25"/>
  <c r="I9" i="25"/>
  <c r="B9" i="25"/>
  <c r="J8" i="25"/>
  <c r="K8" i="25" s="1"/>
  <c r="M8" i="25" s="1"/>
  <c r="A8" i="25" s="1"/>
  <c r="I8" i="25"/>
  <c r="B8" i="25"/>
  <c r="K7" i="25"/>
  <c r="J7" i="25"/>
  <c r="I7" i="25"/>
  <c r="B7" i="25"/>
  <c r="J6" i="25"/>
  <c r="K6" i="25" s="1"/>
  <c r="I6" i="25"/>
  <c r="B6" i="25"/>
  <c r="K2" i="25"/>
  <c r="L8" i="25" s="1"/>
  <c r="J305" i="24"/>
  <c r="K305" i="24" s="1"/>
  <c r="I305" i="24"/>
  <c r="M305" i="24" s="1"/>
  <c r="J304" i="24"/>
  <c r="K304" i="24" s="1"/>
  <c r="I304" i="24"/>
  <c r="M304" i="24" s="1"/>
  <c r="J303" i="24"/>
  <c r="K303" i="24" s="1"/>
  <c r="I303" i="24"/>
  <c r="M303" i="24" s="1"/>
  <c r="J302" i="24"/>
  <c r="K302" i="24" s="1"/>
  <c r="I302" i="24"/>
  <c r="M302" i="24" s="1"/>
  <c r="J301" i="24"/>
  <c r="K301" i="24" s="1"/>
  <c r="I301" i="24"/>
  <c r="M301" i="24" s="1"/>
  <c r="J300" i="24"/>
  <c r="K300" i="24" s="1"/>
  <c r="I300" i="24"/>
  <c r="M300" i="24" s="1"/>
  <c r="J299" i="24"/>
  <c r="K299" i="24" s="1"/>
  <c r="I299" i="24"/>
  <c r="M299" i="24" s="1"/>
  <c r="J298" i="24"/>
  <c r="K298" i="24" s="1"/>
  <c r="I298" i="24"/>
  <c r="M298" i="24" s="1"/>
  <c r="J297" i="24"/>
  <c r="K297" i="24" s="1"/>
  <c r="I297" i="24"/>
  <c r="M297" i="24" s="1"/>
  <c r="J296" i="24"/>
  <c r="K296" i="24" s="1"/>
  <c r="I296" i="24"/>
  <c r="M296" i="24" s="1"/>
  <c r="J295" i="24"/>
  <c r="K295" i="24" s="1"/>
  <c r="I295" i="24"/>
  <c r="M295" i="24" s="1"/>
  <c r="J294" i="24"/>
  <c r="K294" i="24" s="1"/>
  <c r="I294" i="24"/>
  <c r="M294" i="24" s="1"/>
  <c r="J293" i="24"/>
  <c r="K293" i="24" s="1"/>
  <c r="I293" i="24"/>
  <c r="M293" i="24" s="1"/>
  <c r="J292" i="24"/>
  <c r="K292" i="24" s="1"/>
  <c r="I292" i="24"/>
  <c r="M292" i="24" s="1"/>
  <c r="J291" i="24"/>
  <c r="K291" i="24" s="1"/>
  <c r="I291" i="24"/>
  <c r="M291" i="24" s="1"/>
  <c r="J290" i="24"/>
  <c r="K290" i="24" s="1"/>
  <c r="I290" i="24"/>
  <c r="M290" i="24" s="1"/>
  <c r="J289" i="24"/>
  <c r="K289" i="24" s="1"/>
  <c r="I289" i="24"/>
  <c r="M289" i="24" s="1"/>
  <c r="J288" i="24"/>
  <c r="K288" i="24" s="1"/>
  <c r="I288" i="24"/>
  <c r="M288" i="24" s="1"/>
  <c r="J287" i="24"/>
  <c r="K287" i="24" s="1"/>
  <c r="I287" i="24"/>
  <c r="M287" i="24" s="1"/>
  <c r="J286" i="24"/>
  <c r="K286" i="24" s="1"/>
  <c r="I286" i="24"/>
  <c r="M286" i="24" s="1"/>
  <c r="J285" i="24"/>
  <c r="K285" i="24" s="1"/>
  <c r="I285" i="24"/>
  <c r="M285" i="24" s="1"/>
  <c r="J284" i="24"/>
  <c r="K284" i="24" s="1"/>
  <c r="I284" i="24"/>
  <c r="M284" i="24" s="1"/>
  <c r="J283" i="24"/>
  <c r="K283" i="24" s="1"/>
  <c r="I283" i="24"/>
  <c r="M283" i="24" s="1"/>
  <c r="J282" i="24"/>
  <c r="K282" i="24" s="1"/>
  <c r="I282" i="24"/>
  <c r="M282" i="24" s="1"/>
  <c r="J281" i="24"/>
  <c r="K281" i="24" s="1"/>
  <c r="I281" i="24"/>
  <c r="M281" i="24" s="1"/>
  <c r="J280" i="24"/>
  <c r="K280" i="24" s="1"/>
  <c r="I280" i="24"/>
  <c r="M280" i="24" s="1"/>
  <c r="J279" i="24"/>
  <c r="K279" i="24" s="1"/>
  <c r="I279" i="24"/>
  <c r="M279" i="24" s="1"/>
  <c r="J278" i="24"/>
  <c r="K278" i="24" s="1"/>
  <c r="I278" i="24"/>
  <c r="M278" i="24" s="1"/>
  <c r="J277" i="24"/>
  <c r="K277" i="24" s="1"/>
  <c r="I277" i="24"/>
  <c r="M277" i="24" s="1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J273" i="24"/>
  <c r="K273" i="24" s="1"/>
  <c r="I273" i="24"/>
  <c r="M273" i="24" s="1"/>
  <c r="J272" i="24"/>
  <c r="K272" i="24" s="1"/>
  <c r="I272" i="24"/>
  <c r="M272" i="24" s="1"/>
  <c r="J271" i="24"/>
  <c r="K271" i="24" s="1"/>
  <c r="I271" i="24"/>
  <c r="M271" i="24" s="1"/>
  <c r="J270" i="24"/>
  <c r="K270" i="24" s="1"/>
  <c r="I270" i="24"/>
  <c r="M270" i="24" s="1"/>
  <c r="J269" i="24"/>
  <c r="K269" i="24" s="1"/>
  <c r="I269" i="24"/>
  <c r="M269" i="24" s="1"/>
  <c r="J268" i="24"/>
  <c r="K268" i="24" s="1"/>
  <c r="I268" i="24"/>
  <c r="M268" i="24" s="1"/>
  <c r="J267" i="24"/>
  <c r="K267" i="24" s="1"/>
  <c r="I267" i="24"/>
  <c r="M267" i="24" s="1"/>
  <c r="J266" i="24"/>
  <c r="K266" i="24" s="1"/>
  <c r="I266" i="24"/>
  <c r="M266" i="24" s="1"/>
  <c r="J265" i="24"/>
  <c r="K265" i="24" s="1"/>
  <c r="I265" i="24"/>
  <c r="M265" i="24" s="1"/>
  <c r="J264" i="24"/>
  <c r="K264" i="24" s="1"/>
  <c r="I264" i="24"/>
  <c r="M264" i="24" s="1"/>
  <c r="J263" i="24"/>
  <c r="K263" i="24" s="1"/>
  <c r="I263" i="24"/>
  <c r="M263" i="24" s="1"/>
  <c r="J262" i="24"/>
  <c r="K262" i="24" s="1"/>
  <c r="I262" i="24"/>
  <c r="M262" i="24" s="1"/>
  <c r="J261" i="24"/>
  <c r="K261" i="24" s="1"/>
  <c r="I261" i="24"/>
  <c r="M261" i="24" s="1"/>
  <c r="J260" i="24"/>
  <c r="K260" i="24" s="1"/>
  <c r="I260" i="24"/>
  <c r="M260" i="24" s="1"/>
  <c r="J259" i="24"/>
  <c r="K259" i="24" s="1"/>
  <c r="I259" i="24"/>
  <c r="M259" i="24" s="1"/>
  <c r="J258" i="24"/>
  <c r="K258" i="24" s="1"/>
  <c r="I258" i="24"/>
  <c r="M258" i="24" s="1"/>
  <c r="J257" i="24"/>
  <c r="K257" i="24" s="1"/>
  <c r="I257" i="24"/>
  <c r="M257" i="24" s="1"/>
  <c r="J256" i="24"/>
  <c r="K256" i="24" s="1"/>
  <c r="I256" i="24"/>
  <c r="M256" i="24" s="1"/>
  <c r="J255" i="24"/>
  <c r="K255" i="24" s="1"/>
  <c r="I255" i="24"/>
  <c r="M255" i="24" s="1"/>
  <c r="J254" i="24"/>
  <c r="K254" i="24" s="1"/>
  <c r="I254" i="24"/>
  <c r="M254" i="24" s="1"/>
  <c r="J253" i="24"/>
  <c r="K253" i="24" s="1"/>
  <c r="I253" i="24"/>
  <c r="M253" i="24" s="1"/>
  <c r="J252" i="24"/>
  <c r="K252" i="24" s="1"/>
  <c r="I252" i="24"/>
  <c r="M252" i="24" s="1"/>
  <c r="J251" i="24"/>
  <c r="K251" i="24" s="1"/>
  <c r="I251" i="24"/>
  <c r="M251" i="24" s="1"/>
  <c r="J250" i="24"/>
  <c r="K250" i="24" s="1"/>
  <c r="I250" i="24"/>
  <c r="M250" i="24" s="1"/>
  <c r="J249" i="24"/>
  <c r="K249" i="24" s="1"/>
  <c r="I249" i="24"/>
  <c r="M249" i="24" s="1"/>
  <c r="J248" i="24"/>
  <c r="K248" i="24" s="1"/>
  <c r="I248" i="24"/>
  <c r="M248" i="24" s="1"/>
  <c r="J247" i="24"/>
  <c r="K247" i="24" s="1"/>
  <c r="I247" i="24"/>
  <c r="M247" i="24" s="1"/>
  <c r="J246" i="24"/>
  <c r="K246" i="24" s="1"/>
  <c r="I246" i="24"/>
  <c r="M246" i="24" s="1"/>
  <c r="J245" i="24"/>
  <c r="K245" i="24" s="1"/>
  <c r="I245" i="24"/>
  <c r="M245" i="24" s="1"/>
  <c r="J244" i="24"/>
  <c r="K244" i="24" s="1"/>
  <c r="I244" i="24"/>
  <c r="M244" i="24" s="1"/>
  <c r="J243" i="24"/>
  <c r="K243" i="24" s="1"/>
  <c r="I243" i="24"/>
  <c r="M243" i="24" s="1"/>
  <c r="J242" i="24"/>
  <c r="K242" i="24" s="1"/>
  <c r="I242" i="24"/>
  <c r="M242" i="24" s="1"/>
  <c r="J241" i="24"/>
  <c r="K241" i="24" s="1"/>
  <c r="I241" i="24"/>
  <c r="M241" i="24" s="1"/>
  <c r="J240" i="24"/>
  <c r="K240" i="24" s="1"/>
  <c r="I240" i="24"/>
  <c r="M240" i="24" s="1"/>
  <c r="J239" i="24"/>
  <c r="K239" i="24" s="1"/>
  <c r="I239" i="24"/>
  <c r="M239" i="24" s="1"/>
  <c r="J238" i="24"/>
  <c r="K238" i="24" s="1"/>
  <c r="I238" i="24"/>
  <c r="M238" i="24" s="1"/>
  <c r="J237" i="24"/>
  <c r="K237" i="24" s="1"/>
  <c r="I237" i="24"/>
  <c r="M237" i="24" s="1"/>
  <c r="J236" i="24"/>
  <c r="K236" i="24" s="1"/>
  <c r="I236" i="24"/>
  <c r="M236" i="24" s="1"/>
  <c r="J235" i="24"/>
  <c r="K235" i="24" s="1"/>
  <c r="I235" i="24"/>
  <c r="M235" i="24" s="1"/>
  <c r="J234" i="24"/>
  <c r="K234" i="24" s="1"/>
  <c r="I234" i="24"/>
  <c r="M234" i="24" s="1"/>
  <c r="J233" i="24"/>
  <c r="K233" i="24" s="1"/>
  <c r="I233" i="24"/>
  <c r="M233" i="24" s="1"/>
  <c r="J232" i="24"/>
  <c r="K232" i="24" s="1"/>
  <c r="I232" i="24"/>
  <c r="M232" i="24" s="1"/>
  <c r="J231" i="24"/>
  <c r="K231" i="24" s="1"/>
  <c r="I231" i="24"/>
  <c r="M231" i="24" s="1"/>
  <c r="J230" i="24"/>
  <c r="K230" i="24" s="1"/>
  <c r="I230" i="24"/>
  <c r="M230" i="24" s="1"/>
  <c r="J229" i="24"/>
  <c r="K229" i="24" s="1"/>
  <c r="I229" i="24"/>
  <c r="M229" i="24" s="1"/>
  <c r="J228" i="24"/>
  <c r="K228" i="24" s="1"/>
  <c r="I228" i="24"/>
  <c r="M228" i="24" s="1"/>
  <c r="J227" i="24"/>
  <c r="K227" i="24" s="1"/>
  <c r="I227" i="24"/>
  <c r="M227" i="24" s="1"/>
  <c r="J226" i="24"/>
  <c r="K226" i="24" s="1"/>
  <c r="I226" i="24"/>
  <c r="M226" i="24" s="1"/>
  <c r="J225" i="24"/>
  <c r="K225" i="24" s="1"/>
  <c r="I225" i="24"/>
  <c r="M225" i="24" s="1"/>
  <c r="J224" i="24"/>
  <c r="K224" i="24" s="1"/>
  <c r="I224" i="24"/>
  <c r="M224" i="24" s="1"/>
  <c r="J223" i="24"/>
  <c r="K223" i="24" s="1"/>
  <c r="I223" i="24"/>
  <c r="M223" i="24" s="1"/>
  <c r="J222" i="24"/>
  <c r="K222" i="24" s="1"/>
  <c r="I222" i="24"/>
  <c r="M222" i="24" s="1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J218" i="24"/>
  <c r="K218" i="24" s="1"/>
  <c r="I218" i="24"/>
  <c r="M218" i="24" s="1"/>
  <c r="J217" i="24"/>
  <c r="K217" i="24" s="1"/>
  <c r="I217" i="24"/>
  <c r="M217" i="24" s="1"/>
  <c r="J216" i="24"/>
  <c r="K216" i="24" s="1"/>
  <c r="I216" i="24"/>
  <c r="M216" i="24" s="1"/>
  <c r="J215" i="24"/>
  <c r="K215" i="24" s="1"/>
  <c r="I215" i="24"/>
  <c r="M215" i="24" s="1"/>
  <c r="J214" i="24"/>
  <c r="K214" i="24" s="1"/>
  <c r="I214" i="24"/>
  <c r="M214" i="24" s="1"/>
  <c r="J213" i="24"/>
  <c r="K213" i="24" s="1"/>
  <c r="I213" i="24"/>
  <c r="M213" i="24" s="1"/>
  <c r="J212" i="24"/>
  <c r="K212" i="24" s="1"/>
  <c r="I212" i="24"/>
  <c r="M212" i="24" s="1"/>
  <c r="J211" i="24"/>
  <c r="K211" i="24" s="1"/>
  <c r="I211" i="24"/>
  <c r="M211" i="24" s="1"/>
  <c r="J210" i="24"/>
  <c r="K210" i="24" s="1"/>
  <c r="I210" i="24"/>
  <c r="M210" i="24" s="1"/>
  <c r="J209" i="24"/>
  <c r="K209" i="24" s="1"/>
  <c r="I209" i="24"/>
  <c r="M209" i="24" s="1"/>
  <c r="J208" i="24"/>
  <c r="K208" i="24" s="1"/>
  <c r="I208" i="24"/>
  <c r="M208" i="24" s="1"/>
  <c r="J207" i="24"/>
  <c r="K207" i="24" s="1"/>
  <c r="I207" i="24"/>
  <c r="M207" i="24" s="1"/>
  <c r="J206" i="24"/>
  <c r="K206" i="24" s="1"/>
  <c r="I206" i="24"/>
  <c r="M206" i="24" s="1"/>
  <c r="J205" i="24"/>
  <c r="K205" i="24" s="1"/>
  <c r="I205" i="24"/>
  <c r="M205" i="24" s="1"/>
  <c r="J204" i="24"/>
  <c r="K204" i="24" s="1"/>
  <c r="I204" i="24"/>
  <c r="M204" i="24" s="1"/>
  <c r="J203" i="24"/>
  <c r="K203" i="24" s="1"/>
  <c r="I203" i="24"/>
  <c r="M203" i="24" s="1"/>
  <c r="J202" i="24"/>
  <c r="K202" i="24" s="1"/>
  <c r="I202" i="24"/>
  <c r="M202" i="24" s="1"/>
  <c r="J201" i="24"/>
  <c r="K201" i="24" s="1"/>
  <c r="I201" i="24"/>
  <c r="M201" i="24" s="1"/>
  <c r="J200" i="24"/>
  <c r="K200" i="24" s="1"/>
  <c r="I200" i="24"/>
  <c r="M200" i="24" s="1"/>
  <c r="J199" i="24"/>
  <c r="K199" i="24" s="1"/>
  <c r="I199" i="24"/>
  <c r="M199" i="24" s="1"/>
  <c r="J198" i="24"/>
  <c r="K198" i="24" s="1"/>
  <c r="I198" i="24"/>
  <c r="M198" i="24" s="1"/>
  <c r="J197" i="24"/>
  <c r="K197" i="24" s="1"/>
  <c r="I197" i="24"/>
  <c r="M197" i="24" s="1"/>
  <c r="J196" i="24"/>
  <c r="K196" i="24" s="1"/>
  <c r="I196" i="24"/>
  <c r="M196" i="24" s="1"/>
  <c r="J195" i="24"/>
  <c r="K195" i="24" s="1"/>
  <c r="I195" i="24"/>
  <c r="M195" i="24" s="1"/>
  <c r="J194" i="24"/>
  <c r="K194" i="24" s="1"/>
  <c r="I194" i="24"/>
  <c r="M194" i="24" s="1"/>
  <c r="J193" i="24"/>
  <c r="K193" i="24" s="1"/>
  <c r="I193" i="24"/>
  <c r="M193" i="24" s="1"/>
  <c r="J192" i="24"/>
  <c r="K192" i="24" s="1"/>
  <c r="I192" i="24"/>
  <c r="M192" i="24" s="1"/>
  <c r="J191" i="24"/>
  <c r="K191" i="24" s="1"/>
  <c r="I191" i="24"/>
  <c r="M191" i="24" s="1"/>
  <c r="J190" i="24"/>
  <c r="K190" i="24" s="1"/>
  <c r="I190" i="24"/>
  <c r="M190" i="24" s="1"/>
  <c r="J189" i="24"/>
  <c r="K189" i="24" s="1"/>
  <c r="I189" i="24"/>
  <c r="M189" i="24" s="1"/>
  <c r="J188" i="24"/>
  <c r="K188" i="24" s="1"/>
  <c r="I188" i="24"/>
  <c r="M188" i="24" s="1"/>
  <c r="J187" i="24"/>
  <c r="K187" i="24" s="1"/>
  <c r="I187" i="24"/>
  <c r="M187" i="24" s="1"/>
  <c r="J186" i="24"/>
  <c r="K186" i="24" s="1"/>
  <c r="I186" i="24"/>
  <c r="M186" i="24" s="1"/>
  <c r="J185" i="24"/>
  <c r="K185" i="24" s="1"/>
  <c r="I185" i="24"/>
  <c r="M185" i="24" s="1"/>
  <c r="J184" i="24"/>
  <c r="K184" i="24" s="1"/>
  <c r="I184" i="24"/>
  <c r="M184" i="24" s="1"/>
  <c r="J183" i="24"/>
  <c r="K183" i="24" s="1"/>
  <c r="I183" i="24"/>
  <c r="M183" i="24" s="1"/>
  <c r="J182" i="24"/>
  <c r="K182" i="24" s="1"/>
  <c r="I182" i="24"/>
  <c r="M182" i="24" s="1"/>
  <c r="J181" i="24"/>
  <c r="K181" i="24" s="1"/>
  <c r="I181" i="24"/>
  <c r="M181" i="24" s="1"/>
  <c r="J180" i="24"/>
  <c r="K180" i="24" s="1"/>
  <c r="I180" i="24"/>
  <c r="M180" i="24" s="1"/>
  <c r="J179" i="24"/>
  <c r="K179" i="24" s="1"/>
  <c r="I179" i="24"/>
  <c r="M179" i="24" s="1"/>
  <c r="J178" i="24"/>
  <c r="K178" i="24" s="1"/>
  <c r="I178" i="24"/>
  <c r="M178" i="24" s="1"/>
  <c r="J177" i="24"/>
  <c r="K177" i="24" s="1"/>
  <c r="I177" i="24"/>
  <c r="M177" i="24" s="1"/>
  <c r="J176" i="24"/>
  <c r="K176" i="24" s="1"/>
  <c r="I176" i="24"/>
  <c r="M176" i="24" s="1"/>
  <c r="J175" i="24"/>
  <c r="K175" i="24" s="1"/>
  <c r="I175" i="24"/>
  <c r="M175" i="24" s="1"/>
  <c r="J174" i="24"/>
  <c r="K174" i="24" s="1"/>
  <c r="I174" i="24"/>
  <c r="M174" i="24" s="1"/>
  <c r="J173" i="24"/>
  <c r="K173" i="24" s="1"/>
  <c r="I173" i="24"/>
  <c r="M173" i="24" s="1"/>
  <c r="J172" i="24"/>
  <c r="K172" i="24" s="1"/>
  <c r="I172" i="24"/>
  <c r="M172" i="24" s="1"/>
  <c r="J171" i="24"/>
  <c r="K171" i="24" s="1"/>
  <c r="I171" i="24"/>
  <c r="M171" i="24" s="1"/>
  <c r="J170" i="24"/>
  <c r="K170" i="24" s="1"/>
  <c r="I170" i="24"/>
  <c r="M170" i="24" s="1"/>
  <c r="J169" i="24"/>
  <c r="K169" i="24" s="1"/>
  <c r="I169" i="24"/>
  <c r="M169" i="24" s="1"/>
  <c r="J168" i="24"/>
  <c r="K168" i="24" s="1"/>
  <c r="I168" i="24"/>
  <c r="M168" i="24" s="1"/>
  <c r="J167" i="24"/>
  <c r="K167" i="24" s="1"/>
  <c r="I167" i="24"/>
  <c r="M167" i="24" s="1"/>
  <c r="J166" i="24"/>
  <c r="K166" i="24" s="1"/>
  <c r="I166" i="24"/>
  <c r="M166" i="24" s="1"/>
  <c r="J165" i="24"/>
  <c r="K165" i="24" s="1"/>
  <c r="I165" i="24"/>
  <c r="M165" i="24" s="1"/>
  <c r="J164" i="24"/>
  <c r="K164" i="24" s="1"/>
  <c r="I164" i="24"/>
  <c r="M164" i="24" s="1"/>
  <c r="J163" i="24"/>
  <c r="K163" i="24" s="1"/>
  <c r="I163" i="24"/>
  <c r="M163" i="24" s="1"/>
  <c r="J162" i="24"/>
  <c r="K162" i="24" s="1"/>
  <c r="I162" i="24"/>
  <c r="M162" i="24" s="1"/>
  <c r="J161" i="24"/>
  <c r="K161" i="24" s="1"/>
  <c r="I161" i="24"/>
  <c r="M161" i="24" s="1"/>
  <c r="J160" i="24"/>
  <c r="K160" i="24" s="1"/>
  <c r="I160" i="24"/>
  <c r="M160" i="24" s="1"/>
  <c r="J159" i="24"/>
  <c r="K159" i="24" s="1"/>
  <c r="I159" i="24"/>
  <c r="M159" i="24" s="1"/>
  <c r="J158" i="24"/>
  <c r="K158" i="24" s="1"/>
  <c r="I158" i="24"/>
  <c r="M158" i="24" s="1"/>
  <c r="J157" i="24"/>
  <c r="K157" i="24" s="1"/>
  <c r="I157" i="24"/>
  <c r="M157" i="24" s="1"/>
  <c r="J156" i="24"/>
  <c r="K156" i="24" s="1"/>
  <c r="I156" i="24"/>
  <c r="M156" i="24" s="1"/>
  <c r="J155" i="24"/>
  <c r="K155" i="24" s="1"/>
  <c r="I155" i="24"/>
  <c r="M155" i="24" s="1"/>
  <c r="J154" i="24"/>
  <c r="K154" i="24" s="1"/>
  <c r="I154" i="24"/>
  <c r="M154" i="24" s="1"/>
  <c r="J153" i="24"/>
  <c r="K153" i="24" s="1"/>
  <c r="I153" i="24"/>
  <c r="M153" i="24" s="1"/>
  <c r="J152" i="24"/>
  <c r="K152" i="24" s="1"/>
  <c r="I152" i="24"/>
  <c r="M152" i="24" s="1"/>
  <c r="J151" i="24"/>
  <c r="K151" i="24" s="1"/>
  <c r="I151" i="24"/>
  <c r="M151" i="24" s="1"/>
  <c r="J150" i="24"/>
  <c r="K150" i="24" s="1"/>
  <c r="I150" i="24"/>
  <c r="M150" i="24" s="1"/>
  <c r="J149" i="24"/>
  <c r="K149" i="24" s="1"/>
  <c r="I149" i="24"/>
  <c r="M149" i="24" s="1"/>
  <c r="J148" i="24"/>
  <c r="K148" i="24" s="1"/>
  <c r="I148" i="24"/>
  <c r="M148" i="24" s="1"/>
  <c r="J147" i="24"/>
  <c r="K147" i="24" s="1"/>
  <c r="I147" i="24"/>
  <c r="M147" i="24" s="1"/>
  <c r="J146" i="24"/>
  <c r="K146" i="24" s="1"/>
  <c r="I146" i="24"/>
  <c r="M146" i="24" s="1"/>
  <c r="J145" i="24"/>
  <c r="K145" i="24" s="1"/>
  <c r="I145" i="24"/>
  <c r="M145" i="24" s="1"/>
  <c r="J144" i="24"/>
  <c r="K144" i="24" s="1"/>
  <c r="I144" i="24"/>
  <c r="M144" i="24" s="1"/>
  <c r="J143" i="24"/>
  <c r="K143" i="24" s="1"/>
  <c r="I143" i="24"/>
  <c r="M143" i="24" s="1"/>
  <c r="J142" i="24"/>
  <c r="K142" i="24" s="1"/>
  <c r="I142" i="24"/>
  <c r="M142" i="24" s="1"/>
  <c r="J141" i="24"/>
  <c r="K141" i="24" s="1"/>
  <c r="I141" i="24"/>
  <c r="M141" i="24" s="1"/>
  <c r="J140" i="24"/>
  <c r="K140" i="24" s="1"/>
  <c r="I140" i="24"/>
  <c r="M140" i="24" s="1"/>
  <c r="A140" i="24" s="1"/>
  <c r="B140" i="24"/>
  <c r="J139" i="24"/>
  <c r="K139" i="24" s="1"/>
  <c r="I139" i="24"/>
  <c r="M139" i="24" s="1"/>
  <c r="B139" i="24"/>
  <c r="A139" i="24"/>
  <c r="J138" i="24"/>
  <c r="K138" i="24" s="1"/>
  <c r="I138" i="24"/>
  <c r="M138" i="24" s="1"/>
  <c r="A138" i="24" s="1"/>
  <c r="B138" i="24"/>
  <c r="J137" i="24"/>
  <c r="K137" i="24" s="1"/>
  <c r="I137" i="24"/>
  <c r="M137" i="24" s="1"/>
  <c r="A137" i="24" s="1"/>
  <c r="B137" i="24"/>
  <c r="J136" i="24"/>
  <c r="K136" i="24" s="1"/>
  <c r="I136" i="24"/>
  <c r="M136" i="24" s="1"/>
  <c r="A136" i="24" s="1"/>
  <c r="B136" i="24"/>
  <c r="J135" i="24"/>
  <c r="K135" i="24" s="1"/>
  <c r="I135" i="24"/>
  <c r="M135" i="24" s="1"/>
  <c r="A135" i="24" s="1"/>
  <c r="B135" i="24"/>
  <c r="J134" i="24"/>
  <c r="K134" i="24" s="1"/>
  <c r="I134" i="24"/>
  <c r="M134" i="24" s="1"/>
  <c r="A134" i="24" s="1"/>
  <c r="B134" i="24"/>
  <c r="J133" i="24"/>
  <c r="K133" i="24" s="1"/>
  <c r="I133" i="24"/>
  <c r="M133" i="24" s="1"/>
  <c r="A133" i="24" s="1"/>
  <c r="B133" i="24"/>
  <c r="J132" i="24"/>
  <c r="K132" i="24" s="1"/>
  <c r="I132" i="24"/>
  <c r="M132" i="24" s="1"/>
  <c r="A132" i="24" s="1"/>
  <c r="B132" i="24"/>
  <c r="J131" i="24"/>
  <c r="K131" i="24" s="1"/>
  <c r="I131" i="24"/>
  <c r="M131" i="24" s="1"/>
  <c r="A131" i="24" s="1"/>
  <c r="B131" i="24"/>
  <c r="J130" i="24"/>
  <c r="K130" i="24" s="1"/>
  <c r="I130" i="24"/>
  <c r="M130" i="24" s="1"/>
  <c r="A130" i="24" s="1"/>
  <c r="B130" i="24"/>
  <c r="J129" i="24"/>
  <c r="K129" i="24" s="1"/>
  <c r="I129" i="24"/>
  <c r="M129" i="24" s="1"/>
  <c r="A129" i="24" s="1"/>
  <c r="B129" i="24"/>
  <c r="J128" i="24"/>
  <c r="K128" i="24" s="1"/>
  <c r="I128" i="24"/>
  <c r="M128" i="24" s="1"/>
  <c r="B128" i="24"/>
  <c r="A128" i="24"/>
  <c r="J127" i="24"/>
  <c r="K127" i="24" s="1"/>
  <c r="I127" i="24"/>
  <c r="M127" i="24" s="1"/>
  <c r="A127" i="24" s="1"/>
  <c r="B127" i="24"/>
  <c r="J126" i="24"/>
  <c r="K126" i="24" s="1"/>
  <c r="I126" i="24"/>
  <c r="M126" i="24" s="1"/>
  <c r="A126" i="24" s="1"/>
  <c r="B126" i="24"/>
  <c r="J125" i="24"/>
  <c r="K125" i="24" s="1"/>
  <c r="I125" i="24"/>
  <c r="M125" i="24" s="1"/>
  <c r="A125" i="24" s="1"/>
  <c r="B125" i="24"/>
  <c r="J124" i="24"/>
  <c r="K124" i="24" s="1"/>
  <c r="I124" i="24"/>
  <c r="M124" i="24" s="1"/>
  <c r="A124" i="24" s="1"/>
  <c r="B124" i="24"/>
  <c r="J123" i="24"/>
  <c r="K123" i="24" s="1"/>
  <c r="I123" i="24"/>
  <c r="M123" i="24" s="1"/>
  <c r="A123" i="24" s="1"/>
  <c r="B123" i="24"/>
  <c r="J122" i="24"/>
  <c r="K122" i="24" s="1"/>
  <c r="I122" i="24"/>
  <c r="M122" i="24" s="1"/>
  <c r="A122" i="24" s="1"/>
  <c r="B122" i="24"/>
  <c r="J121" i="24"/>
  <c r="K121" i="24" s="1"/>
  <c r="I121" i="24"/>
  <c r="M121" i="24" s="1"/>
  <c r="A121" i="24" s="1"/>
  <c r="B121" i="24"/>
  <c r="J120" i="24"/>
  <c r="K120" i="24" s="1"/>
  <c r="I120" i="24"/>
  <c r="M120" i="24" s="1"/>
  <c r="A120" i="24" s="1"/>
  <c r="B120" i="24"/>
  <c r="J119" i="24"/>
  <c r="K119" i="24" s="1"/>
  <c r="I119" i="24"/>
  <c r="M119" i="24" s="1"/>
  <c r="A119" i="24" s="1"/>
  <c r="B119" i="24"/>
  <c r="J118" i="24"/>
  <c r="K118" i="24" s="1"/>
  <c r="I118" i="24"/>
  <c r="M118" i="24" s="1"/>
  <c r="A118" i="24" s="1"/>
  <c r="B118" i="24"/>
  <c r="J117" i="24"/>
  <c r="K117" i="24" s="1"/>
  <c r="I117" i="24"/>
  <c r="M117" i="24" s="1"/>
  <c r="A117" i="24" s="1"/>
  <c r="B117" i="24"/>
  <c r="J116" i="24"/>
  <c r="K116" i="24" s="1"/>
  <c r="I116" i="24"/>
  <c r="M116" i="24" s="1"/>
  <c r="A116" i="24" s="1"/>
  <c r="B116" i="24"/>
  <c r="J115" i="24"/>
  <c r="K115" i="24" s="1"/>
  <c r="I115" i="24"/>
  <c r="M115" i="24" s="1"/>
  <c r="A115" i="24" s="1"/>
  <c r="B115" i="24"/>
  <c r="J114" i="24"/>
  <c r="K114" i="24" s="1"/>
  <c r="I114" i="24"/>
  <c r="M114" i="24" s="1"/>
  <c r="A114" i="24" s="1"/>
  <c r="B114" i="24"/>
  <c r="J113" i="24"/>
  <c r="K113" i="24" s="1"/>
  <c r="I113" i="24"/>
  <c r="M113" i="24" s="1"/>
  <c r="A113" i="24" s="1"/>
  <c r="B113" i="24"/>
  <c r="J112" i="24"/>
  <c r="K112" i="24" s="1"/>
  <c r="I112" i="24"/>
  <c r="M112" i="24" s="1"/>
  <c r="A112" i="24" s="1"/>
  <c r="B112" i="24"/>
  <c r="J111" i="24"/>
  <c r="K111" i="24" s="1"/>
  <c r="I111" i="24"/>
  <c r="M111" i="24" s="1"/>
  <c r="A111" i="24" s="1"/>
  <c r="B111" i="24"/>
  <c r="J110" i="24"/>
  <c r="K110" i="24" s="1"/>
  <c r="I110" i="24"/>
  <c r="M110" i="24" s="1"/>
  <c r="B110" i="24"/>
  <c r="A110" i="24"/>
  <c r="J109" i="24"/>
  <c r="K109" i="24" s="1"/>
  <c r="I109" i="24"/>
  <c r="M109" i="24" s="1"/>
  <c r="B109" i="24"/>
  <c r="A109" i="24"/>
  <c r="J108" i="24"/>
  <c r="K108" i="24" s="1"/>
  <c r="I108" i="24"/>
  <c r="M108" i="24" s="1"/>
  <c r="A108" i="24" s="1"/>
  <c r="B108" i="24"/>
  <c r="J107" i="24"/>
  <c r="K107" i="24" s="1"/>
  <c r="I107" i="24"/>
  <c r="M107" i="24" s="1"/>
  <c r="A107" i="24" s="1"/>
  <c r="B107" i="24"/>
  <c r="J106" i="24"/>
  <c r="K106" i="24" s="1"/>
  <c r="I106" i="24"/>
  <c r="M106" i="24" s="1"/>
  <c r="A106" i="24" s="1"/>
  <c r="B106" i="24"/>
  <c r="J105" i="24"/>
  <c r="K105" i="24" s="1"/>
  <c r="I105" i="24"/>
  <c r="M105" i="24" s="1"/>
  <c r="A105" i="24" s="1"/>
  <c r="B105" i="24"/>
  <c r="J104" i="24"/>
  <c r="K104" i="24" s="1"/>
  <c r="I104" i="24"/>
  <c r="M104" i="24" s="1"/>
  <c r="A104" i="24" s="1"/>
  <c r="B104" i="24"/>
  <c r="J103" i="24"/>
  <c r="K103" i="24" s="1"/>
  <c r="I103" i="24"/>
  <c r="M103" i="24" s="1"/>
  <c r="B103" i="24"/>
  <c r="A103" i="24"/>
  <c r="J102" i="24"/>
  <c r="K102" i="24" s="1"/>
  <c r="I102" i="24"/>
  <c r="M102" i="24" s="1"/>
  <c r="A102" i="24" s="1"/>
  <c r="B102" i="24"/>
  <c r="J101" i="24"/>
  <c r="K101" i="24" s="1"/>
  <c r="I101" i="24"/>
  <c r="M101" i="24" s="1"/>
  <c r="A101" i="24" s="1"/>
  <c r="B101" i="24"/>
  <c r="J100" i="24"/>
  <c r="K100" i="24" s="1"/>
  <c r="I100" i="24"/>
  <c r="M100" i="24" s="1"/>
  <c r="A100" i="24" s="1"/>
  <c r="B100" i="24"/>
  <c r="J99" i="24"/>
  <c r="K99" i="24" s="1"/>
  <c r="I99" i="24"/>
  <c r="M99" i="24" s="1"/>
  <c r="A99" i="24" s="1"/>
  <c r="B99" i="24"/>
  <c r="J98" i="24"/>
  <c r="K98" i="24" s="1"/>
  <c r="I98" i="24"/>
  <c r="M98" i="24" s="1"/>
  <c r="A98" i="24" s="1"/>
  <c r="B98" i="24"/>
  <c r="J97" i="24"/>
  <c r="K97" i="24" s="1"/>
  <c r="I97" i="24"/>
  <c r="M97" i="24" s="1"/>
  <c r="A97" i="24" s="1"/>
  <c r="B97" i="24"/>
  <c r="J96" i="24"/>
  <c r="K96" i="24" s="1"/>
  <c r="I96" i="24"/>
  <c r="M96" i="24" s="1"/>
  <c r="A96" i="24" s="1"/>
  <c r="B96" i="24"/>
  <c r="J95" i="24"/>
  <c r="K95" i="24" s="1"/>
  <c r="I95" i="24"/>
  <c r="M95" i="24" s="1"/>
  <c r="A95" i="24" s="1"/>
  <c r="B95" i="24"/>
  <c r="J94" i="24"/>
  <c r="K94" i="24" s="1"/>
  <c r="I94" i="24"/>
  <c r="M94" i="24" s="1"/>
  <c r="A94" i="24" s="1"/>
  <c r="B94" i="24"/>
  <c r="J93" i="24"/>
  <c r="K93" i="24" s="1"/>
  <c r="I93" i="24"/>
  <c r="M93" i="24" s="1"/>
  <c r="A93" i="24" s="1"/>
  <c r="B93" i="24"/>
  <c r="J92" i="24"/>
  <c r="K92" i="24" s="1"/>
  <c r="I92" i="24"/>
  <c r="M92" i="24" s="1"/>
  <c r="A92" i="24" s="1"/>
  <c r="B92" i="24"/>
  <c r="J91" i="24"/>
  <c r="K91" i="24" s="1"/>
  <c r="I91" i="24"/>
  <c r="M91" i="24" s="1"/>
  <c r="A91" i="24" s="1"/>
  <c r="B91" i="24"/>
  <c r="J90" i="24"/>
  <c r="K90" i="24" s="1"/>
  <c r="I90" i="24"/>
  <c r="M90" i="24" s="1"/>
  <c r="A90" i="24" s="1"/>
  <c r="B90" i="24"/>
  <c r="J89" i="24"/>
  <c r="K89" i="24" s="1"/>
  <c r="I89" i="24"/>
  <c r="M89" i="24" s="1"/>
  <c r="A89" i="24" s="1"/>
  <c r="B89" i="24"/>
  <c r="J88" i="24"/>
  <c r="K88" i="24" s="1"/>
  <c r="I88" i="24"/>
  <c r="M88" i="24" s="1"/>
  <c r="A88" i="24" s="1"/>
  <c r="B88" i="24"/>
  <c r="J87" i="24"/>
  <c r="K87" i="24" s="1"/>
  <c r="I87" i="24"/>
  <c r="M87" i="24" s="1"/>
  <c r="A87" i="24" s="1"/>
  <c r="B87" i="24"/>
  <c r="J86" i="24"/>
  <c r="K86" i="24" s="1"/>
  <c r="I86" i="24"/>
  <c r="M86" i="24" s="1"/>
  <c r="A86" i="24" s="1"/>
  <c r="B86" i="24"/>
  <c r="J85" i="24"/>
  <c r="K85" i="24" s="1"/>
  <c r="I85" i="24"/>
  <c r="M85" i="24" s="1"/>
  <c r="A85" i="24" s="1"/>
  <c r="B85" i="24"/>
  <c r="J84" i="24"/>
  <c r="K84" i="24" s="1"/>
  <c r="I84" i="24"/>
  <c r="M84" i="24" s="1"/>
  <c r="A84" i="24" s="1"/>
  <c r="B84" i="24"/>
  <c r="J83" i="24"/>
  <c r="K83" i="24" s="1"/>
  <c r="I83" i="24"/>
  <c r="M83" i="24" s="1"/>
  <c r="A83" i="24" s="1"/>
  <c r="B83" i="24"/>
  <c r="J82" i="24"/>
  <c r="K82" i="24" s="1"/>
  <c r="I82" i="24"/>
  <c r="M82" i="24" s="1"/>
  <c r="A82" i="24" s="1"/>
  <c r="B82" i="24"/>
  <c r="J81" i="24"/>
  <c r="K81" i="24" s="1"/>
  <c r="I81" i="24"/>
  <c r="M81" i="24" s="1"/>
  <c r="A81" i="24" s="1"/>
  <c r="B81" i="24"/>
  <c r="J80" i="24"/>
  <c r="K80" i="24" s="1"/>
  <c r="I80" i="24"/>
  <c r="M80" i="24" s="1"/>
  <c r="A80" i="24" s="1"/>
  <c r="B80" i="24"/>
  <c r="J79" i="24"/>
  <c r="K79" i="24" s="1"/>
  <c r="I79" i="24"/>
  <c r="M79" i="24" s="1"/>
  <c r="A79" i="24" s="1"/>
  <c r="B79" i="24"/>
  <c r="J78" i="24"/>
  <c r="K78" i="24" s="1"/>
  <c r="I78" i="24"/>
  <c r="M78" i="24" s="1"/>
  <c r="A78" i="24" s="1"/>
  <c r="B78" i="24"/>
  <c r="J77" i="24"/>
  <c r="K77" i="24" s="1"/>
  <c r="I77" i="24"/>
  <c r="M77" i="24" s="1"/>
  <c r="B77" i="24"/>
  <c r="A77" i="24"/>
  <c r="J76" i="24"/>
  <c r="K76" i="24" s="1"/>
  <c r="I76" i="24"/>
  <c r="M76" i="24" s="1"/>
  <c r="A76" i="24" s="1"/>
  <c r="B76" i="24"/>
  <c r="J75" i="24"/>
  <c r="K75" i="24" s="1"/>
  <c r="I75" i="24"/>
  <c r="M75" i="24" s="1"/>
  <c r="A75" i="24" s="1"/>
  <c r="B75" i="24"/>
  <c r="J74" i="24"/>
  <c r="K74" i="24" s="1"/>
  <c r="I74" i="24"/>
  <c r="M74" i="24" s="1"/>
  <c r="A74" i="24" s="1"/>
  <c r="B74" i="24"/>
  <c r="J73" i="24"/>
  <c r="K73" i="24" s="1"/>
  <c r="I73" i="24"/>
  <c r="M73" i="24" s="1"/>
  <c r="A73" i="24" s="1"/>
  <c r="B73" i="24"/>
  <c r="J72" i="24"/>
  <c r="K72" i="24" s="1"/>
  <c r="I72" i="24"/>
  <c r="M72" i="24" s="1"/>
  <c r="A72" i="24" s="1"/>
  <c r="B72" i="24"/>
  <c r="J71" i="24"/>
  <c r="K71" i="24" s="1"/>
  <c r="I71" i="24"/>
  <c r="M71" i="24" s="1"/>
  <c r="A71" i="24" s="1"/>
  <c r="B71" i="24"/>
  <c r="J70" i="24"/>
  <c r="K70" i="24" s="1"/>
  <c r="I70" i="24"/>
  <c r="M70" i="24" s="1"/>
  <c r="A70" i="24" s="1"/>
  <c r="B70" i="24"/>
  <c r="J69" i="24"/>
  <c r="K69" i="24" s="1"/>
  <c r="I69" i="24"/>
  <c r="M69" i="24" s="1"/>
  <c r="A69" i="24" s="1"/>
  <c r="B69" i="24"/>
  <c r="J68" i="24"/>
  <c r="K68" i="24" s="1"/>
  <c r="I68" i="24"/>
  <c r="M68" i="24" s="1"/>
  <c r="A68" i="24" s="1"/>
  <c r="B68" i="24"/>
  <c r="J67" i="24"/>
  <c r="K67" i="24" s="1"/>
  <c r="I67" i="24"/>
  <c r="M67" i="24" s="1"/>
  <c r="A67" i="24" s="1"/>
  <c r="B67" i="24"/>
  <c r="J66" i="24"/>
  <c r="K66" i="24" s="1"/>
  <c r="I66" i="24"/>
  <c r="M66" i="24" s="1"/>
  <c r="A66" i="24" s="1"/>
  <c r="B66" i="24"/>
  <c r="J65" i="24"/>
  <c r="K65" i="24" s="1"/>
  <c r="I65" i="24"/>
  <c r="M65" i="24" s="1"/>
  <c r="A65" i="24" s="1"/>
  <c r="B65" i="24"/>
  <c r="J64" i="24"/>
  <c r="K64" i="24" s="1"/>
  <c r="I64" i="24"/>
  <c r="M64" i="24" s="1"/>
  <c r="A64" i="24" s="1"/>
  <c r="B64" i="24"/>
  <c r="J63" i="24"/>
  <c r="K63" i="24" s="1"/>
  <c r="I63" i="24"/>
  <c r="M63" i="24" s="1"/>
  <c r="A63" i="24" s="1"/>
  <c r="B63" i="24"/>
  <c r="J62" i="24"/>
  <c r="K62" i="24" s="1"/>
  <c r="I62" i="24"/>
  <c r="M62" i="24" s="1"/>
  <c r="B62" i="24"/>
  <c r="A62" i="24"/>
  <c r="J61" i="24"/>
  <c r="K61" i="24" s="1"/>
  <c r="I61" i="24"/>
  <c r="M61" i="24" s="1"/>
  <c r="A61" i="24" s="1"/>
  <c r="B61" i="24"/>
  <c r="J60" i="24"/>
  <c r="K60" i="24" s="1"/>
  <c r="I60" i="24"/>
  <c r="M60" i="24" s="1"/>
  <c r="A60" i="24" s="1"/>
  <c r="B60" i="24"/>
  <c r="J59" i="24"/>
  <c r="K59" i="24" s="1"/>
  <c r="I59" i="24"/>
  <c r="M59" i="24" s="1"/>
  <c r="A59" i="24" s="1"/>
  <c r="B59" i="24"/>
  <c r="J58" i="24"/>
  <c r="K58" i="24" s="1"/>
  <c r="I58" i="24"/>
  <c r="M58" i="24" s="1"/>
  <c r="A58" i="24" s="1"/>
  <c r="B58" i="24"/>
  <c r="J57" i="24"/>
  <c r="K57" i="24" s="1"/>
  <c r="I57" i="24"/>
  <c r="M57" i="24" s="1"/>
  <c r="A57" i="24" s="1"/>
  <c r="B57" i="24"/>
  <c r="J56" i="24"/>
  <c r="K56" i="24" s="1"/>
  <c r="I56" i="24"/>
  <c r="M56" i="24" s="1"/>
  <c r="A56" i="24" s="1"/>
  <c r="B56" i="24"/>
  <c r="J55" i="24"/>
  <c r="K55" i="24" s="1"/>
  <c r="I55" i="24"/>
  <c r="M55" i="24" s="1"/>
  <c r="A55" i="24" s="1"/>
  <c r="B55" i="24"/>
  <c r="J54" i="24"/>
  <c r="K54" i="24" s="1"/>
  <c r="I54" i="24"/>
  <c r="M54" i="24" s="1"/>
  <c r="A54" i="24" s="1"/>
  <c r="B54" i="24"/>
  <c r="J53" i="24"/>
  <c r="K53" i="24" s="1"/>
  <c r="I53" i="24"/>
  <c r="M53" i="24" s="1"/>
  <c r="B53" i="24"/>
  <c r="A53" i="24"/>
  <c r="J52" i="24"/>
  <c r="K52" i="24" s="1"/>
  <c r="I52" i="24"/>
  <c r="M52" i="24" s="1"/>
  <c r="A52" i="24" s="1"/>
  <c r="B52" i="24"/>
  <c r="J51" i="24"/>
  <c r="K51" i="24" s="1"/>
  <c r="I51" i="24"/>
  <c r="M51" i="24" s="1"/>
  <c r="A51" i="24" s="1"/>
  <c r="B51" i="24"/>
  <c r="J50" i="24"/>
  <c r="K50" i="24" s="1"/>
  <c r="I50" i="24"/>
  <c r="M50" i="24" s="1"/>
  <c r="A50" i="24" s="1"/>
  <c r="B50" i="24"/>
  <c r="J49" i="24"/>
  <c r="K49" i="24" s="1"/>
  <c r="I49" i="24"/>
  <c r="M49" i="24" s="1"/>
  <c r="A49" i="24" s="1"/>
  <c r="B49" i="24"/>
  <c r="J48" i="24"/>
  <c r="K48" i="24" s="1"/>
  <c r="I48" i="24"/>
  <c r="M48" i="24" s="1"/>
  <c r="A48" i="24" s="1"/>
  <c r="B48" i="24"/>
  <c r="J47" i="24"/>
  <c r="K47" i="24" s="1"/>
  <c r="I47" i="24"/>
  <c r="M47" i="24" s="1"/>
  <c r="A47" i="24" s="1"/>
  <c r="B47" i="24"/>
  <c r="J46" i="24"/>
  <c r="K46" i="24" s="1"/>
  <c r="I46" i="24"/>
  <c r="M46" i="24" s="1"/>
  <c r="A46" i="24" s="1"/>
  <c r="B46" i="24"/>
  <c r="J45" i="24"/>
  <c r="K45" i="24" s="1"/>
  <c r="I45" i="24"/>
  <c r="M45" i="24" s="1"/>
  <c r="A45" i="24" s="1"/>
  <c r="B45" i="24"/>
  <c r="J44" i="24"/>
  <c r="K44" i="24" s="1"/>
  <c r="I44" i="24"/>
  <c r="M44" i="24" s="1"/>
  <c r="A44" i="24" s="1"/>
  <c r="B44" i="24"/>
  <c r="J43" i="24"/>
  <c r="K43" i="24" s="1"/>
  <c r="I43" i="24"/>
  <c r="M43" i="24" s="1"/>
  <c r="A43" i="24" s="1"/>
  <c r="B43" i="24"/>
  <c r="J42" i="24"/>
  <c r="K42" i="24" s="1"/>
  <c r="I42" i="24"/>
  <c r="M42" i="24" s="1"/>
  <c r="A42" i="24" s="1"/>
  <c r="B42" i="24"/>
  <c r="J41" i="24"/>
  <c r="K41" i="24" s="1"/>
  <c r="I41" i="24"/>
  <c r="M41" i="24" s="1"/>
  <c r="A41" i="24" s="1"/>
  <c r="B41" i="24"/>
  <c r="J40" i="24"/>
  <c r="K40" i="24" s="1"/>
  <c r="I40" i="24"/>
  <c r="M40" i="24" s="1"/>
  <c r="A40" i="24" s="1"/>
  <c r="B40" i="24"/>
  <c r="J39" i="24"/>
  <c r="K39" i="24" s="1"/>
  <c r="I39" i="24"/>
  <c r="M39" i="24" s="1"/>
  <c r="A39" i="24" s="1"/>
  <c r="B39" i="24"/>
  <c r="J38" i="24"/>
  <c r="K38" i="24" s="1"/>
  <c r="I38" i="24"/>
  <c r="M38" i="24" s="1"/>
  <c r="A38" i="24" s="1"/>
  <c r="B38" i="24"/>
  <c r="J37" i="24"/>
  <c r="K37" i="24" s="1"/>
  <c r="I37" i="24"/>
  <c r="M37" i="24" s="1"/>
  <c r="A37" i="24" s="1"/>
  <c r="B37" i="24"/>
  <c r="J36" i="24"/>
  <c r="K36" i="24" s="1"/>
  <c r="I36" i="24"/>
  <c r="M36" i="24" s="1"/>
  <c r="A36" i="24" s="1"/>
  <c r="B36" i="24"/>
  <c r="J35" i="24"/>
  <c r="K35" i="24" s="1"/>
  <c r="I35" i="24"/>
  <c r="M35" i="24" s="1"/>
  <c r="A35" i="24" s="1"/>
  <c r="B35" i="24"/>
  <c r="J34" i="24"/>
  <c r="K34" i="24" s="1"/>
  <c r="I34" i="24"/>
  <c r="M34" i="24" s="1"/>
  <c r="A34" i="24" s="1"/>
  <c r="B34" i="24"/>
  <c r="J33" i="24"/>
  <c r="K33" i="24" s="1"/>
  <c r="I33" i="24"/>
  <c r="M33" i="24" s="1"/>
  <c r="A33" i="24" s="1"/>
  <c r="B33" i="24"/>
  <c r="J32" i="24"/>
  <c r="K32" i="24" s="1"/>
  <c r="I32" i="24"/>
  <c r="M32" i="24" s="1"/>
  <c r="A32" i="24" s="1"/>
  <c r="B32" i="24"/>
  <c r="J31" i="24"/>
  <c r="K31" i="24" s="1"/>
  <c r="I31" i="24"/>
  <c r="M31" i="24" s="1"/>
  <c r="A31" i="24" s="1"/>
  <c r="B31" i="24"/>
  <c r="J30" i="24"/>
  <c r="K30" i="24" s="1"/>
  <c r="I30" i="24"/>
  <c r="M30" i="24" s="1"/>
  <c r="A30" i="24" s="1"/>
  <c r="B30" i="24"/>
  <c r="J29" i="24"/>
  <c r="K29" i="24" s="1"/>
  <c r="I29" i="24"/>
  <c r="M29" i="24" s="1"/>
  <c r="A29" i="24" s="1"/>
  <c r="B29" i="24"/>
  <c r="J28" i="24"/>
  <c r="K28" i="24" s="1"/>
  <c r="I28" i="24"/>
  <c r="M28" i="24" s="1"/>
  <c r="A28" i="24" s="1"/>
  <c r="B28" i="24"/>
  <c r="J27" i="24"/>
  <c r="K27" i="24" s="1"/>
  <c r="I27" i="24"/>
  <c r="M27" i="24" s="1"/>
  <c r="A27" i="24" s="1"/>
  <c r="B27" i="24"/>
  <c r="J26" i="24"/>
  <c r="K26" i="24" s="1"/>
  <c r="I26" i="24"/>
  <c r="M26" i="24" s="1"/>
  <c r="A26" i="24" s="1"/>
  <c r="B26" i="24"/>
  <c r="J25" i="24"/>
  <c r="K25" i="24" s="1"/>
  <c r="I25" i="24"/>
  <c r="M25" i="24" s="1"/>
  <c r="A25" i="24" s="1"/>
  <c r="B25" i="24"/>
  <c r="J24" i="24"/>
  <c r="K24" i="24" s="1"/>
  <c r="I24" i="24"/>
  <c r="M24" i="24" s="1"/>
  <c r="A24" i="24" s="1"/>
  <c r="B24" i="24"/>
  <c r="J23" i="24"/>
  <c r="K23" i="24" s="1"/>
  <c r="I23" i="24"/>
  <c r="M23" i="24" s="1"/>
  <c r="A23" i="24" s="1"/>
  <c r="B23" i="24"/>
  <c r="J22" i="24"/>
  <c r="K22" i="24" s="1"/>
  <c r="I22" i="24"/>
  <c r="M22" i="24" s="1"/>
  <c r="A22" i="24" s="1"/>
  <c r="B22" i="24"/>
  <c r="AF22" i="20" s="1"/>
  <c r="J21" i="24"/>
  <c r="K21" i="24" s="1"/>
  <c r="I21" i="24"/>
  <c r="M21" i="24" s="1"/>
  <c r="J20" i="24"/>
  <c r="K20" i="24" s="1"/>
  <c r="I20" i="24"/>
  <c r="B20" i="24"/>
  <c r="J19" i="24"/>
  <c r="K19" i="24" s="1"/>
  <c r="I19" i="24"/>
  <c r="B19" i="24"/>
  <c r="J18" i="24"/>
  <c r="K18" i="24" s="1"/>
  <c r="I18" i="24"/>
  <c r="B18" i="24"/>
  <c r="J17" i="24"/>
  <c r="K17" i="24" s="1"/>
  <c r="I17" i="24"/>
  <c r="B17" i="24"/>
  <c r="J16" i="24"/>
  <c r="K16" i="24" s="1"/>
  <c r="I16" i="24"/>
  <c r="M16" i="24" s="1"/>
  <c r="A16" i="24" s="1"/>
  <c r="B16" i="24"/>
  <c r="J15" i="24"/>
  <c r="K15" i="24" s="1"/>
  <c r="I15" i="24"/>
  <c r="B15" i="24"/>
  <c r="AI14" i="24"/>
  <c r="J14" i="24"/>
  <c r="K14" i="24" s="1"/>
  <c r="I14" i="24"/>
  <c r="M14" i="24" s="1"/>
  <c r="A14" i="24" s="1"/>
  <c r="B14" i="24"/>
  <c r="AI13" i="24"/>
  <c r="J13" i="24"/>
  <c r="K13" i="24" s="1"/>
  <c r="I13" i="24"/>
  <c r="B13" i="24"/>
  <c r="AI12" i="24"/>
  <c r="J12" i="24"/>
  <c r="K12" i="24" s="1"/>
  <c r="I12" i="24"/>
  <c r="M12" i="24" s="1"/>
  <c r="A12" i="24" s="1"/>
  <c r="B12" i="24"/>
  <c r="J11" i="24"/>
  <c r="K11" i="24" s="1"/>
  <c r="I11" i="24"/>
  <c r="M11" i="24" s="1"/>
  <c r="A11" i="24" s="1"/>
  <c r="B11" i="24"/>
  <c r="K10" i="24"/>
  <c r="I10" i="24"/>
  <c r="B10" i="24"/>
  <c r="J9" i="24"/>
  <c r="K9" i="24" s="1"/>
  <c r="I9" i="24"/>
  <c r="B9" i="24"/>
  <c r="J8" i="24"/>
  <c r="K8" i="24" s="1"/>
  <c r="I8" i="24"/>
  <c r="B8" i="24"/>
  <c r="J7" i="24"/>
  <c r="K7" i="24" s="1"/>
  <c r="I7" i="24"/>
  <c r="B7" i="24"/>
  <c r="J6" i="24"/>
  <c r="K6" i="24" s="1"/>
  <c r="I6" i="24"/>
  <c r="B6" i="24"/>
  <c r="K2" i="24"/>
  <c r="J305" i="23"/>
  <c r="K305" i="23" s="1"/>
  <c r="I305" i="23"/>
  <c r="M305" i="23" s="1"/>
  <c r="J304" i="23"/>
  <c r="K304" i="23" s="1"/>
  <c r="I304" i="23"/>
  <c r="M304" i="23" s="1"/>
  <c r="J303" i="23"/>
  <c r="K303" i="23" s="1"/>
  <c r="I303" i="23"/>
  <c r="M303" i="23" s="1"/>
  <c r="J302" i="23"/>
  <c r="K302" i="23" s="1"/>
  <c r="I302" i="23"/>
  <c r="M302" i="23" s="1"/>
  <c r="J301" i="23"/>
  <c r="K301" i="23" s="1"/>
  <c r="I301" i="23"/>
  <c r="M301" i="23" s="1"/>
  <c r="J300" i="23"/>
  <c r="K300" i="23" s="1"/>
  <c r="I300" i="23"/>
  <c r="M300" i="23" s="1"/>
  <c r="J299" i="23"/>
  <c r="K299" i="23" s="1"/>
  <c r="I299" i="23"/>
  <c r="M299" i="23" s="1"/>
  <c r="J298" i="23"/>
  <c r="K298" i="23" s="1"/>
  <c r="I298" i="23"/>
  <c r="M298" i="23" s="1"/>
  <c r="J297" i="23"/>
  <c r="K297" i="23" s="1"/>
  <c r="I297" i="23"/>
  <c r="M297" i="23" s="1"/>
  <c r="J296" i="23"/>
  <c r="K296" i="23" s="1"/>
  <c r="I296" i="23"/>
  <c r="M296" i="23" s="1"/>
  <c r="J295" i="23"/>
  <c r="K295" i="23" s="1"/>
  <c r="I295" i="23"/>
  <c r="M295" i="23" s="1"/>
  <c r="J294" i="23"/>
  <c r="K294" i="23" s="1"/>
  <c r="I294" i="23"/>
  <c r="M294" i="23" s="1"/>
  <c r="J293" i="23"/>
  <c r="K293" i="23" s="1"/>
  <c r="I293" i="23"/>
  <c r="M293" i="23" s="1"/>
  <c r="J292" i="23"/>
  <c r="K292" i="23" s="1"/>
  <c r="I292" i="23"/>
  <c r="M292" i="23" s="1"/>
  <c r="J291" i="23"/>
  <c r="K291" i="23" s="1"/>
  <c r="I291" i="23"/>
  <c r="M291" i="23" s="1"/>
  <c r="J290" i="23"/>
  <c r="K290" i="23" s="1"/>
  <c r="I290" i="23"/>
  <c r="M290" i="23" s="1"/>
  <c r="J289" i="23"/>
  <c r="K289" i="23" s="1"/>
  <c r="I289" i="23"/>
  <c r="M289" i="23" s="1"/>
  <c r="J288" i="23"/>
  <c r="K288" i="23" s="1"/>
  <c r="I288" i="23"/>
  <c r="M288" i="23" s="1"/>
  <c r="J287" i="23"/>
  <c r="K287" i="23" s="1"/>
  <c r="I287" i="23"/>
  <c r="M287" i="23" s="1"/>
  <c r="J286" i="23"/>
  <c r="K286" i="23" s="1"/>
  <c r="I286" i="23"/>
  <c r="M286" i="23" s="1"/>
  <c r="J285" i="23"/>
  <c r="K285" i="23" s="1"/>
  <c r="I285" i="23"/>
  <c r="M285" i="23" s="1"/>
  <c r="J284" i="23"/>
  <c r="K284" i="23" s="1"/>
  <c r="I284" i="23"/>
  <c r="M284" i="23" s="1"/>
  <c r="J283" i="23"/>
  <c r="K283" i="23" s="1"/>
  <c r="I283" i="23"/>
  <c r="M283" i="23" s="1"/>
  <c r="M282" i="23"/>
  <c r="J282" i="23"/>
  <c r="K282" i="23" s="1"/>
  <c r="I282" i="23"/>
  <c r="J281" i="23"/>
  <c r="K281" i="23" s="1"/>
  <c r="I281" i="23"/>
  <c r="M281" i="23" s="1"/>
  <c r="J280" i="23"/>
  <c r="K280" i="23" s="1"/>
  <c r="I280" i="23"/>
  <c r="M280" i="23" s="1"/>
  <c r="J279" i="23"/>
  <c r="K279" i="23" s="1"/>
  <c r="I279" i="23"/>
  <c r="M279" i="23" s="1"/>
  <c r="J278" i="23"/>
  <c r="K278" i="23" s="1"/>
  <c r="I278" i="23"/>
  <c r="M278" i="23" s="1"/>
  <c r="J277" i="23"/>
  <c r="K277" i="23" s="1"/>
  <c r="I277" i="23"/>
  <c r="M277" i="23" s="1"/>
  <c r="J276" i="23"/>
  <c r="K276" i="23" s="1"/>
  <c r="I276" i="23"/>
  <c r="M276" i="23" s="1"/>
  <c r="J275" i="23"/>
  <c r="K275" i="23" s="1"/>
  <c r="I275" i="23"/>
  <c r="M275" i="23" s="1"/>
  <c r="J274" i="23"/>
  <c r="K274" i="23" s="1"/>
  <c r="I274" i="23"/>
  <c r="M274" i="23" s="1"/>
  <c r="J273" i="23"/>
  <c r="K273" i="23" s="1"/>
  <c r="I273" i="23"/>
  <c r="M273" i="23" s="1"/>
  <c r="J272" i="23"/>
  <c r="K272" i="23" s="1"/>
  <c r="I272" i="23"/>
  <c r="M272" i="23" s="1"/>
  <c r="J271" i="23"/>
  <c r="K271" i="23" s="1"/>
  <c r="I271" i="23"/>
  <c r="M271" i="23" s="1"/>
  <c r="J270" i="23"/>
  <c r="K270" i="23" s="1"/>
  <c r="I270" i="23"/>
  <c r="M270" i="23" s="1"/>
  <c r="J269" i="23"/>
  <c r="K269" i="23" s="1"/>
  <c r="I269" i="23"/>
  <c r="M269" i="23" s="1"/>
  <c r="J268" i="23"/>
  <c r="K268" i="23" s="1"/>
  <c r="I268" i="23"/>
  <c r="M268" i="23" s="1"/>
  <c r="J267" i="23"/>
  <c r="K267" i="23" s="1"/>
  <c r="I267" i="23"/>
  <c r="M267" i="23" s="1"/>
  <c r="J266" i="23"/>
  <c r="K266" i="23" s="1"/>
  <c r="I266" i="23"/>
  <c r="M266" i="23" s="1"/>
  <c r="J265" i="23"/>
  <c r="K265" i="23" s="1"/>
  <c r="I265" i="23"/>
  <c r="M265" i="23" s="1"/>
  <c r="J264" i="23"/>
  <c r="K264" i="23" s="1"/>
  <c r="I264" i="23"/>
  <c r="M264" i="23" s="1"/>
  <c r="J263" i="23"/>
  <c r="K263" i="23" s="1"/>
  <c r="I263" i="23"/>
  <c r="M263" i="23" s="1"/>
  <c r="J262" i="23"/>
  <c r="K262" i="23" s="1"/>
  <c r="I262" i="23"/>
  <c r="M262" i="23" s="1"/>
  <c r="J261" i="23"/>
  <c r="K261" i="23" s="1"/>
  <c r="I261" i="23"/>
  <c r="M261" i="23" s="1"/>
  <c r="J260" i="23"/>
  <c r="K260" i="23" s="1"/>
  <c r="I260" i="23"/>
  <c r="M260" i="23" s="1"/>
  <c r="J259" i="23"/>
  <c r="K259" i="23" s="1"/>
  <c r="I259" i="23"/>
  <c r="M259" i="23" s="1"/>
  <c r="J258" i="23"/>
  <c r="K258" i="23" s="1"/>
  <c r="I258" i="23"/>
  <c r="M258" i="23" s="1"/>
  <c r="J257" i="23"/>
  <c r="K257" i="23" s="1"/>
  <c r="I257" i="23"/>
  <c r="M257" i="23" s="1"/>
  <c r="J256" i="23"/>
  <c r="K256" i="23" s="1"/>
  <c r="I256" i="23"/>
  <c r="M256" i="23" s="1"/>
  <c r="J255" i="23"/>
  <c r="K255" i="23" s="1"/>
  <c r="I255" i="23"/>
  <c r="M255" i="23" s="1"/>
  <c r="J254" i="23"/>
  <c r="K254" i="23" s="1"/>
  <c r="I254" i="23"/>
  <c r="M254" i="23" s="1"/>
  <c r="J253" i="23"/>
  <c r="K253" i="23" s="1"/>
  <c r="I253" i="23"/>
  <c r="M253" i="23" s="1"/>
  <c r="J252" i="23"/>
  <c r="K252" i="23" s="1"/>
  <c r="I252" i="23"/>
  <c r="M252" i="23" s="1"/>
  <c r="J251" i="23"/>
  <c r="K251" i="23" s="1"/>
  <c r="I251" i="23"/>
  <c r="M251" i="23" s="1"/>
  <c r="J250" i="23"/>
  <c r="K250" i="23" s="1"/>
  <c r="I250" i="23"/>
  <c r="M250" i="23" s="1"/>
  <c r="J249" i="23"/>
  <c r="K249" i="23" s="1"/>
  <c r="I249" i="23"/>
  <c r="M249" i="23" s="1"/>
  <c r="J248" i="23"/>
  <c r="K248" i="23" s="1"/>
  <c r="I248" i="23"/>
  <c r="M248" i="23" s="1"/>
  <c r="J247" i="23"/>
  <c r="K247" i="23" s="1"/>
  <c r="I247" i="23"/>
  <c r="M247" i="23" s="1"/>
  <c r="J246" i="23"/>
  <c r="K246" i="23" s="1"/>
  <c r="I246" i="23"/>
  <c r="M246" i="23" s="1"/>
  <c r="J245" i="23"/>
  <c r="K245" i="23" s="1"/>
  <c r="I245" i="23"/>
  <c r="M245" i="23" s="1"/>
  <c r="J244" i="23"/>
  <c r="K244" i="23" s="1"/>
  <c r="I244" i="23"/>
  <c r="M244" i="23" s="1"/>
  <c r="J243" i="23"/>
  <c r="K243" i="23" s="1"/>
  <c r="I243" i="23"/>
  <c r="M243" i="23" s="1"/>
  <c r="J242" i="23"/>
  <c r="K242" i="23" s="1"/>
  <c r="I242" i="23"/>
  <c r="M242" i="23" s="1"/>
  <c r="J241" i="23"/>
  <c r="K241" i="23" s="1"/>
  <c r="I241" i="23"/>
  <c r="M241" i="23" s="1"/>
  <c r="J240" i="23"/>
  <c r="K240" i="23" s="1"/>
  <c r="I240" i="23"/>
  <c r="M240" i="23" s="1"/>
  <c r="M239" i="23"/>
  <c r="J239" i="23"/>
  <c r="K239" i="23" s="1"/>
  <c r="I239" i="23"/>
  <c r="J238" i="23"/>
  <c r="K238" i="23" s="1"/>
  <c r="I238" i="23"/>
  <c r="M238" i="23" s="1"/>
  <c r="J237" i="23"/>
  <c r="K237" i="23" s="1"/>
  <c r="I237" i="23"/>
  <c r="M237" i="23" s="1"/>
  <c r="J236" i="23"/>
  <c r="K236" i="23" s="1"/>
  <c r="I236" i="23"/>
  <c r="M236" i="23" s="1"/>
  <c r="J235" i="23"/>
  <c r="K235" i="23" s="1"/>
  <c r="I235" i="23"/>
  <c r="M235" i="23" s="1"/>
  <c r="J234" i="23"/>
  <c r="K234" i="23" s="1"/>
  <c r="I234" i="23"/>
  <c r="M234" i="23" s="1"/>
  <c r="J233" i="23"/>
  <c r="K233" i="23" s="1"/>
  <c r="I233" i="23"/>
  <c r="M233" i="23" s="1"/>
  <c r="J232" i="23"/>
  <c r="K232" i="23" s="1"/>
  <c r="I232" i="23"/>
  <c r="M232" i="23" s="1"/>
  <c r="J231" i="23"/>
  <c r="K231" i="23" s="1"/>
  <c r="I231" i="23"/>
  <c r="M231" i="23" s="1"/>
  <c r="J230" i="23"/>
  <c r="K230" i="23" s="1"/>
  <c r="I230" i="23"/>
  <c r="M230" i="23" s="1"/>
  <c r="J229" i="23"/>
  <c r="K229" i="23" s="1"/>
  <c r="I229" i="23"/>
  <c r="M229" i="23" s="1"/>
  <c r="J228" i="23"/>
  <c r="K228" i="23" s="1"/>
  <c r="I228" i="23"/>
  <c r="M228" i="23" s="1"/>
  <c r="J227" i="23"/>
  <c r="K227" i="23" s="1"/>
  <c r="I227" i="23"/>
  <c r="M227" i="23" s="1"/>
  <c r="J226" i="23"/>
  <c r="K226" i="23" s="1"/>
  <c r="I226" i="23"/>
  <c r="M226" i="23" s="1"/>
  <c r="J225" i="23"/>
  <c r="K225" i="23" s="1"/>
  <c r="I225" i="23"/>
  <c r="M225" i="23" s="1"/>
  <c r="J224" i="23"/>
  <c r="K224" i="23" s="1"/>
  <c r="I224" i="23"/>
  <c r="M224" i="23" s="1"/>
  <c r="J223" i="23"/>
  <c r="K223" i="23" s="1"/>
  <c r="I223" i="23"/>
  <c r="M223" i="23" s="1"/>
  <c r="J222" i="23"/>
  <c r="K222" i="23" s="1"/>
  <c r="I222" i="23"/>
  <c r="M222" i="23" s="1"/>
  <c r="J221" i="23"/>
  <c r="K221" i="23" s="1"/>
  <c r="I221" i="23"/>
  <c r="M221" i="23" s="1"/>
  <c r="J220" i="23"/>
  <c r="K220" i="23" s="1"/>
  <c r="I220" i="23"/>
  <c r="M220" i="23" s="1"/>
  <c r="J219" i="23"/>
  <c r="K219" i="23" s="1"/>
  <c r="I219" i="23"/>
  <c r="M219" i="23" s="1"/>
  <c r="J218" i="23"/>
  <c r="K218" i="23" s="1"/>
  <c r="I218" i="23"/>
  <c r="M218" i="23" s="1"/>
  <c r="J217" i="23"/>
  <c r="K217" i="23" s="1"/>
  <c r="I217" i="23"/>
  <c r="M217" i="23" s="1"/>
  <c r="J216" i="23"/>
  <c r="K216" i="23" s="1"/>
  <c r="I216" i="23"/>
  <c r="M216" i="23" s="1"/>
  <c r="J215" i="23"/>
  <c r="K215" i="23" s="1"/>
  <c r="I215" i="23"/>
  <c r="M215" i="23" s="1"/>
  <c r="J214" i="23"/>
  <c r="K214" i="23" s="1"/>
  <c r="I214" i="23"/>
  <c r="M214" i="23" s="1"/>
  <c r="J213" i="23"/>
  <c r="K213" i="23" s="1"/>
  <c r="I213" i="23"/>
  <c r="M213" i="23" s="1"/>
  <c r="J212" i="23"/>
  <c r="K212" i="23" s="1"/>
  <c r="I212" i="23"/>
  <c r="M212" i="23" s="1"/>
  <c r="J211" i="23"/>
  <c r="K211" i="23" s="1"/>
  <c r="I211" i="23"/>
  <c r="M211" i="23" s="1"/>
  <c r="J210" i="23"/>
  <c r="K210" i="23" s="1"/>
  <c r="I210" i="23"/>
  <c r="M210" i="23" s="1"/>
  <c r="J209" i="23"/>
  <c r="K209" i="23" s="1"/>
  <c r="I209" i="23"/>
  <c r="M209" i="23" s="1"/>
  <c r="J208" i="23"/>
  <c r="K208" i="23" s="1"/>
  <c r="I208" i="23"/>
  <c r="M208" i="23" s="1"/>
  <c r="J207" i="23"/>
  <c r="K207" i="23" s="1"/>
  <c r="I207" i="23"/>
  <c r="M207" i="23" s="1"/>
  <c r="J206" i="23"/>
  <c r="K206" i="23" s="1"/>
  <c r="I206" i="23"/>
  <c r="M206" i="23" s="1"/>
  <c r="J205" i="23"/>
  <c r="K205" i="23" s="1"/>
  <c r="I205" i="23"/>
  <c r="M205" i="23" s="1"/>
  <c r="J204" i="23"/>
  <c r="K204" i="23" s="1"/>
  <c r="I204" i="23"/>
  <c r="M204" i="23" s="1"/>
  <c r="J203" i="23"/>
  <c r="K203" i="23" s="1"/>
  <c r="I203" i="23"/>
  <c r="M203" i="23" s="1"/>
  <c r="J202" i="23"/>
  <c r="K202" i="23" s="1"/>
  <c r="I202" i="23"/>
  <c r="M202" i="23" s="1"/>
  <c r="J201" i="23"/>
  <c r="K201" i="23" s="1"/>
  <c r="I201" i="23"/>
  <c r="M201" i="23" s="1"/>
  <c r="J200" i="23"/>
  <c r="K200" i="23" s="1"/>
  <c r="I200" i="23"/>
  <c r="M200" i="23" s="1"/>
  <c r="J199" i="23"/>
  <c r="K199" i="23" s="1"/>
  <c r="I199" i="23"/>
  <c r="M199" i="23" s="1"/>
  <c r="J198" i="23"/>
  <c r="K198" i="23" s="1"/>
  <c r="I198" i="23"/>
  <c r="M198" i="23" s="1"/>
  <c r="J197" i="23"/>
  <c r="K197" i="23" s="1"/>
  <c r="I197" i="23"/>
  <c r="M197" i="23" s="1"/>
  <c r="J196" i="23"/>
  <c r="K196" i="23" s="1"/>
  <c r="I196" i="23"/>
  <c r="M196" i="23" s="1"/>
  <c r="J195" i="23"/>
  <c r="K195" i="23" s="1"/>
  <c r="I195" i="23"/>
  <c r="M195" i="23" s="1"/>
  <c r="J194" i="23"/>
  <c r="K194" i="23" s="1"/>
  <c r="I194" i="23"/>
  <c r="M194" i="23" s="1"/>
  <c r="J193" i="23"/>
  <c r="K193" i="23" s="1"/>
  <c r="I193" i="23"/>
  <c r="M193" i="23" s="1"/>
  <c r="J192" i="23"/>
  <c r="K192" i="23" s="1"/>
  <c r="I192" i="23"/>
  <c r="M192" i="23" s="1"/>
  <c r="M191" i="23"/>
  <c r="J191" i="23"/>
  <c r="K191" i="23" s="1"/>
  <c r="I191" i="23"/>
  <c r="J190" i="23"/>
  <c r="K190" i="23" s="1"/>
  <c r="I190" i="23"/>
  <c r="M190" i="23" s="1"/>
  <c r="J189" i="23"/>
  <c r="K189" i="23" s="1"/>
  <c r="I189" i="23"/>
  <c r="M189" i="23" s="1"/>
  <c r="J188" i="23"/>
  <c r="K188" i="23" s="1"/>
  <c r="I188" i="23"/>
  <c r="M188" i="23" s="1"/>
  <c r="J187" i="23"/>
  <c r="K187" i="23" s="1"/>
  <c r="I187" i="23"/>
  <c r="M187" i="23" s="1"/>
  <c r="J186" i="23"/>
  <c r="K186" i="23" s="1"/>
  <c r="I186" i="23"/>
  <c r="M186" i="23" s="1"/>
  <c r="J185" i="23"/>
  <c r="K185" i="23" s="1"/>
  <c r="I185" i="23"/>
  <c r="M185" i="23" s="1"/>
  <c r="J184" i="23"/>
  <c r="K184" i="23" s="1"/>
  <c r="I184" i="23"/>
  <c r="M184" i="23" s="1"/>
  <c r="J183" i="23"/>
  <c r="K183" i="23" s="1"/>
  <c r="I183" i="23"/>
  <c r="M183" i="23" s="1"/>
  <c r="J182" i="23"/>
  <c r="K182" i="23" s="1"/>
  <c r="I182" i="23"/>
  <c r="M182" i="23" s="1"/>
  <c r="J181" i="23"/>
  <c r="K181" i="23" s="1"/>
  <c r="I181" i="23"/>
  <c r="M181" i="23" s="1"/>
  <c r="J180" i="23"/>
  <c r="K180" i="23" s="1"/>
  <c r="I180" i="23"/>
  <c r="M180" i="23" s="1"/>
  <c r="J179" i="23"/>
  <c r="K179" i="23" s="1"/>
  <c r="I179" i="23"/>
  <c r="M179" i="23" s="1"/>
  <c r="J178" i="23"/>
  <c r="K178" i="23" s="1"/>
  <c r="I178" i="23"/>
  <c r="M178" i="23" s="1"/>
  <c r="J177" i="23"/>
  <c r="K177" i="23" s="1"/>
  <c r="I177" i="23"/>
  <c r="M177" i="23" s="1"/>
  <c r="J176" i="23"/>
  <c r="K176" i="23" s="1"/>
  <c r="I176" i="23"/>
  <c r="M176" i="23" s="1"/>
  <c r="J175" i="23"/>
  <c r="K175" i="23" s="1"/>
  <c r="I175" i="23"/>
  <c r="M175" i="23" s="1"/>
  <c r="J174" i="23"/>
  <c r="K174" i="23" s="1"/>
  <c r="I174" i="23"/>
  <c r="M174" i="23" s="1"/>
  <c r="J173" i="23"/>
  <c r="K173" i="23" s="1"/>
  <c r="I173" i="23"/>
  <c r="M173" i="23" s="1"/>
  <c r="J172" i="23"/>
  <c r="K172" i="23" s="1"/>
  <c r="I172" i="23"/>
  <c r="M172" i="23" s="1"/>
  <c r="J171" i="23"/>
  <c r="K171" i="23" s="1"/>
  <c r="I171" i="23"/>
  <c r="M171" i="23" s="1"/>
  <c r="J170" i="23"/>
  <c r="K170" i="23" s="1"/>
  <c r="I170" i="23"/>
  <c r="M170" i="23" s="1"/>
  <c r="J169" i="23"/>
  <c r="K169" i="23" s="1"/>
  <c r="I169" i="23"/>
  <c r="M169" i="23" s="1"/>
  <c r="J168" i="23"/>
  <c r="K168" i="23" s="1"/>
  <c r="I168" i="23"/>
  <c r="M168" i="23" s="1"/>
  <c r="J167" i="23"/>
  <c r="K167" i="23" s="1"/>
  <c r="I167" i="23"/>
  <c r="M167" i="23" s="1"/>
  <c r="J166" i="23"/>
  <c r="K166" i="23" s="1"/>
  <c r="I166" i="23"/>
  <c r="M166" i="23" s="1"/>
  <c r="J165" i="23"/>
  <c r="K165" i="23" s="1"/>
  <c r="I165" i="23"/>
  <c r="M165" i="23" s="1"/>
  <c r="J164" i="23"/>
  <c r="K164" i="23" s="1"/>
  <c r="I164" i="23"/>
  <c r="M164" i="23" s="1"/>
  <c r="J163" i="23"/>
  <c r="K163" i="23" s="1"/>
  <c r="I163" i="23"/>
  <c r="M163" i="23" s="1"/>
  <c r="J162" i="23"/>
  <c r="K162" i="23" s="1"/>
  <c r="I162" i="23"/>
  <c r="M162" i="23" s="1"/>
  <c r="J161" i="23"/>
  <c r="K161" i="23" s="1"/>
  <c r="I161" i="23"/>
  <c r="M161" i="23" s="1"/>
  <c r="J160" i="23"/>
  <c r="K160" i="23" s="1"/>
  <c r="I160" i="23"/>
  <c r="M160" i="23" s="1"/>
  <c r="J159" i="23"/>
  <c r="K159" i="23" s="1"/>
  <c r="I159" i="23"/>
  <c r="M159" i="23" s="1"/>
  <c r="J158" i="23"/>
  <c r="K158" i="23" s="1"/>
  <c r="I158" i="23"/>
  <c r="M158" i="23" s="1"/>
  <c r="J157" i="23"/>
  <c r="K157" i="23" s="1"/>
  <c r="I157" i="23"/>
  <c r="M157" i="23" s="1"/>
  <c r="J156" i="23"/>
  <c r="K156" i="23" s="1"/>
  <c r="I156" i="23"/>
  <c r="M156" i="23" s="1"/>
  <c r="J155" i="23"/>
  <c r="K155" i="23" s="1"/>
  <c r="I155" i="23"/>
  <c r="M155" i="23" s="1"/>
  <c r="J154" i="23"/>
  <c r="K154" i="23" s="1"/>
  <c r="I154" i="23"/>
  <c r="M154" i="23" s="1"/>
  <c r="J153" i="23"/>
  <c r="K153" i="23" s="1"/>
  <c r="I153" i="23"/>
  <c r="M153" i="23" s="1"/>
  <c r="J152" i="23"/>
  <c r="K152" i="23" s="1"/>
  <c r="I152" i="23"/>
  <c r="M152" i="23" s="1"/>
  <c r="J151" i="23"/>
  <c r="K151" i="23" s="1"/>
  <c r="I151" i="23"/>
  <c r="M151" i="23" s="1"/>
  <c r="J150" i="23"/>
  <c r="K150" i="23" s="1"/>
  <c r="I150" i="23"/>
  <c r="M150" i="23" s="1"/>
  <c r="J149" i="23"/>
  <c r="K149" i="23" s="1"/>
  <c r="I149" i="23"/>
  <c r="M149" i="23" s="1"/>
  <c r="J148" i="23"/>
  <c r="K148" i="23" s="1"/>
  <c r="I148" i="23"/>
  <c r="M148" i="23" s="1"/>
  <c r="J147" i="23"/>
  <c r="K147" i="23" s="1"/>
  <c r="I147" i="23"/>
  <c r="M147" i="23" s="1"/>
  <c r="J146" i="23"/>
  <c r="K146" i="23" s="1"/>
  <c r="I146" i="23"/>
  <c r="M146" i="23" s="1"/>
  <c r="J145" i="23"/>
  <c r="K145" i="23" s="1"/>
  <c r="I145" i="23"/>
  <c r="M145" i="23" s="1"/>
  <c r="J144" i="23"/>
  <c r="K144" i="23" s="1"/>
  <c r="I144" i="23"/>
  <c r="M144" i="23" s="1"/>
  <c r="J143" i="23"/>
  <c r="K143" i="23" s="1"/>
  <c r="I143" i="23"/>
  <c r="M143" i="23" s="1"/>
  <c r="K142" i="23"/>
  <c r="J142" i="23"/>
  <c r="I142" i="23"/>
  <c r="M142" i="23" s="1"/>
  <c r="J141" i="23"/>
  <c r="K141" i="23" s="1"/>
  <c r="I141" i="23"/>
  <c r="M141" i="23" s="1"/>
  <c r="J140" i="23"/>
  <c r="K140" i="23" s="1"/>
  <c r="I140" i="23"/>
  <c r="M140" i="23" s="1"/>
  <c r="J139" i="23"/>
  <c r="K139" i="23" s="1"/>
  <c r="I139" i="23"/>
  <c r="M139" i="23" s="1"/>
  <c r="J138" i="23"/>
  <c r="K138" i="23" s="1"/>
  <c r="I138" i="23"/>
  <c r="M138" i="23" s="1"/>
  <c r="J137" i="23"/>
  <c r="K137" i="23" s="1"/>
  <c r="I137" i="23"/>
  <c r="M137" i="23" s="1"/>
  <c r="J136" i="23"/>
  <c r="K136" i="23" s="1"/>
  <c r="I136" i="23"/>
  <c r="M136" i="23" s="1"/>
  <c r="J135" i="23"/>
  <c r="K135" i="23" s="1"/>
  <c r="I135" i="23"/>
  <c r="M135" i="23" s="1"/>
  <c r="J134" i="23"/>
  <c r="K134" i="23" s="1"/>
  <c r="I134" i="23"/>
  <c r="M134" i="23" s="1"/>
  <c r="J133" i="23"/>
  <c r="K133" i="23" s="1"/>
  <c r="I133" i="23"/>
  <c r="M133" i="23" s="1"/>
  <c r="J132" i="23"/>
  <c r="K132" i="23" s="1"/>
  <c r="I132" i="23"/>
  <c r="M132" i="23" s="1"/>
  <c r="J131" i="23"/>
  <c r="K131" i="23" s="1"/>
  <c r="I131" i="23"/>
  <c r="M131" i="23" s="1"/>
  <c r="J130" i="23"/>
  <c r="K130" i="23" s="1"/>
  <c r="I130" i="23"/>
  <c r="M130" i="23" s="1"/>
  <c r="J129" i="23"/>
  <c r="K129" i="23" s="1"/>
  <c r="I129" i="23"/>
  <c r="M129" i="23" s="1"/>
  <c r="J128" i="23"/>
  <c r="K128" i="23" s="1"/>
  <c r="I128" i="23"/>
  <c r="M128" i="23" s="1"/>
  <c r="J127" i="23"/>
  <c r="K127" i="23" s="1"/>
  <c r="I127" i="23"/>
  <c r="M127" i="23" s="1"/>
  <c r="J126" i="23"/>
  <c r="K126" i="23" s="1"/>
  <c r="I126" i="23"/>
  <c r="M126" i="23" s="1"/>
  <c r="J125" i="23"/>
  <c r="K125" i="23" s="1"/>
  <c r="I125" i="23"/>
  <c r="M125" i="23" s="1"/>
  <c r="J124" i="23"/>
  <c r="K124" i="23" s="1"/>
  <c r="I124" i="23"/>
  <c r="M124" i="23" s="1"/>
  <c r="J123" i="23"/>
  <c r="K123" i="23" s="1"/>
  <c r="I123" i="23"/>
  <c r="M123" i="23" s="1"/>
  <c r="J122" i="23"/>
  <c r="K122" i="23" s="1"/>
  <c r="I122" i="23"/>
  <c r="M122" i="23" s="1"/>
  <c r="J121" i="23"/>
  <c r="K121" i="23" s="1"/>
  <c r="I121" i="23"/>
  <c r="M121" i="23" s="1"/>
  <c r="J120" i="23"/>
  <c r="K120" i="23" s="1"/>
  <c r="I120" i="23"/>
  <c r="M120" i="23" s="1"/>
  <c r="J119" i="23"/>
  <c r="K119" i="23" s="1"/>
  <c r="I119" i="23"/>
  <c r="M119" i="23" s="1"/>
  <c r="J118" i="23"/>
  <c r="K118" i="23" s="1"/>
  <c r="I118" i="23"/>
  <c r="M118" i="23" s="1"/>
  <c r="J117" i="23"/>
  <c r="K117" i="23" s="1"/>
  <c r="I117" i="23"/>
  <c r="M117" i="23" s="1"/>
  <c r="J116" i="23"/>
  <c r="K116" i="23" s="1"/>
  <c r="I116" i="23"/>
  <c r="M116" i="23" s="1"/>
  <c r="J115" i="23"/>
  <c r="K115" i="23" s="1"/>
  <c r="I115" i="23"/>
  <c r="M115" i="23" s="1"/>
  <c r="J114" i="23"/>
  <c r="K114" i="23" s="1"/>
  <c r="I114" i="23"/>
  <c r="M114" i="23" s="1"/>
  <c r="J113" i="23"/>
  <c r="K113" i="23" s="1"/>
  <c r="I113" i="23"/>
  <c r="M113" i="23" s="1"/>
  <c r="J112" i="23"/>
  <c r="K112" i="23" s="1"/>
  <c r="I112" i="23"/>
  <c r="M112" i="23" s="1"/>
  <c r="J111" i="23"/>
  <c r="K111" i="23" s="1"/>
  <c r="I111" i="23"/>
  <c r="M111" i="23" s="1"/>
  <c r="J110" i="23"/>
  <c r="K110" i="23" s="1"/>
  <c r="I110" i="23"/>
  <c r="M110" i="23" s="1"/>
  <c r="J109" i="23"/>
  <c r="K109" i="23" s="1"/>
  <c r="I109" i="23"/>
  <c r="M109" i="23" s="1"/>
  <c r="J108" i="23"/>
  <c r="K108" i="23" s="1"/>
  <c r="I108" i="23"/>
  <c r="M108" i="23" s="1"/>
  <c r="J107" i="23"/>
  <c r="K107" i="23" s="1"/>
  <c r="I107" i="23"/>
  <c r="M107" i="23" s="1"/>
  <c r="J106" i="23"/>
  <c r="K106" i="23" s="1"/>
  <c r="I106" i="23"/>
  <c r="M106" i="23" s="1"/>
  <c r="J105" i="23"/>
  <c r="K105" i="23" s="1"/>
  <c r="I105" i="23"/>
  <c r="M105" i="23" s="1"/>
  <c r="J104" i="23"/>
  <c r="K104" i="23" s="1"/>
  <c r="I104" i="23"/>
  <c r="M104" i="23" s="1"/>
  <c r="J103" i="23"/>
  <c r="K103" i="23" s="1"/>
  <c r="I103" i="23"/>
  <c r="M103" i="23" s="1"/>
  <c r="J102" i="23"/>
  <c r="K102" i="23" s="1"/>
  <c r="I102" i="23"/>
  <c r="M102" i="23" s="1"/>
  <c r="J101" i="23"/>
  <c r="K101" i="23" s="1"/>
  <c r="I101" i="23"/>
  <c r="M101" i="23" s="1"/>
  <c r="J100" i="23"/>
  <c r="K100" i="23" s="1"/>
  <c r="I100" i="23"/>
  <c r="M100" i="23" s="1"/>
  <c r="J99" i="23"/>
  <c r="K99" i="23" s="1"/>
  <c r="I99" i="23"/>
  <c r="M99" i="23" s="1"/>
  <c r="J98" i="23"/>
  <c r="K98" i="23" s="1"/>
  <c r="I98" i="23"/>
  <c r="M98" i="23" s="1"/>
  <c r="J97" i="23"/>
  <c r="K97" i="23" s="1"/>
  <c r="I97" i="23"/>
  <c r="M97" i="23" s="1"/>
  <c r="J96" i="23"/>
  <c r="K96" i="23" s="1"/>
  <c r="I96" i="23"/>
  <c r="M96" i="23" s="1"/>
  <c r="J95" i="23"/>
  <c r="K95" i="23" s="1"/>
  <c r="I95" i="23"/>
  <c r="M95" i="23" s="1"/>
  <c r="J94" i="23"/>
  <c r="K94" i="23" s="1"/>
  <c r="I94" i="23"/>
  <c r="M94" i="23" s="1"/>
  <c r="J93" i="23"/>
  <c r="K93" i="23" s="1"/>
  <c r="I93" i="23"/>
  <c r="M93" i="23" s="1"/>
  <c r="J92" i="23"/>
  <c r="K92" i="23" s="1"/>
  <c r="I92" i="23"/>
  <c r="M92" i="23" s="1"/>
  <c r="J91" i="23"/>
  <c r="K91" i="23" s="1"/>
  <c r="I91" i="23"/>
  <c r="M91" i="23" s="1"/>
  <c r="J90" i="23"/>
  <c r="K90" i="23" s="1"/>
  <c r="I90" i="23"/>
  <c r="M90" i="23" s="1"/>
  <c r="J89" i="23"/>
  <c r="K89" i="23" s="1"/>
  <c r="I89" i="23"/>
  <c r="M89" i="23" s="1"/>
  <c r="J88" i="23"/>
  <c r="K88" i="23" s="1"/>
  <c r="I88" i="23"/>
  <c r="M88" i="23" s="1"/>
  <c r="J87" i="23"/>
  <c r="K87" i="23" s="1"/>
  <c r="I87" i="23"/>
  <c r="M87" i="23" s="1"/>
  <c r="J86" i="23"/>
  <c r="K86" i="23" s="1"/>
  <c r="I86" i="23"/>
  <c r="M86" i="23" s="1"/>
  <c r="J85" i="23"/>
  <c r="K85" i="23" s="1"/>
  <c r="I85" i="23"/>
  <c r="M85" i="23" s="1"/>
  <c r="J84" i="23"/>
  <c r="K84" i="23" s="1"/>
  <c r="I84" i="23"/>
  <c r="M84" i="23" s="1"/>
  <c r="J83" i="23"/>
  <c r="K83" i="23" s="1"/>
  <c r="I83" i="23"/>
  <c r="M83" i="23" s="1"/>
  <c r="J82" i="23"/>
  <c r="K82" i="23" s="1"/>
  <c r="I82" i="23"/>
  <c r="M82" i="23" s="1"/>
  <c r="J81" i="23"/>
  <c r="K81" i="23" s="1"/>
  <c r="I81" i="23"/>
  <c r="M81" i="23" s="1"/>
  <c r="J80" i="23"/>
  <c r="K80" i="23" s="1"/>
  <c r="I80" i="23"/>
  <c r="M80" i="23" s="1"/>
  <c r="J79" i="23"/>
  <c r="K79" i="23" s="1"/>
  <c r="I79" i="23"/>
  <c r="M79" i="23" s="1"/>
  <c r="J78" i="23"/>
  <c r="K78" i="23" s="1"/>
  <c r="I78" i="23"/>
  <c r="M78" i="23" s="1"/>
  <c r="J77" i="23"/>
  <c r="K77" i="23" s="1"/>
  <c r="I77" i="23"/>
  <c r="M77" i="23" s="1"/>
  <c r="J76" i="23"/>
  <c r="K76" i="23" s="1"/>
  <c r="I76" i="23"/>
  <c r="M76" i="23" s="1"/>
  <c r="J75" i="23"/>
  <c r="K75" i="23" s="1"/>
  <c r="I75" i="23"/>
  <c r="M75" i="23" s="1"/>
  <c r="J74" i="23"/>
  <c r="K74" i="23" s="1"/>
  <c r="I74" i="23"/>
  <c r="M74" i="23" s="1"/>
  <c r="J73" i="23"/>
  <c r="K73" i="23" s="1"/>
  <c r="I73" i="23"/>
  <c r="M73" i="23" s="1"/>
  <c r="J72" i="23"/>
  <c r="K72" i="23" s="1"/>
  <c r="I72" i="23"/>
  <c r="M72" i="23" s="1"/>
  <c r="J71" i="23"/>
  <c r="K71" i="23" s="1"/>
  <c r="I71" i="23"/>
  <c r="M71" i="23" s="1"/>
  <c r="J70" i="23"/>
  <c r="K70" i="23" s="1"/>
  <c r="I70" i="23"/>
  <c r="M70" i="23" s="1"/>
  <c r="J69" i="23"/>
  <c r="K69" i="23" s="1"/>
  <c r="I69" i="23"/>
  <c r="M69" i="23" s="1"/>
  <c r="J68" i="23"/>
  <c r="K68" i="23" s="1"/>
  <c r="I68" i="23"/>
  <c r="M68" i="23" s="1"/>
  <c r="J67" i="23"/>
  <c r="K67" i="23" s="1"/>
  <c r="I67" i="23"/>
  <c r="M67" i="23" s="1"/>
  <c r="J66" i="23"/>
  <c r="K66" i="23" s="1"/>
  <c r="I66" i="23"/>
  <c r="M66" i="23" s="1"/>
  <c r="J65" i="23"/>
  <c r="K65" i="23" s="1"/>
  <c r="I65" i="23"/>
  <c r="M65" i="23" s="1"/>
  <c r="B65" i="23"/>
  <c r="J64" i="23"/>
  <c r="K64" i="23" s="1"/>
  <c r="I64" i="23"/>
  <c r="M64" i="23" s="1"/>
  <c r="B64" i="23"/>
  <c r="M63" i="23"/>
  <c r="J63" i="23"/>
  <c r="K63" i="23" s="1"/>
  <c r="I63" i="23"/>
  <c r="B63" i="23"/>
  <c r="J62" i="23"/>
  <c r="K62" i="23" s="1"/>
  <c r="I62" i="23"/>
  <c r="M62" i="23" s="1"/>
  <c r="B62" i="23"/>
  <c r="J61" i="23"/>
  <c r="K61" i="23" s="1"/>
  <c r="I61" i="23"/>
  <c r="M61" i="23" s="1"/>
  <c r="B61" i="23"/>
  <c r="J60" i="23"/>
  <c r="K60" i="23" s="1"/>
  <c r="I60" i="23"/>
  <c r="M60" i="23" s="1"/>
  <c r="B60" i="23"/>
  <c r="J59" i="23"/>
  <c r="K59" i="23" s="1"/>
  <c r="I59" i="23"/>
  <c r="M59" i="23" s="1"/>
  <c r="B59" i="23"/>
  <c r="J58" i="23"/>
  <c r="K58" i="23" s="1"/>
  <c r="I58" i="23"/>
  <c r="M58" i="23" s="1"/>
  <c r="B58" i="23"/>
  <c r="J57" i="23"/>
  <c r="K57" i="23" s="1"/>
  <c r="I57" i="23"/>
  <c r="M57" i="23" s="1"/>
  <c r="B57" i="23"/>
  <c r="J56" i="23"/>
  <c r="K56" i="23" s="1"/>
  <c r="I56" i="23"/>
  <c r="M56" i="23" s="1"/>
  <c r="B56" i="23"/>
  <c r="J55" i="23"/>
  <c r="K55" i="23" s="1"/>
  <c r="I55" i="23"/>
  <c r="M55" i="23" s="1"/>
  <c r="B55" i="23"/>
  <c r="J54" i="23"/>
  <c r="K54" i="23" s="1"/>
  <c r="I54" i="23"/>
  <c r="M54" i="23" s="1"/>
  <c r="B54" i="23"/>
  <c r="J53" i="23"/>
  <c r="K53" i="23" s="1"/>
  <c r="I53" i="23"/>
  <c r="M53" i="23" s="1"/>
  <c r="B53" i="23"/>
  <c r="J52" i="23"/>
  <c r="K52" i="23" s="1"/>
  <c r="I52" i="23"/>
  <c r="M52" i="23" s="1"/>
  <c r="B52" i="23"/>
  <c r="J51" i="23"/>
  <c r="K51" i="23" s="1"/>
  <c r="I51" i="23"/>
  <c r="M51" i="23" s="1"/>
  <c r="B51" i="23"/>
  <c r="J50" i="23"/>
  <c r="K50" i="23" s="1"/>
  <c r="I50" i="23"/>
  <c r="M50" i="23" s="1"/>
  <c r="B50" i="23"/>
  <c r="J49" i="23"/>
  <c r="K49" i="23" s="1"/>
  <c r="I49" i="23"/>
  <c r="M49" i="23" s="1"/>
  <c r="B49" i="23"/>
  <c r="J48" i="23"/>
  <c r="K48" i="23" s="1"/>
  <c r="I48" i="23"/>
  <c r="M48" i="23" s="1"/>
  <c r="B48" i="23"/>
  <c r="J47" i="23"/>
  <c r="K47" i="23" s="1"/>
  <c r="I47" i="23"/>
  <c r="M47" i="23" s="1"/>
  <c r="B47" i="23"/>
  <c r="T46" i="23"/>
  <c r="R46" i="23"/>
  <c r="U46" i="23" s="1"/>
  <c r="J46" i="23"/>
  <c r="K46" i="23" s="1"/>
  <c r="I46" i="23"/>
  <c r="M46" i="23" s="1"/>
  <c r="B46" i="23"/>
  <c r="J45" i="23"/>
  <c r="K45" i="23" s="1"/>
  <c r="I45" i="23"/>
  <c r="M45" i="23" s="1"/>
  <c r="B45" i="23"/>
  <c r="J44" i="23"/>
  <c r="K44" i="23" s="1"/>
  <c r="I44" i="23"/>
  <c r="M44" i="23" s="1"/>
  <c r="B44" i="23"/>
  <c r="J43" i="23"/>
  <c r="K43" i="23" s="1"/>
  <c r="I43" i="23"/>
  <c r="M43" i="23" s="1"/>
  <c r="B43" i="23"/>
  <c r="J42" i="23"/>
  <c r="K42" i="23" s="1"/>
  <c r="I42" i="23"/>
  <c r="M42" i="23" s="1"/>
  <c r="B42" i="23"/>
  <c r="J41" i="23"/>
  <c r="K41" i="23" s="1"/>
  <c r="I41" i="23"/>
  <c r="M41" i="23" s="1"/>
  <c r="B41" i="23"/>
  <c r="J40" i="23"/>
  <c r="K40" i="23" s="1"/>
  <c r="I40" i="23"/>
  <c r="M40" i="23" s="1"/>
  <c r="B40" i="23"/>
  <c r="J39" i="23"/>
  <c r="K39" i="23" s="1"/>
  <c r="I39" i="23"/>
  <c r="M39" i="23" s="1"/>
  <c r="B39" i="23"/>
  <c r="J38" i="23"/>
  <c r="K38" i="23" s="1"/>
  <c r="I38" i="23"/>
  <c r="M38" i="23" s="1"/>
  <c r="B38" i="23"/>
  <c r="J37" i="23"/>
  <c r="K37" i="23" s="1"/>
  <c r="I37" i="23"/>
  <c r="M37" i="23" s="1"/>
  <c r="A37" i="23" s="1"/>
  <c r="B37" i="23"/>
  <c r="J36" i="23"/>
  <c r="K36" i="23" s="1"/>
  <c r="I36" i="23"/>
  <c r="M36" i="23" s="1"/>
  <c r="A36" i="23" s="1"/>
  <c r="B36" i="23"/>
  <c r="J35" i="23"/>
  <c r="K35" i="23" s="1"/>
  <c r="I35" i="23"/>
  <c r="M35" i="23" s="1"/>
  <c r="A35" i="23" s="1"/>
  <c r="B35" i="23"/>
  <c r="J34" i="23"/>
  <c r="K34" i="23" s="1"/>
  <c r="I34" i="23"/>
  <c r="M34" i="23" s="1"/>
  <c r="A34" i="23" s="1"/>
  <c r="B34" i="23"/>
  <c r="J33" i="23"/>
  <c r="K33" i="23" s="1"/>
  <c r="I33" i="23"/>
  <c r="M33" i="23" s="1"/>
  <c r="A33" i="23" s="1"/>
  <c r="B33" i="23"/>
  <c r="J32" i="23"/>
  <c r="K32" i="23" s="1"/>
  <c r="I32" i="23"/>
  <c r="B32" i="23"/>
  <c r="J31" i="23"/>
  <c r="K31" i="23" s="1"/>
  <c r="I31" i="23"/>
  <c r="M31" i="23" s="1"/>
  <c r="A31" i="23" s="1"/>
  <c r="B31" i="23"/>
  <c r="J30" i="23"/>
  <c r="K30" i="23" s="1"/>
  <c r="I30" i="23"/>
  <c r="M30" i="23" s="1"/>
  <c r="A30" i="23" s="1"/>
  <c r="B30" i="23"/>
  <c r="J29" i="23"/>
  <c r="K29" i="23" s="1"/>
  <c r="I29" i="23"/>
  <c r="B29" i="23"/>
  <c r="J28" i="23"/>
  <c r="K28" i="23" s="1"/>
  <c r="I28" i="23"/>
  <c r="M28" i="23" s="1"/>
  <c r="A28" i="23" s="1"/>
  <c r="B28" i="23"/>
  <c r="J27" i="23"/>
  <c r="K27" i="23" s="1"/>
  <c r="I27" i="23"/>
  <c r="B27" i="23"/>
  <c r="J26" i="23"/>
  <c r="K26" i="23" s="1"/>
  <c r="I26" i="23"/>
  <c r="B26" i="23"/>
  <c r="J25" i="23"/>
  <c r="K25" i="23" s="1"/>
  <c r="I25" i="23"/>
  <c r="B25" i="23"/>
  <c r="J24" i="23"/>
  <c r="K24" i="23" s="1"/>
  <c r="I24" i="23"/>
  <c r="B24" i="23"/>
  <c r="J23" i="23"/>
  <c r="K23" i="23" s="1"/>
  <c r="I23" i="23"/>
  <c r="M23" i="23" s="1"/>
  <c r="A23" i="23" s="1"/>
  <c r="B23" i="23"/>
  <c r="J22" i="23"/>
  <c r="K22" i="23" s="1"/>
  <c r="I22" i="23"/>
  <c r="B22" i="23"/>
  <c r="J21" i="23"/>
  <c r="K21" i="23" s="1"/>
  <c r="I21" i="23"/>
  <c r="B21" i="23"/>
  <c r="J20" i="23"/>
  <c r="K20" i="23" s="1"/>
  <c r="I20" i="23"/>
  <c r="B20" i="23"/>
  <c r="J19" i="23"/>
  <c r="K19" i="23" s="1"/>
  <c r="I19" i="23"/>
  <c r="B19" i="23"/>
  <c r="J18" i="23"/>
  <c r="K18" i="23" s="1"/>
  <c r="I18" i="23"/>
  <c r="B18" i="23"/>
  <c r="J17" i="23"/>
  <c r="K17" i="23" s="1"/>
  <c r="I17" i="23"/>
  <c r="B17" i="23"/>
  <c r="J16" i="23"/>
  <c r="K16" i="23" s="1"/>
  <c r="I16" i="23"/>
  <c r="B16" i="23"/>
  <c r="J15" i="23"/>
  <c r="K15" i="23" s="1"/>
  <c r="I15" i="23"/>
  <c r="B15" i="23"/>
  <c r="AB13" i="20" s="1"/>
  <c r="AI14" i="23"/>
  <c r="J14" i="23"/>
  <c r="K14" i="23" s="1"/>
  <c r="I14" i="23"/>
  <c r="B14" i="23"/>
  <c r="AI13" i="23"/>
  <c r="J13" i="23"/>
  <c r="K13" i="23" s="1"/>
  <c r="I13" i="23"/>
  <c r="B13" i="23"/>
  <c r="AI12" i="23"/>
  <c r="AI16" i="23" s="1"/>
  <c r="J12" i="23"/>
  <c r="K12" i="23" s="1"/>
  <c r="I12" i="23"/>
  <c r="B12" i="23"/>
  <c r="J11" i="23"/>
  <c r="K11" i="23" s="1"/>
  <c r="I11" i="23"/>
  <c r="B11" i="23"/>
  <c r="J10" i="23"/>
  <c r="K10" i="23" s="1"/>
  <c r="I10" i="23"/>
  <c r="B10" i="23"/>
  <c r="K9" i="23"/>
  <c r="I9" i="23"/>
  <c r="B9" i="23"/>
  <c r="K8" i="23"/>
  <c r="I8" i="23"/>
  <c r="B8" i="23"/>
  <c r="K7" i="23"/>
  <c r="I7" i="23"/>
  <c r="B7" i="23"/>
  <c r="K6" i="23"/>
  <c r="I6" i="23"/>
  <c r="B6" i="23"/>
  <c r="K2" i="23"/>
  <c r="L8" i="23" s="1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J305" i="22"/>
  <c r="K305" i="22" s="1"/>
  <c r="I305" i="22"/>
  <c r="M305" i="22" s="1"/>
  <c r="J304" i="22"/>
  <c r="K304" i="22" s="1"/>
  <c r="I304" i="22"/>
  <c r="M304" i="22" s="1"/>
  <c r="J303" i="22"/>
  <c r="K303" i="22" s="1"/>
  <c r="I303" i="22"/>
  <c r="M303" i="22" s="1"/>
  <c r="J302" i="22"/>
  <c r="K302" i="22" s="1"/>
  <c r="I302" i="22"/>
  <c r="M302" i="22" s="1"/>
  <c r="J301" i="22"/>
  <c r="K301" i="22" s="1"/>
  <c r="I301" i="22"/>
  <c r="M301" i="22" s="1"/>
  <c r="J300" i="22"/>
  <c r="K300" i="22" s="1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J295" i="22"/>
  <c r="K295" i="22" s="1"/>
  <c r="I295" i="22"/>
  <c r="M295" i="22" s="1"/>
  <c r="J294" i="22"/>
  <c r="K294" i="22" s="1"/>
  <c r="I294" i="22"/>
  <c r="M294" i="22" s="1"/>
  <c r="J293" i="22"/>
  <c r="K293" i="22" s="1"/>
  <c r="I293" i="22"/>
  <c r="M293" i="22" s="1"/>
  <c r="J292" i="22"/>
  <c r="K292" i="22" s="1"/>
  <c r="I292" i="22"/>
  <c r="M292" i="22" s="1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J288" i="22"/>
  <c r="K288" i="22" s="1"/>
  <c r="I288" i="22"/>
  <c r="M288" i="22" s="1"/>
  <c r="J287" i="22"/>
  <c r="K287" i="22" s="1"/>
  <c r="I287" i="22"/>
  <c r="M287" i="22" s="1"/>
  <c r="J286" i="22"/>
  <c r="K286" i="22" s="1"/>
  <c r="I286" i="22"/>
  <c r="M286" i="22" s="1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J282" i="22"/>
  <c r="K282" i="22" s="1"/>
  <c r="I282" i="22"/>
  <c r="M282" i="22" s="1"/>
  <c r="J281" i="22"/>
  <c r="K281" i="22" s="1"/>
  <c r="I281" i="22"/>
  <c r="M281" i="22" s="1"/>
  <c r="J280" i="22"/>
  <c r="K280" i="22" s="1"/>
  <c r="I280" i="22"/>
  <c r="M280" i="22" s="1"/>
  <c r="J279" i="22"/>
  <c r="K279" i="22" s="1"/>
  <c r="I279" i="22"/>
  <c r="M279" i="22" s="1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J271" i="22"/>
  <c r="K271" i="22" s="1"/>
  <c r="I271" i="22"/>
  <c r="M271" i="22" s="1"/>
  <c r="J270" i="22"/>
  <c r="K270" i="22" s="1"/>
  <c r="I270" i="22"/>
  <c r="M270" i="22" s="1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J264" i="22"/>
  <c r="K264" i="22" s="1"/>
  <c r="I264" i="22"/>
  <c r="M264" i="22" s="1"/>
  <c r="J263" i="22"/>
  <c r="K263" i="22" s="1"/>
  <c r="I263" i="22"/>
  <c r="M263" i="22" s="1"/>
  <c r="J262" i="22"/>
  <c r="K262" i="22" s="1"/>
  <c r="I262" i="22"/>
  <c r="M262" i="22" s="1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J254" i="22"/>
  <c r="K254" i="22" s="1"/>
  <c r="I254" i="22"/>
  <c r="M254" i="22" s="1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J247" i="22"/>
  <c r="K247" i="22" s="1"/>
  <c r="I247" i="22"/>
  <c r="M247" i="22" s="1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J238" i="22"/>
  <c r="K238" i="22" s="1"/>
  <c r="I238" i="22"/>
  <c r="M238" i="22" s="1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J230" i="22"/>
  <c r="K230" i="22" s="1"/>
  <c r="I230" i="22"/>
  <c r="M230" i="22" s="1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J214" i="22"/>
  <c r="K214" i="22" s="1"/>
  <c r="I214" i="22"/>
  <c r="M214" i="22" s="1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J207" i="22"/>
  <c r="K207" i="22" s="1"/>
  <c r="I207" i="22"/>
  <c r="M207" i="22" s="1"/>
  <c r="J206" i="22"/>
  <c r="K206" i="22" s="1"/>
  <c r="I206" i="22"/>
  <c r="M206" i="22" s="1"/>
  <c r="J205" i="22"/>
  <c r="K205" i="22" s="1"/>
  <c r="I205" i="22"/>
  <c r="M205" i="22" s="1"/>
  <c r="J204" i="22"/>
  <c r="K204" i="22" s="1"/>
  <c r="I204" i="22"/>
  <c r="M204" i="22" s="1"/>
  <c r="M203" i="22"/>
  <c r="J203" i="22"/>
  <c r="K203" i="22" s="1"/>
  <c r="I203" i="22"/>
  <c r="J202" i="22"/>
  <c r="K202" i="22" s="1"/>
  <c r="I202" i="22"/>
  <c r="M202" i="22" s="1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J191" i="22"/>
  <c r="K191" i="22" s="1"/>
  <c r="I191" i="22"/>
  <c r="M191" i="22" s="1"/>
  <c r="J190" i="22"/>
  <c r="K190" i="22" s="1"/>
  <c r="I190" i="22"/>
  <c r="M190" i="22" s="1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J174" i="22"/>
  <c r="K174" i="22" s="1"/>
  <c r="I174" i="22"/>
  <c r="M174" i="22" s="1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J164" i="22"/>
  <c r="K164" i="22" s="1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J159" i="22"/>
  <c r="K159" i="22" s="1"/>
  <c r="I159" i="22"/>
  <c r="M159" i="22" s="1"/>
  <c r="J158" i="22"/>
  <c r="K158" i="22" s="1"/>
  <c r="I158" i="22"/>
  <c r="M158" i="22" s="1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J148" i="22"/>
  <c r="K148" i="22" s="1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J142" i="22"/>
  <c r="K142" i="22" s="1"/>
  <c r="I142" i="22"/>
  <c r="M142" i="22" s="1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J136" i="22"/>
  <c r="K136" i="22" s="1"/>
  <c r="I136" i="22"/>
  <c r="M136" i="22" s="1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J132" i="22"/>
  <c r="K132" i="22" s="1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J126" i="22"/>
  <c r="K126" i="22" s="1"/>
  <c r="I126" i="22"/>
  <c r="M126" i="22" s="1"/>
  <c r="J125" i="22"/>
  <c r="K125" i="22" s="1"/>
  <c r="I125" i="22"/>
  <c r="M125" i="22" s="1"/>
  <c r="J124" i="22"/>
  <c r="K124" i="22" s="1"/>
  <c r="I124" i="22"/>
  <c r="M124" i="22" s="1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J120" i="22"/>
  <c r="K120" i="22" s="1"/>
  <c r="I120" i="22"/>
  <c r="M120" i="22" s="1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J110" i="22"/>
  <c r="K110" i="22" s="1"/>
  <c r="I110" i="22"/>
  <c r="M110" i="22" s="1"/>
  <c r="J109" i="22"/>
  <c r="K109" i="22" s="1"/>
  <c r="I109" i="22"/>
  <c r="M109" i="22" s="1"/>
  <c r="J108" i="22"/>
  <c r="K108" i="22" s="1"/>
  <c r="I108" i="22"/>
  <c r="M108" i="22" s="1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J104" i="22"/>
  <c r="K104" i="22" s="1"/>
  <c r="I104" i="22"/>
  <c r="M104" i="22" s="1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J100" i="22"/>
  <c r="K100" i="22" s="1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J86" i="22"/>
  <c r="K86" i="22" s="1"/>
  <c r="I86" i="22"/>
  <c r="M86" i="22" s="1"/>
  <c r="M85" i="22"/>
  <c r="J85" i="22"/>
  <c r="K85" i="22" s="1"/>
  <c r="I85" i="22"/>
  <c r="J84" i="22"/>
  <c r="K84" i="22" s="1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J76" i="22"/>
  <c r="K76" i="22" s="1"/>
  <c r="I76" i="22"/>
  <c r="M76" i="22" s="1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J72" i="22"/>
  <c r="K72" i="22" s="1"/>
  <c r="I72" i="22"/>
  <c r="M72" i="22" s="1"/>
  <c r="J71" i="22"/>
  <c r="K71" i="22" s="1"/>
  <c r="I71" i="22"/>
  <c r="M71" i="22" s="1"/>
  <c r="J70" i="22"/>
  <c r="K70" i="22" s="1"/>
  <c r="I70" i="22"/>
  <c r="M70" i="22" s="1"/>
  <c r="J69" i="22"/>
  <c r="K69" i="22" s="1"/>
  <c r="I69" i="22"/>
  <c r="M69" i="22" s="1"/>
  <c r="J68" i="22"/>
  <c r="K68" i="22" s="1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J64" i="22"/>
  <c r="K64" i="22" s="1"/>
  <c r="I64" i="22"/>
  <c r="M64" i="22" s="1"/>
  <c r="B64" i="22"/>
  <c r="J63" i="22"/>
  <c r="K63" i="22" s="1"/>
  <c r="I63" i="22"/>
  <c r="M63" i="22" s="1"/>
  <c r="B63" i="22"/>
  <c r="J62" i="22"/>
  <c r="K62" i="22" s="1"/>
  <c r="I62" i="22"/>
  <c r="M62" i="22" s="1"/>
  <c r="B62" i="22"/>
  <c r="J61" i="22"/>
  <c r="K61" i="22" s="1"/>
  <c r="I61" i="22"/>
  <c r="M61" i="22" s="1"/>
  <c r="B61" i="22"/>
  <c r="J60" i="22"/>
  <c r="K60" i="22" s="1"/>
  <c r="I60" i="22"/>
  <c r="M60" i="22" s="1"/>
  <c r="B60" i="22"/>
  <c r="J59" i="22"/>
  <c r="K59" i="22" s="1"/>
  <c r="I59" i="22"/>
  <c r="M59" i="22" s="1"/>
  <c r="B59" i="22"/>
  <c r="J58" i="22"/>
  <c r="K58" i="22" s="1"/>
  <c r="I58" i="22"/>
  <c r="M58" i="22" s="1"/>
  <c r="B58" i="22"/>
  <c r="J57" i="22"/>
  <c r="K57" i="22" s="1"/>
  <c r="I57" i="22"/>
  <c r="M57" i="22" s="1"/>
  <c r="B57" i="22"/>
  <c r="J56" i="22"/>
  <c r="K56" i="22" s="1"/>
  <c r="I56" i="22"/>
  <c r="M56" i="22" s="1"/>
  <c r="B56" i="22"/>
  <c r="J55" i="22"/>
  <c r="K55" i="22" s="1"/>
  <c r="I55" i="22"/>
  <c r="M55" i="22" s="1"/>
  <c r="B55" i="22"/>
  <c r="J54" i="22"/>
  <c r="K54" i="22" s="1"/>
  <c r="I54" i="22"/>
  <c r="M54" i="22" s="1"/>
  <c r="B54" i="22"/>
  <c r="J53" i="22"/>
  <c r="K53" i="22" s="1"/>
  <c r="I53" i="22"/>
  <c r="M53" i="22" s="1"/>
  <c r="B53" i="22"/>
  <c r="J52" i="22"/>
  <c r="K52" i="22" s="1"/>
  <c r="I52" i="22"/>
  <c r="M52" i="22" s="1"/>
  <c r="B52" i="22"/>
  <c r="J51" i="22"/>
  <c r="K51" i="22" s="1"/>
  <c r="I51" i="22"/>
  <c r="M51" i="22" s="1"/>
  <c r="B51" i="22"/>
  <c r="J50" i="22"/>
  <c r="K50" i="22" s="1"/>
  <c r="I50" i="22"/>
  <c r="M50" i="22" s="1"/>
  <c r="B50" i="22"/>
  <c r="J49" i="22"/>
  <c r="K49" i="22" s="1"/>
  <c r="I49" i="22"/>
  <c r="M49" i="22" s="1"/>
  <c r="B49" i="22"/>
  <c r="J48" i="22"/>
  <c r="K48" i="22" s="1"/>
  <c r="I48" i="22"/>
  <c r="M48" i="22" s="1"/>
  <c r="B48" i="22"/>
  <c r="J47" i="22"/>
  <c r="K47" i="22" s="1"/>
  <c r="I47" i="22"/>
  <c r="M47" i="22" s="1"/>
  <c r="B47" i="22"/>
  <c r="T46" i="22"/>
  <c r="R46" i="22"/>
  <c r="J46" i="22"/>
  <c r="K46" i="22" s="1"/>
  <c r="I46" i="22"/>
  <c r="M46" i="22" s="1"/>
  <c r="B46" i="22"/>
  <c r="J45" i="22"/>
  <c r="K45" i="22" s="1"/>
  <c r="I45" i="22"/>
  <c r="M45" i="22" s="1"/>
  <c r="B45" i="22"/>
  <c r="J44" i="22"/>
  <c r="K44" i="22" s="1"/>
  <c r="I44" i="22"/>
  <c r="M44" i="22" s="1"/>
  <c r="B44" i="22"/>
  <c r="J43" i="22"/>
  <c r="K43" i="22" s="1"/>
  <c r="I43" i="22"/>
  <c r="M43" i="22" s="1"/>
  <c r="B43" i="22"/>
  <c r="J42" i="22"/>
  <c r="K42" i="22" s="1"/>
  <c r="I42" i="22"/>
  <c r="M42" i="22" s="1"/>
  <c r="B42" i="22"/>
  <c r="J41" i="22"/>
  <c r="K41" i="22" s="1"/>
  <c r="I41" i="22"/>
  <c r="M41" i="22" s="1"/>
  <c r="B41" i="22"/>
  <c r="J40" i="22"/>
  <c r="K40" i="22" s="1"/>
  <c r="I40" i="22"/>
  <c r="M40" i="22" s="1"/>
  <c r="B40" i="22"/>
  <c r="J39" i="22"/>
  <c r="K39" i="22" s="1"/>
  <c r="I39" i="22"/>
  <c r="M39" i="22" s="1"/>
  <c r="B39" i="22"/>
  <c r="J38" i="22"/>
  <c r="K38" i="22" s="1"/>
  <c r="I38" i="22"/>
  <c r="M38" i="22" s="1"/>
  <c r="B38" i="22"/>
  <c r="J37" i="22"/>
  <c r="K37" i="22" s="1"/>
  <c r="I37" i="22"/>
  <c r="M37" i="22" s="1"/>
  <c r="A37" i="22" s="1"/>
  <c r="B37" i="22"/>
  <c r="J36" i="22"/>
  <c r="K36" i="22" s="1"/>
  <c r="I36" i="22"/>
  <c r="M36" i="22" s="1"/>
  <c r="A36" i="22" s="1"/>
  <c r="B36" i="22"/>
  <c r="J35" i="22"/>
  <c r="K35" i="22" s="1"/>
  <c r="I35" i="22"/>
  <c r="M35" i="22" s="1"/>
  <c r="A35" i="22" s="1"/>
  <c r="B35" i="22"/>
  <c r="J34" i="22"/>
  <c r="K34" i="22" s="1"/>
  <c r="I34" i="22"/>
  <c r="M34" i="22" s="1"/>
  <c r="A34" i="22" s="1"/>
  <c r="B34" i="22"/>
  <c r="J33" i="22"/>
  <c r="K33" i="22" s="1"/>
  <c r="I33" i="22"/>
  <c r="M33" i="22" s="1"/>
  <c r="A33" i="22" s="1"/>
  <c r="B33" i="22"/>
  <c r="J32" i="22"/>
  <c r="K32" i="22" s="1"/>
  <c r="I32" i="22"/>
  <c r="M32" i="22" s="1"/>
  <c r="A32" i="22" s="1"/>
  <c r="B32" i="22"/>
  <c r="J31" i="22"/>
  <c r="K31" i="22" s="1"/>
  <c r="I31" i="22"/>
  <c r="M31" i="22" s="1"/>
  <c r="A31" i="22" s="1"/>
  <c r="B31" i="22"/>
  <c r="J30" i="22"/>
  <c r="K30" i="22" s="1"/>
  <c r="I30" i="22"/>
  <c r="M30" i="22" s="1"/>
  <c r="A30" i="22" s="1"/>
  <c r="B30" i="22"/>
  <c r="J29" i="22"/>
  <c r="K29" i="22" s="1"/>
  <c r="I29" i="22"/>
  <c r="M29" i="22" s="1"/>
  <c r="A29" i="22" s="1"/>
  <c r="B29" i="22"/>
  <c r="J28" i="22"/>
  <c r="K28" i="22" s="1"/>
  <c r="I28" i="22"/>
  <c r="M28" i="22" s="1"/>
  <c r="A28" i="22" s="1"/>
  <c r="B28" i="22"/>
  <c r="J27" i="22"/>
  <c r="K27" i="22" s="1"/>
  <c r="I27" i="22"/>
  <c r="M27" i="22" s="1"/>
  <c r="A27" i="22" s="1"/>
  <c r="B27" i="22"/>
  <c r="J26" i="22"/>
  <c r="K26" i="22" s="1"/>
  <c r="I26" i="22"/>
  <c r="M26" i="22" s="1"/>
  <c r="A26" i="22" s="1"/>
  <c r="B26" i="22"/>
  <c r="J25" i="22"/>
  <c r="K25" i="22" s="1"/>
  <c r="I25" i="22"/>
  <c r="M25" i="22" s="1"/>
  <c r="A25" i="22" s="1"/>
  <c r="B25" i="22"/>
  <c r="J24" i="22"/>
  <c r="K24" i="22" s="1"/>
  <c r="I24" i="22"/>
  <c r="M24" i="22" s="1"/>
  <c r="A24" i="22" s="1"/>
  <c r="B24" i="22"/>
  <c r="J23" i="22"/>
  <c r="K23" i="22" s="1"/>
  <c r="I23" i="22"/>
  <c r="M23" i="22" s="1"/>
  <c r="A23" i="22" s="1"/>
  <c r="B23" i="22"/>
  <c r="J22" i="22"/>
  <c r="K22" i="22" s="1"/>
  <c r="I22" i="22"/>
  <c r="M22" i="22" s="1"/>
  <c r="A22" i="22" s="1"/>
  <c r="B22" i="22"/>
  <c r="J21" i="22"/>
  <c r="K21" i="22" s="1"/>
  <c r="I21" i="22"/>
  <c r="M21" i="22" s="1"/>
  <c r="A21" i="22" s="1"/>
  <c r="B21" i="22"/>
  <c r="J20" i="22"/>
  <c r="K20" i="22" s="1"/>
  <c r="I20" i="22"/>
  <c r="M20" i="22" s="1"/>
  <c r="A20" i="22" s="1"/>
  <c r="B20" i="22"/>
  <c r="J19" i="22"/>
  <c r="K19" i="22" s="1"/>
  <c r="I19" i="22"/>
  <c r="M19" i="22" s="1"/>
  <c r="A19" i="22" s="1"/>
  <c r="B19" i="22"/>
  <c r="J18" i="22"/>
  <c r="K18" i="22" s="1"/>
  <c r="I18" i="22"/>
  <c r="M18" i="22" s="1"/>
  <c r="A18" i="22" s="1"/>
  <c r="B18" i="22"/>
  <c r="J17" i="22"/>
  <c r="K17" i="22" s="1"/>
  <c r="I17" i="22"/>
  <c r="M17" i="22" s="1"/>
  <c r="A17" i="22" s="1"/>
  <c r="B17" i="22"/>
  <c r="Z27" i="20" s="1"/>
  <c r="J16" i="22"/>
  <c r="K16" i="22" s="1"/>
  <c r="I16" i="22"/>
  <c r="B16" i="22"/>
  <c r="J15" i="22"/>
  <c r="K15" i="22" s="1"/>
  <c r="I15" i="22"/>
  <c r="B15" i="22"/>
  <c r="AI14" i="22"/>
  <c r="J14" i="22"/>
  <c r="K14" i="22" s="1"/>
  <c r="I14" i="22"/>
  <c r="B14" i="22"/>
  <c r="AI13" i="22"/>
  <c r="J13" i="22"/>
  <c r="K13" i="22" s="1"/>
  <c r="I13" i="22"/>
  <c r="Z13" i="20"/>
  <c r="AI12" i="22"/>
  <c r="J12" i="22"/>
  <c r="K12" i="22" s="1"/>
  <c r="I12" i="22"/>
  <c r="B12" i="22"/>
  <c r="J11" i="22"/>
  <c r="K11" i="22" s="1"/>
  <c r="I11" i="22"/>
  <c r="M11" i="22" s="1"/>
  <c r="A11" i="22" s="1"/>
  <c r="B11" i="22"/>
  <c r="J10" i="22"/>
  <c r="K10" i="22" s="1"/>
  <c r="I10" i="22"/>
  <c r="B10" i="22"/>
  <c r="J9" i="22"/>
  <c r="K9" i="22" s="1"/>
  <c r="I9" i="22"/>
  <c r="B9" i="22"/>
  <c r="J8" i="22"/>
  <c r="K8" i="22" s="1"/>
  <c r="I8" i="22"/>
  <c r="B8" i="22"/>
  <c r="J7" i="22"/>
  <c r="K7" i="22" s="1"/>
  <c r="I7" i="22"/>
  <c r="B7" i="22"/>
  <c r="J6" i="22"/>
  <c r="K6" i="22" s="1"/>
  <c r="I6" i="22"/>
  <c r="B6" i="22"/>
  <c r="K2" i="22"/>
  <c r="L6" i="22" s="1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J305" i="21"/>
  <c r="K305" i="21" s="1"/>
  <c r="I305" i="21"/>
  <c r="M305" i="21" s="1"/>
  <c r="J304" i="21"/>
  <c r="K304" i="21" s="1"/>
  <c r="I304" i="21"/>
  <c r="M304" i="21" s="1"/>
  <c r="J303" i="21"/>
  <c r="K303" i="21" s="1"/>
  <c r="I303" i="21"/>
  <c r="M303" i="21" s="1"/>
  <c r="J302" i="21"/>
  <c r="K302" i="21" s="1"/>
  <c r="I302" i="21"/>
  <c r="M302" i="21" s="1"/>
  <c r="J301" i="21"/>
  <c r="K301" i="21" s="1"/>
  <c r="I301" i="21"/>
  <c r="M301" i="21" s="1"/>
  <c r="M300" i="21"/>
  <c r="J300" i="21"/>
  <c r="K300" i="21" s="1"/>
  <c r="I300" i="21"/>
  <c r="J299" i="21"/>
  <c r="K299" i="21" s="1"/>
  <c r="I299" i="21"/>
  <c r="M299" i="21" s="1"/>
  <c r="M298" i="21"/>
  <c r="J298" i="21"/>
  <c r="K298" i="21" s="1"/>
  <c r="I298" i="21"/>
  <c r="J297" i="21"/>
  <c r="K297" i="21" s="1"/>
  <c r="I297" i="21"/>
  <c r="M297" i="21" s="1"/>
  <c r="M296" i="21"/>
  <c r="J296" i="21"/>
  <c r="K296" i="21" s="1"/>
  <c r="I296" i="21"/>
  <c r="J295" i="21"/>
  <c r="K295" i="21" s="1"/>
  <c r="I295" i="21"/>
  <c r="M295" i="21" s="1"/>
  <c r="M294" i="21"/>
  <c r="J294" i="21"/>
  <c r="K294" i="21" s="1"/>
  <c r="I294" i="21"/>
  <c r="J293" i="21"/>
  <c r="K293" i="21" s="1"/>
  <c r="I293" i="21"/>
  <c r="M293" i="21" s="1"/>
  <c r="J292" i="21"/>
  <c r="K292" i="21" s="1"/>
  <c r="I292" i="21"/>
  <c r="M292" i="21" s="1"/>
  <c r="J291" i="21"/>
  <c r="K291" i="21" s="1"/>
  <c r="I291" i="21"/>
  <c r="M291" i="21" s="1"/>
  <c r="M290" i="21"/>
  <c r="J290" i="21"/>
  <c r="K290" i="21" s="1"/>
  <c r="I290" i="21"/>
  <c r="J289" i="21"/>
  <c r="K289" i="21" s="1"/>
  <c r="I289" i="21"/>
  <c r="M289" i="21" s="1"/>
  <c r="M288" i="21"/>
  <c r="J288" i="21"/>
  <c r="K288" i="21" s="1"/>
  <c r="I288" i="21"/>
  <c r="J287" i="21"/>
  <c r="K287" i="21" s="1"/>
  <c r="I287" i="21"/>
  <c r="M287" i="21" s="1"/>
  <c r="J286" i="21"/>
  <c r="K286" i="21" s="1"/>
  <c r="I286" i="21"/>
  <c r="M286" i="21" s="1"/>
  <c r="J285" i="21"/>
  <c r="K285" i="21" s="1"/>
  <c r="I285" i="21"/>
  <c r="M285" i="21" s="1"/>
  <c r="J284" i="21"/>
  <c r="K284" i="21" s="1"/>
  <c r="I284" i="21"/>
  <c r="M284" i="21" s="1"/>
  <c r="K283" i="21"/>
  <c r="J283" i="21"/>
  <c r="I283" i="21"/>
  <c r="M283" i="21" s="1"/>
  <c r="K282" i="21"/>
  <c r="J282" i="21"/>
  <c r="I282" i="21"/>
  <c r="M282" i="21" s="1"/>
  <c r="J281" i="21"/>
  <c r="K281" i="21" s="1"/>
  <c r="I281" i="21"/>
  <c r="M281" i="21" s="1"/>
  <c r="J280" i="21"/>
  <c r="K280" i="21" s="1"/>
  <c r="I280" i="21"/>
  <c r="M280" i="21" s="1"/>
  <c r="J279" i="21"/>
  <c r="K279" i="21" s="1"/>
  <c r="I279" i="21"/>
  <c r="M279" i="21" s="1"/>
  <c r="M278" i="21"/>
  <c r="J278" i="21"/>
  <c r="K278" i="21" s="1"/>
  <c r="I278" i="21"/>
  <c r="J277" i="21"/>
  <c r="K277" i="21" s="1"/>
  <c r="I277" i="21"/>
  <c r="M277" i="21" s="1"/>
  <c r="M276" i="21"/>
  <c r="K276" i="21"/>
  <c r="J276" i="21"/>
  <c r="I276" i="21"/>
  <c r="J275" i="21"/>
  <c r="K275" i="21" s="1"/>
  <c r="I275" i="21"/>
  <c r="M275" i="21" s="1"/>
  <c r="J274" i="21"/>
  <c r="K274" i="21" s="1"/>
  <c r="I274" i="21"/>
  <c r="M274" i="21" s="1"/>
  <c r="J273" i="21"/>
  <c r="K273" i="21" s="1"/>
  <c r="I273" i="21"/>
  <c r="M273" i="21" s="1"/>
  <c r="J272" i="21"/>
  <c r="K272" i="21" s="1"/>
  <c r="I272" i="21"/>
  <c r="M272" i="21" s="1"/>
  <c r="J271" i="21"/>
  <c r="K271" i="21" s="1"/>
  <c r="I271" i="21"/>
  <c r="M271" i="21" s="1"/>
  <c r="J270" i="21"/>
  <c r="K270" i="21" s="1"/>
  <c r="I270" i="21"/>
  <c r="M270" i="21" s="1"/>
  <c r="J269" i="21"/>
  <c r="K269" i="21" s="1"/>
  <c r="I269" i="21"/>
  <c r="M269" i="21" s="1"/>
  <c r="M268" i="21"/>
  <c r="K268" i="21"/>
  <c r="J268" i="21"/>
  <c r="I268" i="21"/>
  <c r="J267" i="21"/>
  <c r="K267" i="21" s="1"/>
  <c r="I267" i="21"/>
  <c r="M267" i="21" s="1"/>
  <c r="M266" i="21"/>
  <c r="J266" i="21"/>
  <c r="K266" i="21" s="1"/>
  <c r="I266" i="21"/>
  <c r="J265" i="21"/>
  <c r="K265" i="21" s="1"/>
  <c r="I265" i="21"/>
  <c r="M265" i="21" s="1"/>
  <c r="M264" i="21"/>
  <c r="J264" i="21"/>
  <c r="K264" i="21" s="1"/>
  <c r="I264" i="21"/>
  <c r="J263" i="21"/>
  <c r="K263" i="21" s="1"/>
  <c r="I263" i="21"/>
  <c r="M263" i="21" s="1"/>
  <c r="J262" i="21"/>
  <c r="K262" i="21" s="1"/>
  <c r="I262" i="21"/>
  <c r="M262" i="21" s="1"/>
  <c r="J261" i="21"/>
  <c r="K261" i="21" s="1"/>
  <c r="I261" i="21"/>
  <c r="M261" i="21" s="1"/>
  <c r="J260" i="21"/>
  <c r="K260" i="21" s="1"/>
  <c r="I260" i="21"/>
  <c r="M260" i="21" s="1"/>
  <c r="J259" i="21"/>
  <c r="K259" i="21" s="1"/>
  <c r="I259" i="21"/>
  <c r="M259" i="21" s="1"/>
  <c r="M258" i="21"/>
  <c r="J258" i="21"/>
  <c r="K258" i="21" s="1"/>
  <c r="I258" i="21"/>
  <c r="J257" i="21"/>
  <c r="K257" i="21" s="1"/>
  <c r="I257" i="21"/>
  <c r="M257" i="21" s="1"/>
  <c r="M256" i="21"/>
  <c r="J256" i="21"/>
  <c r="K256" i="21" s="1"/>
  <c r="I256" i="21"/>
  <c r="J255" i="21"/>
  <c r="K255" i="21" s="1"/>
  <c r="I255" i="21"/>
  <c r="M255" i="21" s="1"/>
  <c r="J254" i="21"/>
  <c r="K254" i="21" s="1"/>
  <c r="I254" i="21"/>
  <c r="M254" i="21" s="1"/>
  <c r="J253" i="21"/>
  <c r="K253" i="21" s="1"/>
  <c r="I253" i="21"/>
  <c r="M253" i="21" s="1"/>
  <c r="J252" i="21"/>
  <c r="K252" i="21" s="1"/>
  <c r="I252" i="21"/>
  <c r="M252" i="21" s="1"/>
  <c r="J251" i="21"/>
  <c r="K251" i="21" s="1"/>
  <c r="I251" i="21"/>
  <c r="M251" i="21" s="1"/>
  <c r="J250" i="21"/>
  <c r="K250" i="21" s="1"/>
  <c r="I250" i="21"/>
  <c r="M250" i="21" s="1"/>
  <c r="J249" i="21"/>
  <c r="K249" i="21" s="1"/>
  <c r="I249" i="21"/>
  <c r="M249" i="21" s="1"/>
  <c r="J248" i="21"/>
  <c r="K248" i="21" s="1"/>
  <c r="I248" i="21"/>
  <c r="M248" i="21" s="1"/>
  <c r="J247" i="21"/>
  <c r="K247" i="21" s="1"/>
  <c r="I247" i="21"/>
  <c r="M247" i="21" s="1"/>
  <c r="M246" i="21"/>
  <c r="K246" i="21"/>
  <c r="J246" i="21"/>
  <c r="I246" i="21"/>
  <c r="J245" i="21"/>
  <c r="K245" i="21" s="1"/>
  <c r="I245" i="21"/>
  <c r="M245" i="21" s="1"/>
  <c r="M244" i="21"/>
  <c r="J244" i="21"/>
  <c r="K244" i="21" s="1"/>
  <c r="I244" i="21"/>
  <c r="J243" i="21"/>
  <c r="K243" i="21" s="1"/>
  <c r="I243" i="21"/>
  <c r="M243" i="21" s="1"/>
  <c r="J242" i="21"/>
  <c r="K242" i="21" s="1"/>
  <c r="I242" i="21"/>
  <c r="M242" i="21" s="1"/>
  <c r="J241" i="21"/>
  <c r="K241" i="21" s="1"/>
  <c r="I241" i="21"/>
  <c r="M241" i="21" s="1"/>
  <c r="J240" i="21"/>
  <c r="K240" i="21" s="1"/>
  <c r="I240" i="21"/>
  <c r="M240" i="21" s="1"/>
  <c r="J239" i="21"/>
  <c r="K239" i="21" s="1"/>
  <c r="I239" i="21"/>
  <c r="M239" i="21" s="1"/>
  <c r="J238" i="21"/>
  <c r="K238" i="21" s="1"/>
  <c r="I238" i="21"/>
  <c r="M238" i="21" s="1"/>
  <c r="J237" i="21"/>
  <c r="K237" i="21" s="1"/>
  <c r="I237" i="21"/>
  <c r="M237" i="21" s="1"/>
  <c r="M236" i="21"/>
  <c r="K236" i="21"/>
  <c r="J236" i="21"/>
  <c r="I236" i="21"/>
  <c r="J235" i="21"/>
  <c r="K235" i="21" s="1"/>
  <c r="I235" i="21"/>
  <c r="M235" i="21" s="1"/>
  <c r="J234" i="21"/>
  <c r="K234" i="21" s="1"/>
  <c r="I234" i="21"/>
  <c r="M234" i="21" s="1"/>
  <c r="J233" i="21"/>
  <c r="K233" i="21" s="1"/>
  <c r="I233" i="21"/>
  <c r="M233" i="21" s="1"/>
  <c r="M232" i="21"/>
  <c r="K232" i="21"/>
  <c r="J232" i="21"/>
  <c r="I232" i="21"/>
  <c r="K231" i="21"/>
  <c r="J231" i="21"/>
  <c r="I231" i="21"/>
  <c r="M231" i="21" s="1"/>
  <c r="J230" i="21"/>
  <c r="K230" i="21" s="1"/>
  <c r="I230" i="21"/>
  <c r="M230" i="21" s="1"/>
  <c r="J229" i="21"/>
  <c r="K229" i="21" s="1"/>
  <c r="I229" i="21"/>
  <c r="M229" i="21" s="1"/>
  <c r="J228" i="21"/>
  <c r="K228" i="21" s="1"/>
  <c r="I228" i="21"/>
  <c r="M228" i="21" s="1"/>
  <c r="J227" i="21"/>
  <c r="K227" i="21" s="1"/>
  <c r="I227" i="21"/>
  <c r="M227" i="21" s="1"/>
  <c r="M226" i="21"/>
  <c r="J226" i="21"/>
  <c r="K226" i="21" s="1"/>
  <c r="I226" i="21"/>
  <c r="J225" i="21"/>
  <c r="K225" i="21" s="1"/>
  <c r="I225" i="21"/>
  <c r="M225" i="21" s="1"/>
  <c r="M224" i="21"/>
  <c r="J224" i="21"/>
  <c r="K224" i="21" s="1"/>
  <c r="I224" i="21"/>
  <c r="J223" i="21"/>
  <c r="K223" i="21" s="1"/>
  <c r="I223" i="21"/>
  <c r="M223" i="21" s="1"/>
  <c r="J222" i="21"/>
  <c r="K222" i="21" s="1"/>
  <c r="I222" i="21"/>
  <c r="M222" i="21" s="1"/>
  <c r="J221" i="21"/>
  <c r="K221" i="21" s="1"/>
  <c r="I221" i="21"/>
  <c r="M221" i="21" s="1"/>
  <c r="J220" i="21"/>
  <c r="K220" i="21" s="1"/>
  <c r="I220" i="21"/>
  <c r="M220" i="21" s="1"/>
  <c r="J219" i="21"/>
  <c r="K219" i="21" s="1"/>
  <c r="I219" i="21"/>
  <c r="M219" i="21" s="1"/>
  <c r="J218" i="21"/>
  <c r="K218" i="21" s="1"/>
  <c r="I218" i="21"/>
  <c r="M218" i="21" s="1"/>
  <c r="J217" i="21"/>
  <c r="K217" i="21" s="1"/>
  <c r="I217" i="21"/>
  <c r="M217" i="21" s="1"/>
  <c r="J216" i="21"/>
  <c r="K216" i="21" s="1"/>
  <c r="I216" i="21"/>
  <c r="M216" i="21" s="1"/>
  <c r="J215" i="21"/>
  <c r="K215" i="21" s="1"/>
  <c r="I215" i="21"/>
  <c r="M215" i="21" s="1"/>
  <c r="M214" i="21"/>
  <c r="K214" i="21"/>
  <c r="J214" i="21"/>
  <c r="I214" i="21"/>
  <c r="J213" i="21"/>
  <c r="K213" i="21" s="1"/>
  <c r="I213" i="21"/>
  <c r="M213" i="21" s="1"/>
  <c r="M212" i="21"/>
  <c r="J212" i="21"/>
  <c r="K212" i="21" s="1"/>
  <c r="I212" i="21"/>
  <c r="J211" i="21"/>
  <c r="K211" i="21" s="1"/>
  <c r="I211" i="21"/>
  <c r="M211" i="21" s="1"/>
  <c r="J210" i="21"/>
  <c r="K210" i="21" s="1"/>
  <c r="I210" i="21"/>
  <c r="M210" i="21" s="1"/>
  <c r="J209" i="21"/>
  <c r="K209" i="21" s="1"/>
  <c r="I209" i="21"/>
  <c r="M209" i="21" s="1"/>
  <c r="J208" i="21"/>
  <c r="K208" i="21" s="1"/>
  <c r="I208" i="21"/>
  <c r="M208" i="21" s="1"/>
  <c r="J207" i="21"/>
  <c r="K207" i="21" s="1"/>
  <c r="I207" i="21"/>
  <c r="M207" i="21" s="1"/>
  <c r="J206" i="21"/>
  <c r="K206" i="21" s="1"/>
  <c r="I206" i="21"/>
  <c r="M206" i="21" s="1"/>
  <c r="J205" i="21"/>
  <c r="K205" i="21" s="1"/>
  <c r="I205" i="21"/>
  <c r="M205" i="21" s="1"/>
  <c r="J204" i="21"/>
  <c r="K204" i="21" s="1"/>
  <c r="I204" i="21"/>
  <c r="M204" i="21" s="1"/>
  <c r="J203" i="21"/>
  <c r="K203" i="21" s="1"/>
  <c r="I203" i="21"/>
  <c r="M203" i="21" s="1"/>
  <c r="M202" i="21"/>
  <c r="J202" i="21"/>
  <c r="K202" i="21" s="1"/>
  <c r="I202" i="21"/>
  <c r="J201" i="21"/>
  <c r="K201" i="21" s="1"/>
  <c r="I201" i="21"/>
  <c r="M201" i="21" s="1"/>
  <c r="M200" i="21"/>
  <c r="K200" i="21"/>
  <c r="J200" i="21"/>
  <c r="I200" i="21"/>
  <c r="J199" i="21"/>
  <c r="K199" i="21" s="1"/>
  <c r="I199" i="21"/>
  <c r="M199" i="21" s="1"/>
  <c r="J198" i="21"/>
  <c r="K198" i="21" s="1"/>
  <c r="I198" i="21"/>
  <c r="M198" i="21" s="1"/>
  <c r="J197" i="21"/>
  <c r="K197" i="21" s="1"/>
  <c r="I197" i="21"/>
  <c r="M197" i="21" s="1"/>
  <c r="J196" i="21"/>
  <c r="K196" i="21" s="1"/>
  <c r="I196" i="21"/>
  <c r="M196" i="21" s="1"/>
  <c r="J195" i="21"/>
  <c r="K195" i="21" s="1"/>
  <c r="I195" i="21"/>
  <c r="M195" i="21" s="1"/>
  <c r="J194" i="21"/>
  <c r="K194" i="21" s="1"/>
  <c r="I194" i="21"/>
  <c r="M194" i="21" s="1"/>
  <c r="J193" i="21"/>
  <c r="K193" i="21" s="1"/>
  <c r="I193" i="21"/>
  <c r="M193" i="21" s="1"/>
  <c r="M192" i="21"/>
  <c r="K192" i="21"/>
  <c r="J192" i="21"/>
  <c r="I192" i="21"/>
  <c r="J191" i="21"/>
  <c r="K191" i="21" s="1"/>
  <c r="I191" i="21"/>
  <c r="M191" i="21" s="1"/>
  <c r="M190" i="21"/>
  <c r="J190" i="21"/>
  <c r="K190" i="21" s="1"/>
  <c r="I190" i="21"/>
  <c r="J189" i="21"/>
  <c r="K189" i="21" s="1"/>
  <c r="I189" i="21"/>
  <c r="M189" i="21" s="1"/>
  <c r="M188" i="21"/>
  <c r="J188" i="21"/>
  <c r="K188" i="21" s="1"/>
  <c r="I188" i="21"/>
  <c r="J187" i="21"/>
  <c r="K187" i="21" s="1"/>
  <c r="I187" i="21"/>
  <c r="M187" i="21" s="1"/>
  <c r="J186" i="21"/>
  <c r="K186" i="21" s="1"/>
  <c r="I186" i="21"/>
  <c r="M186" i="21" s="1"/>
  <c r="J185" i="21"/>
  <c r="K185" i="21" s="1"/>
  <c r="I185" i="21"/>
  <c r="M185" i="21" s="1"/>
  <c r="J184" i="21"/>
  <c r="K184" i="21" s="1"/>
  <c r="I184" i="21"/>
  <c r="M184" i="21" s="1"/>
  <c r="J183" i="21"/>
  <c r="K183" i="21" s="1"/>
  <c r="I183" i="21"/>
  <c r="M183" i="21" s="1"/>
  <c r="M182" i="21"/>
  <c r="K182" i="21"/>
  <c r="J182" i="21"/>
  <c r="I182" i="21"/>
  <c r="J181" i="21"/>
  <c r="K181" i="21" s="1"/>
  <c r="I181" i="21"/>
  <c r="M181" i="21" s="1"/>
  <c r="M180" i="21"/>
  <c r="K180" i="21"/>
  <c r="J180" i="21"/>
  <c r="I180" i="21"/>
  <c r="J179" i="21"/>
  <c r="K179" i="21" s="1"/>
  <c r="I179" i="21"/>
  <c r="M179" i="21" s="1"/>
  <c r="J178" i="21"/>
  <c r="K178" i="21" s="1"/>
  <c r="I178" i="21"/>
  <c r="M178" i="21" s="1"/>
  <c r="J177" i="21"/>
  <c r="K177" i="21" s="1"/>
  <c r="I177" i="21"/>
  <c r="M177" i="21" s="1"/>
  <c r="J176" i="21"/>
  <c r="K176" i="21" s="1"/>
  <c r="I176" i="21"/>
  <c r="M176" i="21" s="1"/>
  <c r="J175" i="21"/>
  <c r="K175" i="21" s="1"/>
  <c r="I175" i="21"/>
  <c r="M175" i="21" s="1"/>
  <c r="J174" i="21"/>
  <c r="K174" i="21" s="1"/>
  <c r="I174" i="21"/>
  <c r="M174" i="21" s="1"/>
  <c r="J173" i="21"/>
  <c r="K173" i="21" s="1"/>
  <c r="I173" i="21"/>
  <c r="M173" i="21" s="1"/>
  <c r="M172" i="21"/>
  <c r="K172" i="21"/>
  <c r="J172" i="21"/>
  <c r="I172" i="21"/>
  <c r="J171" i="21"/>
  <c r="K171" i="21" s="1"/>
  <c r="I171" i="21"/>
  <c r="M171" i="21" s="1"/>
  <c r="M170" i="21"/>
  <c r="K170" i="21"/>
  <c r="J170" i="21"/>
  <c r="I170" i="21"/>
  <c r="J169" i="21"/>
  <c r="K169" i="21" s="1"/>
  <c r="I169" i="21"/>
  <c r="M169" i="21" s="1"/>
  <c r="M168" i="21"/>
  <c r="J168" i="21"/>
  <c r="K168" i="21" s="1"/>
  <c r="I168" i="21"/>
  <c r="J167" i="21"/>
  <c r="K167" i="21" s="1"/>
  <c r="I167" i="21"/>
  <c r="M167" i="21" s="1"/>
  <c r="M166" i="21"/>
  <c r="J166" i="21"/>
  <c r="K166" i="21" s="1"/>
  <c r="I166" i="21"/>
  <c r="K165" i="21"/>
  <c r="J165" i="21"/>
  <c r="I165" i="21"/>
  <c r="M165" i="21" s="1"/>
  <c r="J164" i="21"/>
  <c r="K164" i="21" s="1"/>
  <c r="I164" i="21"/>
  <c r="M164" i="21" s="1"/>
  <c r="J163" i="21"/>
  <c r="K163" i="21" s="1"/>
  <c r="I163" i="21"/>
  <c r="M163" i="21" s="1"/>
  <c r="J162" i="21"/>
  <c r="K162" i="21" s="1"/>
  <c r="I162" i="21"/>
  <c r="M162" i="21" s="1"/>
  <c r="J161" i="21"/>
  <c r="K161" i="21" s="1"/>
  <c r="I161" i="21"/>
  <c r="M161" i="21" s="1"/>
  <c r="M160" i="21"/>
  <c r="K160" i="21"/>
  <c r="J160" i="21"/>
  <c r="I160" i="21"/>
  <c r="J159" i="21"/>
  <c r="K159" i="21" s="1"/>
  <c r="I159" i="21"/>
  <c r="M159" i="21" s="1"/>
  <c r="M158" i="21"/>
  <c r="J158" i="21"/>
  <c r="K158" i="21" s="1"/>
  <c r="I158" i="21"/>
  <c r="J157" i="21"/>
  <c r="K157" i="21" s="1"/>
  <c r="I157" i="21"/>
  <c r="M157" i="21" s="1"/>
  <c r="J156" i="21"/>
  <c r="K156" i="21" s="1"/>
  <c r="I156" i="21"/>
  <c r="M156" i="21" s="1"/>
  <c r="J155" i="21"/>
  <c r="K155" i="21" s="1"/>
  <c r="I155" i="21"/>
  <c r="M155" i="21" s="1"/>
  <c r="J154" i="21"/>
  <c r="K154" i="21" s="1"/>
  <c r="I154" i="21"/>
  <c r="M154" i="21" s="1"/>
  <c r="J153" i="21"/>
  <c r="K153" i="21" s="1"/>
  <c r="I153" i="21"/>
  <c r="M153" i="21" s="1"/>
  <c r="J152" i="21"/>
  <c r="K152" i="21" s="1"/>
  <c r="I152" i="21"/>
  <c r="M152" i="21" s="1"/>
  <c r="J151" i="21"/>
  <c r="K151" i="21" s="1"/>
  <c r="I151" i="21"/>
  <c r="M151" i="21" s="1"/>
  <c r="M150" i="21"/>
  <c r="K150" i="21"/>
  <c r="J150" i="21"/>
  <c r="I150" i="21"/>
  <c r="J149" i="21"/>
  <c r="K149" i="21" s="1"/>
  <c r="I149" i="21"/>
  <c r="M149" i="21" s="1"/>
  <c r="M148" i="21"/>
  <c r="J148" i="21"/>
  <c r="K148" i="21" s="1"/>
  <c r="I148" i="21"/>
  <c r="J147" i="21"/>
  <c r="K147" i="21" s="1"/>
  <c r="I147" i="21"/>
  <c r="M147" i="21" s="1"/>
  <c r="M146" i="21"/>
  <c r="J146" i="21"/>
  <c r="K146" i="21" s="1"/>
  <c r="I146" i="21"/>
  <c r="J145" i="21"/>
  <c r="K145" i="21" s="1"/>
  <c r="I145" i="21"/>
  <c r="M145" i="21" s="1"/>
  <c r="J144" i="21"/>
  <c r="K144" i="21" s="1"/>
  <c r="I144" i="21"/>
  <c r="M144" i="21" s="1"/>
  <c r="J143" i="21"/>
  <c r="K143" i="21" s="1"/>
  <c r="I143" i="21"/>
  <c r="M143" i="21" s="1"/>
  <c r="J142" i="21"/>
  <c r="K142" i="21" s="1"/>
  <c r="I142" i="21"/>
  <c r="M142" i="21" s="1"/>
  <c r="J141" i="21"/>
  <c r="K141" i="21" s="1"/>
  <c r="I141" i="21"/>
  <c r="M141" i="21" s="1"/>
  <c r="J140" i="21"/>
  <c r="K140" i="21" s="1"/>
  <c r="I140" i="21"/>
  <c r="M140" i="21" s="1"/>
  <c r="J139" i="21"/>
  <c r="K139" i="21" s="1"/>
  <c r="I139" i="21"/>
  <c r="M139" i="21" s="1"/>
  <c r="M138" i="21"/>
  <c r="K138" i="21"/>
  <c r="J138" i="21"/>
  <c r="I138" i="21"/>
  <c r="J137" i="21"/>
  <c r="K137" i="21" s="1"/>
  <c r="I137" i="21"/>
  <c r="M137" i="21" s="1"/>
  <c r="J136" i="21"/>
  <c r="K136" i="21" s="1"/>
  <c r="I136" i="21"/>
  <c r="M136" i="21" s="1"/>
  <c r="J135" i="21"/>
  <c r="K135" i="21" s="1"/>
  <c r="I135" i="21"/>
  <c r="M135" i="21" s="1"/>
  <c r="J134" i="21"/>
  <c r="K134" i="21" s="1"/>
  <c r="I134" i="21"/>
  <c r="M134" i="21" s="1"/>
  <c r="J133" i="21"/>
  <c r="K133" i="21" s="1"/>
  <c r="I133" i="21"/>
  <c r="M133" i="21" s="1"/>
  <c r="J132" i="21"/>
  <c r="K132" i="21" s="1"/>
  <c r="I132" i="21"/>
  <c r="M132" i="21" s="1"/>
  <c r="J131" i="21"/>
  <c r="K131" i="21" s="1"/>
  <c r="I131" i="21"/>
  <c r="M131" i="21" s="1"/>
  <c r="J130" i="21"/>
  <c r="K130" i="21" s="1"/>
  <c r="I130" i="21"/>
  <c r="M130" i="21" s="1"/>
  <c r="J129" i="21"/>
  <c r="K129" i="21" s="1"/>
  <c r="I129" i="21"/>
  <c r="M129" i="21" s="1"/>
  <c r="M128" i="21"/>
  <c r="K128" i="21"/>
  <c r="J128" i="21"/>
  <c r="I128" i="21"/>
  <c r="J127" i="21"/>
  <c r="K127" i="21" s="1"/>
  <c r="I127" i="21"/>
  <c r="M127" i="21" s="1"/>
  <c r="M126" i="21"/>
  <c r="J126" i="21"/>
  <c r="K126" i="21" s="1"/>
  <c r="I126" i="21"/>
  <c r="J125" i="21"/>
  <c r="K125" i="21" s="1"/>
  <c r="I125" i="21"/>
  <c r="M125" i="21" s="1"/>
  <c r="J124" i="21"/>
  <c r="K124" i="21" s="1"/>
  <c r="I124" i="21"/>
  <c r="M124" i="21" s="1"/>
  <c r="J123" i="21"/>
  <c r="K123" i="21" s="1"/>
  <c r="I123" i="21"/>
  <c r="M123" i="21" s="1"/>
  <c r="J122" i="21"/>
  <c r="K122" i="21" s="1"/>
  <c r="I122" i="21"/>
  <c r="M122" i="21" s="1"/>
  <c r="J121" i="21"/>
  <c r="K121" i="21" s="1"/>
  <c r="I121" i="21"/>
  <c r="M121" i="21" s="1"/>
  <c r="M120" i="21"/>
  <c r="K120" i="21"/>
  <c r="J120" i="21"/>
  <c r="I120" i="21"/>
  <c r="J119" i="21"/>
  <c r="K119" i="21" s="1"/>
  <c r="I119" i="21"/>
  <c r="M119" i="21" s="1"/>
  <c r="M118" i="21"/>
  <c r="J118" i="21"/>
  <c r="K118" i="21" s="1"/>
  <c r="I118" i="21"/>
  <c r="J117" i="21"/>
  <c r="K117" i="21" s="1"/>
  <c r="I117" i="21"/>
  <c r="M117" i="21" s="1"/>
  <c r="J116" i="21"/>
  <c r="K116" i="21" s="1"/>
  <c r="I116" i="21"/>
  <c r="M116" i="21" s="1"/>
  <c r="J115" i="21"/>
  <c r="K115" i="21" s="1"/>
  <c r="I115" i="21"/>
  <c r="M115" i="21" s="1"/>
  <c r="K114" i="21"/>
  <c r="J114" i="21"/>
  <c r="I114" i="21"/>
  <c r="M114" i="21" s="1"/>
  <c r="J113" i="21"/>
  <c r="K113" i="21" s="1"/>
  <c r="I113" i="21"/>
  <c r="M113" i="21" s="1"/>
  <c r="J112" i="21"/>
  <c r="K112" i="21" s="1"/>
  <c r="I112" i="21"/>
  <c r="M112" i="21" s="1"/>
  <c r="M111" i="21"/>
  <c r="J111" i="21"/>
  <c r="K111" i="21" s="1"/>
  <c r="I111" i="21"/>
  <c r="M110" i="21"/>
  <c r="J110" i="21"/>
  <c r="K110" i="21" s="1"/>
  <c r="I110" i="21"/>
  <c r="J109" i="21"/>
  <c r="K109" i="21" s="1"/>
  <c r="I109" i="21"/>
  <c r="M109" i="21" s="1"/>
  <c r="M108" i="21"/>
  <c r="K108" i="21"/>
  <c r="J108" i="21"/>
  <c r="I108" i="21"/>
  <c r="J107" i="21"/>
  <c r="K107" i="21" s="1"/>
  <c r="I107" i="21"/>
  <c r="M107" i="21" s="1"/>
  <c r="J106" i="21"/>
  <c r="K106" i="21" s="1"/>
  <c r="I106" i="21"/>
  <c r="M106" i="21" s="1"/>
  <c r="J105" i="21"/>
  <c r="K105" i="21" s="1"/>
  <c r="I105" i="21"/>
  <c r="M105" i="21" s="1"/>
  <c r="J104" i="21"/>
  <c r="K104" i="21" s="1"/>
  <c r="I104" i="21"/>
  <c r="M104" i="21" s="1"/>
  <c r="J103" i="21"/>
  <c r="K103" i="21" s="1"/>
  <c r="I103" i="21"/>
  <c r="M103" i="21" s="1"/>
  <c r="J102" i="21"/>
  <c r="K102" i="21" s="1"/>
  <c r="I102" i="21"/>
  <c r="M102" i="21" s="1"/>
  <c r="J101" i="21"/>
  <c r="K101" i="21" s="1"/>
  <c r="I101" i="21"/>
  <c r="M101" i="21" s="1"/>
  <c r="M100" i="21"/>
  <c r="J100" i="21"/>
  <c r="K100" i="21" s="1"/>
  <c r="I100" i="21"/>
  <c r="J99" i="21"/>
  <c r="K99" i="21" s="1"/>
  <c r="I99" i="21"/>
  <c r="M99" i="21" s="1"/>
  <c r="M98" i="21"/>
  <c r="J98" i="21"/>
  <c r="K98" i="21" s="1"/>
  <c r="I98" i="21"/>
  <c r="J97" i="21"/>
  <c r="K97" i="21" s="1"/>
  <c r="I97" i="21"/>
  <c r="M97" i="21" s="1"/>
  <c r="M96" i="21"/>
  <c r="J96" i="21"/>
  <c r="K96" i="21" s="1"/>
  <c r="I96" i="21"/>
  <c r="J95" i="21"/>
  <c r="K95" i="21" s="1"/>
  <c r="I95" i="21"/>
  <c r="M95" i="21" s="1"/>
  <c r="M94" i="21"/>
  <c r="J94" i="21"/>
  <c r="K94" i="21" s="1"/>
  <c r="I94" i="21"/>
  <c r="J93" i="21"/>
  <c r="K93" i="21" s="1"/>
  <c r="I93" i="21"/>
  <c r="M93" i="21" s="1"/>
  <c r="J92" i="21"/>
  <c r="K92" i="21" s="1"/>
  <c r="I92" i="21"/>
  <c r="M92" i="21" s="1"/>
  <c r="J91" i="21"/>
  <c r="K91" i="21" s="1"/>
  <c r="I91" i="21"/>
  <c r="M91" i="21" s="1"/>
  <c r="J90" i="21"/>
  <c r="K90" i="21" s="1"/>
  <c r="I90" i="21"/>
  <c r="M90" i="21" s="1"/>
  <c r="J89" i="21"/>
  <c r="K89" i="21" s="1"/>
  <c r="I89" i="21"/>
  <c r="M89" i="21" s="1"/>
  <c r="M88" i="21"/>
  <c r="K88" i="21"/>
  <c r="J88" i="21"/>
  <c r="I88" i="21"/>
  <c r="J87" i="21"/>
  <c r="K87" i="21" s="1"/>
  <c r="I87" i="21"/>
  <c r="M87" i="21" s="1"/>
  <c r="J86" i="21"/>
  <c r="K86" i="21" s="1"/>
  <c r="I86" i="21"/>
  <c r="M86" i="21" s="1"/>
  <c r="J85" i="21"/>
  <c r="K85" i="21" s="1"/>
  <c r="I85" i="21"/>
  <c r="M85" i="21" s="1"/>
  <c r="J84" i="21"/>
  <c r="K84" i="21" s="1"/>
  <c r="I84" i="21"/>
  <c r="M84" i="21" s="1"/>
  <c r="J83" i="21"/>
  <c r="K83" i="21" s="1"/>
  <c r="I83" i="21"/>
  <c r="M83" i="21" s="1"/>
  <c r="J82" i="21"/>
  <c r="K82" i="21" s="1"/>
  <c r="I82" i="21"/>
  <c r="M82" i="21" s="1"/>
  <c r="J81" i="21"/>
  <c r="K81" i="21" s="1"/>
  <c r="I81" i="21"/>
  <c r="M81" i="21" s="1"/>
  <c r="J80" i="21"/>
  <c r="K80" i="21" s="1"/>
  <c r="I80" i="21"/>
  <c r="M80" i="21" s="1"/>
  <c r="J79" i="21"/>
  <c r="K79" i="21" s="1"/>
  <c r="I79" i="21"/>
  <c r="M79" i="21" s="1"/>
  <c r="M78" i="21"/>
  <c r="J78" i="21"/>
  <c r="K78" i="21" s="1"/>
  <c r="I78" i="21"/>
  <c r="J77" i="21"/>
  <c r="K77" i="21" s="1"/>
  <c r="I77" i="21"/>
  <c r="M77" i="21" s="1"/>
  <c r="M76" i="21"/>
  <c r="J76" i="21"/>
  <c r="K76" i="21" s="1"/>
  <c r="I76" i="21"/>
  <c r="J75" i="21"/>
  <c r="K75" i="21" s="1"/>
  <c r="I75" i="21"/>
  <c r="M75" i="21" s="1"/>
  <c r="J74" i="21"/>
  <c r="K74" i="21" s="1"/>
  <c r="I74" i="21"/>
  <c r="M74" i="21" s="1"/>
  <c r="J73" i="21"/>
  <c r="K73" i="21" s="1"/>
  <c r="I73" i="21"/>
  <c r="M73" i="21" s="1"/>
  <c r="J72" i="21"/>
  <c r="K72" i="21" s="1"/>
  <c r="I72" i="21"/>
  <c r="M72" i="21" s="1"/>
  <c r="J71" i="21"/>
  <c r="K71" i="21" s="1"/>
  <c r="I71" i="21"/>
  <c r="M71" i="21" s="1"/>
  <c r="J70" i="21"/>
  <c r="K70" i="21" s="1"/>
  <c r="I70" i="21"/>
  <c r="M70" i="21" s="1"/>
  <c r="J69" i="21"/>
  <c r="K69" i="21" s="1"/>
  <c r="I69" i="21"/>
  <c r="M69" i="21" s="1"/>
  <c r="J68" i="21"/>
  <c r="K68" i="21" s="1"/>
  <c r="I68" i="21"/>
  <c r="M68" i="21" s="1"/>
  <c r="J67" i="21"/>
  <c r="K67" i="21" s="1"/>
  <c r="I67" i="21"/>
  <c r="M67" i="21" s="1"/>
  <c r="M66" i="21"/>
  <c r="J66" i="21"/>
  <c r="K66" i="21" s="1"/>
  <c r="I66" i="21"/>
  <c r="J65" i="21"/>
  <c r="K65" i="21" s="1"/>
  <c r="I65" i="21"/>
  <c r="M65" i="21" s="1"/>
  <c r="B65" i="21"/>
  <c r="K64" i="21"/>
  <c r="J64" i="21"/>
  <c r="I64" i="21"/>
  <c r="M64" i="21" s="1"/>
  <c r="B64" i="21"/>
  <c r="J63" i="21"/>
  <c r="K63" i="21" s="1"/>
  <c r="I63" i="21"/>
  <c r="M63" i="21" s="1"/>
  <c r="B63" i="21"/>
  <c r="J62" i="21"/>
  <c r="K62" i="21" s="1"/>
  <c r="I62" i="21"/>
  <c r="M62" i="21" s="1"/>
  <c r="B62" i="21"/>
  <c r="J61" i="21"/>
  <c r="K61" i="21" s="1"/>
  <c r="I61" i="21"/>
  <c r="M61" i="21" s="1"/>
  <c r="B61" i="21"/>
  <c r="M60" i="21"/>
  <c r="J60" i="21"/>
  <c r="K60" i="21" s="1"/>
  <c r="I60" i="21"/>
  <c r="B60" i="21"/>
  <c r="J59" i="21"/>
  <c r="K59" i="21" s="1"/>
  <c r="I59" i="21"/>
  <c r="M59" i="21" s="1"/>
  <c r="B59" i="21"/>
  <c r="J58" i="21"/>
  <c r="K58" i="21" s="1"/>
  <c r="I58" i="21"/>
  <c r="M58" i="21" s="1"/>
  <c r="B58" i="21"/>
  <c r="J57" i="21"/>
  <c r="K57" i="21" s="1"/>
  <c r="I57" i="21"/>
  <c r="M57" i="21" s="1"/>
  <c r="B57" i="21"/>
  <c r="M56" i="21"/>
  <c r="J56" i="21"/>
  <c r="K56" i="21" s="1"/>
  <c r="I56" i="21"/>
  <c r="B56" i="21"/>
  <c r="J55" i="21"/>
  <c r="K55" i="21" s="1"/>
  <c r="I55" i="21"/>
  <c r="M55" i="21" s="1"/>
  <c r="B55" i="21"/>
  <c r="J54" i="21"/>
  <c r="K54" i="21" s="1"/>
  <c r="I54" i="21"/>
  <c r="M54" i="21" s="1"/>
  <c r="B54" i="21"/>
  <c r="J53" i="21"/>
  <c r="K53" i="21" s="1"/>
  <c r="I53" i="21"/>
  <c r="M53" i="21" s="1"/>
  <c r="B53" i="21"/>
  <c r="M52" i="21"/>
  <c r="K52" i="21"/>
  <c r="J52" i="21"/>
  <c r="I52" i="21"/>
  <c r="B52" i="21"/>
  <c r="J51" i="21"/>
  <c r="K51" i="21" s="1"/>
  <c r="I51" i="21"/>
  <c r="M51" i="21" s="1"/>
  <c r="B51" i="21"/>
  <c r="M50" i="21"/>
  <c r="K50" i="21"/>
  <c r="J50" i="21"/>
  <c r="I50" i="21"/>
  <c r="B50" i="21"/>
  <c r="J49" i="21"/>
  <c r="K49" i="21" s="1"/>
  <c r="I49" i="21"/>
  <c r="M49" i="21" s="1"/>
  <c r="B49" i="21"/>
  <c r="K48" i="21"/>
  <c r="J48" i="21"/>
  <c r="I48" i="21"/>
  <c r="M48" i="21" s="1"/>
  <c r="B48" i="21"/>
  <c r="J47" i="21"/>
  <c r="K47" i="21" s="1"/>
  <c r="I47" i="21"/>
  <c r="M47" i="21" s="1"/>
  <c r="B47" i="21"/>
  <c r="T46" i="21"/>
  <c r="R46" i="21"/>
  <c r="U46" i="21" s="1"/>
  <c r="J46" i="21"/>
  <c r="K46" i="21" s="1"/>
  <c r="I46" i="21"/>
  <c r="M46" i="21" s="1"/>
  <c r="B46" i="21"/>
  <c r="J45" i="21"/>
  <c r="K45" i="21" s="1"/>
  <c r="I45" i="21"/>
  <c r="M45" i="21" s="1"/>
  <c r="B45" i="21"/>
  <c r="J44" i="21"/>
  <c r="K44" i="21" s="1"/>
  <c r="I44" i="21"/>
  <c r="M44" i="21" s="1"/>
  <c r="B44" i="21"/>
  <c r="J43" i="21"/>
  <c r="K43" i="21" s="1"/>
  <c r="I43" i="21"/>
  <c r="M43" i="21" s="1"/>
  <c r="B43" i="21"/>
  <c r="J42" i="21"/>
  <c r="K42" i="21" s="1"/>
  <c r="I42" i="21"/>
  <c r="M42" i="21" s="1"/>
  <c r="B42" i="21"/>
  <c r="J41" i="21"/>
  <c r="K41" i="21" s="1"/>
  <c r="I41" i="21"/>
  <c r="M41" i="21" s="1"/>
  <c r="B41" i="21"/>
  <c r="J40" i="21"/>
  <c r="K40" i="21" s="1"/>
  <c r="I40" i="21"/>
  <c r="M40" i="21" s="1"/>
  <c r="B40" i="21"/>
  <c r="K39" i="21"/>
  <c r="J39" i="21"/>
  <c r="I39" i="21"/>
  <c r="M39" i="21" s="1"/>
  <c r="B39" i="21"/>
  <c r="J38" i="21"/>
  <c r="K38" i="21" s="1"/>
  <c r="I38" i="21"/>
  <c r="M38" i="21" s="1"/>
  <c r="B38" i="21"/>
  <c r="J37" i="21"/>
  <c r="K37" i="21" s="1"/>
  <c r="I37" i="21"/>
  <c r="M37" i="21" s="1"/>
  <c r="A37" i="21" s="1"/>
  <c r="B37" i="21"/>
  <c r="J36" i="21"/>
  <c r="K36" i="21" s="1"/>
  <c r="I36" i="21"/>
  <c r="M36" i="21" s="1"/>
  <c r="A36" i="21" s="1"/>
  <c r="B36" i="21"/>
  <c r="J35" i="21"/>
  <c r="K35" i="21" s="1"/>
  <c r="I35" i="21"/>
  <c r="M35" i="21" s="1"/>
  <c r="A35" i="21" s="1"/>
  <c r="B35" i="21"/>
  <c r="J34" i="21"/>
  <c r="K34" i="21" s="1"/>
  <c r="I34" i="21"/>
  <c r="M34" i="21" s="1"/>
  <c r="A34" i="21" s="1"/>
  <c r="B34" i="21"/>
  <c r="J33" i="21"/>
  <c r="K33" i="21" s="1"/>
  <c r="I33" i="21"/>
  <c r="M33" i="21" s="1"/>
  <c r="A33" i="21" s="1"/>
  <c r="B33" i="21"/>
  <c r="J32" i="21"/>
  <c r="K32" i="21" s="1"/>
  <c r="I32" i="21"/>
  <c r="M32" i="21" s="1"/>
  <c r="A32" i="21" s="1"/>
  <c r="B32" i="21"/>
  <c r="M31" i="21"/>
  <c r="A31" i="21" s="1"/>
  <c r="J31" i="21"/>
  <c r="K31" i="21" s="1"/>
  <c r="I31" i="21"/>
  <c r="B31" i="21"/>
  <c r="J30" i="21"/>
  <c r="K30" i="21" s="1"/>
  <c r="I30" i="21"/>
  <c r="M30" i="21" s="1"/>
  <c r="A30" i="21" s="1"/>
  <c r="B30" i="21"/>
  <c r="J29" i="21"/>
  <c r="K29" i="21" s="1"/>
  <c r="I29" i="21"/>
  <c r="M29" i="21" s="1"/>
  <c r="A29" i="21" s="1"/>
  <c r="B29" i="21"/>
  <c r="M28" i="21"/>
  <c r="A28" i="21" s="1"/>
  <c r="J28" i="21"/>
  <c r="K28" i="21" s="1"/>
  <c r="I28" i="21"/>
  <c r="B28" i="21"/>
  <c r="M27" i="21"/>
  <c r="A27" i="21" s="1"/>
  <c r="J27" i="21"/>
  <c r="K27" i="21" s="1"/>
  <c r="I27" i="21"/>
  <c r="B27" i="21"/>
  <c r="J26" i="21"/>
  <c r="K26" i="21" s="1"/>
  <c r="I26" i="21"/>
  <c r="M26" i="21" s="1"/>
  <c r="A26" i="21" s="1"/>
  <c r="B26" i="21"/>
  <c r="J25" i="21"/>
  <c r="K25" i="21" s="1"/>
  <c r="I25" i="21"/>
  <c r="M25" i="21" s="1"/>
  <c r="B25" i="21"/>
  <c r="A25" i="21"/>
  <c r="J24" i="21"/>
  <c r="K24" i="21" s="1"/>
  <c r="I24" i="21"/>
  <c r="M24" i="21" s="1"/>
  <c r="A24" i="21" s="1"/>
  <c r="B24" i="21"/>
  <c r="M23" i="21"/>
  <c r="A23" i="21" s="1"/>
  <c r="J23" i="21"/>
  <c r="K23" i="21" s="1"/>
  <c r="I23" i="21"/>
  <c r="B23" i="21"/>
  <c r="J22" i="21"/>
  <c r="K22" i="21" s="1"/>
  <c r="I22" i="21"/>
  <c r="M22" i="21" s="1"/>
  <c r="A22" i="21" s="1"/>
  <c r="B22" i="21"/>
  <c r="K21" i="21"/>
  <c r="J21" i="21"/>
  <c r="I21" i="21"/>
  <c r="M21" i="21" s="1"/>
  <c r="A21" i="21" s="1"/>
  <c r="B21" i="21"/>
  <c r="J20" i="21"/>
  <c r="K20" i="21" s="1"/>
  <c r="I20" i="21"/>
  <c r="M20" i="21" s="1"/>
  <c r="A20" i="21" s="1"/>
  <c r="B20" i="21"/>
  <c r="J19" i="21"/>
  <c r="K19" i="21" s="1"/>
  <c r="I19" i="21"/>
  <c r="M19" i="21" s="1"/>
  <c r="A19" i="21" s="1"/>
  <c r="B19" i="21"/>
  <c r="M18" i="21"/>
  <c r="A18" i="21" s="1"/>
  <c r="K18" i="21"/>
  <c r="J18" i="21"/>
  <c r="I18" i="21"/>
  <c r="B18" i="21"/>
  <c r="K17" i="21"/>
  <c r="J17" i="21"/>
  <c r="I17" i="21"/>
  <c r="M17" i="21" s="1"/>
  <c r="A17" i="21" s="1"/>
  <c r="B17" i="21"/>
  <c r="J16" i="21"/>
  <c r="K16" i="21" s="1"/>
  <c r="I16" i="21"/>
  <c r="M16" i="21" s="1"/>
  <c r="B16" i="21"/>
  <c r="A16" i="21"/>
  <c r="M15" i="21"/>
  <c r="A15" i="21" s="1"/>
  <c r="J15" i="21"/>
  <c r="K15" i="21" s="1"/>
  <c r="I15" i="21"/>
  <c r="B15" i="21"/>
  <c r="AI14" i="21"/>
  <c r="J14" i="21"/>
  <c r="K14" i="21" s="1"/>
  <c r="I14" i="21"/>
  <c r="M14" i="21" s="1"/>
  <c r="A14" i="21" s="1"/>
  <c r="B14" i="21"/>
  <c r="AI13" i="21"/>
  <c r="J13" i="21"/>
  <c r="K13" i="21" s="1"/>
  <c r="I13" i="21"/>
  <c r="M13" i="21" s="1"/>
  <c r="A13" i="21" s="1"/>
  <c r="B13" i="21"/>
  <c r="X27" i="20" s="1"/>
  <c r="AI12" i="21"/>
  <c r="J12" i="21"/>
  <c r="K12" i="21" s="1"/>
  <c r="I12" i="21"/>
  <c r="M12" i="21" s="1"/>
  <c r="A12" i="21" s="1"/>
  <c r="B12" i="21"/>
  <c r="K11" i="21"/>
  <c r="J11" i="21"/>
  <c r="I11" i="21"/>
  <c r="B11" i="21"/>
  <c r="J10" i="21"/>
  <c r="K10" i="21" s="1"/>
  <c r="I10" i="21"/>
  <c r="M10" i="21" s="1"/>
  <c r="A10" i="21" s="1"/>
  <c r="B10" i="21"/>
  <c r="L9" i="21"/>
  <c r="J9" i="21"/>
  <c r="K9" i="21" s="1"/>
  <c r="I9" i="21"/>
  <c r="B9" i="21"/>
  <c r="L8" i="21"/>
  <c r="K8" i="21"/>
  <c r="M8" i="21" s="1"/>
  <c r="A8" i="21" s="1"/>
  <c r="J8" i="21"/>
  <c r="I8" i="21"/>
  <c r="B8" i="21"/>
  <c r="J7" i="21"/>
  <c r="K7" i="21" s="1"/>
  <c r="I7" i="21"/>
  <c r="M7" i="21" s="1"/>
  <c r="A7" i="21" s="1"/>
  <c r="B7" i="21"/>
  <c r="L6" i="21"/>
  <c r="J6" i="21"/>
  <c r="K6" i="21" s="1"/>
  <c r="M6" i="21" s="1"/>
  <c r="A6" i="21" s="1"/>
  <c r="I6" i="21"/>
  <c r="B6" i="21"/>
  <c r="K2" i="21"/>
  <c r="L7" i="21" s="1"/>
  <c r="AX27" i="20" a="1"/>
  <c r="AX27" i="20" s="1"/>
  <c r="AL27" i="20"/>
  <c r="AJ27" i="20"/>
  <c r="A27" i="20"/>
  <c r="AL26" i="20"/>
  <c r="AJ26" i="20"/>
  <c r="AB26" i="20"/>
  <c r="X26" i="20"/>
  <c r="A26" i="20"/>
  <c r="AL19" i="20"/>
  <c r="AJ19" i="20"/>
  <c r="X19" i="20"/>
  <c r="A19" i="20"/>
  <c r="AL22" i="20"/>
  <c r="AJ22" i="20"/>
  <c r="Z22" i="20"/>
  <c r="A22" i="20"/>
  <c r="AX24" i="20" a="1"/>
  <c r="AX24" i="20" s="1"/>
  <c r="AL24" i="20"/>
  <c r="AJ24" i="20"/>
  <c r="AH24" i="20"/>
  <c r="AB24" i="20"/>
  <c r="X24" i="20"/>
  <c r="Y24" i="20" s="1"/>
  <c r="A24" i="20"/>
  <c r="AX21" i="20" a="1"/>
  <c r="AX21" i="20" s="1"/>
  <c r="AL21" i="20"/>
  <c r="AJ21" i="20"/>
  <c r="AH21" i="20"/>
  <c r="AF21" i="20"/>
  <c r="AB21" i="20"/>
  <c r="Z21" i="20"/>
  <c r="X21" i="20"/>
  <c r="A21" i="20"/>
  <c r="AX28" i="20" a="1"/>
  <c r="AX28" i="20" s="1"/>
  <c r="AL28" i="20"/>
  <c r="AJ28" i="20"/>
  <c r="AF28" i="20"/>
  <c r="AB28" i="20"/>
  <c r="X28" i="20"/>
  <c r="A28" i="20"/>
  <c r="AX20" i="20" a="1"/>
  <c r="AX20" i="20" s="1"/>
  <c r="AL20" i="20"/>
  <c r="AJ20" i="20"/>
  <c r="AF20" i="20"/>
  <c r="AB20" i="20"/>
  <c r="A20" i="20"/>
  <c r="AX17" i="20" a="1"/>
  <c r="AX17" i="20" s="1"/>
  <c r="AL17" i="20"/>
  <c r="AJ17" i="20"/>
  <c r="AH17" i="20"/>
  <c r="AB17" i="20"/>
  <c r="Z17" i="20"/>
  <c r="X17" i="20"/>
  <c r="A17" i="20"/>
  <c r="AX11" i="20" a="1"/>
  <c r="AX11" i="20" s="1"/>
  <c r="AL11" i="20"/>
  <c r="AJ11" i="20"/>
  <c r="AF11" i="20"/>
  <c r="AB11" i="20"/>
  <c r="Z11" i="20"/>
  <c r="X11" i="20"/>
  <c r="A11" i="20"/>
  <c r="AX18" i="20" a="1"/>
  <c r="AX18" i="20" s="1"/>
  <c r="AL18" i="20"/>
  <c r="AJ18" i="20"/>
  <c r="AH18" i="20"/>
  <c r="AF18" i="20"/>
  <c r="AB18" i="20"/>
  <c r="Z18" i="20"/>
  <c r="X18" i="20"/>
  <c r="A18" i="20"/>
  <c r="AX7" i="20" a="1"/>
  <c r="AX7" i="20" s="1"/>
  <c r="AL7" i="20"/>
  <c r="AJ7" i="20"/>
  <c r="AF7" i="20"/>
  <c r="AB7" i="20"/>
  <c r="Z7" i="20"/>
  <c r="A7" i="20"/>
  <c r="AX23" i="20" a="1"/>
  <c r="AX23" i="20" s="1"/>
  <c r="AL23" i="20"/>
  <c r="AJ23" i="20"/>
  <c r="AH23" i="20"/>
  <c r="AB23" i="20"/>
  <c r="X23" i="20"/>
  <c r="A23" i="20"/>
  <c r="AX14" i="20" a="1"/>
  <c r="AX14" i="20" s="1"/>
  <c r="AL14" i="20"/>
  <c r="AJ14" i="20"/>
  <c r="AH14" i="20"/>
  <c r="AF14" i="20"/>
  <c r="AB14" i="20"/>
  <c r="Z14" i="20"/>
  <c r="X14" i="20"/>
  <c r="A14" i="20"/>
  <c r="AX25" i="20" a="1"/>
  <c r="AX25" i="20" s="1"/>
  <c r="AL25" i="20"/>
  <c r="AJ25" i="20"/>
  <c r="AH25" i="20"/>
  <c r="AF25" i="20"/>
  <c r="AB25" i="20"/>
  <c r="X25" i="20"/>
  <c r="A25" i="20"/>
  <c r="AX10" i="20" a="1"/>
  <c r="AX10" i="20" s="1"/>
  <c r="AL10" i="20"/>
  <c r="AJ10" i="20"/>
  <c r="AH10" i="20"/>
  <c r="AF10" i="20"/>
  <c r="AB10" i="20"/>
  <c r="Z10" i="20"/>
  <c r="X10" i="20"/>
  <c r="A10" i="20"/>
  <c r="AX12" i="20" a="1"/>
  <c r="AX12" i="20" s="1"/>
  <c r="AL12" i="20"/>
  <c r="AJ12" i="20"/>
  <c r="AH12" i="20"/>
  <c r="AF12" i="20"/>
  <c r="AB12" i="20"/>
  <c r="Z12" i="20"/>
  <c r="X12" i="20"/>
  <c r="A12" i="20"/>
  <c r="AX6" i="20" a="1"/>
  <c r="AX6" i="20" s="1"/>
  <c r="AL6" i="20"/>
  <c r="AJ6" i="20"/>
  <c r="AH6" i="20"/>
  <c r="AF6" i="20"/>
  <c r="AB6" i="20"/>
  <c r="Z6" i="20"/>
  <c r="X6" i="20"/>
  <c r="A6" i="20"/>
  <c r="AX13" i="20" a="1"/>
  <c r="AX13" i="20" s="1"/>
  <c r="AL13" i="20"/>
  <c r="AJ13" i="20"/>
  <c r="AH13" i="20"/>
  <c r="AF13" i="20"/>
  <c r="X13" i="20"/>
  <c r="A13" i="20"/>
  <c r="AX16" i="20" a="1"/>
  <c r="AX16" i="20" s="1"/>
  <c r="AL16" i="20"/>
  <c r="AJ16" i="20"/>
  <c r="AH16" i="20"/>
  <c r="AF16" i="20"/>
  <c r="AB16" i="20"/>
  <c r="Z16" i="20"/>
  <c r="X16" i="20"/>
  <c r="A16" i="20"/>
  <c r="AX15" i="20" a="1"/>
  <c r="AX15" i="20" s="1"/>
  <c r="AL15" i="20"/>
  <c r="AJ15" i="20"/>
  <c r="AH15" i="20"/>
  <c r="AF15" i="20"/>
  <c r="AB15" i="20"/>
  <c r="Z15" i="20"/>
  <c r="X15" i="20"/>
  <c r="A15" i="20"/>
  <c r="AX9" i="20" a="1"/>
  <c r="AX9" i="20" s="1"/>
  <c r="AL9" i="20"/>
  <c r="AJ9" i="20"/>
  <c r="AH9" i="20"/>
  <c r="AF9" i="20"/>
  <c r="AB9" i="20"/>
  <c r="Z9" i="20"/>
  <c r="X9" i="20"/>
  <c r="A9" i="20"/>
  <c r="AX8" i="20" a="1"/>
  <c r="AX8" i="20" s="1"/>
  <c r="AL8" i="20"/>
  <c r="AJ8" i="20"/>
  <c r="AH8" i="20"/>
  <c r="AF8" i="20"/>
  <c r="AB8" i="20"/>
  <c r="Z8" i="20"/>
  <c r="X8" i="20"/>
  <c r="A8" i="20"/>
  <c r="U12" i="13"/>
  <c r="M12" i="13"/>
  <c r="K12" i="13"/>
  <c r="I12" i="13"/>
  <c r="G12" i="13"/>
  <c r="E12" i="13"/>
  <c r="A12" i="13"/>
  <c r="U20" i="13"/>
  <c r="M20" i="13"/>
  <c r="K20" i="13"/>
  <c r="I20" i="13"/>
  <c r="G20" i="13"/>
  <c r="E20" i="13"/>
  <c r="A20" i="13"/>
  <c r="B7" i="18"/>
  <c r="B8" i="18"/>
  <c r="B9" i="18"/>
  <c r="M25" i="20" s="1"/>
  <c r="B10" i="18"/>
  <c r="B11" i="18"/>
  <c r="B12" i="18"/>
  <c r="B6" i="18"/>
  <c r="U7" i="13"/>
  <c r="U9" i="13"/>
  <c r="U22" i="13"/>
  <c r="U13" i="13"/>
  <c r="U14" i="13"/>
  <c r="U15" i="13"/>
  <c r="U24" i="13"/>
  <c r="U17" i="13"/>
  <c r="U6" i="13"/>
  <c r="U11" i="13"/>
  <c r="U21" i="13"/>
  <c r="U16" i="13"/>
  <c r="U8" i="13"/>
  <c r="U19" i="13"/>
  <c r="M7" i="13"/>
  <c r="M9" i="13"/>
  <c r="M13" i="13"/>
  <c r="M22" i="13"/>
  <c r="M14" i="13"/>
  <c r="M15" i="13"/>
  <c r="M17" i="13"/>
  <c r="M6" i="13"/>
  <c r="M21" i="13"/>
  <c r="M16" i="13"/>
  <c r="M8" i="13"/>
  <c r="M19" i="13"/>
  <c r="M11" i="13"/>
  <c r="K22" i="13"/>
  <c r="K16" i="13"/>
  <c r="K19" i="13"/>
  <c r="K21" i="13"/>
  <c r="K17" i="13"/>
  <c r="K14" i="13"/>
  <c r="K7" i="13"/>
  <c r="K9" i="20"/>
  <c r="B5" i="17"/>
  <c r="I21" i="13"/>
  <c r="I16" i="13"/>
  <c r="I6" i="13"/>
  <c r="I17" i="13"/>
  <c r="I15" i="13"/>
  <c r="I24" i="13"/>
  <c r="I14" i="13"/>
  <c r="I13" i="13"/>
  <c r="I22" i="13"/>
  <c r="I9" i="13"/>
  <c r="I7" i="13"/>
  <c r="J305" i="19"/>
  <c r="J304" i="19"/>
  <c r="J303" i="19"/>
  <c r="J302" i="19"/>
  <c r="J301" i="19"/>
  <c r="J300" i="19"/>
  <c r="J299" i="19"/>
  <c r="J298" i="19"/>
  <c r="J297" i="19"/>
  <c r="J296" i="19"/>
  <c r="J295" i="19"/>
  <c r="J294" i="19"/>
  <c r="J293" i="19"/>
  <c r="J292" i="19"/>
  <c r="J291" i="19"/>
  <c r="J290" i="19"/>
  <c r="J289" i="19"/>
  <c r="J288" i="19"/>
  <c r="J287" i="19"/>
  <c r="J286" i="19"/>
  <c r="J285" i="19"/>
  <c r="J284" i="19"/>
  <c r="J283" i="19"/>
  <c r="J282" i="19"/>
  <c r="J281" i="19"/>
  <c r="J280" i="19"/>
  <c r="J279" i="19"/>
  <c r="J278" i="19"/>
  <c r="J277" i="19"/>
  <c r="J276" i="19"/>
  <c r="J275" i="19"/>
  <c r="J274" i="19"/>
  <c r="J273" i="19"/>
  <c r="J272" i="19"/>
  <c r="J271" i="19"/>
  <c r="J270" i="19"/>
  <c r="J269" i="19"/>
  <c r="J268" i="19"/>
  <c r="J267" i="19"/>
  <c r="J266" i="19"/>
  <c r="J265" i="19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J105" i="18"/>
  <c r="J104" i="18"/>
  <c r="J103" i="18"/>
  <c r="J102" i="18"/>
  <c r="J101" i="18"/>
  <c r="J100" i="18"/>
  <c r="J99" i="18"/>
  <c r="J98" i="18"/>
  <c r="J97" i="18"/>
  <c r="J96" i="18"/>
  <c r="J95" i="18"/>
  <c r="J94" i="18"/>
  <c r="J93" i="18"/>
  <c r="J92" i="18"/>
  <c r="J91" i="18"/>
  <c r="J90" i="18"/>
  <c r="J89" i="18"/>
  <c r="J88" i="18"/>
  <c r="J87" i="18"/>
  <c r="J86" i="18"/>
  <c r="J85" i="18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305" i="17"/>
  <c r="J304" i="17"/>
  <c r="J303" i="17"/>
  <c r="J302" i="17"/>
  <c r="J301" i="17"/>
  <c r="J300" i="17"/>
  <c r="J299" i="17"/>
  <c r="J298" i="17"/>
  <c r="J297" i="17"/>
  <c r="J296" i="17"/>
  <c r="J295" i="17"/>
  <c r="J294" i="17"/>
  <c r="J293" i="17"/>
  <c r="J292" i="17"/>
  <c r="J291" i="17"/>
  <c r="J290" i="17"/>
  <c r="J289" i="17"/>
  <c r="J288" i="17"/>
  <c r="J287" i="17"/>
  <c r="J286" i="17"/>
  <c r="J285" i="17"/>
  <c r="J284" i="17"/>
  <c r="J283" i="17"/>
  <c r="J282" i="17"/>
  <c r="J281" i="17"/>
  <c r="J280" i="17"/>
  <c r="J279" i="17"/>
  <c r="J278" i="17"/>
  <c r="J277" i="17"/>
  <c r="J276" i="17"/>
  <c r="J275" i="17"/>
  <c r="J274" i="17"/>
  <c r="J273" i="17"/>
  <c r="J272" i="17"/>
  <c r="J271" i="17"/>
  <c r="J270" i="17"/>
  <c r="J269" i="17"/>
  <c r="J268" i="17"/>
  <c r="J267" i="17"/>
  <c r="J266" i="17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J233" i="17"/>
  <c r="J232" i="17"/>
  <c r="J231" i="17"/>
  <c r="J230" i="17"/>
  <c r="J229" i="17"/>
  <c r="J228" i="17"/>
  <c r="J227" i="17"/>
  <c r="J226" i="17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J73" i="17"/>
  <c r="J72" i="17"/>
  <c r="J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305" i="16"/>
  <c r="J304" i="16"/>
  <c r="J303" i="16"/>
  <c r="J302" i="16"/>
  <c r="J301" i="16"/>
  <c r="J300" i="16"/>
  <c r="J299" i="16"/>
  <c r="J298" i="16"/>
  <c r="J297" i="16"/>
  <c r="J296" i="16"/>
  <c r="J295" i="16"/>
  <c r="J294" i="16"/>
  <c r="J293" i="16"/>
  <c r="J292" i="16"/>
  <c r="J291" i="16"/>
  <c r="J290" i="16"/>
  <c r="J289" i="16"/>
  <c r="J288" i="16"/>
  <c r="J287" i="16"/>
  <c r="J286" i="16"/>
  <c r="J285" i="16"/>
  <c r="J284" i="16"/>
  <c r="J283" i="16"/>
  <c r="J282" i="16"/>
  <c r="J281" i="16"/>
  <c r="J280" i="16"/>
  <c r="J279" i="16"/>
  <c r="J278" i="16"/>
  <c r="J277" i="16"/>
  <c r="J276" i="16"/>
  <c r="J275" i="16"/>
  <c r="J274" i="16"/>
  <c r="J273" i="16"/>
  <c r="J272" i="16"/>
  <c r="J271" i="16"/>
  <c r="J270" i="16"/>
  <c r="J269" i="16"/>
  <c r="J268" i="16"/>
  <c r="J267" i="16"/>
  <c r="J266" i="16"/>
  <c r="J265" i="16"/>
  <c r="J264" i="16"/>
  <c r="J263" i="16"/>
  <c r="J262" i="16"/>
  <c r="J261" i="16"/>
  <c r="J260" i="16"/>
  <c r="J259" i="16"/>
  <c r="J258" i="16"/>
  <c r="J257" i="16"/>
  <c r="J256" i="16"/>
  <c r="J255" i="16"/>
  <c r="J254" i="16"/>
  <c r="J253" i="16"/>
  <c r="J252" i="16"/>
  <c r="J251" i="16"/>
  <c r="J250" i="16"/>
  <c r="J249" i="16"/>
  <c r="J248" i="16"/>
  <c r="J247" i="16"/>
  <c r="J246" i="16"/>
  <c r="J245" i="16"/>
  <c r="J244" i="16"/>
  <c r="J243" i="16"/>
  <c r="J242" i="16"/>
  <c r="J241" i="16"/>
  <c r="J240" i="16"/>
  <c r="J239" i="16"/>
  <c r="J238" i="16"/>
  <c r="J237" i="16"/>
  <c r="J236" i="16"/>
  <c r="J235" i="16"/>
  <c r="J234" i="16"/>
  <c r="J233" i="16"/>
  <c r="J232" i="16"/>
  <c r="J231" i="16"/>
  <c r="J230" i="16"/>
  <c r="J229" i="16"/>
  <c r="J228" i="16"/>
  <c r="J227" i="16"/>
  <c r="J226" i="16"/>
  <c r="J225" i="16"/>
  <c r="J224" i="16"/>
  <c r="J223" i="16"/>
  <c r="J222" i="16"/>
  <c r="J221" i="16"/>
  <c r="J220" i="16"/>
  <c r="J219" i="16"/>
  <c r="J218" i="16"/>
  <c r="J217" i="16"/>
  <c r="J216" i="16"/>
  <c r="J215" i="16"/>
  <c r="J214" i="16"/>
  <c r="J213" i="16"/>
  <c r="J212" i="16"/>
  <c r="J211" i="16"/>
  <c r="J210" i="16"/>
  <c r="J209" i="16"/>
  <c r="J208" i="16"/>
  <c r="J207" i="16"/>
  <c r="J206" i="16"/>
  <c r="J205" i="16"/>
  <c r="J204" i="16"/>
  <c r="J203" i="16"/>
  <c r="J202" i="16"/>
  <c r="J201" i="16"/>
  <c r="J200" i="16"/>
  <c r="J199" i="16"/>
  <c r="J198" i="16"/>
  <c r="J197" i="16"/>
  <c r="J196" i="16"/>
  <c r="J195" i="16"/>
  <c r="J194" i="16"/>
  <c r="J193" i="16"/>
  <c r="J192" i="16"/>
  <c r="J191" i="16"/>
  <c r="J190" i="16"/>
  <c r="J189" i="16"/>
  <c r="J188" i="16"/>
  <c r="J187" i="16"/>
  <c r="J186" i="16"/>
  <c r="J185" i="16"/>
  <c r="J184" i="16"/>
  <c r="J183" i="16"/>
  <c r="J182" i="16"/>
  <c r="J181" i="16"/>
  <c r="J180" i="16"/>
  <c r="J179" i="16"/>
  <c r="J178" i="16"/>
  <c r="J177" i="16"/>
  <c r="J176" i="16"/>
  <c r="J175" i="16"/>
  <c r="J174" i="16"/>
  <c r="J173" i="16"/>
  <c r="J172" i="16"/>
  <c r="J171" i="16"/>
  <c r="J170" i="16"/>
  <c r="J169" i="16"/>
  <c r="J168" i="16"/>
  <c r="J167" i="16"/>
  <c r="J166" i="16"/>
  <c r="J165" i="16"/>
  <c r="J164" i="16"/>
  <c r="J163" i="16"/>
  <c r="J162" i="16"/>
  <c r="J161" i="16"/>
  <c r="J160" i="16"/>
  <c r="J159" i="16"/>
  <c r="J158" i="16"/>
  <c r="J157" i="16"/>
  <c r="J156" i="16"/>
  <c r="J155" i="16"/>
  <c r="J154" i="16"/>
  <c r="J153" i="16"/>
  <c r="J152" i="16"/>
  <c r="J151" i="16"/>
  <c r="J150" i="16"/>
  <c r="J149" i="16"/>
  <c r="J148" i="16"/>
  <c r="J147" i="16"/>
  <c r="J146" i="16"/>
  <c r="J145" i="16"/>
  <c r="J144" i="16"/>
  <c r="J143" i="16"/>
  <c r="J142" i="16"/>
  <c r="J141" i="16"/>
  <c r="J140" i="16"/>
  <c r="J139" i="16"/>
  <c r="J138" i="16"/>
  <c r="J137" i="16"/>
  <c r="J136" i="16"/>
  <c r="J135" i="16"/>
  <c r="J134" i="16"/>
  <c r="J133" i="16"/>
  <c r="J132" i="16"/>
  <c r="J131" i="16"/>
  <c r="J130" i="16"/>
  <c r="J129" i="16"/>
  <c r="J128" i="16"/>
  <c r="J127" i="16"/>
  <c r="J126" i="16"/>
  <c r="J125" i="16"/>
  <c r="J124" i="16"/>
  <c r="J123" i="16"/>
  <c r="J122" i="16"/>
  <c r="J121" i="16"/>
  <c r="J120" i="16"/>
  <c r="J119" i="16"/>
  <c r="J118" i="16"/>
  <c r="J117" i="16"/>
  <c r="J116" i="16"/>
  <c r="J115" i="16"/>
  <c r="J114" i="16"/>
  <c r="J113" i="16"/>
  <c r="J112" i="16"/>
  <c r="J111" i="16"/>
  <c r="J110" i="16"/>
  <c r="J109" i="16"/>
  <c r="J108" i="16"/>
  <c r="J107" i="16"/>
  <c r="J106" i="16"/>
  <c r="J105" i="16"/>
  <c r="J104" i="16"/>
  <c r="J103" i="16"/>
  <c r="J102" i="16"/>
  <c r="J101" i="16"/>
  <c r="J100" i="16"/>
  <c r="J99" i="16"/>
  <c r="J98" i="16"/>
  <c r="J97" i="16"/>
  <c r="J96" i="16"/>
  <c r="J95" i="16"/>
  <c r="J94" i="16"/>
  <c r="J93" i="16"/>
  <c r="J92" i="16"/>
  <c r="J91" i="16"/>
  <c r="J90" i="16"/>
  <c r="J89" i="16"/>
  <c r="J88" i="16"/>
  <c r="J87" i="16"/>
  <c r="J86" i="16"/>
  <c r="J85" i="16"/>
  <c r="J84" i="16"/>
  <c r="J83" i="16"/>
  <c r="J82" i="16"/>
  <c r="J81" i="16"/>
  <c r="J80" i="16"/>
  <c r="J79" i="16"/>
  <c r="J78" i="16"/>
  <c r="J77" i="16"/>
  <c r="J76" i="16"/>
  <c r="J75" i="16"/>
  <c r="J74" i="16"/>
  <c r="J73" i="16"/>
  <c r="J72" i="16"/>
  <c r="J71" i="16"/>
  <c r="J70" i="16"/>
  <c r="J69" i="16"/>
  <c r="J68" i="16"/>
  <c r="J67" i="16"/>
  <c r="J66" i="16"/>
  <c r="J65" i="16"/>
  <c r="J64" i="16"/>
  <c r="J63" i="16"/>
  <c r="J62" i="16"/>
  <c r="J61" i="16"/>
  <c r="J60" i="16"/>
  <c r="J59" i="16"/>
  <c r="J58" i="16"/>
  <c r="J57" i="16"/>
  <c r="J56" i="16"/>
  <c r="J55" i="16"/>
  <c r="J54" i="16"/>
  <c r="J53" i="16"/>
  <c r="J52" i="16"/>
  <c r="J51" i="16"/>
  <c r="J50" i="16"/>
  <c r="J49" i="16"/>
  <c r="J48" i="16"/>
  <c r="J47" i="16"/>
  <c r="J46" i="16"/>
  <c r="J45" i="16"/>
  <c r="J44" i="16"/>
  <c r="J43" i="16"/>
  <c r="J42" i="16"/>
  <c r="J41" i="16"/>
  <c r="J40" i="16"/>
  <c r="J39" i="16"/>
  <c r="J38" i="16"/>
  <c r="J37" i="16"/>
  <c r="J36" i="16"/>
  <c r="J35" i="16"/>
  <c r="J34" i="16"/>
  <c r="J33" i="16"/>
  <c r="J32" i="16"/>
  <c r="J31" i="16"/>
  <c r="J30" i="16"/>
  <c r="J29" i="16"/>
  <c r="J28" i="16"/>
  <c r="J27" i="16"/>
  <c r="J26" i="16"/>
  <c r="J25" i="16"/>
  <c r="J24" i="16"/>
  <c r="J23" i="16"/>
  <c r="J22" i="16"/>
  <c r="J21" i="16"/>
  <c r="J20" i="16"/>
  <c r="J19" i="16"/>
  <c r="J18" i="16"/>
  <c r="J17" i="16"/>
  <c r="J16" i="16"/>
  <c r="J15" i="16"/>
  <c r="J14" i="16"/>
  <c r="J13" i="16"/>
  <c r="J12" i="16"/>
  <c r="J11" i="16"/>
  <c r="J10" i="16"/>
  <c r="J9" i="16"/>
  <c r="J8" i="16"/>
  <c r="J7" i="16"/>
  <c r="J305" i="15"/>
  <c r="J304" i="15"/>
  <c r="J303" i="15"/>
  <c r="J302" i="15"/>
  <c r="J301" i="15"/>
  <c r="J300" i="15"/>
  <c r="J299" i="15"/>
  <c r="J298" i="15"/>
  <c r="J297" i="15"/>
  <c r="J296" i="15"/>
  <c r="J295" i="15"/>
  <c r="J294" i="15"/>
  <c r="J293" i="15"/>
  <c r="J292" i="15"/>
  <c r="J291" i="15"/>
  <c r="J290" i="15"/>
  <c r="J289" i="15"/>
  <c r="J288" i="15"/>
  <c r="J287" i="15"/>
  <c r="J286" i="15"/>
  <c r="J285" i="15"/>
  <c r="J284" i="15"/>
  <c r="J283" i="15"/>
  <c r="J282" i="15"/>
  <c r="J281" i="15"/>
  <c r="J280" i="15"/>
  <c r="J279" i="15"/>
  <c r="J278" i="15"/>
  <c r="J277" i="15"/>
  <c r="J276" i="15"/>
  <c r="J275" i="15"/>
  <c r="J274" i="15"/>
  <c r="J273" i="15"/>
  <c r="J272" i="15"/>
  <c r="J271" i="15"/>
  <c r="J270" i="15"/>
  <c r="J269" i="15"/>
  <c r="J268" i="15"/>
  <c r="J267" i="15"/>
  <c r="J266" i="15"/>
  <c r="J265" i="15"/>
  <c r="J264" i="15"/>
  <c r="J263" i="15"/>
  <c r="J262" i="15"/>
  <c r="J261" i="15"/>
  <c r="J260" i="15"/>
  <c r="J259" i="15"/>
  <c r="J258" i="15"/>
  <c r="J257" i="15"/>
  <c r="J256" i="15"/>
  <c r="J255" i="15"/>
  <c r="J254" i="15"/>
  <c r="J253" i="15"/>
  <c r="J252" i="15"/>
  <c r="J251" i="15"/>
  <c r="J250" i="15"/>
  <c r="J249" i="15"/>
  <c r="J248" i="15"/>
  <c r="J247" i="15"/>
  <c r="J246" i="15"/>
  <c r="J245" i="15"/>
  <c r="J244" i="15"/>
  <c r="J243" i="15"/>
  <c r="J242" i="15"/>
  <c r="J241" i="15"/>
  <c r="J240" i="15"/>
  <c r="J239" i="15"/>
  <c r="J238" i="15"/>
  <c r="J237" i="15"/>
  <c r="J236" i="15"/>
  <c r="J235" i="15"/>
  <c r="J234" i="15"/>
  <c r="J233" i="15"/>
  <c r="J232" i="15"/>
  <c r="J231" i="15"/>
  <c r="J230" i="15"/>
  <c r="J229" i="15"/>
  <c r="J228" i="15"/>
  <c r="J227" i="15"/>
  <c r="J226" i="15"/>
  <c r="J225" i="15"/>
  <c r="J224" i="15"/>
  <c r="J223" i="15"/>
  <c r="J222" i="15"/>
  <c r="J221" i="15"/>
  <c r="J220" i="15"/>
  <c r="J219" i="15"/>
  <c r="J218" i="15"/>
  <c r="J217" i="15"/>
  <c r="J216" i="15"/>
  <c r="J215" i="15"/>
  <c r="J214" i="15"/>
  <c r="J213" i="15"/>
  <c r="J212" i="15"/>
  <c r="J211" i="15"/>
  <c r="J210" i="15"/>
  <c r="J209" i="15"/>
  <c r="J208" i="15"/>
  <c r="J207" i="15"/>
  <c r="J206" i="15"/>
  <c r="J205" i="15"/>
  <c r="J204" i="15"/>
  <c r="J203" i="15"/>
  <c r="J202" i="15"/>
  <c r="J201" i="15"/>
  <c r="J200" i="15"/>
  <c r="J199" i="15"/>
  <c r="J198" i="15"/>
  <c r="J197" i="15"/>
  <c r="J196" i="15"/>
  <c r="J195" i="15"/>
  <c r="J194" i="15"/>
  <c r="J193" i="15"/>
  <c r="J192" i="15"/>
  <c r="J191" i="15"/>
  <c r="J190" i="15"/>
  <c r="J189" i="15"/>
  <c r="J188" i="15"/>
  <c r="J187" i="15"/>
  <c r="J186" i="15"/>
  <c r="J185" i="15"/>
  <c r="J184" i="15"/>
  <c r="J183" i="15"/>
  <c r="J182" i="15"/>
  <c r="J181" i="15"/>
  <c r="J180" i="15"/>
  <c r="J179" i="15"/>
  <c r="J178" i="15"/>
  <c r="J177" i="15"/>
  <c r="J176" i="15"/>
  <c r="J175" i="15"/>
  <c r="J174" i="15"/>
  <c r="J173" i="15"/>
  <c r="J172" i="15"/>
  <c r="J171" i="15"/>
  <c r="J170" i="15"/>
  <c r="J169" i="15"/>
  <c r="J168" i="15"/>
  <c r="J167" i="15"/>
  <c r="J166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J153" i="15"/>
  <c r="J152" i="15"/>
  <c r="J151" i="15"/>
  <c r="J150" i="15"/>
  <c r="J149" i="15"/>
  <c r="J148" i="15"/>
  <c r="J147" i="15"/>
  <c r="J146" i="15"/>
  <c r="J145" i="15"/>
  <c r="J144" i="15"/>
  <c r="J143" i="15"/>
  <c r="J142" i="15"/>
  <c r="J141" i="15"/>
  <c r="J140" i="15"/>
  <c r="J139" i="15"/>
  <c r="J138" i="15"/>
  <c r="J137" i="15"/>
  <c r="J136" i="15"/>
  <c r="J135" i="15"/>
  <c r="J134" i="15"/>
  <c r="J133" i="15"/>
  <c r="J132" i="15"/>
  <c r="J131" i="15"/>
  <c r="J130" i="15"/>
  <c r="J129" i="15"/>
  <c r="J128" i="15"/>
  <c r="J127" i="15"/>
  <c r="J126" i="15"/>
  <c r="J125" i="15"/>
  <c r="J124" i="15"/>
  <c r="J123" i="15"/>
  <c r="J122" i="15"/>
  <c r="J121" i="15"/>
  <c r="J120" i="15"/>
  <c r="J119" i="15"/>
  <c r="J118" i="15"/>
  <c r="J117" i="15"/>
  <c r="J116" i="15"/>
  <c r="J115" i="15"/>
  <c r="J114" i="15"/>
  <c r="J113" i="15"/>
  <c r="J112" i="15"/>
  <c r="J111" i="15"/>
  <c r="J110" i="15"/>
  <c r="J109" i="15"/>
  <c r="J108" i="15"/>
  <c r="J107" i="15"/>
  <c r="J106" i="15"/>
  <c r="J105" i="15"/>
  <c r="J104" i="15"/>
  <c r="J103" i="15"/>
  <c r="J102" i="15"/>
  <c r="J101" i="15"/>
  <c r="J100" i="15"/>
  <c r="J99" i="15"/>
  <c r="J98" i="15"/>
  <c r="J97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9"/>
  <c r="J6" i="17"/>
  <c r="J6" i="16"/>
  <c r="J6" i="15"/>
  <c r="G21" i="13"/>
  <c r="G16" i="13"/>
  <c r="G8" i="13"/>
  <c r="G15" i="13"/>
  <c r="G24" i="13"/>
  <c r="G13" i="13"/>
  <c r="G14" i="13"/>
  <c r="G22" i="13"/>
  <c r="G9" i="13"/>
  <c r="G7" i="13"/>
  <c r="T15" i="13" l="1"/>
  <c r="T18" i="13"/>
  <c r="T14" i="20"/>
  <c r="T21" i="20"/>
  <c r="T23" i="20"/>
  <c r="T9" i="13"/>
  <c r="T8" i="13"/>
  <c r="T23" i="13"/>
  <c r="T9" i="20"/>
  <c r="T12" i="20"/>
  <c r="M9" i="31"/>
  <c r="A9" i="31" s="1"/>
  <c r="T10" i="13"/>
  <c r="T16" i="13"/>
  <c r="T24" i="13"/>
  <c r="T11" i="20"/>
  <c r="T18" i="20"/>
  <c r="T24" i="20"/>
  <c r="T11" i="13"/>
  <c r="T17" i="13"/>
  <c r="T25" i="13"/>
  <c r="T6" i="20"/>
  <c r="T22" i="20"/>
  <c r="T14" i="13"/>
  <c r="T19" i="13"/>
  <c r="T10" i="20"/>
  <c r="T7" i="20"/>
  <c r="T20" i="20"/>
  <c r="T25" i="20"/>
  <c r="T12" i="13"/>
  <c r="T20" i="13"/>
  <c r="T15" i="20"/>
  <c r="T19" i="20"/>
  <c r="T26" i="20"/>
  <c r="T13" i="13"/>
  <c r="T21" i="13"/>
  <c r="T16" i="20"/>
  <c r="T27" i="20"/>
  <c r="T6" i="13"/>
  <c r="T22" i="13"/>
  <c r="T13" i="20"/>
  <c r="T17" i="20"/>
  <c r="T28" i="20"/>
  <c r="L6" i="34"/>
  <c r="L7" i="34"/>
  <c r="AR27" i="20"/>
  <c r="AR26" i="20"/>
  <c r="AR25" i="20"/>
  <c r="AR24" i="20"/>
  <c r="AR23" i="20"/>
  <c r="AR28" i="20"/>
  <c r="M6" i="34"/>
  <c r="A6" i="34" s="1"/>
  <c r="M7" i="34"/>
  <c r="A7" i="34" s="1"/>
  <c r="AS8" i="20"/>
  <c r="AS9" i="20"/>
  <c r="AS10" i="20"/>
  <c r="AS13" i="20"/>
  <c r="AS11" i="20"/>
  <c r="AS15" i="20"/>
  <c r="AS14" i="20"/>
  <c r="AS6" i="20"/>
  <c r="AS16" i="20"/>
  <c r="AS12" i="20"/>
  <c r="AS7" i="20"/>
  <c r="AS17" i="20"/>
  <c r="AS18" i="20"/>
  <c r="AS19" i="20"/>
  <c r="AS21" i="20"/>
  <c r="AS22" i="20"/>
  <c r="AS20" i="20"/>
  <c r="R8" i="20"/>
  <c r="R16" i="13"/>
  <c r="R13" i="20"/>
  <c r="R17" i="13"/>
  <c r="R21" i="20"/>
  <c r="M10" i="30"/>
  <c r="A10" i="30" s="1"/>
  <c r="R14" i="13"/>
  <c r="R19" i="13"/>
  <c r="R9" i="20"/>
  <c r="R12" i="20"/>
  <c r="Q26" i="20"/>
  <c r="R8" i="13"/>
  <c r="R16" i="20"/>
  <c r="R10" i="13"/>
  <c r="R17" i="20"/>
  <c r="R11" i="13"/>
  <c r="R12" i="13"/>
  <c r="R20" i="13"/>
  <c r="R11" i="20"/>
  <c r="R18" i="20"/>
  <c r="Q23" i="20"/>
  <c r="M16" i="30"/>
  <c r="A16" i="30" s="1"/>
  <c r="R13" i="13"/>
  <c r="R21" i="13"/>
  <c r="R6" i="20"/>
  <c r="R22" i="20"/>
  <c r="Q27" i="20"/>
  <c r="R9" i="13"/>
  <c r="R14" i="20"/>
  <c r="R6" i="13"/>
  <c r="R22" i="13"/>
  <c r="R10" i="20"/>
  <c r="R7" i="20"/>
  <c r="R7" i="13"/>
  <c r="R15" i="13"/>
  <c r="Q18" i="13"/>
  <c r="R15" i="20"/>
  <c r="R19" i="20"/>
  <c r="Q20" i="20"/>
  <c r="AN27" i="20"/>
  <c r="AN26" i="20"/>
  <c r="AN25" i="20"/>
  <c r="AN24" i="20"/>
  <c r="AN23" i="20"/>
  <c r="AN20" i="20"/>
  <c r="M6" i="32"/>
  <c r="A6" i="32" s="1"/>
  <c r="AO8" i="20"/>
  <c r="AO9" i="20"/>
  <c r="AO10" i="20"/>
  <c r="AO13" i="20"/>
  <c r="AO11" i="20"/>
  <c r="AO15" i="20"/>
  <c r="AO14" i="20"/>
  <c r="AO6" i="20"/>
  <c r="AO16" i="20"/>
  <c r="AO12" i="20"/>
  <c r="AO7" i="20"/>
  <c r="AO17" i="20"/>
  <c r="AO18" i="20"/>
  <c r="AO19" i="20"/>
  <c r="AO21" i="20"/>
  <c r="AO22" i="20"/>
  <c r="AO28" i="20"/>
  <c r="M13" i="27"/>
  <c r="A13" i="27" s="1"/>
  <c r="P12" i="13"/>
  <c r="P24" i="20"/>
  <c r="P14" i="20"/>
  <c r="P9" i="20"/>
  <c r="P11" i="20"/>
  <c r="P9" i="13"/>
  <c r="O23" i="13"/>
  <c r="P23" i="13" s="1"/>
  <c r="P22" i="20"/>
  <c r="P21" i="13"/>
  <c r="P12" i="20"/>
  <c r="O18" i="13"/>
  <c r="P18" i="13" s="1"/>
  <c r="P10" i="13"/>
  <c r="P16" i="13"/>
  <c r="O24" i="13"/>
  <c r="P24" i="13" s="1"/>
  <c r="P10" i="20"/>
  <c r="P7" i="20"/>
  <c r="O23" i="20"/>
  <c r="P23" i="20" s="1"/>
  <c r="P21" i="20"/>
  <c r="M6" i="29"/>
  <c r="A6" i="29" s="1"/>
  <c r="P6" i="20" s="1"/>
  <c r="P28" i="20"/>
  <c r="P18" i="20"/>
  <c r="M8" i="29"/>
  <c r="A8" i="29" s="1"/>
  <c r="P8" i="13" s="1"/>
  <c r="P11" i="13"/>
  <c r="P17" i="13"/>
  <c r="O25" i="13"/>
  <c r="P25" i="13" s="1"/>
  <c r="P15" i="20"/>
  <c r="P19" i="20"/>
  <c r="O26" i="20"/>
  <c r="P26" i="20" s="1"/>
  <c r="P20" i="13"/>
  <c r="O27" i="20"/>
  <c r="P27" i="20" s="1"/>
  <c r="P22" i="13"/>
  <c r="P15" i="13"/>
  <c r="O25" i="20"/>
  <c r="P25" i="20" s="1"/>
  <c r="P14" i="13"/>
  <c r="P19" i="13"/>
  <c r="P16" i="20"/>
  <c r="AK10" i="20"/>
  <c r="AK23" i="20"/>
  <c r="AK11" i="20"/>
  <c r="AK17" i="20"/>
  <c r="M11" i="26"/>
  <c r="A11" i="26" s="1"/>
  <c r="AK12" i="20"/>
  <c r="AK14" i="20"/>
  <c r="M9" i="26"/>
  <c r="A9" i="26" s="1"/>
  <c r="M16" i="26"/>
  <c r="A16" i="26" s="1"/>
  <c r="AK22" i="20"/>
  <c r="AK8" i="20"/>
  <c r="AK26" i="20"/>
  <c r="L9" i="26"/>
  <c r="AK7" i="20"/>
  <c r="AK9" i="20"/>
  <c r="AK15" i="20"/>
  <c r="AK24" i="20"/>
  <c r="AK16" i="20"/>
  <c r="AK6" i="20"/>
  <c r="BF6" i="20" s="1"/>
  <c r="AK20" i="20"/>
  <c r="AK21" i="20"/>
  <c r="AK19" i="20"/>
  <c r="AK27" i="20"/>
  <c r="M25" i="13"/>
  <c r="M20" i="20"/>
  <c r="M23" i="20"/>
  <c r="M24" i="20"/>
  <c r="M26" i="20"/>
  <c r="M24" i="13"/>
  <c r="M16" i="22"/>
  <c r="A16" i="22" s="1"/>
  <c r="L7" i="22"/>
  <c r="Z25" i="20"/>
  <c r="Z20" i="20"/>
  <c r="Z28" i="20"/>
  <c r="Z23" i="20"/>
  <c r="Z24" i="20"/>
  <c r="AI21" i="20"/>
  <c r="AI8" i="20"/>
  <c r="M17" i="25"/>
  <c r="A17" i="25" s="1"/>
  <c r="AI17" i="20"/>
  <c r="AI15" i="20"/>
  <c r="AI13" i="20"/>
  <c r="M12" i="25"/>
  <c r="A12" i="25" s="1"/>
  <c r="AI6" i="20"/>
  <c r="AI18" i="20"/>
  <c r="AI12" i="20"/>
  <c r="AI14" i="20"/>
  <c r="AI9" i="20"/>
  <c r="M16" i="25"/>
  <c r="A16" i="25" s="1"/>
  <c r="M22" i="25"/>
  <c r="A22" i="25" s="1"/>
  <c r="M13" i="25"/>
  <c r="A13" i="25" s="1"/>
  <c r="M20" i="25"/>
  <c r="A20" i="25" s="1"/>
  <c r="L9" i="34"/>
  <c r="M9" i="34" s="1"/>
  <c r="A9" i="34" s="1"/>
  <c r="L8" i="34"/>
  <c r="M8" i="34" s="1"/>
  <c r="A8" i="34" s="1"/>
  <c r="L9" i="33"/>
  <c r="L8" i="33"/>
  <c r="L7" i="33"/>
  <c r="L9" i="32"/>
  <c r="M9" i="32" s="1"/>
  <c r="A9" i="32" s="1"/>
  <c r="L8" i="32"/>
  <c r="M8" i="32" s="1"/>
  <c r="A8" i="32" s="1"/>
  <c r="L7" i="32"/>
  <c r="M7" i="32" s="1"/>
  <c r="A7" i="32" s="1"/>
  <c r="L6" i="31"/>
  <c r="M6" i="31" s="1"/>
  <c r="A6" i="31" s="1"/>
  <c r="L6" i="30"/>
  <c r="M6" i="30" s="1"/>
  <c r="A6" i="30" s="1"/>
  <c r="L8" i="29"/>
  <c r="L7" i="29"/>
  <c r="M7" i="29" s="1"/>
  <c r="A7" i="29" s="1"/>
  <c r="K8" i="20"/>
  <c r="K13" i="20"/>
  <c r="K18" i="20"/>
  <c r="K16" i="20"/>
  <c r="K20" i="20"/>
  <c r="K17" i="20"/>
  <c r="K21" i="20"/>
  <c r="I26" i="20"/>
  <c r="I28" i="20"/>
  <c r="M25" i="28"/>
  <c r="N25" i="28" s="1"/>
  <c r="A25" i="28" s="1"/>
  <c r="M37" i="28"/>
  <c r="N37" i="28" s="1"/>
  <c r="A37" i="28" s="1"/>
  <c r="M41" i="28"/>
  <c r="M53" i="28"/>
  <c r="N53" i="28" s="1"/>
  <c r="A53" i="28" s="1"/>
  <c r="M54" i="28"/>
  <c r="M58" i="28"/>
  <c r="N58" i="28" s="1"/>
  <c r="A58" i="28" s="1"/>
  <c r="M66" i="28"/>
  <c r="M80" i="28"/>
  <c r="N80" i="28"/>
  <c r="A80" i="28" s="1"/>
  <c r="M85" i="28"/>
  <c r="N85" i="28"/>
  <c r="A85" i="28" s="1"/>
  <c r="N99" i="28"/>
  <c r="A99" i="28" s="1"/>
  <c r="M99" i="28"/>
  <c r="N101" i="28"/>
  <c r="A101" i="28" s="1"/>
  <c r="M101" i="28"/>
  <c r="M131" i="28"/>
  <c r="N131" i="28"/>
  <c r="A131" i="28" s="1"/>
  <c r="N133" i="28"/>
  <c r="A133" i="28" s="1"/>
  <c r="M133" i="28"/>
  <c r="N145" i="28"/>
  <c r="A145" i="28" s="1"/>
  <c r="M145" i="28"/>
  <c r="N147" i="28"/>
  <c r="A147" i="28" s="1"/>
  <c r="M147" i="28"/>
  <c r="N153" i="28"/>
  <c r="A153" i="28" s="1"/>
  <c r="M153" i="28"/>
  <c r="N155" i="28"/>
  <c r="A155" i="28" s="1"/>
  <c r="M155" i="28"/>
  <c r="M171" i="28"/>
  <c r="N171" i="28"/>
  <c r="A171" i="28" s="1"/>
  <c r="N173" i="28"/>
  <c r="A173" i="28" s="1"/>
  <c r="M173" i="28"/>
  <c r="M179" i="28"/>
  <c r="N179" i="28"/>
  <c r="A179" i="28" s="1"/>
  <c r="M186" i="28"/>
  <c r="N186" i="28"/>
  <c r="A186" i="28" s="1"/>
  <c r="N188" i="28"/>
  <c r="A188" i="28" s="1"/>
  <c r="M188" i="28"/>
  <c r="N205" i="28"/>
  <c r="A205" i="28" s="1"/>
  <c r="M205" i="28"/>
  <c r="M211" i="28"/>
  <c r="N211" i="28"/>
  <c r="A211" i="28" s="1"/>
  <c r="N213" i="28"/>
  <c r="A213" i="28" s="1"/>
  <c r="M213" i="28"/>
  <c r="N218" i="28"/>
  <c r="A218" i="28" s="1"/>
  <c r="M218" i="28"/>
  <c r="N234" i="28"/>
  <c r="A234" i="28" s="1"/>
  <c r="M234" i="28"/>
  <c r="N236" i="28"/>
  <c r="A236" i="28" s="1"/>
  <c r="M236" i="28"/>
  <c r="N271" i="28"/>
  <c r="A271" i="28" s="1"/>
  <c r="M271" i="28"/>
  <c r="N299" i="28"/>
  <c r="A299" i="28" s="1"/>
  <c r="M299" i="28"/>
  <c r="L6" i="24"/>
  <c r="L9" i="24"/>
  <c r="M18" i="24"/>
  <c r="A18" i="24" s="1"/>
  <c r="H24" i="20"/>
  <c r="H20" i="13"/>
  <c r="H12" i="20"/>
  <c r="H17" i="20"/>
  <c r="M26" i="23"/>
  <c r="A26" i="23" s="1"/>
  <c r="M16" i="23"/>
  <c r="A16" i="23" s="1"/>
  <c r="M29" i="23"/>
  <c r="A29" i="23" s="1"/>
  <c r="M12" i="23"/>
  <c r="A12" i="23" s="1"/>
  <c r="M19" i="23"/>
  <c r="A19" i="23" s="1"/>
  <c r="M24" i="23"/>
  <c r="A24" i="23" s="1"/>
  <c r="M32" i="23"/>
  <c r="A32" i="23" s="1"/>
  <c r="M22" i="23"/>
  <c r="A22" i="23" s="1"/>
  <c r="M27" i="23"/>
  <c r="A27" i="23" s="1"/>
  <c r="M10" i="23"/>
  <c r="A10" i="23" s="1"/>
  <c r="M17" i="23"/>
  <c r="A17" i="23" s="1"/>
  <c r="M20" i="23"/>
  <c r="A20" i="23" s="1"/>
  <c r="M25" i="23"/>
  <c r="A25" i="23" s="1"/>
  <c r="AB19" i="20"/>
  <c r="AB27" i="20"/>
  <c r="AF19" i="20"/>
  <c r="AF27" i="20"/>
  <c r="M13" i="24"/>
  <c r="A13" i="24" s="1"/>
  <c r="M20" i="24"/>
  <c r="A20" i="24" s="1"/>
  <c r="AB22" i="20"/>
  <c r="M13" i="23"/>
  <c r="A13" i="23" s="1"/>
  <c r="M11" i="23"/>
  <c r="A11" i="23" s="1"/>
  <c r="M18" i="23"/>
  <c r="A18" i="23" s="1"/>
  <c r="M12" i="22"/>
  <c r="A12" i="22" s="1"/>
  <c r="M6" i="22"/>
  <c r="A6" i="22" s="1"/>
  <c r="AA22" i="20" s="1"/>
  <c r="Z19" i="20"/>
  <c r="AA19" i="20" s="1"/>
  <c r="M13" i="22"/>
  <c r="A13" i="22" s="1"/>
  <c r="M22" i="27"/>
  <c r="A22" i="27" s="1"/>
  <c r="M17" i="27"/>
  <c r="A17" i="27" s="1"/>
  <c r="M19" i="27"/>
  <c r="A19" i="27" s="1"/>
  <c r="M74" i="28"/>
  <c r="N74" i="28" s="1"/>
  <c r="A74" i="28" s="1"/>
  <c r="N67" i="28"/>
  <c r="M16" i="28"/>
  <c r="N16" i="28" s="1"/>
  <c r="A16" i="28" s="1"/>
  <c r="N84" i="28"/>
  <c r="A84" i="28" s="1"/>
  <c r="M195" i="28"/>
  <c r="N227" i="28"/>
  <c r="A227" i="28" s="1"/>
  <c r="N254" i="28"/>
  <c r="A254" i="28" s="1"/>
  <c r="M278" i="28"/>
  <c r="N294" i="28"/>
  <c r="A294" i="28" s="1"/>
  <c r="N106" i="28"/>
  <c r="A106" i="28" s="1"/>
  <c r="N112" i="28"/>
  <c r="A112" i="28" s="1"/>
  <c r="M141" i="28"/>
  <c r="M178" i="28"/>
  <c r="M243" i="28"/>
  <c r="M251" i="28"/>
  <c r="M275" i="28"/>
  <c r="M291" i="28"/>
  <c r="AX26" i="20" a="1"/>
  <c r="AX26" i="20" s="1"/>
  <c r="N212" i="28"/>
  <c r="A212" i="28" s="1"/>
  <c r="M245" i="28"/>
  <c r="AX19" i="20" a="1"/>
  <c r="AX19" i="20" s="1"/>
  <c r="N70" i="28"/>
  <c r="A70" i="28" s="1"/>
  <c r="M77" i="28"/>
  <c r="M79" i="28"/>
  <c r="N94" i="28"/>
  <c r="A94" i="28" s="1"/>
  <c r="N96" i="28"/>
  <c r="A96" i="28" s="1"/>
  <c r="N295" i="28"/>
  <c r="A295" i="28" s="1"/>
  <c r="M17" i="28"/>
  <c r="N17" i="28" s="1"/>
  <c r="A17" i="28" s="1"/>
  <c r="N42" i="28"/>
  <c r="A42" i="28" s="1"/>
  <c r="N51" i="28"/>
  <c r="A51" i="28" s="1"/>
  <c r="M111" i="28"/>
  <c r="N148" i="28"/>
  <c r="A148" i="28" s="1"/>
  <c r="N150" i="28"/>
  <c r="A150" i="28" s="1"/>
  <c r="M189" i="28"/>
  <c r="M226" i="28"/>
  <c r="N229" i="28"/>
  <c r="A229" i="28" s="1"/>
  <c r="M259" i="28"/>
  <c r="M290" i="28"/>
  <c r="M33" i="28"/>
  <c r="N33" i="28" s="1"/>
  <c r="A33" i="28" s="1"/>
  <c r="N143" i="28"/>
  <c r="A143" i="28" s="1"/>
  <c r="N149" i="28"/>
  <c r="A149" i="28" s="1"/>
  <c r="N197" i="28"/>
  <c r="A197" i="28" s="1"/>
  <c r="M202" i="28"/>
  <c r="M303" i="28"/>
  <c r="M21" i="28"/>
  <c r="N21" i="28" s="1"/>
  <c r="A21" i="28" s="1"/>
  <c r="M82" i="28"/>
  <c r="M125" i="28"/>
  <c r="N165" i="28"/>
  <c r="A165" i="28" s="1"/>
  <c r="N167" i="28"/>
  <c r="A167" i="28" s="1"/>
  <c r="M204" i="28"/>
  <c r="M220" i="28"/>
  <c r="M19" i="28"/>
  <c r="N19" i="28" s="1"/>
  <c r="A19" i="28" s="1"/>
  <c r="M114" i="28"/>
  <c r="M235" i="28"/>
  <c r="N247" i="28"/>
  <c r="A247" i="28" s="1"/>
  <c r="N298" i="28"/>
  <c r="A298" i="28" s="1"/>
  <c r="M68" i="28"/>
  <c r="N68" i="28" s="1"/>
  <c r="A68" i="28" s="1"/>
  <c r="N100" i="28"/>
  <c r="A100" i="28" s="1"/>
  <c r="M154" i="28"/>
  <c r="N231" i="28"/>
  <c r="A231" i="28" s="1"/>
  <c r="M279" i="28"/>
  <c r="M69" i="28"/>
  <c r="N69" i="28" s="1"/>
  <c r="A69" i="28" s="1"/>
  <c r="N107" i="28"/>
  <c r="A107" i="28" s="1"/>
  <c r="M117" i="28"/>
  <c r="N122" i="28"/>
  <c r="A122" i="28" s="1"/>
  <c r="N159" i="28"/>
  <c r="A159" i="28" s="1"/>
  <c r="M164" i="28"/>
  <c r="N166" i="28"/>
  <c r="A166" i="28" s="1"/>
  <c r="N181" i="28"/>
  <c r="A181" i="28" s="1"/>
  <c r="M228" i="28"/>
  <c r="N237" i="28"/>
  <c r="A237" i="28" s="1"/>
  <c r="N244" i="28"/>
  <c r="A244" i="28" s="1"/>
  <c r="M250" i="28"/>
  <c r="M287" i="28"/>
  <c r="M302" i="28"/>
  <c r="M45" i="28"/>
  <c r="N45" i="28" s="1"/>
  <c r="A45" i="28" s="1"/>
  <c r="M24" i="28"/>
  <c r="N24" i="28" s="1"/>
  <c r="A24" i="28" s="1"/>
  <c r="M35" i="28"/>
  <c r="N35" i="28" s="1"/>
  <c r="A35" i="28" s="1"/>
  <c r="N43" i="28"/>
  <c r="A43" i="28" s="1"/>
  <c r="M121" i="28"/>
  <c r="N128" i="28"/>
  <c r="A128" i="28" s="1"/>
  <c r="M140" i="28"/>
  <c r="M187" i="28"/>
  <c r="M203" i="28"/>
  <c r="M256" i="28"/>
  <c r="M263" i="28"/>
  <c r="M157" i="28"/>
  <c r="M170" i="28"/>
  <c r="M180" i="28"/>
  <c r="M52" i="28"/>
  <c r="N52" i="28" s="1"/>
  <c r="A52" i="28" s="1"/>
  <c r="N267" i="28"/>
  <c r="A267" i="28" s="1"/>
  <c r="M27" i="28"/>
  <c r="N27" i="28" s="1"/>
  <c r="A27" i="28" s="1"/>
  <c r="M61" i="28"/>
  <c r="N61" i="28" s="1"/>
  <c r="A61" i="28" s="1"/>
  <c r="M63" i="28"/>
  <c r="N63" i="28" s="1"/>
  <c r="A63" i="28" s="1"/>
  <c r="M67" i="28"/>
  <c r="N110" i="28"/>
  <c r="A110" i="28" s="1"/>
  <c r="N139" i="28"/>
  <c r="A139" i="28" s="1"/>
  <c r="N156" i="28"/>
  <c r="A156" i="28" s="1"/>
  <c r="M162" i="28"/>
  <c r="M219" i="28"/>
  <c r="M280" i="28"/>
  <c r="M288" i="28"/>
  <c r="M116" i="28"/>
  <c r="M130" i="28"/>
  <c r="M163" i="28"/>
  <c r="N93" i="28"/>
  <c r="A93" i="28" s="1"/>
  <c r="N221" i="28"/>
  <c r="A221" i="28" s="1"/>
  <c r="M86" i="28"/>
  <c r="M90" i="28"/>
  <c r="N104" i="28"/>
  <c r="A104" i="28" s="1"/>
  <c r="M109" i="28"/>
  <c r="M132" i="28"/>
  <c r="M172" i="28"/>
  <c r="M255" i="28"/>
  <c r="M262" i="28"/>
  <c r="M264" i="28"/>
  <c r="M266" i="28"/>
  <c r="M283" i="28"/>
  <c r="N136" i="28"/>
  <c r="A136" i="28" s="1"/>
  <c r="M196" i="28"/>
  <c r="M210" i="28"/>
  <c r="N102" i="28"/>
  <c r="A102" i="28" s="1"/>
  <c r="M118" i="28"/>
  <c r="AM13" i="20"/>
  <c r="M16" i="27"/>
  <c r="A16" i="27" s="1"/>
  <c r="AM25" i="20"/>
  <c r="AM24" i="20"/>
  <c r="U46" i="27"/>
  <c r="M15" i="24"/>
  <c r="A15" i="24" s="1"/>
  <c r="L7" i="24"/>
  <c r="M10" i="24"/>
  <c r="A10" i="24" s="1"/>
  <c r="AC24" i="20"/>
  <c r="M8" i="23"/>
  <c r="A8" i="23" s="1"/>
  <c r="M14" i="23"/>
  <c r="A14" i="23" s="1"/>
  <c r="AC15" i="20"/>
  <c r="AC17" i="20"/>
  <c r="AC20" i="20"/>
  <c r="AA12" i="20"/>
  <c r="AA27" i="20"/>
  <c r="AA9" i="20"/>
  <c r="Z26" i="20"/>
  <c r="AA16" i="20"/>
  <c r="AA14" i="20"/>
  <c r="M7" i="22"/>
  <c r="A7" i="22" s="1"/>
  <c r="Y13" i="20"/>
  <c r="Y15" i="20"/>
  <c r="Y19" i="20"/>
  <c r="Y23" i="20"/>
  <c r="Y8" i="20"/>
  <c r="Y21" i="20"/>
  <c r="Y11" i="20"/>
  <c r="Y18" i="20"/>
  <c r="Y26" i="20"/>
  <c r="Y12" i="20"/>
  <c r="Y25" i="20"/>
  <c r="AA17" i="20"/>
  <c r="M10" i="28"/>
  <c r="N10" i="28" s="1"/>
  <c r="A10" i="28" s="1"/>
  <c r="Y16" i="20"/>
  <c r="AA11" i="20"/>
  <c r="N292" i="28"/>
  <c r="A292" i="28" s="1"/>
  <c r="M292" i="28"/>
  <c r="N304" i="28"/>
  <c r="A304" i="28" s="1"/>
  <c r="M304" i="28"/>
  <c r="AI16" i="22"/>
  <c r="Y9" i="20"/>
  <c r="Y14" i="20"/>
  <c r="Y28" i="20"/>
  <c r="AA21" i="20"/>
  <c r="L6" i="25"/>
  <c r="M6" i="25" s="1"/>
  <c r="A6" i="25" s="1"/>
  <c r="L7" i="25"/>
  <c r="M7" i="25" s="1"/>
  <c r="A7" i="25" s="1"/>
  <c r="L9" i="25"/>
  <c r="M9" i="25" s="1"/>
  <c r="A9" i="25" s="1"/>
  <c r="N98" i="28"/>
  <c r="A98" i="28" s="1"/>
  <c r="M98" i="28"/>
  <c r="Y6" i="20"/>
  <c r="Y17" i="20"/>
  <c r="AI16" i="21"/>
  <c r="M15" i="22"/>
  <c r="A15" i="22" s="1"/>
  <c r="U46" i="22"/>
  <c r="AI10" i="20"/>
  <c r="AI16" i="20"/>
  <c r="AH27" i="20"/>
  <c r="AH22" i="20"/>
  <c r="AI22" i="20" s="1"/>
  <c r="AH20" i="20"/>
  <c r="AH7" i="20"/>
  <c r="AI7" i="20" s="1"/>
  <c r="AH26" i="20"/>
  <c r="AH28" i="20"/>
  <c r="AH19" i="20"/>
  <c r="AI19" i="20" s="1"/>
  <c r="AH11" i="20"/>
  <c r="AI11" i="20" s="1"/>
  <c r="M12" i="28"/>
  <c r="N12" i="28" s="1"/>
  <c r="A12" i="28" s="1"/>
  <c r="N222" i="28"/>
  <c r="A222" i="28" s="1"/>
  <c r="M222" i="28"/>
  <c r="M9" i="21"/>
  <c r="A9" i="21" s="1"/>
  <c r="AC21" i="20"/>
  <c r="AC14" i="20"/>
  <c r="M9" i="24"/>
  <c r="A9" i="24" s="1"/>
  <c r="N78" i="28"/>
  <c r="M78" i="28"/>
  <c r="N95" i="28"/>
  <c r="A95" i="28" s="1"/>
  <c r="M95" i="28"/>
  <c r="L8" i="22"/>
  <c r="M8" i="22" s="1"/>
  <c r="A8" i="22" s="1"/>
  <c r="L9" i="22"/>
  <c r="M9" i="22" s="1"/>
  <c r="A9" i="22" s="1"/>
  <c r="M120" i="28"/>
  <c r="N120" i="28"/>
  <c r="A120" i="28" s="1"/>
  <c r="N127" i="28"/>
  <c r="A127" i="28" s="1"/>
  <c r="M127" i="28"/>
  <c r="M146" i="28"/>
  <c r="N146" i="28"/>
  <c r="A146" i="28" s="1"/>
  <c r="N214" i="28"/>
  <c r="A214" i="28" s="1"/>
  <c r="M214" i="28"/>
  <c r="AC9" i="20"/>
  <c r="AC18" i="20"/>
  <c r="Y10" i="20"/>
  <c r="M11" i="21"/>
  <c r="A11" i="21" s="1"/>
  <c r="Y27" i="20"/>
  <c r="M7" i="27"/>
  <c r="A7" i="27" s="1"/>
  <c r="M39" i="28"/>
  <c r="N39" i="28" s="1"/>
  <c r="A39" i="28" s="1"/>
  <c r="N124" i="28"/>
  <c r="A124" i="28" s="1"/>
  <c r="M124" i="28"/>
  <c r="M142" i="28"/>
  <c r="N142" i="28"/>
  <c r="A142" i="28" s="1"/>
  <c r="L6" i="27"/>
  <c r="M6" i="27" s="1"/>
  <c r="A6" i="27" s="1"/>
  <c r="AM27" i="20" s="1"/>
  <c r="L9" i="27"/>
  <c r="M9" i="27" s="1"/>
  <c r="A9" i="27" s="1"/>
  <c r="L8" i="27"/>
  <c r="M8" i="27" s="1"/>
  <c r="A8" i="27" s="1"/>
  <c r="N54" i="28"/>
  <c r="A54" i="28" s="1"/>
  <c r="N89" i="28"/>
  <c r="A89" i="28" s="1"/>
  <c r="M89" i="28"/>
  <c r="M10" i="22"/>
  <c r="A10" i="22" s="1"/>
  <c r="AA13" i="20"/>
  <c r="M14" i="22"/>
  <c r="A14" i="22" s="1"/>
  <c r="M15" i="23"/>
  <c r="A15" i="23" s="1"/>
  <c r="M6" i="24"/>
  <c r="A6" i="24" s="1"/>
  <c r="M13" i="28"/>
  <c r="N13" i="28" s="1"/>
  <c r="A13" i="28" s="1"/>
  <c r="M60" i="28"/>
  <c r="N60" i="28" s="1"/>
  <c r="A60" i="28" s="1"/>
  <c r="N274" i="28"/>
  <c r="A274" i="28" s="1"/>
  <c r="M274" i="28"/>
  <c r="L9" i="23"/>
  <c r="M9" i="23" s="1"/>
  <c r="A9" i="23" s="1"/>
  <c r="L6" i="23"/>
  <c r="M6" i="23" s="1"/>
  <c r="A6" i="23" s="1"/>
  <c r="L7" i="23"/>
  <c r="M7" i="23" s="1"/>
  <c r="A7" i="23" s="1"/>
  <c r="M21" i="23"/>
  <c r="A21" i="23" s="1"/>
  <c r="AF26" i="20"/>
  <c r="AF24" i="20"/>
  <c r="AF17" i="20"/>
  <c r="AF23" i="20"/>
  <c r="AM19" i="20"/>
  <c r="N238" i="28"/>
  <c r="A238" i="28" s="1"/>
  <c r="M238" i="28"/>
  <c r="N301" i="28"/>
  <c r="A301" i="28" s="1"/>
  <c r="M301" i="28"/>
  <c r="N81" i="28"/>
  <c r="A81" i="28" s="1"/>
  <c r="M81" i="28"/>
  <c r="N230" i="28"/>
  <c r="A230" i="28" s="1"/>
  <c r="M230" i="28"/>
  <c r="N108" i="28"/>
  <c r="A108" i="28" s="1"/>
  <c r="M108" i="28"/>
  <c r="N137" i="28"/>
  <c r="A137" i="28" s="1"/>
  <c r="M137" i="28"/>
  <c r="N144" i="28"/>
  <c r="A144" i="28" s="1"/>
  <c r="M144" i="28"/>
  <c r="AK28" i="20"/>
  <c r="AK18" i="20"/>
  <c r="AK25" i="20"/>
  <c r="AK13" i="20"/>
  <c r="M10" i="27"/>
  <c r="A10" i="27" s="1"/>
  <c r="M49" i="28"/>
  <c r="N49" i="28" s="1"/>
  <c r="A49" i="28" s="1"/>
  <c r="M71" i="28"/>
  <c r="N71" i="28" s="1"/>
  <c r="A71" i="28" s="1"/>
  <c r="N92" i="28"/>
  <c r="A92" i="28" s="1"/>
  <c r="M92" i="28"/>
  <c r="N105" i="28"/>
  <c r="A105" i="28" s="1"/>
  <c r="M105" i="28"/>
  <c r="M175" i="28"/>
  <c r="N175" i="28"/>
  <c r="A175" i="28" s="1"/>
  <c r="N190" i="28"/>
  <c r="A190" i="28" s="1"/>
  <c r="M190" i="28"/>
  <c r="M286" i="28"/>
  <c r="N286" i="28"/>
  <c r="A286" i="28" s="1"/>
  <c r="M296" i="28"/>
  <c r="N32" i="28"/>
  <c r="A32" i="28" s="1"/>
  <c r="N103" i="28"/>
  <c r="A103" i="28" s="1"/>
  <c r="M103" i="28"/>
  <c r="N297" i="28"/>
  <c r="A297" i="28" s="1"/>
  <c r="M297" i="28"/>
  <c r="AI16" i="24"/>
  <c r="M17" i="24"/>
  <c r="A17" i="24" s="1"/>
  <c r="M19" i="24"/>
  <c r="A19" i="24" s="1"/>
  <c r="AI16" i="27"/>
  <c r="M18" i="28"/>
  <c r="N18" i="28" s="1"/>
  <c r="A18" i="28" s="1"/>
  <c r="N26" i="28"/>
  <c r="A26" i="28" s="1"/>
  <c r="M34" i="28"/>
  <c r="N34" i="28"/>
  <c r="A34" i="28" s="1"/>
  <c r="M158" i="28"/>
  <c r="N158" i="28"/>
  <c r="A158" i="28" s="1"/>
  <c r="N198" i="28"/>
  <c r="A198" i="28" s="1"/>
  <c r="M198" i="28"/>
  <c r="N276" i="28"/>
  <c r="A276" i="28" s="1"/>
  <c r="M276" i="28"/>
  <c r="L7" i="26"/>
  <c r="M7" i="26" s="1"/>
  <c r="A7" i="26" s="1"/>
  <c r="L8" i="26"/>
  <c r="M8" i="26" s="1"/>
  <c r="A8" i="26" s="1"/>
  <c r="M46" i="28"/>
  <c r="N46" i="28" s="1"/>
  <c r="A46" i="28" s="1"/>
  <c r="M126" i="28"/>
  <c r="N126" i="28"/>
  <c r="A126" i="28" s="1"/>
  <c r="N168" i="28"/>
  <c r="A168" i="28" s="1"/>
  <c r="M168" i="28"/>
  <c r="N194" i="28"/>
  <c r="A194" i="28" s="1"/>
  <c r="M194" i="28"/>
  <c r="M215" i="28"/>
  <c r="N215" i="28"/>
  <c r="A215" i="28" s="1"/>
  <c r="N293" i="28"/>
  <c r="A293" i="28" s="1"/>
  <c r="M293" i="28"/>
  <c r="X7" i="20"/>
  <c r="Y7" i="20" s="1"/>
  <c r="X20" i="20"/>
  <c r="Y20" i="20" s="1"/>
  <c r="X22" i="20"/>
  <c r="Y22" i="20" s="1"/>
  <c r="M7" i="24"/>
  <c r="A7" i="24" s="1"/>
  <c r="L8" i="24"/>
  <c r="M8" i="24" s="1"/>
  <c r="A8" i="24" s="1"/>
  <c r="L9" i="28"/>
  <c r="L8" i="28"/>
  <c r="M8" i="28" s="1"/>
  <c r="N8" i="28" s="1"/>
  <c r="A8" i="28" s="1"/>
  <c r="L7" i="28"/>
  <c r="M7" i="28" s="1"/>
  <c r="N7" i="28" s="1"/>
  <c r="A7" i="28" s="1"/>
  <c r="L6" i="28"/>
  <c r="M6" i="28" s="1"/>
  <c r="N6" i="28" s="1"/>
  <c r="A6" i="28" s="1"/>
  <c r="M23" i="28"/>
  <c r="N23" i="28" s="1"/>
  <c r="A23" i="28" s="1"/>
  <c r="N57" i="28"/>
  <c r="A57" i="28" s="1"/>
  <c r="N66" i="28"/>
  <c r="A66" i="28" s="1"/>
  <c r="N73" i="28"/>
  <c r="A73" i="28" s="1"/>
  <c r="M73" i="28"/>
  <c r="N115" i="28"/>
  <c r="A115" i="28" s="1"/>
  <c r="M115" i="28"/>
  <c r="M134" i="28"/>
  <c r="N134" i="28"/>
  <c r="A134" i="28" s="1"/>
  <c r="N138" i="28"/>
  <c r="A138" i="28" s="1"/>
  <c r="M138" i="28"/>
  <c r="M183" i="28"/>
  <c r="N183" i="28"/>
  <c r="A183" i="28" s="1"/>
  <c r="N249" i="28"/>
  <c r="A249" i="28" s="1"/>
  <c r="M249" i="28"/>
  <c r="N253" i="28"/>
  <c r="A253" i="28" s="1"/>
  <c r="M253" i="28"/>
  <c r="N282" i="28"/>
  <c r="A282" i="28" s="1"/>
  <c r="M282" i="28"/>
  <c r="N83" i="28"/>
  <c r="A83" i="28" s="1"/>
  <c r="M83" i="28"/>
  <c r="N113" i="28"/>
  <c r="A113" i="28" s="1"/>
  <c r="M113" i="28"/>
  <c r="N305" i="28"/>
  <c r="A305" i="28" s="1"/>
  <c r="M305" i="28"/>
  <c r="AA18" i="20"/>
  <c r="M31" i="28"/>
  <c r="N31" i="28" s="1"/>
  <c r="A31" i="28" s="1"/>
  <c r="M75" i="28"/>
  <c r="N75" i="28" s="1"/>
  <c r="A75" i="28" s="1"/>
  <c r="M123" i="28"/>
  <c r="N123" i="28"/>
  <c r="A123" i="28" s="1"/>
  <c r="M199" i="28"/>
  <c r="N199" i="28"/>
  <c r="A199" i="28" s="1"/>
  <c r="M55" i="28"/>
  <c r="N55" i="28" s="1"/>
  <c r="A55" i="28" s="1"/>
  <c r="M62" i="28"/>
  <c r="N62" i="28" s="1"/>
  <c r="A62" i="28" s="1"/>
  <c r="M91" i="28"/>
  <c r="N91" i="28"/>
  <c r="A91" i="28" s="1"/>
  <c r="N152" i="28"/>
  <c r="A152" i="28" s="1"/>
  <c r="M152" i="28"/>
  <c r="N182" i="28"/>
  <c r="A182" i="28" s="1"/>
  <c r="M182" i="28"/>
  <c r="N242" i="28"/>
  <c r="A242" i="28" s="1"/>
  <c r="M242" i="28"/>
  <c r="N268" i="28"/>
  <c r="A268" i="28" s="1"/>
  <c r="M268" i="28"/>
  <c r="N289" i="28"/>
  <c r="A289" i="28" s="1"/>
  <c r="M289" i="28"/>
  <c r="M15" i="27"/>
  <c r="A15" i="27" s="1"/>
  <c r="M14" i="28"/>
  <c r="N14" i="28" s="1"/>
  <c r="A14" i="28" s="1"/>
  <c r="M40" i="28"/>
  <c r="N40" i="28" s="1"/>
  <c r="A40" i="28" s="1"/>
  <c r="M88" i="28"/>
  <c r="N88" i="28"/>
  <c r="A88" i="28" s="1"/>
  <c r="N174" i="28"/>
  <c r="A174" i="28" s="1"/>
  <c r="M174" i="28"/>
  <c r="N252" i="28"/>
  <c r="A252" i="28" s="1"/>
  <c r="M252" i="28"/>
  <c r="N261" i="28"/>
  <c r="A261" i="28" s="1"/>
  <c r="M261" i="28"/>
  <c r="N285" i="28"/>
  <c r="A285" i="28" s="1"/>
  <c r="M285" i="28"/>
  <c r="M9" i="28"/>
  <c r="N9" i="28" s="1"/>
  <c r="A9" i="28" s="1"/>
  <c r="N15" i="28"/>
  <c r="A15" i="28" s="1"/>
  <c r="M59" i="28"/>
  <c r="N59" i="28"/>
  <c r="A59" i="28" s="1"/>
  <c r="N169" i="28"/>
  <c r="A169" i="28" s="1"/>
  <c r="M169" i="28"/>
  <c r="N201" i="28"/>
  <c r="A201" i="28" s="1"/>
  <c r="M201" i="28"/>
  <c r="M207" i="28"/>
  <c r="N207" i="28"/>
  <c r="A207" i="28" s="1"/>
  <c r="N217" i="28"/>
  <c r="A217" i="28" s="1"/>
  <c r="M217" i="28"/>
  <c r="M223" i="28"/>
  <c r="N223" i="28"/>
  <c r="A223" i="28" s="1"/>
  <c r="M239" i="28"/>
  <c r="N239" i="28"/>
  <c r="A239" i="28" s="1"/>
  <c r="M11" i="28"/>
  <c r="N11" i="28" s="1"/>
  <c r="A11" i="28" s="1"/>
  <c r="M56" i="28"/>
  <c r="N56" i="28"/>
  <c r="A56" i="28" s="1"/>
  <c r="N76" i="28"/>
  <c r="A76" i="28" s="1"/>
  <c r="M76" i="28"/>
  <c r="N135" i="28"/>
  <c r="A135" i="28" s="1"/>
  <c r="M135" i="28"/>
  <c r="N161" i="28"/>
  <c r="A161" i="28" s="1"/>
  <c r="M161" i="28"/>
  <c r="N233" i="28"/>
  <c r="A233" i="28" s="1"/>
  <c r="M233" i="28"/>
  <c r="N270" i="28"/>
  <c r="A270" i="28" s="1"/>
  <c r="M270" i="28"/>
  <c r="N272" i="28"/>
  <c r="A272" i="28" s="1"/>
  <c r="M272" i="28"/>
  <c r="N41" i="28"/>
  <c r="A41" i="28" s="1"/>
  <c r="M65" i="28"/>
  <c r="N65" i="28" s="1"/>
  <c r="A65" i="28" s="1"/>
  <c r="N97" i="28"/>
  <c r="A97" i="28" s="1"/>
  <c r="M97" i="28"/>
  <c r="N129" i="28"/>
  <c r="A129" i="28" s="1"/>
  <c r="M129" i="28"/>
  <c r="M151" i="28"/>
  <c r="N151" i="28"/>
  <c r="A151" i="28" s="1"/>
  <c r="N206" i="28"/>
  <c r="A206" i="28" s="1"/>
  <c r="M206" i="28"/>
  <c r="N246" i="28"/>
  <c r="A246" i="28" s="1"/>
  <c r="M246" i="28"/>
  <c r="N265" i="28"/>
  <c r="A265" i="28" s="1"/>
  <c r="M265" i="28"/>
  <c r="N284" i="28"/>
  <c r="A284" i="28" s="1"/>
  <c r="M284" i="28"/>
  <c r="M22" i="28"/>
  <c r="N22" i="28" s="1"/>
  <c r="A22" i="28" s="1"/>
  <c r="M30" i="28"/>
  <c r="N30" i="28" s="1"/>
  <c r="A30" i="28" s="1"/>
  <c r="M38" i="28"/>
  <c r="N38" i="28" s="1"/>
  <c r="A38" i="28" s="1"/>
  <c r="M44" i="28"/>
  <c r="N44" i="28" s="1"/>
  <c r="A44" i="28" s="1"/>
  <c r="N50" i="28"/>
  <c r="A50" i="28" s="1"/>
  <c r="M72" i="28"/>
  <c r="N72" i="28" s="1"/>
  <c r="A72" i="28" s="1"/>
  <c r="N87" i="28"/>
  <c r="A87" i="28" s="1"/>
  <c r="M87" i="28"/>
  <c r="N119" i="28"/>
  <c r="A119" i="28" s="1"/>
  <c r="M119" i="28"/>
  <c r="N185" i="28"/>
  <c r="A185" i="28" s="1"/>
  <c r="M185" i="28"/>
  <c r="M191" i="28"/>
  <c r="N191" i="28"/>
  <c r="A191" i="28" s="1"/>
  <c r="N258" i="28"/>
  <c r="A258" i="28" s="1"/>
  <c r="M258" i="28"/>
  <c r="N273" i="28"/>
  <c r="A273" i="28" s="1"/>
  <c r="M273" i="28"/>
  <c r="N277" i="28"/>
  <c r="A277" i="28" s="1"/>
  <c r="M277" i="28"/>
  <c r="M48" i="28"/>
  <c r="N48" i="28" s="1"/>
  <c r="A48" i="28" s="1"/>
  <c r="M64" i="28"/>
  <c r="N64" i="28" s="1"/>
  <c r="A64" i="28" s="1"/>
  <c r="N260" i="28"/>
  <c r="A260" i="28" s="1"/>
  <c r="M260" i="28"/>
  <c r="N269" i="28"/>
  <c r="A269" i="28" s="1"/>
  <c r="M269" i="28"/>
  <c r="N281" i="28"/>
  <c r="A281" i="28" s="1"/>
  <c r="M281" i="28"/>
  <c r="N160" i="28"/>
  <c r="A160" i="28" s="1"/>
  <c r="M160" i="28"/>
  <c r="N177" i="28"/>
  <c r="A177" i="28" s="1"/>
  <c r="M177" i="28"/>
  <c r="N193" i="28"/>
  <c r="A193" i="28" s="1"/>
  <c r="M193" i="28"/>
  <c r="N209" i="28"/>
  <c r="A209" i="28" s="1"/>
  <c r="M209" i="28"/>
  <c r="N225" i="28"/>
  <c r="A225" i="28" s="1"/>
  <c r="M225" i="28"/>
  <c r="N241" i="28"/>
  <c r="A241" i="28" s="1"/>
  <c r="M241" i="28"/>
  <c r="N257" i="28"/>
  <c r="A257" i="28" s="1"/>
  <c r="M257" i="28"/>
  <c r="N300" i="28"/>
  <c r="A300" i="28" s="1"/>
  <c r="M300" i="28"/>
  <c r="N176" i="28"/>
  <c r="A176" i="28" s="1"/>
  <c r="M176" i="28"/>
  <c r="N184" i="28"/>
  <c r="A184" i="28" s="1"/>
  <c r="M184" i="28"/>
  <c r="N192" i="28"/>
  <c r="A192" i="28" s="1"/>
  <c r="M192" i="28"/>
  <c r="N200" i="28"/>
  <c r="A200" i="28" s="1"/>
  <c r="M200" i="28"/>
  <c r="N208" i="28"/>
  <c r="A208" i="28" s="1"/>
  <c r="M208" i="28"/>
  <c r="N216" i="28"/>
  <c r="A216" i="28" s="1"/>
  <c r="M216" i="28"/>
  <c r="N224" i="28"/>
  <c r="A224" i="28" s="1"/>
  <c r="M224" i="28"/>
  <c r="N232" i="28"/>
  <c r="A232" i="28" s="1"/>
  <c r="M232" i="28"/>
  <c r="N240" i="28"/>
  <c r="A240" i="28" s="1"/>
  <c r="M240" i="28"/>
  <c r="N248" i="28"/>
  <c r="A248" i="28" s="1"/>
  <c r="M248" i="28"/>
  <c r="K9" i="13"/>
  <c r="A10" i="13"/>
  <c r="A23" i="13"/>
  <c r="A18" i="13"/>
  <c r="A11" i="13"/>
  <c r="A19" i="13"/>
  <c r="A6" i="13"/>
  <c r="A17" i="13"/>
  <c r="A21" i="13"/>
  <c r="A16" i="13"/>
  <c r="A8" i="13"/>
  <c r="A15" i="13"/>
  <c r="A24" i="13"/>
  <c r="A13" i="13"/>
  <c r="A14" i="13"/>
  <c r="A22" i="13"/>
  <c r="A9" i="13"/>
  <c r="A7" i="13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J300" i="14"/>
  <c r="J299" i="14"/>
  <c r="J298" i="14"/>
  <c r="J297" i="14"/>
  <c r="J296" i="14"/>
  <c r="K296" i="14" s="1"/>
  <c r="J295" i="14"/>
  <c r="J294" i="14"/>
  <c r="J293" i="14"/>
  <c r="J292" i="14"/>
  <c r="J291" i="14"/>
  <c r="J290" i="14"/>
  <c r="J289" i="14"/>
  <c r="J288" i="14"/>
  <c r="J287" i="14"/>
  <c r="J286" i="14"/>
  <c r="J285" i="14"/>
  <c r="J284" i="14"/>
  <c r="K284" i="14" s="1"/>
  <c r="J283" i="14"/>
  <c r="J282" i="14"/>
  <c r="J281" i="14"/>
  <c r="J280" i="14"/>
  <c r="J279" i="14"/>
  <c r="J278" i="14"/>
  <c r="J277" i="14"/>
  <c r="J276" i="14"/>
  <c r="J275" i="14"/>
  <c r="J274" i="14"/>
  <c r="J273" i="14"/>
  <c r="J272" i="14"/>
  <c r="K272" i="14" s="1"/>
  <c r="J271" i="14"/>
  <c r="J270" i="14"/>
  <c r="J269" i="14"/>
  <c r="J268" i="14"/>
  <c r="J267" i="14"/>
  <c r="J266" i="14"/>
  <c r="J265" i="14"/>
  <c r="J264" i="14"/>
  <c r="J263" i="14"/>
  <c r="J262" i="14"/>
  <c r="J261" i="14"/>
  <c r="J260" i="14"/>
  <c r="K260" i="14" s="1"/>
  <c r="J259" i="14"/>
  <c r="J258" i="14"/>
  <c r="J257" i="14"/>
  <c r="J256" i="14"/>
  <c r="J255" i="14"/>
  <c r="J254" i="14"/>
  <c r="J253" i="14"/>
  <c r="J252" i="14"/>
  <c r="J251" i="14"/>
  <c r="J250" i="14"/>
  <c r="J249" i="14"/>
  <c r="J248" i="14"/>
  <c r="K248" i="14" s="1"/>
  <c r="J247" i="14"/>
  <c r="J246" i="14"/>
  <c r="J245" i="14"/>
  <c r="J244" i="14"/>
  <c r="J243" i="14"/>
  <c r="J242" i="14"/>
  <c r="J241" i="14"/>
  <c r="J240" i="14"/>
  <c r="J239" i="14"/>
  <c r="J238" i="14"/>
  <c r="J237" i="14"/>
  <c r="J236" i="14"/>
  <c r="K236" i="14" s="1"/>
  <c r="J235" i="14"/>
  <c r="J234" i="14"/>
  <c r="J233" i="14"/>
  <c r="J232" i="14"/>
  <c r="J231" i="14"/>
  <c r="J230" i="14"/>
  <c r="J229" i="14"/>
  <c r="J228" i="14"/>
  <c r="J227" i="14"/>
  <c r="J226" i="14"/>
  <c r="J225" i="14"/>
  <c r="J224" i="14"/>
  <c r="K224" i="14" s="1"/>
  <c r="J223" i="14"/>
  <c r="J222" i="14"/>
  <c r="J221" i="14"/>
  <c r="J220" i="14"/>
  <c r="J219" i="14"/>
  <c r="J218" i="14"/>
  <c r="J217" i="14"/>
  <c r="J216" i="14"/>
  <c r="J215" i="14"/>
  <c r="J214" i="14"/>
  <c r="J213" i="14"/>
  <c r="J212" i="14"/>
  <c r="K212" i="14" s="1"/>
  <c r="J211" i="14"/>
  <c r="J210" i="14"/>
  <c r="J209" i="14"/>
  <c r="J208" i="14"/>
  <c r="J207" i="14"/>
  <c r="J206" i="14"/>
  <c r="J205" i="14"/>
  <c r="J204" i="14"/>
  <c r="J203" i="14"/>
  <c r="J202" i="14"/>
  <c r="J201" i="14"/>
  <c r="J200" i="14"/>
  <c r="K200" i="14" s="1"/>
  <c r="J199" i="14"/>
  <c r="J198" i="14"/>
  <c r="J197" i="14"/>
  <c r="J196" i="14"/>
  <c r="J195" i="14"/>
  <c r="J194" i="14"/>
  <c r="J193" i="14"/>
  <c r="J192" i="14"/>
  <c r="J191" i="14"/>
  <c r="J190" i="14"/>
  <c r="J189" i="14"/>
  <c r="J188" i="14"/>
  <c r="K188" i="14" s="1"/>
  <c r="J187" i="14"/>
  <c r="J186" i="14"/>
  <c r="J185" i="14"/>
  <c r="J184" i="14"/>
  <c r="J183" i="14"/>
  <c r="J182" i="14"/>
  <c r="J181" i="14"/>
  <c r="J180" i="14"/>
  <c r="J179" i="14"/>
  <c r="J178" i="14"/>
  <c r="J177" i="14"/>
  <c r="J176" i="14"/>
  <c r="K176" i="14" s="1"/>
  <c r="J175" i="14"/>
  <c r="J174" i="14"/>
  <c r="J173" i="14"/>
  <c r="J172" i="14"/>
  <c r="J171" i="14"/>
  <c r="J170" i="14"/>
  <c r="J169" i="14"/>
  <c r="J168" i="14"/>
  <c r="J167" i="14"/>
  <c r="J166" i="14"/>
  <c r="J165" i="14"/>
  <c r="J164" i="14"/>
  <c r="K164" i="14" s="1"/>
  <c r="J163" i="14"/>
  <c r="J162" i="14"/>
  <c r="J161" i="14"/>
  <c r="J160" i="14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J147" i="14"/>
  <c r="J146" i="14"/>
  <c r="J145" i="14"/>
  <c r="J144" i="14"/>
  <c r="J143" i="14"/>
  <c r="J142" i="14"/>
  <c r="J141" i="14"/>
  <c r="J140" i="14"/>
  <c r="K140" i="14" s="1"/>
  <c r="J139" i="14"/>
  <c r="J138" i="14"/>
  <c r="J137" i="14"/>
  <c r="J136" i="14"/>
  <c r="J135" i="14"/>
  <c r="J134" i="14"/>
  <c r="J133" i="14"/>
  <c r="J132" i="14"/>
  <c r="J131" i="14"/>
  <c r="J130" i="14"/>
  <c r="J129" i="14"/>
  <c r="J128" i="14"/>
  <c r="K128" i="14" s="1"/>
  <c r="J127" i="14"/>
  <c r="J126" i="14"/>
  <c r="J125" i="14"/>
  <c r="J124" i="14"/>
  <c r="J123" i="14"/>
  <c r="J122" i="14"/>
  <c r="J121" i="14"/>
  <c r="J120" i="14"/>
  <c r="J119" i="14"/>
  <c r="J118" i="14"/>
  <c r="J117" i="14"/>
  <c r="J116" i="14"/>
  <c r="K116" i="14" s="1"/>
  <c r="J115" i="14"/>
  <c r="J114" i="14"/>
  <c r="J113" i="14"/>
  <c r="J112" i="14"/>
  <c r="J111" i="14"/>
  <c r="J110" i="14"/>
  <c r="J109" i="14"/>
  <c r="J108" i="14"/>
  <c r="J107" i="14"/>
  <c r="J106" i="14"/>
  <c r="J105" i="14"/>
  <c r="J104" i="14"/>
  <c r="K104" i="14" s="1"/>
  <c r="J103" i="14"/>
  <c r="J102" i="14"/>
  <c r="J101" i="14"/>
  <c r="J100" i="14"/>
  <c r="J99" i="14"/>
  <c r="J98" i="14"/>
  <c r="J97" i="14"/>
  <c r="J96" i="14"/>
  <c r="J95" i="14"/>
  <c r="J94" i="14"/>
  <c r="J93" i="14"/>
  <c r="J92" i="14"/>
  <c r="K92" i="14" s="1"/>
  <c r="J91" i="14"/>
  <c r="J90" i="14"/>
  <c r="J89" i="14"/>
  <c r="J88" i="14"/>
  <c r="J87" i="14"/>
  <c r="J86" i="14"/>
  <c r="J85" i="14"/>
  <c r="J84" i="14"/>
  <c r="J83" i="14"/>
  <c r="J82" i="14"/>
  <c r="J81" i="14"/>
  <c r="J80" i="14"/>
  <c r="K80" i="14" s="1"/>
  <c r="J79" i="14"/>
  <c r="J78" i="14"/>
  <c r="J77" i="14"/>
  <c r="J76" i="14"/>
  <c r="J75" i="14"/>
  <c r="J74" i="14"/>
  <c r="J73" i="14"/>
  <c r="J72" i="14"/>
  <c r="J71" i="14"/>
  <c r="J70" i="14"/>
  <c r="J69" i="14"/>
  <c r="J68" i="14"/>
  <c r="K68" i="14" s="1"/>
  <c r="J67" i="14"/>
  <c r="J66" i="14"/>
  <c r="J65" i="14"/>
  <c r="J64" i="14"/>
  <c r="J63" i="14"/>
  <c r="J62" i="14"/>
  <c r="J61" i="14"/>
  <c r="J60" i="14"/>
  <c r="J59" i="14"/>
  <c r="J58" i="14"/>
  <c r="J57" i="14"/>
  <c r="J56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K44" i="14" s="1"/>
  <c r="J43" i="14"/>
  <c r="J42" i="14"/>
  <c r="J41" i="14"/>
  <c r="J40" i="14"/>
  <c r="J39" i="14"/>
  <c r="J38" i="14"/>
  <c r="J37" i="14"/>
  <c r="J36" i="14"/>
  <c r="J35" i="14"/>
  <c r="J34" i="14"/>
  <c r="J33" i="14"/>
  <c r="J32" i="14"/>
  <c r="K32" i="14" s="1"/>
  <c r="J31" i="14"/>
  <c r="J30" i="14"/>
  <c r="J29" i="14"/>
  <c r="J28" i="14"/>
  <c r="J27" i="14"/>
  <c r="J26" i="14"/>
  <c r="J25" i="14"/>
  <c r="J24" i="14"/>
  <c r="J23" i="14"/>
  <c r="J22" i="14"/>
  <c r="J21" i="14"/>
  <c r="J20" i="14"/>
  <c r="K20" i="14" s="1"/>
  <c r="J19" i="14"/>
  <c r="J18" i="14"/>
  <c r="J17" i="14"/>
  <c r="J16" i="14"/>
  <c r="J15" i="14"/>
  <c r="J14" i="14"/>
  <c r="J13" i="14"/>
  <c r="J12" i="14"/>
  <c r="J11" i="14"/>
  <c r="J10" i="14"/>
  <c r="J9" i="14"/>
  <c r="J8" i="14"/>
  <c r="K8" i="14" s="1"/>
  <c r="J7" i="14"/>
  <c r="J6" i="14"/>
  <c r="K6" i="14" s="1"/>
  <c r="E19" i="13"/>
  <c r="E6" i="13"/>
  <c r="E17" i="13"/>
  <c r="E21" i="13"/>
  <c r="E15" i="13"/>
  <c r="E13" i="13"/>
  <c r="K305" i="19"/>
  <c r="I305" i="19"/>
  <c r="K304" i="19"/>
  <c r="I304" i="19"/>
  <c r="K303" i="19"/>
  <c r="I303" i="19"/>
  <c r="K302" i="19"/>
  <c r="I302" i="19"/>
  <c r="K301" i="19"/>
  <c r="I301" i="19"/>
  <c r="K300" i="19"/>
  <c r="I300" i="19"/>
  <c r="K299" i="19"/>
  <c r="I299" i="19"/>
  <c r="K298" i="19"/>
  <c r="I298" i="19"/>
  <c r="K297" i="19"/>
  <c r="I297" i="19"/>
  <c r="K296" i="19"/>
  <c r="I296" i="19"/>
  <c r="K295" i="19"/>
  <c r="I295" i="19"/>
  <c r="K294" i="19"/>
  <c r="I294" i="19"/>
  <c r="K293" i="19"/>
  <c r="I293" i="19"/>
  <c r="K292" i="19"/>
  <c r="I292" i="19"/>
  <c r="K291" i="19"/>
  <c r="I291" i="19"/>
  <c r="K290" i="19"/>
  <c r="I290" i="19"/>
  <c r="K289" i="19"/>
  <c r="I289" i="19"/>
  <c r="K288" i="19"/>
  <c r="I288" i="19"/>
  <c r="K287" i="19"/>
  <c r="I287" i="19"/>
  <c r="K286" i="19"/>
  <c r="I286" i="19"/>
  <c r="K285" i="19"/>
  <c r="I285" i="19"/>
  <c r="K284" i="19"/>
  <c r="I284" i="19"/>
  <c r="K283" i="19"/>
  <c r="I283" i="19"/>
  <c r="K282" i="19"/>
  <c r="I282" i="19"/>
  <c r="K281" i="19"/>
  <c r="I281" i="19"/>
  <c r="K280" i="19"/>
  <c r="I280" i="19"/>
  <c r="K279" i="19"/>
  <c r="I279" i="19"/>
  <c r="K278" i="19"/>
  <c r="I278" i="19"/>
  <c r="K277" i="19"/>
  <c r="I277" i="19"/>
  <c r="K276" i="19"/>
  <c r="I276" i="19"/>
  <c r="K275" i="19"/>
  <c r="I275" i="19"/>
  <c r="K274" i="19"/>
  <c r="I274" i="19"/>
  <c r="K273" i="19"/>
  <c r="I273" i="19"/>
  <c r="K272" i="19"/>
  <c r="I272" i="19"/>
  <c r="K271" i="19"/>
  <c r="I271" i="19"/>
  <c r="K270" i="19"/>
  <c r="I270" i="19"/>
  <c r="K269" i="19"/>
  <c r="I269" i="19"/>
  <c r="K268" i="19"/>
  <c r="I268" i="19"/>
  <c r="K267" i="19"/>
  <c r="I267" i="19"/>
  <c r="K266" i="19"/>
  <c r="I266" i="19"/>
  <c r="K265" i="19"/>
  <c r="I265" i="19"/>
  <c r="K264" i="19"/>
  <c r="I264" i="19"/>
  <c r="K263" i="19"/>
  <c r="I263" i="19"/>
  <c r="K262" i="19"/>
  <c r="I262" i="19"/>
  <c r="K261" i="19"/>
  <c r="I261" i="19"/>
  <c r="K260" i="19"/>
  <c r="I260" i="19"/>
  <c r="K259" i="19"/>
  <c r="I259" i="19"/>
  <c r="K258" i="19"/>
  <c r="I258" i="19"/>
  <c r="K257" i="19"/>
  <c r="I257" i="19"/>
  <c r="K256" i="19"/>
  <c r="I256" i="19"/>
  <c r="K255" i="19"/>
  <c r="I255" i="19"/>
  <c r="K254" i="19"/>
  <c r="I254" i="19"/>
  <c r="K253" i="19"/>
  <c r="I253" i="19"/>
  <c r="K252" i="19"/>
  <c r="I252" i="19"/>
  <c r="K251" i="19"/>
  <c r="I251" i="19"/>
  <c r="K250" i="19"/>
  <c r="I250" i="19"/>
  <c r="K249" i="19"/>
  <c r="I249" i="19"/>
  <c r="K248" i="19"/>
  <c r="I248" i="19"/>
  <c r="K247" i="19"/>
  <c r="I247" i="19"/>
  <c r="K246" i="19"/>
  <c r="I246" i="19"/>
  <c r="K245" i="19"/>
  <c r="I245" i="19"/>
  <c r="K244" i="19"/>
  <c r="I244" i="19"/>
  <c r="K243" i="19"/>
  <c r="I243" i="19"/>
  <c r="K242" i="19"/>
  <c r="I242" i="19"/>
  <c r="K241" i="19"/>
  <c r="I241" i="19"/>
  <c r="K240" i="19"/>
  <c r="I240" i="19"/>
  <c r="K239" i="19"/>
  <c r="I239" i="19"/>
  <c r="K238" i="19"/>
  <c r="I238" i="19"/>
  <c r="K237" i="19"/>
  <c r="I237" i="19"/>
  <c r="K236" i="19"/>
  <c r="I236" i="19"/>
  <c r="K235" i="19"/>
  <c r="I235" i="19"/>
  <c r="K234" i="19"/>
  <c r="I234" i="19"/>
  <c r="K233" i="19"/>
  <c r="I233" i="19"/>
  <c r="K232" i="19"/>
  <c r="I232" i="19"/>
  <c r="K231" i="19"/>
  <c r="I231" i="19"/>
  <c r="K230" i="19"/>
  <c r="I230" i="19"/>
  <c r="K229" i="19"/>
  <c r="I229" i="19"/>
  <c r="K228" i="19"/>
  <c r="I228" i="19"/>
  <c r="K227" i="19"/>
  <c r="I227" i="19"/>
  <c r="K226" i="19"/>
  <c r="I226" i="19"/>
  <c r="K225" i="19"/>
  <c r="I225" i="19"/>
  <c r="K224" i="19"/>
  <c r="I224" i="19"/>
  <c r="K223" i="19"/>
  <c r="I223" i="19"/>
  <c r="K222" i="19"/>
  <c r="I222" i="19"/>
  <c r="K221" i="19"/>
  <c r="I221" i="19"/>
  <c r="K220" i="19"/>
  <c r="I220" i="19"/>
  <c r="K219" i="19"/>
  <c r="I219" i="19"/>
  <c r="K218" i="19"/>
  <c r="I218" i="19"/>
  <c r="K217" i="19"/>
  <c r="I217" i="19"/>
  <c r="K216" i="19"/>
  <c r="I216" i="19"/>
  <c r="K215" i="19"/>
  <c r="I215" i="19"/>
  <c r="K214" i="19"/>
  <c r="I214" i="19"/>
  <c r="K213" i="19"/>
  <c r="I213" i="19"/>
  <c r="K212" i="19"/>
  <c r="I212" i="19"/>
  <c r="K211" i="19"/>
  <c r="I211" i="19"/>
  <c r="K210" i="19"/>
  <c r="I210" i="19"/>
  <c r="K209" i="19"/>
  <c r="I209" i="19"/>
  <c r="K208" i="19"/>
  <c r="I208" i="19"/>
  <c r="K207" i="19"/>
  <c r="I207" i="19"/>
  <c r="K206" i="19"/>
  <c r="I206" i="19"/>
  <c r="K205" i="19"/>
  <c r="I205" i="19"/>
  <c r="K204" i="19"/>
  <c r="I204" i="19"/>
  <c r="K203" i="19"/>
  <c r="I203" i="19"/>
  <c r="K202" i="19"/>
  <c r="I202" i="19"/>
  <c r="K201" i="19"/>
  <c r="I201" i="19"/>
  <c r="K200" i="19"/>
  <c r="I200" i="19"/>
  <c r="K199" i="19"/>
  <c r="I199" i="19"/>
  <c r="K198" i="19"/>
  <c r="I198" i="19"/>
  <c r="K197" i="19"/>
  <c r="I197" i="19"/>
  <c r="K196" i="19"/>
  <c r="I196" i="19"/>
  <c r="K195" i="19"/>
  <c r="I195" i="19"/>
  <c r="K194" i="19"/>
  <c r="I194" i="19"/>
  <c r="K193" i="19"/>
  <c r="I193" i="19"/>
  <c r="K192" i="19"/>
  <c r="I192" i="19"/>
  <c r="K191" i="19"/>
  <c r="I191" i="19"/>
  <c r="K190" i="19"/>
  <c r="I190" i="19"/>
  <c r="K189" i="19"/>
  <c r="I189" i="19"/>
  <c r="K188" i="19"/>
  <c r="I188" i="19"/>
  <c r="K187" i="19"/>
  <c r="I187" i="19"/>
  <c r="K186" i="19"/>
  <c r="I186" i="19"/>
  <c r="K185" i="19"/>
  <c r="I185" i="19"/>
  <c r="K184" i="19"/>
  <c r="I184" i="19"/>
  <c r="K183" i="19"/>
  <c r="I183" i="19"/>
  <c r="K182" i="19"/>
  <c r="I182" i="19"/>
  <c r="K181" i="19"/>
  <c r="I181" i="19"/>
  <c r="K180" i="19"/>
  <c r="I180" i="19"/>
  <c r="K179" i="19"/>
  <c r="I179" i="19"/>
  <c r="K178" i="19"/>
  <c r="I178" i="19"/>
  <c r="K177" i="19"/>
  <c r="I177" i="19"/>
  <c r="K176" i="19"/>
  <c r="I176" i="19"/>
  <c r="K175" i="19"/>
  <c r="I175" i="19"/>
  <c r="K174" i="19"/>
  <c r="I174" i="19"/>
  <c r="K173" i="19"/>
  <c r="I173" i="19"/>
  <c r="K172" i="19"/>
  <c r="I172" i="19"/>
  <c r="K171" i="19"/>
  <c r="I171" i="19"/>
  <c r="K170" i="19"/>
  <c r="I170" i="19"/>
  <c r="K169" i="19"/>
  <c r="I169" i="19"/>
  <c r="K168" i="19"/>
  <c r="I168" i="19"/>
  <c r="K167" i="19"/>
  <c r="I167" i="19"/>
  <c r="K166" i="19"/>
  <c r="I166" i="19"/>
  <c r="K165" i="19"/>
  <c r="I165" i="19"/>
  <c r="K164" i="19"/>
  <c r="I164" i="19"/>
  <c r="K163" i="19"/>
  <c r="I163" i="19"/>
  <c r="K162" i="19"/>
  <c r="I162" i="19"/>
  <c r="K161" i="19"/>
  <c r="I161" i="19"/>
  <c r="K160" i="19"/>
  <c r="I160" i="19"/>
  <c r="K159" i="19"/>
  <c r="I159" i="19"/>
  <c r="K158" i="19"/>
  <c r="I158" i="19"/>
  <c r="K157" i="19"/>
  <c r="I157" i="19"/>
  <c r="K156" i="19"/>
  <c r="I156" i="19"/>
  <c r="K155" i="19"/>
  <c r="I155" i="19"/>
  <c r="K154" i="19"/>
  <c r="I154" i="19"/>
  <c r="K153" i="19"/>
  <c r="I153" i="19"/>
  <c r="K152" i="19"/>
  <c r="I152" i="19"/>
  <c r="K151" i="19"/>
  <c r="I151" i="19"/>
  <c r="K150" i="19"/>
  <c r="I150" i="19"/>
  <c r="K149" i="19"/>
  <c r="I149" i="19"/>
  <c r="K148" i="19"/>
  <c r="I148" i="19"/>
  <c r="K147" i="19"/>
  <c r="I147" i="19"/>
  <c r="K146" i="19"/>
  <c r="I146" i="19"/>
  <c r="K145" i="19"/>
  <c r="I145" i="19"/>
  <c r="K144" i="19"/>
  <c r="I144" i="19"/>
  <c r="K143" i="19"/>
  <c r="I143" i="19"/>
  <c r="K142" i="19"/>
  <c r="I142" i="19"/>
  <c r="K141" i="19"/>
  <c r="I141" i="19"/>
  <c r="K140" i="19"/>
  <c r="I140" i="19"/>
  <c r="K139" i="19"/>
  <c r="I139" i="19"/>
  <c r="K138" i="19"/>
  <c r="I138" i="19"/>
  <c r="K137" i="19"/>
  <c r="I137" i="19"/>
  <c r="K136" i="19"/>
  <c r="I136" i="19"/>
  <c r="K135" i="19"/>
  <c r="I135" i="19"/>
  <c r="K134" i="19"/>
  <c r="I134" i="19"/>
  <c r="K133" i="19"/>
  <c r="I133" i="19"/>
  <c r="K132" i="19"/>
  <c r="I132" i="19"/>
  <c r="K131" i="19"/>
  <c r="I131" i="19"/>
  <c r="K130" i="19"/>
  <c r="I130" i="19"/>
  <c r="K129" i="19"/>
  <c r="I129" i="19"/>
  <c r="K128" i="19"/>
  <c r="I128" i="19"/>
  <c r="K127" i="19"/>
  <c r="I127" i="19"/>
  <c r="K126" i="19"/>
  <c r="I126" i="19"/>
  <c r="K125" i="19"/>
  <c r="I125" i="19"/>
  <c r="K124" i="19"/>
  <c r="I124" i="19"/>
  <c r="K123" i="19"/>
  <c r="I123" i="19"/>
  <c r="K122" i="19"/>
  <c r="I122" i="19"/>
  <c r="K121" i="19"/>
  <c r="I121" i="19"/>
  <c r="K120" i="19"/>
  <c r="I120" i="19"/>
  <c r="K119" i="19"/>
  <c r="I119" i="19"/>
  <c r="K118" i="19"/>
  <c r="I118" i="19"/>
  <c r="K117" i="19"/>
  <c r="I117" i="19"/>
  <c r="K116" i="19"/>
  <c r="I116" i="19"/>
  <c r="K115" i="19"/>
  <c r="I115" i="19"/>
  <c r="K114" i="19"/>
  <c r="I114" i="19"/>
  <c r="K113" i="19"/>
  <c r="I113" i="19"/>
  <c r="K112" i="19"/>
  <c r="I112" i="19"/>
  <c r="K111" i="19"/>
  <c r="I111" i="19"/>
  <c r="K110" i="19"/>
  <c r="I110" i="19"/>
  <c r="K109" i="19"/>
  <c r="I109" i="19"/>
  <c r="K108" i="19"/>
  <c r="I108" i="19"/>
  <c r="K107" i="19"/>
  <c r="I107" i="19"/>
  <c r="K106" i="19"/>
  <c r="I106" i="19"/>
  <c r="K105" i="19"/>
  <c r="I105" i="19"/>
  <c r="K104" i="19"/>
  <c r="I104" i="19"/>
  <c r="K103" i="19"/>
  <c r="I103" i="19"/>
  <c r="K102" i="19"/>
  <c r="I102" i="19"/>
  <c r="K101" i="19"/>
  <c r="I101" i="19"/>
  <c r="K100" i="19"/>
  <c r="I100" i="19"/>
  <c r="K99" i="19"/>
  <c r="I99" i="19"/>
  <c r="K98" i="19"/>
  <c r="I98" i="19"/>
  <c r="K97" i="19"/>
  <c r="I97" i="19"/>
  <c r="K96" i="19"/>
  <c r="I96" i="19"/>
  <c r="K95" i="19"/>
  <c r="I95" i="19"/>
  <c r="K94" i="19"/>
  <c r="I94" i="19"/>
  <c r="K93" i="19"/>
  <c r="I93" i="19"/>
  <c r="K92" i="19"/>
  <c r="I92" i="19"/>
  <c r="K91" i="19"/>
  <c r="I91" i="19"/>
  <c r="K90" i="19"/>
  <c r="I90" i="19"/>
  <c r="K89" i="19"/>
  <c r="I89" i="19"/>
  <c r="K88" i="19"/>
  <c r="I88" i="19"/>
  <c r="K87" i="19"/>
  <c r="I87" i="19"/>
  <c r="K86" i="19"/>
  <c r="I86" i="19"/>
  <c r="K85" i="19"/>
  <c r="I85" i="19"/>
  <c r="K84" i="19"/>
  <c r="I84" i="19"/>
  <c r="K83" i="19"/>
  <c r="I83" i="19"/>
  <c r="K82" i="19"/>
  <c r="I82" i="19"/>
  <c r="K81" i="19"/>
  <c r="I81" i="19"/>
  <c r="K80" i="19"/>
  <c r="I80" i="19"/>
  <c r="K79" i="19"/>
  <c r="I79" i="19"/>
  <c r="K78" i="19"/>
  <c r="I78" i="19"/>
  <c r="K77" i="19"/>
  <c r="I77" i="19"/>
  <c r="K76" i="19"/>
  <c r="I76" i="19"/>
  <c r="K75" i="19"/>
  <c r="I75" i="19"/>
  <c r="K74" i="19"/>
  <c r="I74" i="19"/>
  <c r="K73" i="19"/>
  <c r="I73" i="19"/>
  <c r="K72" i="19"/>
  <c r="I72" i="19"/>
  <c r="K71" i="19"/>
  <c r="I71" i="19"/>
  <c r="K70" i="19"/>
  <c r="I70" i="19"/>
  <c r="K69" i="19"/>
  <c r="I69" i="19"/>
  <c r="K68" i="19"/>
  <c r="I68" i="19"/>
  <c r="K67" i="19"/>
  <c r="I67" i="19"/>
  <c r="K66" i="19"/>
  <c r="I66" i="19"/>
  <c r="K65" i="19"/>
  <c r="I65" i="19"/>
  <c r="B65" i="19"/>
  <c r="K64" i="19"/>
  <c r="I64" i="19"/>
  <c r="B64" i="19"/>
  <c r="K63" i="19"/>
  <c r="I63" i="19"/>
  <c r="B63" i="19"/>
  <c r="K62" i="19"/>
  <c r="I62" i="19"/>
  <c r="B62" i="19"/>
  <c r="K61" i="19"/>
  <c r="I61" i="19"/>
  <c r="B61" i="19"/>
  <c r="K60" i="19"/>
  <c r="I60" i="19"/>
  <c r="B60" i="19"/>
  <c r="K59" i="19"/>
  <c r="I59" i="19"/>
  <c r="B59" i="19"/>
  <c r="K58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K53" i="19"/>
  <c r="I53" i="19"/>
  <c r="B53" i="19"/>
  <c r="K52" i="19"/>
  <c r="I52" i="19"/>
  <c r="B52" i="19"/>
  <c r="K51" i="19"/>
  <c r="I51" i="19"/>
  <c r="B51" i="19"/>
  <c r="K50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K44" i="19"/>
  <c r="I44" i="19"/>
  <c r="B44" i="19"/>
  <c r="K43" i="19"/>
  <c r="I43" i="19"/>
  <c r="B43" i="19"/>
  <c r="K42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K36" i="19"/>
  <c r="I36" i="19"/>
  <c r="B36" i="19"/>
  <c r="K35" i="19"/>
  <c r="I35" i="19"/>
  <c r="K34" i="19"/>
  <c r="I34" i="19"/>
  <c r="K33" i="19"/>
  <c r="I33" i="19"/>
  <c r="K32" i="19"/>
  <c r="I32" i="19"/>
  <c r="K31" i="19"/>
  <c r="I31" i="19"/>
  <c r="K30" i="19"/>
  <c r="I30" i="19"/>
  <c r="K29" i="19"/>
  <c r="I29" i="19"/>
  <c r="K28" i="19"/>
  <c r="I28" i="19"/>
  <c r="K27" i="19"/>
  <c r="I27" i="19"/>
  <c r="K26" i="19"/>
  <c r="I26" i="19"/>
  <c r="K25" i="19"/>
  <c r="I25" i="19"/>
  <c r="K24" i="19"/>
  <c r="I24" i="19"/>
  <c r="K23" i="19"/>
  <c r="I23" i="19"/>
  <c r="K22" i="19"/>
  <c r="I22" i="19"/>
  <c r="K21" i="19"/>
  <c r="I21" i="19"/>
  <c r="K20" i="19"/>
  <c r="I20" i="19"/>
  <c r="K19" i="19"/>
  <c r="I19" i="19"/>
  <c r="K18" i="19"/>
  <c r="I18" i="19"/>
  <c r="K17" i="19"/>
  <c r="I17" i="19"/>
  <c r="K16" i="19"/>
  <c r="I16" i="19"/>
  <c r="K15" i="19"/>
  <c r="I15" i="19"/>
  <c r="AJ14" i="19"/>
  <c r="K14" i="19"/>
  <c r="I14" i="19"/>
  <c r="AJ13" i="19"/>
  <c r="K13" i="19"/>
  <c r="I13" i="19"/>
  <c r="AJ12" i="19"/>
  <c r="AJ16" i="19" s="1"/>
  <c r="K12" i="19"/>
  <c r="I12" i="19"/>
  <c r="K11" i="19"/>
  <c r="I11" i="19"/>
  <c r="K10" i="19"/>
  <c r="I10" i="19"/>
  <c r="K9" i="19"/>
  <c r="I9" i="19"/>
  <c r="K8" i="19"/>
  <c r="I8" i="19"/>
  <c r="K7" i="19"/>
  <c r="I7" i="19"/>
  <c r="K6" i="19"/>
  <c r="L2" i="19"/>
  <c r="K2" i="19"/>
  <c r="L8" i="19" s="1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K298" i="18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K290" i="18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K282" i="18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K274" i="18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K258" i="18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K250" i="18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K242" i="18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K234" i="18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K226" i="18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K218" i="18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K210" i="18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K202" i="18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K186" i="18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K178" i="18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K162" i="18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K154" i="18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K138" i="18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K130" i="18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K106" i="18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K101" i="18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K90" i="18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K85" i="18"/>
  <c r="I85" i="18"/>
  <c r="M85" i="18" s="1"/>
  <c r="K84" i="18"/>
  <c r="I84" i="18"/>
  <c r="M84" i="18" s="1"/>
  <c r="K83" i="18"/>
  <c r="I83" i="18"/>
  <c r="M83" i="18" s="1"/>
  <c r="K82" i="18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K69" i="18"/>
  <c r="I69" i="18"/>
  <c r="M69" i="18" s="1"/>
  <c r="K68" i="18"/>
  <c r="I68" i="18"/>
  <c r="M68" i="18" s="1"/>
  <c r="K67" i="18"/>
  <c r="I67" i="18"/>
  <c r="M67" i="18" s="1"/>
  <c r="K66" i="18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K58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K53" i="18"/>
  <c r="I53" i="18"/>
  <c r="M53" i="18" s="1"/>
  <c r="B53" i="18"/>
  <c r="K52" i="18"/>
  <c r="I52" i="18"/>
  <c r="M52" i="18" s="1"/>
  <c r="B52" i="18"/>
  <c r="K51" i="18"/>
  <c r="I51" i="18"/>
  <c r="M51" i="18" s="1"/>
  <c r="B51" i="18"/>
  <c r="K50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K46" i="18"/>
  <c r="I46" i="18"/>
  <c r="M46" i="18" s="1"/>
  <c r="B46" i="18"/>
  <c r="K45" i="18"/>
  <c r="I45" i="18"/>
  <c r="M45" i="18" s="1"/>
  <c r="B45" i="18"/>
  <c r="K44" i="18"/>
  <c r="I44" i="18"/>
  <c r="M44" i="18" s="1"/>
  <c r="B44" i="18"/>
  <c r="K43" i="18"/>
  <c r="I43" i="18"/>
  <c r="M43" i="18" s="1"/>
  <c r="B43" i="18"/>
  <c r="K42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B37" i="18"/>
  <c r="K36" i="18"/>
  <c r="I36" i="18"/>
  <c r="M36" i="18" s="1"/>
  <c r="A36" i="18" s="1"/>
  <c r="B36" i="18"/>
  <c r="K35" i="18"/>
  <c r="I35" i="18"/>
  <c r="B35" i="18"/>
  <c r="K34" i="18"/>
  <c r="I34" i="18"/>
  <c r="M34" i="18" s="1"/>
  <c r="A34" i="18" s="1"/>
  <c r="B34" i="18"/>
  <c r="K33" i="18"/>
  <c r="I33" i="18"/>
  <c r="B33" i="18"/>
  <c r="K32" i="18"/>
  <c r="I32" i="18"/>
  <c r="M32" i="18" s="1"/>
  <c r="A32" i="18" s="1"/>
  <c r="B32" i="18"/>
  <c r="K31" i="18"/>
  <c r="I31" i="18"/>
  <c r="B31" i="18"/>
  <c r="K30" i="18"/>
  <c r="I30" i="18"/>
  <c r="M30" i="18" s="1"/>
  <c r="A30" i="18" s="1"/>
  <c r="B30" i="18"/>
  <c r="K29" i="18"/>
  <c r="I29" i="18"/>
  <c r="B29" i="18"/>
  <c r="K28" i="18"/>
  <c r="I28" i="18"/>
  <c r="M28" i="18" s="1"/>
  <c r="A28" i="18" s="1"/>
  <c r="B28" i="18"/>
  <c r="K27" i="18"/>
  <c r="I27" i="18"/>
  <c r="B27" i="18"/>
  <c r="K26" i="18"/>
  <c r="I26" i="18"/>
  <c r="M26" i="18" s="1"/>
  <c r="A26" i="18" s="1"/>
  <c r="B26" i="18"/>
  <c r="K25" i="18"/>
  <c r="I25" i="18"/>
  <c r="B25" i="18"/>
  <c r="K24" i="18"/>
  <c r="I24" i="18"/>
  <c r="M24" i="18" s="1"/>
  <c r="A24" i="18" s="1"/>
  <c r="B24" i="18"/>
  <c r="K23" i="18"/>
  <c r="I23" i="18"/>
  <c r="B23" i="18"/>
  <c r="K22" i="18"/>
  <c r="I22" i="18"/>
  <c r="M22" i="18" s="1"/>
  <c r="A22" i="18" s="1"/>
  <c r="B22" i="18"/>
  <c r="K21" i="18"/>
  <c r="I21" i="18"/>
  <c r="B21" i="18"/>
  <c r="K20" i="18"/>
  <c r="I20" i="18"/>
  <c r="M20" i="18" s="1"/>
  <c r="A20" i="18" s="1"/>
  <c r="B20" i="18"/>
  <c r="K19" i="18"/>
  <c r="I19" i="18"/>
  <c r="B19" i="18"/>
  <c r="K18" i="18"/>
  <c r="I18" i="18"/>
  <c r="M18" i="18" s="1"/>
  <c r="A18" i="18" s="1"/>
  <c r="B18" i="18"/>
  <c r="K17" i="18"/>
  <c r="I17" i="18"/>
  <c r="B17" i="18"/>
  <c r="K16" i="18"/>
  <c r="I16" i="18"/>
  <c r="M16" i="18" s="1"/>
  <c r="A16" i="18" s="1"/>
  <c r="K15" i="18"/>
  <c r="I15" i="18"/>
  <c r="M15" i="18" s="1"/>
  <c r="AI14" i="18"/>
  <c r="K14" i="18"/>
  <c r="I14" i="18"/>
  <c r="AI13" i="18"/>
  <c r="K13" i="18"/>
  <c r="I13" i="18"/>
  <c r="M13" i="18" s="1"/>
  <c r="A13" i="18" s="1"/>
  <c r="AI12" i="18"/>
  <c r="AI16" i="18" s="1"/>
  <c r="K12" i="18"/>
  <c r="I12" i="18"/>
  <c r="K11" i="18"/>
  <c r="I11" i="18"/>
  <c r="K10" i="18"/>
  <c r="I10" i="18"/>
  <c r="K9" i="18"/>
  <c r="I9" i="18"/>
  <c r="K8" i="18"/>
  <c r="I8" i="18"/>
  <c r="K7" i="18"/>
  <c r="I7" i="18"/>
  <c r="K6" i="18"/>
  <c r="K2" i="18"/>
  <c r="L8" i="18" s="1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K298" i="17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K290" i="17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K282" i="17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K274" i="17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K266" i="17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K258" i="17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K250" i="17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K242" i="17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K234" i="17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K226" i="17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K210" i="17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K202" i="17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K194" i="17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K186" i="17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K178" i="17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K170" i="17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K162" i="17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K154" i="17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K138" i="17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K130" i="17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K122" i="17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K114" i="17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K106" i="17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K98" i="17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K93" i="17"/>
  <c r="I93" i="17"/>
  <c r="M93" i="17" s="1"/>
  <c r="K92" i="17"/>
  <c r="I92" i="17"/>
  <c r="M92" i="17" s="1"/>
  <c r="K91" i="17"/>
  <c r="I91" i="17"/>
  <c r="M91" i="17" s="1"/>
  <c r="K90" i="17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K85" i="17"/>
  <c r="I85" i="17"/>
  <c r="M85" i="17" s="1"/>
  <c r="K84" i="17"/>
  <c r="I84" i="17"/>
  <c r="M84" i="17" s="1"/>
  <c r="K83" i="17"/>
  <c r="I83" i="17"/>
  <c r="M83" i="17" s="1"/>
  <c r="K82" i="17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K77" i="17"/>
  <c r="I77" i="17"/>
  <c r="M77" i="17" s="1"/>
  <c r="K76" i="17"/>
  <c r="I76" i="17"/>
  <c r="M76" i="17" s="1"/>
  <c r="K75" i="17"/>
  <c r="I75" i="17"/>
  <c r="M75" i="17" s="1"/>
  <c r="K74" i="17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K69" i="17"/>
  <c r="I69" i="17"/>
  <c r="M69" i="17" s="1"/>
  <c r="K68" i="17"/>
  <c r="I68" i="17"/>
  <c r="M68" i="17" s="1"/>
  <c r="K67" i="17"/>
  <c r="I67" i="17"/>
  <c r="M67" i="17" s="1"/>
  <c r="K66" i="17"/>
  <c r="I66" i="17"/>
  <c r="M66" i="17" s="1"/>
  <c r="K65" i="17"/>
  <c r="I65" i="17"/>
  <c r="M65" i="17" s="1"/>
  <c r="B59" i="17"/>
  <c r="K64" i="17"/>
  <c r="I64" i="17"/>
  <c r="M64" i="17" s="1"/>
  <c r="B58" i="17"/>
  <c r="K63" i="17"/>
  <c r="I63" i="17"/>
  <c r="M63" i="17" s="1"/>
  <c r="B57" i="17"/>
  <c r="K62" i="17"/>
  <c r="I62" i="17"/>
  <c r="M62" i="17" s="1"/>
  <c r="B56" i="17"/>
  <c r="K61" i="17"/>
  <c r="I61" i="17"/>
  <c r="M61" i="17" s="1"/>
  <c r="B55" i="17"/>
  <c r="K60" i="17"/>
  <c r="I60" i="17"/>
  <c r="M60" i="17" s="1"/>
  <c r="B54" i="17"/>
  <c r="K59" i="17"/>
  <c r="I59" i="17"/>
  <c r="M59" i="17" s="1"/>
  <c r="B53" i="17"/>
  <c r="K58" i="17"/>
  <c r="I58" i="17"/>
  <c r="M58" i="17" s="1"/>
  <c r="B52" i="17"/>
  <c r="K57" i="17"/>
  <c r="I57" i="17"/>
  <c r="M57" i="17" s="1"/>
  <c r="B51" i="17"/>
  <c r="K56" i="17"/>
  <c r="I56" i="17"/>
  <c r="M56" i="17" s="1"/>
  <c r="B50" i="17"/>
  <c r="K55" i="17"/>
  <c r="I55" i="17"/>
  <c r="M55" i="17" s="1"/>
  <c r="B49" i="17"/>
  <c r="K54" i="17"/>
  <c r="I54" i="17"/>
  <c r="M54" i="17" s="1"/>
  <c r="B48" i="17"/>
  <c r="K53" i="17"/>
  <c r="I53" i="17"/>
  <c r="M53" i="17" s="1"/>
  <c r="B47" i="17"/>
  <c r="K52" i="17"/>
  <c r="I52" i="17"/>
  <c r="M52" i="17" s="1"/>
  <c r="K51" i="17"/>
  <c r="I51" i="17"/>
  <c r="M51" i="17" s="1"/>
  <c r="K50" i="17"/>
  <c r="I50" i="17"/>
  <c r="M50" i="17" s="1"/>
  <c r="K49" i="17"/>
  <c r="I49" i="17"/>
  <c r="M49" i="17" s="1"/>
  <c r="K48" i="17"/>
  <c r="I48" i="17"/>
  <c r="M48" i="17" s="1"/>
  <c r="K47" i="17"/>
  <c r="I47" i="17"/>
  <c r="M47" i="17" s="1"/>
  <c r="T46" i="17"/>
  <c r="R46" i="17"/>
  <c r="U46" i="17" s="1"/>
  <c r="K46" i="17"/>
  <c r="I46" i="17"/>
  <c r="M46" i="17" s="1"/>
  <c r="K45" i="17"/>
  <c r="I45" i="17"/>
  <c r="M45" i="17" s="1"/>
  <c r="K44" i="17"/>
  <c r="I44" i="17"/>
  <c r="M44" i="17" s="1"/>
  <c r="K43" i="17"/>
  <c r="I43" i="17"/>
  <c r="M43" i="17" s="1"/>
  <c r="K42" i="17"/>
  <c r="I42" i="17"/>
  <c r="M42" i="17" s="1"/>
  <c r="K41" i="17"/>
  <c r="I41" i="17"/>
  <c r="M41" i="17" s="1"/>
  <c r="K40" i="17"/>
  <c r="I40" i="17"/>
  <c r="M40" i="17" s="1"/>
  <c r="K39" i="17"/>
  <c r="I39" i="17"/>
  <c r="M39" i="17" s="1"/>
  <c r="K38" i="17"/>
  <c r="I38" i="17"/>
  <c r="M38" i="17" s="1"/>
  <c r="K37" i="17"/>
  <c r="I37" i="17"/>
  <c r="M37" i="17" s="1"/>
  <c r="A37" i="17" s="1"/>
  <c r="K36" i="17"/>
  <c r="I36" i="17"/>
  <c r="M36" i="17" s="1"/>
  <c r="A36" i="17" s="1"/>
  <c r="K35" i="17"/>
  <c r="I35" i="17"/>
  <c r="K34" i="17"/>
  <c r="I34" i="17"/>
  <c r="K33" i="17"/>
  <c r="I33" i="17"/>
  <c r="M33" i="17" s="1"/>
  <c r="A33" i="17" s="1"/>
  <c r="K32" i="17"/>
  <c r="I32" i="17"/>
  <c r="M32" i="17" s="1"/>
  <c r="A32" i="17" s="1"/>
  <c r="K31" i="17"/>
  <c r="I31" i="17"/>
  <c r="M31" i="17" s="1"/>
  <c r="A31" i="17" s="1"/>
  <c r="K30" i="17"/>
  <c r="I30" i="17"/>
  <c r="K29" i="17"/>
  <c r="I29" i="17"/>
  <c r="M29" i="17" s="1"/>
  <c r="A29" i="17" s="1"/>
  <c r="K28" i="17"/>
  <c r="I28" i="17"/>
  <c r="K27" i="17"/>
  <c r="I27" i="17"/>
  <c r="M27" i="17" s="1"/>
  <c r="A27" i="17" s="1"/>
  <c r="K26" i="17"/>
  <c r="I26" i="17"/>
  <c r="K25" i="17"/>
  <c r="I25" i="17"/>
  <c r="M25" i="17" s="1"/>
  <c r="K24" i="17"/>
  <c r="I24" i="17"/>
  <c r="K23" i="17"/>
  <c r="I23" i="17"/>
  <c r="M23" i="17" s="1"/>
  <c r="K22" i="17"/>
  <c r="I22" i="17"/>
  <c r="K21" i="17"/>
  <c r="I21" i="17"/>
  <c r="M21" i="17" s="1"/>
  <c r="K20" i="17"/>
  <c r="I20" i="17"/>
  <c r="K19" i="17"/>
  <c r="I19" i="17"/>
  <c r="M19" i="17" s="1"/>
  <c r="K18" i="17"/>
  <c r="I18" i="17"/>
  <c r="K17" i="17"/>
  <c r="I17" i="17"/>
  <c r="K16" i="17"/>
  <c r="I16" i="17"/>
  <c r="M16" i="17" s="1"/>
  <c r="K15" i="17"/>
  <c r="I15" i="17"/>
  <c r="AI14" i="17"/>
  <c r="K14" i="17"/>
  <c r="I14" i="17"/>
  <c r="M14" i="17" s="1"/>
  <c r="AI13" i="17"/>
  <c r="K13" i="17"/>
  <c r="I13" i="17"/>
  <c r="M13" i="17" s="1"/>
  <c r="L15" i="20"/>
  <c r="AI12" i="17"/>
  <c r="AI16" i="17" s="1"/>
  <c r="K12" i="17"/>
  <c r="I12" i="17"/>
  <c r="K11" i="17"/>
  <c r="I11" i="17"/>
  <c r="K10" i="17"/>
  <c r="I10" i="17"/>
  <c r="K9" i="17"/>
  <c r="I9" i="17"/>
  <c r="K8" i="17"/>
  <c r="I8" i="17"/>
  <c r="K7" i="17"/>
  <c r="I7" i="17"/>
  <c r="K6" i="17"/>
  <c r="K2" i="17"/>
  <c r="K305" i="16"/>
  <c r="I305" i="16"/>
  <c r="M305" i="16" s="1"/>
  <c r="K304" i="16"/>
  <c r="I304" i="16"/>
  <c r="M304" i="16" s="1"/>
  <c r="K303" i="16"/>
  <c r="I303" i="16"/>
  <c r="M303" i="16" s="1"/>
  <c r="K302" i="16"/>
  <c r="I302" i="16"/>
  <c r="M302" i="16" s="1"/>
  <c r="K301" i="16"/>
  <c r="I301" i="16"/>
  <c r="M301" i="16" s="1"/>
  <c r="K300" i="16"/>
  <c r="I300" i="16"/>
  <c r="M300" i="16" s="1"/>
  <c r="K299" i="16"/>
  <c r="I299" i="16"/>
  <c r="M299" i="16" s="1"/>
  <c r="K298" i="16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K294" i="16"/>
  <c r="I294" i="16"/>
  <c r="M294" i="16" s="1"/>
  <c r="K293" i="16"/>
  <c r="I293" i="16"/>
  <c r="M293" i="16" s="1"/>
  <c r="K292" i="16"/>
  <c r="I292" i="16"/>
  <c r="M292" i="16" s="1"/>
  <c r="K291" i="16"/>
  <c r="I291" i="16"/>
  <c r="M291" i="16" s="1"/>
  <c r="K290" i="16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K286" i="16"/>
  <c r="I286" i="16"/>
  <c r="M286" i="16" s="1"/>
  <c r="K285" i="16"/>
  <c r="I285" i="16"/>
  <c r="M285" i="16" s="1"/>
  <c r="K284" i="16"/>
  <c r="I284" i="16"/>
  <c r="M284" i="16" s="1"/>
  <c r="K283" i="16"/>
  <c r="I283" i="16"/>
  <c r="M283" i="16" s="1"/>
  <c r="K282" i="16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K278" i="16"/>
  <c r="I278" i="16"/>
  <c r="M278" i="16" s="1"/>
  <c r="K277" i="16"/>
  <c r="I277" i="16"/>
  <c r="M277" i="16" s="1"/>
  <c r="K276" i="16"/>
  <c r="I276" i="16"/>
  <c r="M276" i="16" s="1"/>
  <c r="K275" i="16"/>
  <c r="I275" i="16"/>
  <c r="M275" i="16" s="1"/>
  <c r="K274" i="16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K270" i="16"/>
  <c r="I270" i="16"/>
  <c r="M270" i="16" s="1"/>
  <c r="K269" i="16"/>
  <c r="I269" i="16"/>
  <c r="M269" i="16" s="1"/>
  <c r="K268" i="16"/>
  <c r="I268" i="16"/>
  <c r="M268" i="16" s="1"/>
  <c r="K267" i="16"/>
  <c r="I267" i="16"/>
  <c r="M267" i="16" s="1"/>
  <c r="K266" i="16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K262" i="16"/>
  <c r="I262" i="16"/>
  <c r="M262" i="16" s="1"/>
  <c r="K261" i="16"/>
  <c r="I261" i="16"/>
  <c r="M261" i="16" s="1"/>
  <c r="K260" i="16"/>
  <c r="I260" i="16"/>
  <c r="M260" i="16" s="1"/>
  <c r="K259" i="16"/>
  <c r="I259" i="16"/>
  <c r="M259" i="16" s="1"/>
  <c r="K258" i="16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K254" i="16"/>
  <c r="I254" i="16"/>
  <c r="M254" i="16" s="1"/>
  <c r="K253" i="16"/>
  <c r="I253" i="16"/>
  <c r="M253" i="16" s="1"/>
  <c r="K252" i="16"/>
  <c r="I252" i="16"/>
  <c r="M252" i="16" s="1"/>
  <c r="K251" i="16"/>
  <c r="I251" i="16"/>
  <c r="M251" i="16" s="1"/>
  <c r="K250" i="16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K246" i="16"/>
  <c r="I246" i="16"/>
  <c r="M246" i="16" s="1"/>
  <c r="K245" i="16"/>
  <c r="I245" i="16"/>
  <c r="M245" i="16" s="1"/>
  <c r="K244" i="16"/>
  <c r="I244" i="16"/>
  <c r="M244" i="16" s="1"/>
  <c r="K243" i="16"/>
  <c r="I243" i="16"/>
  <c r="M243" i="16" s="1"/>
  <c r="K242" i="16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K238" i="16"/>
  <c r="I238" i="16"/>
  <c r="M238" i="16" s="1"/>
  <c r="K237" i="16"/>
  <c r="I237" i="16"/>
  <c r="M237" i="16" s="1"/>
  <c r="K236" i="16"/>
  <c r="I236" i="16"/>
  <c r="M236" i="16" s="1"/>
  <c r="K235" i="16"/>
  <c r="I235" i="16"/>
  <c r="M235" i="16" s="1"/>
  <c r="K234" i="16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K230" i="16"/>
  <c r="I230" i="16"/>
  <c r="M230" i="16" s="1"/>
  <c r="K229" i="16"/>
  <c r="I229" i="16"/>
  <c r="M229" i="16" s="1"/>
  <c r="K228" i="16"/>
  <c r="I228" i="16"/>
  <c r="M228" i="16" s="1"/>
  <c r="K227" i="16"/>
  <c r="I227" i="16"/>
  <c r="M227" i="16" s="1"/>
  <c r="K226" i="16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K222" i="16"/>
  <c r="I222" i="16"/>
  <c r="M222" i="16" s="1"/>
  <c r="K221" i="16"/>
  <c r="I221" i="16"/>
  <c r="M221" i="16" s="1"/>
  <c r="K220" i="16"/>
  <c r="I220" i="16"/>
  <c r="M220" i="16" s="1"/>
  <c r="K219" i="16"/>
  <c r="I219" i="16"/>
  <c r="M219" i="16" s="1"/>
  <c r="K218" i="16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K214" i="16"/>
  <c r="I214" i="16"/>
  <c r="M214" i="16" s="1"/>
  <c r="K213" i="16"/>
  <c r="I213" i="16"/>
  <c r="M213" i="16" s="1"/>
  <c r="K212" i="16"/>
  <c r="I212" i="16"/>
  <c r="M212" i="16" s="1"/>
  <c r="K211" i="16"/>
  <c r="I211" i="16"/>
  <c r="M211" i="16" s="1"/>
  <c r="K210" i="16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K206" i="16"/>
  <c r="I206" i="16"/>
  <c r="M206" i="16" s="1"/>
  <c r="K205" i="16"/>
  <c r="I205" i="16"/>
  <c r="M205" i="16" s="1"/>
  <c r="K204" i="16"/>
  <c r="I204" i="16"/>
  <c r="M204" i="16" s="1"/>
  <c r="K203" i="16"/>
  <c r="I203" i="16"/>
  <c r="M203" i="16" s="1"/>
  <c r="K202" i="16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K198" i="16"/>
  <c r="I198" i="16"/>
  <c r="M198" i="16" s="1"/>
  <c r="K197" i="16"/>
  <c r="I197" i="16"/>
  <c r="M197" i="16" s="1"/>
  <c r="K196" i="16"/>
  <c r="I196" i="16"/>
  <c r="M196" i="16" s="1"/>
  <c r="K195" i="16"/>
  <c r="I195" i="16"/>
  <c r="M195" i="16" s="1"/>
  <c r="K194" i="16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K190" i="16"/>
  <c r="I190" i="16"/>
  <c r="M190" i="16" s="1"/>
  <c r="K189" i="16"/>
  <c r="I189" i="16"/>
  <c r="M189" i="16" s="1"/>
  <c r="K188" i="16"/>
  <c r="I188" i="16"/>
  <c r="M188" i="16" s="1"/>
  <c r="K187" i="16"/>
  <c r="I187" i="16"/>
  <c r="M187" i="16" s="1"/>
  <c r="K186" i="16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K182" i="16"/>
  <c r="I182" i="16"/>
  <c r="M182" i="16" s="1"/>
  <c r="K181" i="16"/>
  <c r="I181" i="16"/>
  <c r="M181" i="16" s="1"/>
  <c r="K180" i="16"/>
  <c r="I180" i="16"/>
  <c r="M180" i="16" s="1"/>
  <c r="K179" i="16"/>
  <c r="I179" i="16"/>
  <c r="M179" i="16" s="1"/>
  <c r="K178" i="16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K174" i="16"/>
  <c r="I174" i="16"/>
  <c r="M174" i="16" s="1"/>
  <c r="K173" i="16"/>
  <c r="I173" i="16"/>
  <c r="M173" i="16" s="1"/>
  <c r="K172" i="16"/>
  <c r="I172" i="16"/>
  <c r="M172" i="16" s="1"/>
  <c r="K171" i="16"/>
  <c r="I171" i="16"/>
  <c r="M171" i="16" s="1"/>
  <c r="K170" i="16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K166" i="16"/>
  <c r="I166" i="16"/>
  <c r="M166" i="16" s="1"/>
  <c r="K165" i="16"/>
  <c r="I165" i="16"/>
  <c r="M165" i="16" s="1"/>
  <c r="K164" i="16"/>
  <c r="I164" i="16"/>
  <c r="M164" i="16" s="1"/>
  <c r="K163" i="16"/>
  <c r="I163" i="16"/>
  <c r="M163" i="16" s="1"/>
  <c r="K162" i="16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K158" i="16"/>
  <c r="I158" i="16"/>
  <c r="M158" i="16" s="1"/>
  <c r="K157" i="16"/>
  <c r="I157" i="16"/>
  <c r="M157" i="16" s="1"/>
  <c r="K156" i="16"/>
  <c r="I156" i="16"/>
  <c r="M156" i="16" s="1"/>
  <c r="K155" i="16"/>
  <c r="I155" i="16"/>
  <c r="M155" i="16" s="1"/>
  <c r="K154" i="16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K150" i="16"/>
  <c r="I150" i="16"/>
  <c r="M150" i="16" s="1"/>
  <c r="K149" i="16"/>
  <c r="I149" i="16"/>
  <c r="M149" i="16" s="1"/>
  <c r="K148" i="16"/>
  <c r="I148" i="16"/>
  <c r="M148" i="16" s="1"/>
  <c r="K147" i="16"/>
  <c r="I147" i="16"/>
  <c r="M147" i="16" s="1"/>
  <c r="K146" i="16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K142" i="16"/>
  <c r="I142" i="16"/>
  <c r="M142" i="16" s="1"/>
  <c r="K141" i="16"/>
  <c r="I141" i="16"/>
  <c r="M141" i="16" s="1"/>
  <c r="K140" i="16"/>
  <c r="I140" i="16"/>
  <c r="M140" i="16" s="1"/>
  <c r="K139" i="16"/>
  <c r="I139" i="16"/>
  <c r="M139" i="16" s="1"/>
  <c r="K138" i="16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K134" i="16"/>
  <c r="I134" i="16"/>
  <c r="M134" i="16" s="1"/>
  <c r="K133" i="16"/>
  <c r="I133" i="16"/>
  <c r="M133" i="16" s="1"/>
  <c r="K132" i="16"/>
  <c r="I132" i="16"/>
  <c r="M132" i="16" s="1"/>
  <c r="K131" i="16"/>
  <c r="I131" i="16"/>
  <c r="M131" i="16" s="1"/>
  <c r="K130" i="16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K126" i="16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K122" i="16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K118" i="16"/>
  <c r="I118" i="16"/>
  <c r="M118" i="16" s="1"/>
  <c r="K117" i="16"/>
  <c r="I117" i="16"/>
  <c r="M117" i="16" s="1"/>
  <c r="K116" i="16"/>
  <c r="I116" i="16"/>
  <c r="M116" i="16" s="1"/>
  <c r="K115" i="16"/>
  <c r="I115" i="16"/>
  <c r="M115" i="16" s="1"/>
  <c r="K114" i="16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K110" i="16"/>
  <c r="I110" i="16"/>
  <c r="M110" i="16" s="1"/>
  <c r="K109" i="16"/>
  <c r="I109" i="16"/>
  <c r="M109" i="16" s="1"/>
  <c r="K108" i="16"/>
  <c r="I108" i="16"/>
  <c r="M108" i="16" s="1"/>
  <c r="K107" i="16"/>
  <c r="I107" i="16"/>
  <c r="M107" i="16" s="1"/>
  <c r="K106" i="16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K102" i="16"/>
  <c r="I102" i="16"/>
  <c r="M102" i="16" s="1"/>
  <c r="K101" i="16"/>
  <c r="I101" i="16"/>
  <c r="M101" i="16" s="1"/>
  <c r="K100" i="16"/>
  <c r="I100" i="16"/>
  <c r="M100" i="16" s="1"/>
  <c r="K99" i="16"/>
  <c r="I99" i="16"/>
  <c r="M99" i="16" s="1"/>
  <c r="K98" i="16"/>
  <c r="I98" i="16"/>
  <c r="M98" i="16" s="1"/>
  <c r="K97" i="16"/>
  <c r="I97" i="16"/>
  <c r="M97" i="16" s="1"/>
  <c r="K96" i="16"/>
  <c r="I96" i="16"/>
  <c r="M96" i="16" s="1"/>
  <c r="K95" i="16"/>
  <c r="I95" i="16"/>
  <c r="M95" i="16" s="1"/>
  <c r="K94" i="16"/>
  <c r="I94" i="16"/>
  <c r="M94" i="16" s="1"/>
  <c r="K93" i="16"/>
  <c r="I93" i="16"/>
  <c r="M93" i="16" s="1"/>
  <c r="K92" i="16"/>
  <c r="I92" i="16"/>
  <c r="M92" i="16" s="1"/>
  <c r="K91" i="16"/>
  <c r="I91" i="16"/>
  <c r="M91" i="16" s="1"/>
  <c r="K90" i="16"/>
  <c r="I90" i="16"/>
  <c r="M90" i="16" s="1"/>
  <c r="K89" i="16"/>
  <c r="I89" i="16"/>
  <c r="M89" i="16" s="1"/>
  <c r="K88" i="16"/>
  <c r="I88" i="16"/>
  <c r="M88" i="16" s="1"/>
  <c r="K87" i="16"/>
  <c r="I87" i="16"/>
  <c r="M87" i="16" s="1"/>
  <c r="K86" i="16"/>
  <c r="I86" i="16"/>
  <c r="M86" i="16" s="1"/>
  <c r="K85" i="16"/>
  <c r="I85" i="16"/>
  <c r="M85" i="16" s="1"/>
  <c r="K84" i="16"/>
  <c r="I84" i="16"/>
  <c r="M84" i="16" s="1"/>
  <c r="K83" i="16"/>
  <c r="I83" i="16"/>
  <c r="M83" i="16" s="1"/>
  <c r="K82" i="16"/>
  <c r="I82" i="16"/>
  <c r="M82" i="16" s="1"/>
  <c r="K81" i="16"/>
  <c r="I81" i="16"/>
  <c r="M81" i="16" s="1"/>
  <c r="K80" i="16"/>
  <c r="I80" i="16"/>
  <c r="M80" i="16" s="1"/>
  <c r="K79" i="16"/>
  <c r="I79" i="16"/>
  <c r="M79" i="16" s="1"/>
  <c r="K78" i="16"/>
  <c r="I78" i="16"/>
  <c r="M78" i="16" s="1"/>
  <c r="K77" i="16"/>
  <c r="I77" i="16"/>
  <c r="M77" i="16" s="1"/>
  <c r="K76" i="16"/>
  <c r="I76" i="16"/>
  <c r="M76" i="16" s="1"/>
  <c r="K75" i="16"/>
  <c r="I75" i="16"/>
  <c r="M75" i="16" s="1"/>
  <c r="K74" i="16"/>
  <c r="I74" i="16"/>
  <c r="M74" i="16" s="1"/>
  <c r="K73" i="16"/>
  <c r="I73" i="16"/>
  <c r="M73" i="16" s="1"/>
  <c r="K72" i="16"/>
  <c r="I72" i="16"/>
  <c r="M72" i="16" s="1"/>
  <c r="K71" i="16"/>
  <c r="I71" i="16"/>
  <c r="M71" i="16" s="1"/>
  <c r="K70" i="16"/>
  <c r="I70" i="16"/>
  <c r="M70" i="16" s="1"/>
  <c r="K69" i="16"/>
  <c r="I69" i="16"/>
  <c r="M69" i="16" s="1"/>
  <c r="K68" i="16"/>
  <c r="I68" i="16"/>
  <c r="M68" i="16" s="1"/>
  <c r="K67" i="16"/>
  <c r="I67" i="16"/>
  <c r="M67" i="16" s="1"/>
  <c r="K66" i="16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K62" i="16"/>
  <c r="I62" i="16"/>
  <c r="M62" i="16" s="1"/>
  <c r="B62" i="16"/>
  <c r="K61" i="16"/>
  <c r="I61" i="16"/>
  <c r="M61" i="16" s="1"/>
  <c r="B61" i="16"/>
  <c r="K60" i="16"/>
  <c r="I60" i="16"/>
  <c r="M60" i="16" s="1"/>
  <c r="B60" i="16"/>
  <c r="K59" i="16"/>
  <c r="I59" i="16"/>
  <c r="M59" i="16" s="1"/>
  <c r="B59" i="16"/>
  <c r="K58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M55" i="16" s="1"/>
  <c r="B55" i="16"/>
  <c r="K54" i="16"/>
  <c r="I54" i="16"/>
  <c r="M54" i="16" s="1"/>
  <c r="B54" i="16"/>
  <c r="K53" i="16"/>
  <c r="I53" i="16"/>
  <c r="M53" i="16" s="1"/>
  <c r="B53" i="16"/>
  <c r="K52" i="16"/>
  <c r="I52" i="16"/>
  <c r="M52" i="16" s="1"/>
  <c r="B52" i="16"/>
  <c r="K51" i="16"/>
  <c r="I51" i="16"/>
  <c r="M51" i="16" s="1"/>
  <c r="B51" i="16"/>
  <c r="K50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K46" i="16"/>
  <c r="I46" i="16"/>
  <c r="M46" i="16" s="1"/>
  <c r="B46" i="16"/>
  <c r="K45" i="16"/>
  <c r="I45" i="16"/>
  <c r="M45" i="16" s="1"/>
  <c r="B45" i="16"/>
  <c r="K44" i="16"/>
  <c r="I44" i="16"/>
  <c r="M44" i="16" s="1"/>
  <c r="B44" i="16"/>
  <c r="K43" i="16"/>
  <c r="I43" i="16"/>
  <c r="M43" i="16" s="1"/>
  <c r="B43" i="16"/>
  <c r="K42" i="16"/>
  <c r="I42" i="16"/>
  <c r="M42" i="16" s="1"/>
  <c r="B42" i="16"/>
  <c r="K41" i="16"/>
  <c r="I41" i="16"/>
  <c r="M41" i="16" s="1"/>
  <c r="B41" i="16"/>
  <c r="K40" i="16"/>
  <c r="I40" i="16"/>
  <c r="M40" i="16" s="1"/>
  <c r="B40" i="16"/>
  <c r="K39" i="16"/>
  <c r="I39" i="16"/>
  <c r="M39" i="16" s="1"/>
  <c r="B39" i="16"/>
  <c r="K38" i="16"/>
  <c r="I38" i="16"/>
  <c r="M38" i="16" s="1"/>
  <c r="B38" i="16"/>
  <c r="K37" i="16"/>
  <c r="I37" i="16"/>
  <c r="M37" i="16" s="1"/>
  <c r="A37" i="16" s="1"/>
  <c r="B37" i="16"/>
  <c r="K36" i="16"/>
  <c r="I36" i="16"/>
  <c r="M36" i="16" s="1"/>
  <c r="A36" i="16" s="1"/>
  <c r="B36" i="16"/>
  <c r="K35" i="16"/>
  <c r="I35" i="16"/>
  <c r="M35" i="16" s="1"/>
  <c r="A35" i="16" s="1"/>
  <c r="B35" i="16"/>
  <c r="K34" i="16"/>
  <c r="I34" i="16"/>
  <c r="M34" i="16" s="1"/>
  <c r="A34" i="16" s="1"/>
  <c r="B34" i="16"/>
  <c r="K33" i="16"/>
  <c r="I33" i="16"/>
  <c r="M33" i="16" s="1"/>
  <c r="A33" i="16" s="1"/>
  <c r="B33" i="16"/>
  <c r="K32" i="16"/>
  <c r="I32" i="16"/>
  <c r="M32" i="16" s="1"/>
  <c r="A32" i="16" s="1"/>
  <c r="B32" i="16"/>
  <c r="K31" i="16"/>
  <c r="I31" i="16"/>
  <c r="M31" i="16" s="1"/>
  <c r="A31" i="16" s="1"/>
  <c r="B31" i="16"/>
  <c r="K30" i="16"/>
  <c r="I30" i="16"/>
  <c r="M30" i="16" s="1"/>
  <c r="A30" i="16" s="1"/>
  <c r="B30" i="16"/>
  <c r="K29" i="16"/>
  <c r="I29" i="16"/>
  <c r="M29" i="16" s="1"/>
  <c r="A29" i="16" s="1"/>
  <c r="B29" i="16"/>
  <c r="K28" i="16"/>
  <c r="I28" i="16"/>
  <c r="M28" i="16" s="1"/>
  <c r="A28" i="16" s="1"/>
  <c r="B28" i="16"/>
  <c r="K27" i="16"/>
  <c r="I27" i="16"/>
  <c r="M27" i="16" s="1"/>
  <c r="A27" i="16" s="1"/>
  <c r="B27" i="16"/>
  <c r="K26" i="16"/>
  <c r="I26" i="16"/>
  <c r="M26" i="16" s="1"/>
  <c r="A26" i="16" s="1"/>
  <c r="B26" i="16"/>
  <c r="K25" i="16"/>
  <c r="I25" i="16"/>
  <c r="M25" i="16" s="1"/>
  <c r="A25" i="16" s="1"/>
  <c r="B25" i="16"/>
  <c r="K24" i="16"/>
  <c r="I24" i="16"/>
  <c r="M24" i="16" s="1"/>
  <c r="A24" i="16" s="1"/>
  <c r="B24" i="16"/>
  <c r="K23" i="16"/>
  <c r="I23" i="16"/>
  <c r="M23" i="16" s="1"/>
  <c r="A23" i="16" s="1"/>
  <c r="B23" i="16"/>
  <c r="K22" i="16"/>
  <c r="I22" i="16"/>
  <c r="M22" i="16" s="1"/>
  <c r="A22" i="16" s="1"/>
  <c r="B22" i="16"/>
  <c r="K21" i="16"/>
  <c r="I21" i="16"/>
  <c r="M21" i="16" s="1"/>
  <c r="A21" i="16" s="1"/>
  <c r="B21" i="16"/>
  <c r="K20" i="16"/>
  <c r="I20" i="16"/>
  <c r="M20" i="16" s="1"/>
  <c r="A20" i="16" s="1"/>
  <c r="B20" i="16"/>
  <c r="K19" i="16"/>
  <c r="I19" i="16"/>
  <c r="M19" i="16" s="1"/>
  <c r="A19" i="16" s="1"/>
  <c r="B19" i="16"/>
  <c r="K18" i="16"/>
  <c r="I18" i="16"/>
  <c r="M18" i="16" s="1"/>
  <c r="A18" i="16" s="1"/>
  <c r="B18" i="16"/>
  <c r="K17" i="16"/>
  <c r="I17" i="16"/>
  <c r="M17" i="16" s="1"/>
  <c r="A17" i="16" s="1"/>
  <c r="B17" i="16"/>
  <c r="K16" i="16"/>
  <c r="I16" i="16"/>
  <c r="M16" i="16" s="1"/>
  <c r="K15" i="16"/>
  <c r="I15" i="16"/>
  <c r="M15" i="16" s="1"/>
  <c r="AI14" i="16"/>
  <c r="K14" i="16"/>
  <c r="I14" i="16"/>
  <c r="AI13" i="16"/>
  <c r="K13" i="16"/>
  <c r="I13" i="16"/>
  <c r="M13" i="16" s="1"/>
  <c r="A13" i="16" s="1"/>
  <c r="J27" i="20" s="1"/>
  <c r="AI12" i="16"/>
  <c r="K12" i="16"/>
  <c r="I12" i="16"/>
  <c r="K11" i="16"/>
  <c r="I11" i="16"/>
  <c r="K10" i="16"/>
  <c r="I10" i="16"/>
  <c r="M10" i="16" s="1"/>
  <c r="A10" i="16" s="1"/>
  <c r="J13" i="13" s="1"/>
  <c r="K9" i="16"/>
  <c r="I9" i="16"/>
  <c r="K8" i="16"/>
  <c r="I8" i="16"/>
  <c r="K7" i="16"/>
  <c r="I7" i="16"/>
  <c r="K6" i="16"/>
  <c r="K2" i="16"/>
  <c r="K305" i="15"/>
  <c r="I305" i="15"/>
  <c r="M305" i="15" s="1"/>
  <c r="K304" i="15"/>
  <c r="I304" i="15"/>
  <c r="M304" i="15" s="1"/>
  <c r="K303" i="15"/>
  <c r="I303" i="15"/>
  <c r="M303" i="15" s="1"/>
  <c r="K302" i="15"/>
  <c r="I302" i="15"/>
  <c r="M302" i="15" s="1"/>
  <c r="K301" i="15"/>
  <c r="I301" i="15"/>
  <c r="M301" i="15" s="1"/>
  <c r="K300" i="15"/>
  <c r="I300" i="15"/>
  <c r="M300" i="15" s="1"/>
  <c r="K299" i="15"/>
  <c r="I299" i="15"/>
  <c r="M299" i="15" s="1"/>
  <c r="K298" i="15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K294" i="15"/>
  <c r="I294" i="15"/>
  <c r="M294" i="15" s="1"/>
  <c r="K293" i="15"/>
  <c r="I293" i="15"/>
  <c r="M293" i="15" s="1"/>
  <c r="K292" i="15"/>
  <c r="I292" i="15"/>
  <c r="M292" i="15" s="1"/>
  <c r="K291" i="15"/>
  <c r="I291" i="15"/>
  <c r="M291" i="15" s="1"/>
  <c r="K290" i="15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K286" i="15"/>
  <c r="I286" i="15"/>
  <c r="M286" i="15" s="1"/>
  <c r="K285" i="15"/>
  <c r="I285" i="15"/>
  <c r="M285" i="15" s="1"/>
  <c r="K284" i="15"/>
  <c r="I284" i="15"/>
  <c r="M284" i="15" s="1"/>
  <c r="K283" i="15"/>
  <c r="I283" i="15"/>
  <c r="M283" i="15" s="1"/>
  <c r="K282" i="15"/>
  <c r="I282" i="15"/>
  <c r="M282" i="15" s="1"/>
  <c r="K281" i="15"/>
  <c r="I281" i="15"/>
  <c r="M281" i="15" s="1"/>
  <c r="K280" i="15"/>
  <c r="I280" i="15"/>
  <c r="M280" i="15" s="1"/>
  <c r="K279" i="15"/>
  <c r="I279" i="15"/>
  <c r="M279" i="15" s="1"/>
  <c r="K278" i="15"/>
  <c r="I278" i="15"/>
  <c r="M278" i="15" s="1"/>
  <c r="K277" i="15"/>
  <c r="I277" i="15"/>
  <c r="M277" i="15" s="1"/>
  <c r="K276" i="15"/>
  <c r="I276" i="15"/>
  <c r="M276" i="15" s="1"/>
  <c r="K275" i="15"/>
  <c r="I275" i="15"/>
  <c r="M275" i="15" s="1"/>
  <c r="K274" i="15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K270" i="15"/>
  <c r="I270" i="15"/>
  <c r="M270" i="15" s="1"/>
  <c r="K269" i="15"/>
  <c r="I269" i="15"/>
  <c r="M269" i="15" s="1"/>
  <c r="K268" i="15"/>
  <c r="I268" i="15"/>
  <c r="M268" i="15" s="1"/>
  <c r="K267" i="15"/>
  <c r="I267" i="15"/>
  <c r="M267" i="15" s="1"/>
  <c r="K266" i="15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K262" i="15"/>
  <c r="I262" i="15"/>
  <c r="M262" i="15" s="1"/>
  <c r="K261" i="15"/>
  <c r="I261" i="15"/>
  <c r="M261" i="15" s="1"/>
  <c r="K260" i="15"/>
  <c r="I260" i="15"/>
  <c r="M260" i="15" s="1"/>
  <c r="K259" i="15"/>
  <c r="I259" i="15"/>
  <c r="M259" i="15" s="1"/>
  <c r="K258" i="15"/>
  <c r="I258" i="15"/>
  <c r="M258" i="15" s="1"/>
  <c r="K257" i="15"/>
  <c r="I257" i="15"/>
  <c r="M257" i="15" s="1"/>
  <c r="K256" i="15"/>
  <c r="I256" i="15"/>
  <c r="M256" i="15" s="1"/>
  <c r="K255" i="15"/>
  <c r="I255" i="15"/>
  <c r="M255" i="15" s="1"/>
  <c r="K254" i="15"/>
  <c r="I254" i="15"/>
  <c r="M254" i="15" s="1"/>
  <c r="K253" i="15"/>
  <c r="I253" i="15"/>
  <c r="M253" i="15" s="1"/>
  <c r="K252" i="15"/>
  <c r="I252" i="15"/>
  <c r="M252" i="15" s="1"/>
  <c r="K251" i="15"/>
  <c r="I251" i="15"/>
  <c r="M251" i="15" s="1"/>
  <c r="K250" i="15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K246" i="15"/>
  <c r="I246" i="15"/>
  <c r="M246" i="15" s="1"/>
  <c r="K245" i="15"/>
  <c r="I245" i="15"/>
  <c r="M245" i="15" s="1"/>
  <c r="K244" i="15"/>
  <c r="I244" i="15"/>
  <c r="M244" i="15" s="1"/>
  <c r="K243" i="15"/>
  <c r="I243" i="15"/>
  <c r="M243" i="15" s="1"/>
  <c r="K242" i="15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K238" i="15"/>
  <c r="I238" i="15"/>
  <c r="M238" i="15" s="1"/>
  <c r="K237" i="15"/>
  <c r="I237" i="15"/>
  <c r="M237" i="15" s="1"/>
  <c r="K236" i="15"/>
  <c r="I236" i="15"/>
  <c r="M236" i="15" s="1"/>
  <c r="K235" i="15"/>
  <c r="I235" i="15"/>
  <c r="M235" i="15" s="1"/>
  <c r="K234" i="15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K230" i="15"/>
  <c r="I230" i="15"/>
  <c r="M230" i="15" s="1"/>
  <c r="K229" i="15"/>
  <c r="I229" i="15"/>
  <c r="M229" i="15" s="1"/>
  <c r="K228" i="15"/>
  <c r="I228" i="15"/>
  <c r="M228" i="15" s="1"/>
  <c r="K227" i="15"/>
  <c r="I227" i="15"/>
  <c r="M227" i="15" s="1"/>
  <c r="K226" i="15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K222" i="15"/>
  <c r="I222" i="15"/>
  <c r="M222" i="15" s="1"/>
  <c r="K221" i="15"/>
  <c r="I221" i="15"/>
  <c r="M221" i="15" s="1"/>
  <c r="K220" i="15"/>
  <c r="I220" i="15"/>
  <c r="M220" i="15" s="1"/>
  <c r="K219" i="15"/>
  <c r="I219" i="15"/>
  <c r="M219" i="15" s="1"/>
  <c r="K218" i="15"/>
  <c r="I218" i="15"/>
  <c r="M218" i="15" s="1"/>
  <c r="K217" i="15"/>
  <c r="I217" i="15"/>
  <c r="M217" i="15" s="1"/>
  <c r="K216" i="15"/>
  <c r="I216" i="15"/>
  <c r="M216" i="15" s="1"/>
  <c r="K215" i="15"/>
  <c r="I215" i="15"/>
  <c r="M215" i="15" s="1"/>
  <c r="K214" i="15"/>
  <c r="I214" i="15"/>
  <c r="M214" i="15" s="1"/>
  <c r="K213" i="15"/>
  <c r="I213" i="15"/>
  <c r="M213" i="15" s="1"/>
  <c r="K212" i="15"/>
  <c r="I212" i="15"/>
  <c r="M212" i="15" s="1"/>
  <c r="K211" i="15"/>
  <c r="I211" i="15"/>
  <c r="M211" i="15" s="1"/>
  <c r="K210" i="15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K206" i="15"/>
  <c r="I206" i="15"/>
  <c r="M206" i="15" s="1"/>
  <c r="K205" i="15"/>
  <c r="I205" i="15"/>
  <c r="M205" i="15" s="1"/>
  <c r="K204" i="15"/>
  <c r="I204" i="15"/>
  <c r="M204" i="15" s="1"/>
  <c r="K203" i="15"/>
  <c r="I203" i="15"/>
  <c r="M203" i="15" s="1"/>
  <c r="K202" i="15"/>
  <c r="I202" i="15"/>
  <c r="M202" i="15" s="1"/>
  <c r="K201" i="15"/>
  <c r="I201" i="15"/>
  <c r="M201" i="15" s="1"/>
  <c r="K200" i="15"/>
  <c r="I200" i="15"/>
  <c r="M200" i="15" s="1"/>
  <c r="K199" i="15"/>
  <c r="I199" i="15"/>
  <c r="M199" i="15" s="1"/>
  <c r="K198" i="15"/>
  <c r="I198" i="15"/>
  <c r="M198" i="15" s="1"/>
  <c r="K197" i="15"/>
  <c r="I197" i="15"/>
  <c r="M197" i="15" s="1"/>
  <c r="K196" i="15"/>
  <c r="I196" i="15"/>
  <c r="M196" i="15" s="1"/>
  <c r="K195" i="15"/>
  <c r="I195" i="15"/>
  <c r="M195" i="15" s="1"/>
  <c r="K194" i="15"/>
  <c r="I194" i="15"/>
  <c r="M194" i="15" s="1"/>
  <c r="K193" i="15"/>
  <c r="I193" i="15"/>
  <c r="M193" i="15" s="1"/>
  <c r="K192" i="15"/>
  <c r="I192" i="15"/>
  <c r="M192" i="15" s="1"/>
  <c r="K191" i="15"/>
  <c r="I191" i="15"/>
  <c r="M191" i="15" s="1"/>
  <c r="K190" i="15"/>
  <c r="I190" i="15"/>
  <c r="M190" i="15" s="1"/>
  <c r="K189" i="15"/>
  <c r="I189" i="15"/>
  <c r="M189" i="15" s="1"/>
  <c r="K188" i="15"/>
  <c r="I188" i="15"/>
  <c r="M188" i="15" s="1"/>
  <c r="K187" i="15"/>
  <c r="I187" i="15"/>
  <c r="M187" i="15" s="1"/>
  <c r="K186" i="15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K182" i="15"/>
  <c r="I182" i="15"/>
  <c r="M182" i="15" s="1"/>
  <c r="K181" i="15"/>
  <c r="I181" i="15"/>
  <c r="M181" i="15" s="1"/>
  <c r="K180" i="15"/>
  <c r="I180" i="15"/>
  <c r="M180" i="15" s="1"/>
  <c r="K179" i="15"/>
  <c r="I179" i="15"/>
  <c r="M179" i="15" s="1"/>
  <c r="K178" i="15"/>
  <c r="I178" i="15"/>
  <c r="M178" i="15" s="1"/>
  <c r="K177" i="15"/>
  <c r="I177" i="15"/>
  <c r="M177" i="15" s="1"/>
  <c r="K176" i="15"/>
  <c r="I176" i="15"/>
  <c r="M176" i="15" s="1"/>
  <c r="K175" i="15"/>
  <c r="I175" i="15"/>
  <c r="M175" i="15" s="1"/>
  <c r="K174" i="15"/>
  <c r="I174" i="15"/>
  <c r="M174" i="15" s="1"/>
  <c r="K173" i="15"/>
  <c r="I173" i="15"/>
  <c r="M173" i="15" s="1"/>
  <c r="K172" i="15"/>
  <c r="I172" i="15"/>
  <c r="M172" i="15" s="1"/>
  <c r="K171" i="15"/>
  <c r="I171" i="15"/>
  <c r="M171" i="15" s="1"/>
  <c r="K170" i="15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K166" i="15"/>
  <c r="I166" i="15"/>
  <c r="M166" i="15" s="1"/>
  <c r="K165" i="15"/>
  <c r="I165" i="15"/>
  <c r="M165" i="15" s="1"/>
  <c r="K164" i="15"/>
  <c r="I164" i="15"/>
  <c r="M164" i="15" s="1"/>
  <c r="K163" i="15"/>
  <c r="I163" i="15"/>
  <c r="M163" i="15" s="1"/>
  <c r="K162" i="15"/>
  <c r="I162" i="15"/>
  <c r="M162" i="15" s="1"/>
  <c r="K161" i="15"/>
  <c r="I161" i="15"/>
  <c r="M161" i="15" s="1"/>
  <c r="K160" i="15"/>
  <c r="I160" i="15"/>
  <c r="M160" i="15" s="1"/>
  <c r="K159" i="15"/>
  <c r="I159" i="15"/>
  <c r="M159" i="15" s="1"/>
  <c r="K158" i="15"/>
  <c r="I158" i="15"/>
  <c r="M158" i="15" s="1"/>
  <c r="K157" i="15"/>
  <c r="I157" i="15"/>
  <c r="M157" i="15" s="1"/>
  <c r="K156" i="15"/>
  <c r="I156" i="15"/>
  <c r="M156" i="15" s="1"/>
  <c r="K155" i="15"/>
  <c r="I155" i="15"/>
  <c r="M155" i="15" s="1"/>
  <c r="K154" i="15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K150" i="15"/>
  <c r="I150" i="15"/>
  <c r="M150" i="15" s="1"/>
  <c r="K149" i="15"/>
  <c r="I149" i="15"/>
  <c r="M149" i="15" s="1"/>
  <c r="K148" i="15"/>
  <c r="I148" i="15"/>
  <c r="M148" i="15" s="1"/>
  <c r="K147" i="15"/>
  <c r="I147" i="15"/>
  <c r="M147" i="15" s="1"/>
  <c r="K146" i="15"/>
  <c r="I146" i="15"/>
  <c r="M146" i="15" s="1"/>
  <c r="K145" i="15"/>
  <c r="I145" i="15"/>
  <c r="M145" i="15" s="1"/>
  <c r="K144" i="15"/>
  <c r="I144" i="15"/>
  <c r="M144" i="15" s="1"/>
  <c r="K143" i="15"/>
  <c r="I143" i="15"/>
  <c r="M143" i="15" s="1"/>
  <c r="K142" i="15"/>
  <c r="I142" i="15"/>
  <c r="M142" i="15" s="1"/>
  <c r="K141" i="15"/>
  <c r="I141" i="15"/>
  <c r="M141" i="15" s="1"/>
  <c r="K140" i="15"/>
  <c r="I140" i="15"/>
  <c r="M140" i="15" s="1"/>
  <c r="K139" i="15"/>
  <c r="I139" i="15"/>
  <c r="M139" i="15" s="1"/>
  <c r="K138" i="15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K134" i="15"/>
  <c r="I134" i="15"/>
  <c r="M134" i="15" s="1"/>
  <c r="K133" i="15"/>
  <c r="I133" i="15"/>
  <c r="M133" i="15" s="1"/>
  <c r="K132" i="15"/>
  <c r="I132" i="15"/>
  <c r="M132" i="15" s="1"/>
  <c r="K131" i="15"/>
  <c r="I131" i="15"/>
  <c r="M131" i="15" s="1"/>
  <c r="K130" i="15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K126" i="15"/>
  <c r="I126" i="15"/>
  <c r="M126" i="15" s="1"/>
  <c r="K125" i="15"/>
  <c r="I125" i="15"/>
  <c r="M125" i="15" s="1"/>
  <c r="K124" i="15"/>
  <c r="I124" i="15"/>
  <c r="M124" i="15" s="1"/>
  <c r="K123" i="15"/>
  <c r="I123" i="15"/>
  <c r="M123" i="15" s="1"/>
  <c r="K122" i="15"/>
  <c r="I122" i="15"/>
  <c r="M122" i="15" s="1"/>
  <c r="K121" i="15"/>
  <c r="I121" i="15"/>
  <c r="M121" i="15" s="1"/>
  <c r="K120" i="15"/>
  <c r="I120" i="15"/>
  <c r="M120" i="15" s="1"/>
  <c r="K119" i="15"/>
  <c r="I119" i="15"/>
  <c r="M119" i="15" s="1"/>
  <c r="K118" i="15"/>
  <c r="I118" i="15"/>
  <c r="M118" i="15" s="1"/>
  <c r="K117" i="15"/>
  <c r="I117" i="15"/>
  <c r="M117" i="15" s="1"/>
  <c r="K116" i="15"/>
  <c r="I116" i="15"/>
  <c r="M116" i="15" s="1"/>
  <c r="K115" i="15"/>
  <c r="I115" i="15"/>
  <c r="M115" i="15" s="1"/>
  <c r="K114" i="15"/>
  <c r="I114" i="15"/>
  <c r="M114" i="15" s="1"/>
  <c r="K113" i="15"/>
  <c r="I113" i="15"/>
  <c r="M113" i="15" s="1"/>
  <c r="K112" i="15"/>
  <c r="I112" i="15"/>
  <c r="M112" i="15" s="1"/>
  <c r="K111" i="15"/>
  <c r="I111" i="15"/>
  <c r="M111" i="15" s="1"/>
  <c r="K110" i="15"/>
  <c r="I110" i="15"/>
  <c r="M110" i="15" s="1"/>
  <c r="K109" i="15"/>
  <c r="I109" i="15"/>
  <c r="M109" i="15" s="1"/>
  <c r="K108" i="15"/>
  <c r="I108" i="15"/>
  <c r="M108" i="15" s="1"/>
  <c r="K107" i="15"/>
  <c r="I107" i="15"/>
  <c r="M107" i="15" s="1"/>
  <c r="K106" i="15"/>
  <c r="I106" i="15"/>
  <c r="M106" i="15" s="1"/>
  <c r="K105" i="15"/>
  <c r="I105" i="15"/>
  <c r="M105" i="15" s="1"/>
  <c r="K104" i="15"/>
  <c r="I104" i="15"/>
  <c r="M104" i="15" s="1"/>
  <c r="K103" i="15"/>
  <c r="I103" i="15"/>
  <c r="M103" i="15" s="1"/>
  <c r="K102" i="15"/>
  <c r="I102" i="15"/>
  <c r="M102" i="15" s="1"/>
  <c r="K101" i="15"/>
  <c r="I101" i="15"/>
  <c r="M101" i="15" s="1"/>
  <c r="K100" i="15"/>
  <c r="I100" i="15"/>
  <c r="M100" i="15" s="1"/>
  <c r="K99" i="15"/>
  <c r="I99" i="15"/>
  <c r="M99" i="15" s="1"/>
  <c r="K98" i="15"/>
  <c r="I98" i="15"/>
  <c r="M98" i="15" s="1"/>
  <c r="K97" i="15"/>
  <c r="I97" i="15"/>
  <c r="M97" i="15" s="1"/>
  <c r="K96" i="15"/>
  <c r="I96" i="15"/>
  <c r="M96" i="15" s="1"/>
  <c r="K95" i="15"/>
  <c r="I95" i="15"/>
  <c r="M95" i="15" s="1"/>
  <c r="K94" i="15"/>
  <c r="I94" i="15"/>
  <c r="M94" i="15" s="1"/>
  <c r="K93" i="15"/>
  <c r="I93" i="15"/>
  <c r="M93" i="15" s="1"/>
  <c r="K92" i="15"/>
  <c r="I92" i="15"/>
  <c r="M92" i="15" s="1"/>
  <c r="K91" i="15"/>
  <c r="I91" i="15"/>
  <c r="M91" i="15" s="1"/>
  <c r="K90" i="15"/>
  <c r="I90" i="15"/>
  <c r="M90" i="15" s="1"/>
  <c r="K89" i="15"/>
  <c r="I89" i="15"/>
  <c r="M89" i="15" s="1"/>
  <c r="K88" i="15"/>
  <c r="I88" i="15"/>
  <c r="M88" i="15" s="1"/>
  <c r="K87" i="15"/>
  <c r="I87" i="15"/>
  <c r="M87" i="15" s="1"/>
  <c r="K86" i="15"/>
  <c r="I86" i="15"/>
  <c r="M86" i="15" s="1"/>
  <c r="K85" i="15"/>
  <c r="I85" i="15"/>
  <c r="M85" i="15" s="1"/>
  <c r="K84" i="15"/>
  <c r="I84" i="15"/>
  <c r="M84" i="15" s="1"/>
  <c r="K83" i="15"/>
  <c r="I83" i="15"/>
  <c r="M83" i="15" s="1"/>
  <c r="K82" i="15"/>
  <c r="I82" i="15"/>
  <c r="M82" i="15" s="1"/>
  <c r="K81" i="15"/>
  <c r="I81" i="15"/>
  <c r="M81" i="15" s="1"/>
  <c r="K80" i="15"/>
  <c r="I80" i="15"/>
  <c r="M80" i="15" s="1"/>
  <c r="K79" i="15"/>
  <c r="I79" i="15"/>
  <c r="M79" i="15" s="1"/>
  <c r="K78" i="15"/>
  <c r="I78" i="15"/>
  <c r="M78" i="15" s="1"/>
  <c r="K77" i="15"/>
  <c r="I77" i="15"/>
  <c r="M77" i="15" s="1"/>
  <c r="K76" i="15"/>
  <c r="I76" i="15"/>
  <c r="M76" i="15" s="1"/>
  <c r="K75" i="15"/>
  <c r="I75" i="15"/>
  <c r="M75" i="15" s="1"/>
  <c r="K74" i="15"/>
  <c r="I74" i="15"/>
  <c r="M74" i="15" s="1"/>
  <c r="K73" i="15"/>
  <c r="I73" i="15"/>
  <c r="M73" i="15" s="1"/>
  <c r="K72" i="15"/>
  <c r="I72" i="15"/>
  <c r="M72" i="15" s="1"/>
  <c r="K71" i="15"/>
  <c r="I71" i="15"/>
  <c r="M71" i="15" s="1"/>
  <c r="K70" i="15"/>
  <c r="I70" i="15"/>
  <c r="M70" i="15" s="1"/>
  <c r="K69" i="15"/>
  <c r="I69" i="15"/>
  <c r="M69" i="15" s="1"/>
  <c r="K68" i="15"/>
  <c r="I68" i="15"/>
  <c r="M68" i="15" s="1"/>
  <c r="K67" i="15"/>
  <c r="I67" i="15"/>
  <c r="M67" i="15" s="1"/>
  <c r="K66" i="15"/>
  <c r="I66" i="15"/>
  <c r="M66" i="15" s="1"/>
  <c r="K65" i="15"/>
  <c r="I65" i="15"/>
  <c r="M65" i="15" s="1"/>
  <c r="B65" i="15"/>
  <c r="K64" i="15"/>
  <c r="I64" i="15"/>
  <c r="M64" i="15" s="1"/>
  <c r="B64" i="15"/>
  <c r="K63" i="15"/>
  <c r="I63" i="15"/>
  <c r="M63" i="15" s="1"/>
  <c r="B63" i="15"/>
  <c r="K62" i="15"/>
  <c r="I62" i="15"/>
  <c r="M62" i="15" s="1"/>
  <c r="B62" i="15"/>
  <c r="K61" i="15"/>
  <c r="I61" i="15"/>
  <c r="M61" i="15" s="1"/>
  <c r="B61" i="15"/>
  <c r="K60" i="15"/>
  <c r="I60" i="15"/>
  <c r="M60" i="15" s="1"/>
  <c r="B60" i="15"/>
  <c r="K59" i="15"/>
  <c r="I59" i="15"/>
  <c r="M59" i="15" s="1"/>
  <c r="B59" i="15"/>
  <c r="K58" i="15"/>
  <c r="I58" i="15"/>
  <c r="M58" i="15" s="1"/>
  <c r="B58" i="15"/>
  <c r="K57" i="15"/>
  <c r="I57" i="15"/>
  <c r="M57" i="15" s="1"/>
  <c r="B57" i="15"/>
  <c r="K56" i="15"/>
  <c r="I56" i="15"/>
  <c r="M56" i="15" s="1"/>
  <c r="B56" i="15"/>
  <c r="K55" i="15"/>
  <c r="I55" i="15"/>
  <c r="M55" i="15" s="1"/>
  <c r="B55" i="15"/>
  <c r="K54" i="15"/>
  <c r="I54" i="15"/>
  <c r="M54" i="15" s="1"/>
  <c r="B54" i="15"/>
  <c r="K53" i="15"/>
  <c r="I53" i="15"/>
  <c r="M53" i="15" s="1"/>
  <c r="B53" i="15"/>
  <c r="K52" i="15"/>
  <c r="I52" i="15"/>
  <c r="M52" i="15" s="1"/>
  <c r="B52" i="15"/>
  <c r="K51" i="15"/>
  <c r="I51" i="15"/>
  <c r="M51" i="15" s="1"/>
  <c r="B51" i="15"/>
  <c r="K50" i="15"/>
  <c r="I50" i="15"/>
  <c r="M50" i="15" s="1"/>
  <c r="B50" i="15"/>
  <c r="K49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U46" i="15" s="1"/>
  <c r="K46" i="15"/>
  <c r="I46" i="15"/>
  <c r="M46" i="15" s="1"/>
  <c r="B46" i="15"/>
  <c r="K45" i="15"/>
  <c r="I45" i="15"/>
  <c r="M45" i="15" s="1"/>
  <c r="B45" i="15"/>
  <c r="K44" i="15"/>
  <c r="I44" i="15"/>
  <c r="M44" i="15" s="1"/>
  <c r="B44" i="15"/>
  <c r="K43" i="15"/>
  <c r="I43" i="15"/>
  <c r="M43" i="15" s="1"/>
  <c r="B43" i="15"/>
  <c r="K42" i="15"/>
  <c r="I42" i="15"/>
  <c r="M42" i="15" s="1"/>
  <c r="B42" i="15"/>
  <c r="K41" i="15"/>
  <c r="I41" i="15"/>
  <c r="M41" i="15" s="1"/>
  <c r="B41" i="15"/>
  <c r="K40" i="15"/>
  <c r="I40" i="15"/>
  <c r="M40" i="15" s="1"/>
  <c r="B40" i="15"/>
  <c r="K39" i="15"/>
  <c r="I39" i="15"/>
  <c r="M39" i="15" s="1"/>
  <c r="B39" i="15"/>
  <c r="K38" i="15"/>
  <c r="I38" i="15"/>
  <c r="M38" i="15" s="1"/>
  <c r="B38" i="15"/>
  <c r="K37" i="15"/>
  <c r="I37" i="15"/>
  <c r="B37" i="15"/>
  <c r="K36" i="15"/>
  <c r="I36" i="15"/>
  <c r="M36" i="15" s="1"/>
  <c r="A36" i="15" s="1"/>
  <c r="B36" i="15"/>
  <c r="K35" i="15"/>
  <c r="I35" i="15"/>
  <c r="B35" i="15"/>
  <c r="K34" i="15"/>
  <c r="I34" i="15"/>
  <c r="B34" i="15"/>
  <c r="K33" i="15"/>
  <c r="I33" i="15"/>
  <c r="B33" i="15"/>
  <c r="K32" i="15"/>
  <c r="I32" i="15"/>
  <c r="B32" i="15"/>
  <c r="K31" i="15"/>
  <c r="I31" i="15"/>
  <c r="B31" i="15"/>
  <c r="K30" i="15"/>
  <c r="I30" i="15"/>
  <c r="M30" i="15" s="1"/>
  <c r="A30" i="15" s="1"/>
  <c r="B30" i="15"/>
  <c r="K29" i="15"/>
  <c r="I29" i="15"/>
  <c r="M29" i="15" s="1"/>
  <c r="A29" i="15" s="1"/>
  <c r="B29" i="15"/>
  <c r="K28" i="15"/>
  <c r="I28" i="15"/>
  <c r="M28" i="15" s="1"/>
  <c r="A28" i="15" s="1"/>
  <c r="B28" i="15"/>
  <c r="K27" i="15"/>
  <c r="I27" i="15"/>
  <c r="M27" i="15" s="1"/>
  <c r="A27" i="15" s="1"/>
  <c r="B27" i="15"/>
  <c r="K26" i="15"/>
  <c r="I26" i="15"/>
  <c r="M26" i="15" s="1"/>
  <c r="A26" i="15" s="1"/>
  <c r="B26" i="15"/>
  <c r="K25" i="15"/>
  <c r="I25" i="15"/>
  <c r="B25" i="15"/>
  <c r="K24" i="15"/>
  <c r="I24" i="15"/>
  <c r="M24" i="15" s="1"/>
  <c r="A24" i="15" s="1"/>
  <c r="B24" i="15"/>
  <c r="K23" i="15"/>
  <c r="I23" i="15"/>
  <c r="M23" i="15" s="1"/>
  <c r="A23" i="15" s="1"/>
  <c r="B23" i="15"/>
  <c r="K22" i="15"/>
  <c r="I22" i="15"/>
  <c r="M22" i="15" s="1"/>
  <c r="A22" i="15" s="1"/>
  <c r="B22" i="15"/>
  <c r="K21" i="15"/>
  <c r="I21" i="15"/>
  <c r="M21" i="15" s="1"/>
  <c r="A21" i="15" s="1"/>
  <c r="B21" i="15"/>
  <c r="K20" i="15"/>
  <c r="I20" i="15"/>
  <c r="B20" i="15"/>
  <c r="K19" i="15"/>
  <c r="I19" i="15"/>
  <c r="M19" i="15" s="1"/>
  <c r="A19" i="15" s="1"/>
  <c r="B19" i="15"/>
  <c r="K18" i="15"/>
  <c r="I18" i="15"/>
  <c r="M18" i="15" s="1"/>
  <c r="B18" i="15"/>
  <c r="H26" i="20" s="1"/>
  <c r="K17" i="15"/>
  <c r="I17" i="15"/>
  <c r="M17" i="15" s="1"/>
  <c r="K16" i="15"/>
  <c r="I16" i="15"/>
  <c r="M16" i="15" s="1"/>
  <c r="K15" i="15"/>
  <c r="I15" i="15"/>
  <c r="AI14" i="15"/>
  <c r="K14" i="15"/>
  <c r="I14" i="15"/>
  <c r="AI13" i="15"/>
  <c r="K13" i="15"/>
  <c r="I13" i="15"/>
  <c r="AI12" i="15"/>
  <c r="AI16" i="15" s="1"/>
  <c r="K12" i="15"/>
  <c r="I12" i="15"/>
  <c r="K11" i="15"/>
  <c r="I11" i="15"/>
  <c r="K10" i="15"/>
  <c r="I10" i="15"/>
  <c r="K9" i="15"/>
  <c r="I9" i="15"/>
  <c r="K8" i="15"/>
  <c r="I8" i="15"/>
  <c r="K7" i="15"/>
  <c r="I7" i="15"/>
  <c r="K6" i="15"/>
  <c r="K2" i="15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I92" i="14"/>
  <c r="M92" i="14" s="1"/>
  <c r="K91" i="14"/>
  <c r="I91" i="14"/>
  <c r="M91" i="14" s="1"/>
  <c r="K90" i="14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I80" i="14"/>
  <c r="M80" i="14" s="1"/>
  <c r="K79" i="14"/>
  <c r="I79" i="14"/>
  <c r="M79" i="14" s="1"/>
  <c r="K78" i="14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K46" i="14"/>
  <c r="I46" i="14"/>
  <c r="M46" i="14" s="1"/>
  <c r="B46" i="14"/>
  <c r="K45" i="14"/>
  <c r="I45" i="14"/>
  <c r="M45" i="14" s="1"/>
  <c r="B45" i="14"/>
  <c r="I44" i="14"/>
  <c r="M44" i="14" s="1"/>
  <c r="B44" i="14"/>
  <c r="K43" i="14"/>
  <c r="I43" i="14"/>
  <c r="M43" i="14" s="1"/>
  <c r="B43" i="14"/>
  <c r="K42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B36" i="14"/>
  <c r="K35" i="14"/>
  <c r="I35" i="14"/>
  <c r="B35" i="14"/>
  <c r="K34" i="14"/>
  <c r="I34" i="14"/>
  <c r="B34" i="14"/>
  <c r="K33" i="14"/>
  <c r="I33" i="14"/>
  <c r="B33" i="14"/>
  <c r="I32" i="14"/>
  <c r="B32" i="14"/>
  <c r="K31" i="14"/>
  <c r="I31" i="14"/>
  <c r="B31" i="14"/>
  <c r="K30" i="14"/>
  <c r="I30" i="14"/>
  <c r="B30" i="14"/>
  <c r="K29" i="14"/>
  <c r="I29" i="14"/>
  <c r="B29" i="14"/>
  <c r="K28" i="14"/>
  <c r="I28" i="14"/>
  <c r="B28" i="14"/>
  <c r="K27" i="14"/>
  <c r="I27" i="14"/>
  <c r="B27" i="14"/>
  <c r="K26" i="14"/>
  <c r="I26" i="14"/>
  <c r="B26" i="14"/>
  <c r="K25" i="14"/>
  <c r="I25" i="14"/>
  <c r="B25" i="14"/>
  <c r="K24" i="14"/>
  <c r="I24" i="14"/>
  <c r="B24" i="14"/>
  <c r="K23" i="14"/>
  <c r="I23" i="14"/>
  <c r="B23" i="14"/>
  <c r="K22" i="14"/>
  <c r="I22" i="14"/>
  <c r="B22" i="14"/>
  <c r="K21" i="14"/>
  <c r="I21" i="14"/>
  <c r="B21" i="14"/>
  <c r="I20" i="14"/>
  <c r="B20" i="14"/>
  <c r="K19" i="14"/>
  <c r="I19" i="14"/>
  <c r="B19" i="14"/>
  <c r="K18" i="14"/>
  <c r="I18" i="14"/>
  <c r="B18" i="14"/>
  <c r="K17" i="14"/>
  <c r="I17" i="14"/>
  <c r="B17" i="14"/>
  <c r="K16" i="14"/>
  <c r="I16" i="14"/>
  <c r="M16" i="14" s="1"/>
  <c r="A16" i="14" s="1"/>
  <c r="B16" i="14"/>
  <c r="K15" i="14"/>
  <c r="I15" i="14"/>
  <c r="AI14" i="14"/>
  <c r="K14" i="14"/>
  <c r="I14" i="14"/>
  <c r="AI13" i="14"/>
  <c r="K13" i="14"/>
  <c r="I13" i="14"/>
  <c r="M13" i="14" s="1"/>
  <c r="A13" i="14" s="1"/>
  <c r="F17" i="20" s="1"/>
  <c r="AI12" i="14"/>
  <c r="AI16" i="14" s="1"/>
  <c r="K12" i="14"/>
  <c r="I12" i="14"/>
  <c r="E16" i="13"/>
  <c r="K11" i="14"/>
  <c r="I11" i="14"/>
  <c r="M11" i="14" s="1"/>
  <c r="E8" i="13"/>
  <c r="K10" i="14"/>
  <c r="I10" i="14"/>
  <c r="E9" i="13"/>
  <c r="K9" i="14"/>
  <c r="I9" i="14"/>
  <c r="M9" i="14" s="1"/>
  <c r="E14" i="13"/>
  <c r="I8" i="14"/>
  <c r="E24" i="13"/>
  <c r="K7" i="14"/>
  <c r="I7" i="14"/>
  <c r="E22" i="13"/>
  <c r="K2" i="14"/>
  <c r="E7" i="13"/>
  <c r="T8" i="20" l="1"/>
  <c r="T7" i="13"/>
  <c r="AS28" i="20"/>
  <c r="AS23" i="20"/>
  <c r="AS24" i="20"/>
  <c r="AS25" i="20"/>
  <c r="AS26" i="20"/>
  <c r="AS27" i="20"/>
  <c r="BF13" i="20"/>
  <c r="BF25" i="20"/>
  <c r="BF7" i="20"/>
  <c r="R24" i="20"/>
  <c r="R23" i="13"/>
  <c r="R24" i="13"/>
  <c r="R25" i="13"/>
  <c r="R25" i="20"/>
  <c r="R28" i="20"/>
  <c r="R26" i="20"/>
  <c r="R23" i="20"/>
  <c r="R18" i="13"/>
  <c r="R20" i="20"/>
  <c r="R27" i="20"/>
  <c r="BA27" i="20"/>
  <c r="BF22" i="20"/>
  <c r="BA28" i="20"/>
  <c r="BF28" i="20"/>
  <c r="BF19" i="20"/>
  <c r="BF27" i="20"/>
  <c r="AO20" i="20"/>
  <c r="AO23" i="20"/>
  <c r="AO24" i="20"/>
  <c r="AO25" i="20"/>
  <c r="AO26" i="20"/>
  <c r="AO27" i="20"/>
  <c r="P8" i="20"/>
  <c r="P7" i="13"/>
  <c r="P6" i="13"/>
  <c r="BF14" i="20"/>
  <c r="BF10" i="20"/>
  <c r="BF21" i="20"/>
  <c r="A15" i="18"/>
  <c r="N24" i="20"/>
  <c r="N9" i="20"/>
  <c r="N27" i="20"/>
  <c r="N22" i="20"/>
  <c r="N7" i="20"/>
  <c r="N14" i="20"/>
  <c r="AA10" i="20"/>
  <c r="BB11" i="20" s="1"/>
  <c r="AA28" i="20"/>
  <c r="BB28" i="20" s="1"/>
  <c r="AA7" i="20"/>
  <c r="AA6" i="20"/>
  <c r="BB6" i="20" s="1"/>
  <c r="AA15" i="20"/>
  <c r="BB15" i="20" s="1"/>
  <c r="AA8" i="20"/>
  <c r="BB7" i="20" s="1"/>
  <c r="AA24" i="20"/>
  <c r="AA23" i="20"/>
  <c r="AA20" i="20"/>
  <c r="AA26" i="20"/>
  <c r="BB27" i="20" s="1"/>
  <c r="AA25" i="20"/>
  <c r="BE7" i="20"/>
  <c r="BE6" i="20"/>
  <c r="BF18" i="20"/>
  <c r="BF11" i="20"/>
  <c r="BE13" i="20"/>
  <c r="AI23" i="20"/>
  <c r="AI24" i="20"/>
  <c r="AI25" i="20"/>
  <c r="AI20" i="20"/>
  <c r="BE22" i="20" s="1"/>
  <c r="AI27" i="20"/>
  <c r="BE21" i="20" s="1"/>
  <c r="AI26" i="20"/>
  <c r="AI28" i="20"/>
  <c r="BE17" i="20" s="1"/>
  <c r="BA24" i="20"/>
  <c r="BE8" i="20"/>
  <c r="M17" i="17"/>
  <c r="M15" i="17"/>
  <c r="K6" i="20"/>
  <c r="K26" i="20"/>
  <c r="K23" i="20"/>
  <c r="K24" i="20"/>
  <c r="K25" i="13"/>
  <c r="K7" i="20"/>
  <c r="L7" i="20" s="1"/>
  <c r="K27" i="20"/>
  <c r="K24" i="13"/>
  <c r="K28" i="20"/>
  <c r="K25" i="20"/>
  <c r="K6" i="13"/>
  <c r="L13" i="20"/>
  <c r="L12" i="13"/>
  <c r="L16" i="13"/>
  <c r="K8" i="13"/>
  <c r="L21" i="20"/>
  <c r="BB21" i="20"/>
  <c r="BF15" i="20"/>
  <c r="BA26" i="20"/>
  <c r="BF26" i="20"/>
  <c r="J20" i="20"/>
  <c r="J14" i="20"/>
  <c r="J10" i="20"/>
  <c r="J16" i="20"/>
  <c r="J24" i="20"/>
  <c r="J18" i="20"/>
  <c r="J25" i="13"/>
  <c r="J7" i="20"/>
  <c r="J20" i="13"/>
  <c r="J23" i="20"/>
  <c r="J12" i="13"/>
  <c r="J25" i="20"/>
  <c r="J13" i="20"/>
  <c r="J15" i="20"/>
  <c r="J19" i="20"/>
  <c r="J26" i="20"/>
  <c r="J12" i="20"/>
  <c r="J22" i="20"/>
  <c r="J21" i="20"/>
  <c r="BA21" i="20"/>
  <c r="BA25" i="20"/>
  <c r="AY8" i="20"/>
  <c r="AG6" i="20"/>
  <c r="AG8" i="20"/>
  <c r="AG13" i="20"/>
  <c r="BF20" i="20"/>
  <c r="BA13" i="20"/>
  <c r="BA22" i="20"/>
  <c r="BE12" i="20"/>
  <c r="BA11" i="20"/>
  <c r="BA17" i="20"/>
  <c r="BB13" i="20"/>
  <c r="BF24" i="20"/>
  <c r="BA6" i="20"/>
  <c r="BF23" i="20"/>
  <c r="BE20" i="20"/>
  <c r="BA19" i="20"/>
  <c r="BE15" i="20"/>
  <c r="BA7" i="20"/>
  <c r="H27" i="20"/>
  <c r="H6" i="20"/>
  <c r="M14" i="15"/>
  <c r="A14" i="15" s="1"/>
  <c r="H28" i="20" s="1"/>
  <c r="H22" i="20"/>
  <c r="H23" i="20"/>
  <c r="H20" i="20"/>
  <c r="H25" i="20"/>
  <c r="H7" i="20"/>
  <c r="H15" i="20"/>
  <c r="M15" i="15"/>
  <c r="H21" i="20"/>
  <c r="H19" i="20"/>
  <c r="BF17" i="20"/>
  <c r="BF8" i="20"/>
  <c r="BE10" i="20"/>
  <c r="BE11" i="20"/>
  <c r="AC27" i="20"/>
  <c r="AC19" i="20"/>
  <c r="BC19" i="20" s="1"/>
  <c r="AC11" i="20"/>
  <c r="AC26" i="20"/>
  <c r="AC7" i="20"/>
  <c r="AC12" i="20"/>
  <c r="AC13" i="20"/>
  <c r="AC8" i="20"/>
  <c r="AC16" i="20"/>
  <c r="AC25" i="20"/>
  <c r="AC28" i="20"/>
  <c r="AC22" i="20"/>
  <c r="BC22" i="20" s="1"/>
  <c r="AC10" i="20"/>
  <c r="BA16" i="20"/>
  <c r="BE14" i="20"/>
  <c r="BF9" i="20"/>
  <c r="BA10" i="20"/>
  <c r="BA15" i="20"/>
  <c r="BB18" i="20"/>
  <c r="BA18" i="20"/>
  <c r="BF16" i="20"/>
  <c r="BB16" i="20"/>
  <c r="BA20" i="20"/>
  <c r="BB20" i="20"/>
  <c r="BB19" i="20"/>
  <c r="BA23" i="20"/>
  <c r="BA9" i="20"/>
  <c r="BB14" i="20"/>
  <c r="BB12" i="20"/>
  <c r="BA14" i="20"/>
  <c r="BA12" i="20"/>
  <c r="BA8" i="20"/>
  <c r="BF12" i="20"/>
  <c r="AY18" i="20"/>
  <c r="AM9" i="20"/>
  <c r="AM26" i="20"/>
  <c r="AM11" i="20"/>
  <c r="AM22" i="20"/>
  <c r="AM28" i="20"/>
  <c r="BG28" i="20" s="1"/>
  <c r="AM15" i="20"/>
  <c r="AM17" i="20"/>
  <c r="AM18" i="20"/>
  <c r="AM23" i="20"/>
  <c r="AM6" i="20"/>
  <c r="AM16" i="20"/>
  <c r="AM14" i="20"/>
  <c r="AM10" i="20"/>
  <c r="AM7" i="20"/>
  <c r="AM21" i="20"/>
  <c r="AM8" i="20"/>
  <c r="AM12" i="20"/>
  <c r="AM20" i="20"/>
  <c r="AG18" i="20"/>
  <c r="AG16" i="20"/>
  <c r="AG9" i="20"/>
  <c r="AG20" i="20"/>
  <c r="AG27" i="20"/>
  <c r="AG23" i="20"/>
  <c r="AG21" i="20"/>
  <c r="AG11" i="20"/>
  <c r="AG7" i="20"/>
  <c r="AG25" i="20"/>
  <c r="AG17" i="20"/>
  <c r="AG10" i="20"/>
  <c r="AG28" i="20"/>
  <c r="AG24" i="20"/>
  <c r="AG14" i="20"/>
  <c r="AG19" i="20"/>
  <c r="AG12" i="20"/>
  <c r="AG26" i="20"/>
  <c r="AG22" i="20"/>
  <c r="AG15" i="20"/>
  <c r="AC6" i="20"/>
  <c r="AC23" i="20"/>
  <c r="AY21" i="20"/>
  <c r="AY11" i="20"/>
  <c r="AY22" i="20"/>
  <c r="AY16" i="20"/>
  <c r="AY25" i="20"/>
  <c r="AY13" i="20"/>
  <c r="AY6" i="20"/>
  <c r="AY14" i="20"/>
  <c r="AY7" i="20"/>
  <c r="AY20" i="20"/>
  <c r="AY24" i="20"/>
  <c r="AY15" i="20"/>
  <c r="AY23" i="20"/>
  <c r="AY9" i="20"/>
  <c r="AY19" i="20"/>
  <c r="AY27" i="20"/>
  <c r="AY28" i="20"/>
  <c r="AY10" i="20"/>
  <c r="AY12" i="20"/>
  <c r="AY17" i="20"/>
  <c r="AY26" i="20"/>
  <c r="U18" i="13"/>
  <c r="U23" i="13"/>
  <c r="U10" i="13"/>
  <c r="N21" i="13"/>
  <c r="N8" i="13"/>
  <c r="N19" i="13"/>
  <c r="M18" i="13"/>
  <c r="M23" i="13"/>
  <c r="M10" i="13"/>
  <c r="N10" i="13" s="1"/>
  <c r="L7" i="14"/>
  <c r="L8" i="14"/>
  <c r="M7" i="14"/>
  <c r="M8" i="14"/>
  <c r="A9" i="14"/>
  <c r="F13" i="20" s="1"/>
  <c r="M10" i="14"/>
  <c r="A10" i="14" s="1"/>
  <c r="F15" i="20" s="1"/>
  <c r="A11" i="14"/>
  <c r="M12" i="14"/>
  <c r="A12" i="14" s="1"/>
  <c r="F16" i="20" s="1"/>
  <c r="E10" i="13"/>
  <c r="E23" i="13"/>
  <c r="E18" i="13"/>
  <c r="E11" i="13"/>
  <c r="M14" i="14"/>
  <c r="M15" i="14"/>
  <c r="M17" i="14"/>
  <c r="A17" i="14" s="1"/>
  <c r="M18" i="14"/>
  <c r="A18" i="14" s="1"/>
  <c r="M19" i="14"/>
  <c r="A19" i="14" s="1"/>
  <c r="M20" i="14"/>
  <c r="A20" i="14" s="1"/>
  <c r="M21" i="14"/>
  <c r="A21" i="14" s="1"/>
  <c r="M22" i="14"/>
  <c r="A22" i="14" s="1"/>
  <c r="M23" i="14"/>
  <c r="A23" i="14" s="1"/>
  <c r="M24" i="14"/>
  <c r="A24" i="14" s="1"/>
  <c r="M25" i="14"/>
  <c r="A25" i="14" s="1"/>
  <c r="M26" i="14"/>
  <c r="A26" i="14" s="1"/>
  <c r="M27" i="14"/>
  <c r="A27" i="14" s="1"/>
  <c r="M28" i="14"/>
  <c r="A28" i="14" s="1"/>
  <c r="M29" i="14"/>
  <c r="A29" i="14" s="1"/>
  <c r="M30" i="14"/>
  <c r="A30" i="14" s="1"/>
  <c r="M31" i="14"/>
  <c r="A31" i="14" s="1"/>
  <c r="M32" i="14"/>
  <c r="A32" i="14" s="1"/>
  <c r="M33" i="14"/>
  <c r="A33" i="14" s="1"/>
  <c r="M34" i="14"/>
  <c r="A34" i="14" s="1"/>
  <c r="M35" i="14"/>
  <c r="A35" i="14" s="1"/>
  <c r="M36" i="14"/>
  <c r="A36" i="14" s="1"/>
  <c r="M37" i="14"/>
  <c r="A37" i="14" s="1"/>
  <c r="U46" i="14"/>
  <c r="L8" i="15"/>
  <c r="L7" i="15"/>
  <c r="M7" i="15"/>
  <c r="A7" i="15" s="1"/>
  <c r="L8" i="16"/>
  <c r="L6" i="16"/>
  <c r="AI16" i="16"/>
  <c r="K11" i="13"/>
  <c r="K18" i="13"/>
  <c r="K23" i="13"/>
  <c r="K10" i="13"/>
  <c r="M8" i="18"/>
  <c r="M9" i="18"/>
  <c r="A9" i="18" s="1"/>
  <c r="N25" i="13" s="1"/>
  <c r="M10" i="18"/>
  <c r="M11" i="18"/>
  <c r="M12" i="18"/>
  <c r="M14" i="18"/>
  <c r="A14" i="18" s="1"/>
  <c r="M17" i="18"/>
  <c r="A17" i="18" s="1"/>
  <c r="M19" i="18"/>
  <c r="A19" i="18" s="1"/>
  <c r="M21" i="18"/>
  <c r="A21" i="18" s="1"/>
  <c r="M23" i="18"/>
  <c r="A23" i="18" s="1"/>
  <c r="M25" i="18"/>
  <c r="A25" i="18" s="1"/>
  <c r="M27" i="18"/>
  <c r="A27" i="18" s="1"/>
  <c r="M29" i="18"/>
  <c r="A29" i="18" s="1"/>
  <c r="M31" i="18"/>
  <c r="A31" i="18" s="1"/>
  <c r="M33" i="18"/>
  <c r="A33" i="18" s="1"/>
  <c r="M35" i="18"/>
  <c r="A35" i="18" s="1"/>
  <c r="M37" i="18"/>
  <c r="A37" i="18" s="1"/>
  <c r="U46" i="18"/>
  <c r="M8" i="19"/>
  <c r="N8" i="19" s="1"/>
  <c r="A8" i="19" s="1"/>
  <c r="V15" i="20" s="1"/>
  <c r="M9" i="19"/>
  <c r="N9" i="19" s="1"/>
  <c r="A9" i="19" s="1"/>
  <c r="V16" i="20" s="1"/>
  <c r="M10" i="19"/>
  <c r="N10" i="19" s="1"/>
  <c r="A10" i="19" s="1"/>
  <c r="V13" i="20" s="1"/>
  <c r="M11" i="19"/>
  <c r="N11" i="19" s="1"/>
  <c r="A11" i="19" s="1"/>
  <c r="M12" i="19"/>
  <c r="N12" i="19" s="1"/>
  <c r="A12" i="19" s="1"/>
  <c r="V11" i="20" s="1"/>
  <c r="M13" i="19"/>
  <c r="N13" i="19" s="1"/>
  <c r="A13" i="19" s="1"/>
  <c r="V17" i="20" s="1"/>
  <c r="M14" i="19"/>
  <c r="N14" i="19" s="1"/>
  <c r="A14" i="19" s="1"/>
  <c r="M15" i="19"/>
  <c r="N15" i="19" s="1"/>
  <c r="A15" i="19" s="1"/>
  <c r="V6" i="20" s="1"/>
  <c r="N16" i="19"/>
  <c r="A16" i="19" s="1"/>
  <c r="V7" i="20" s="1"/>
  <c r="M16" i="19"/>
  <c r="N17" i="19"/>
  <c r="M17" i="19"/>
  <c r="N18" i="19"/>
  <c r="M18" i="19"/>
  <c r="N19" i="19"/>
  <c r="M19" i="19"/>
  <c r="N20" i="19"/>
  <c r="M20" i="19"/>
  <c r="N21" i="19"/>
  <c r="M21" i="19"/>
  <c r="N22" i="19"/>
  <c r="M22" i="19"/>
  <c r="N23" i="19"/>
  <c r="M23" i="19"/>
  <c r="N24" i="19"/>
  <c r="M24" i="19"/>
  <c r="N25" i="19"/>
  <c r="M25" i="19"/>
  <c r="N26" i="19"/>
  <c r="M26" i="19"/>
  <c r="N27" i="19"/>
  <c r="M27" i="19"/>
  <c r="N28" i="19"/>
  <c r="M28" i="19"/>
  <c r="N29" i="19"/>
  <c r="M29" i="19"/>
  <c r="N30" i="19"/>
  <c r="M30" i="19"/>
  <c r="N31" i="19"/>
  <c r="A31" i="19" s="1"/>
  <c r="M31" i="19"/>
  <c r="N32" i="19"/>
  <c r="A32" i="19" s="1"/>
  <c r="M32" i="19"/>
  <c r="N33" i="19"/>
  <c r="A33" i="19" s="1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M41" i="19"/>
  <c r="N42" i="19"/>
  <c r="M42" i="19"/>
  <c r="N43" i="19"/>
  <c r="A43" i="19" s="1"/>
  <c r="M43" i="19"/>
  <c r="N44" i="19"/>
  <c r="A44" i="19" s="1"/>
  <c r="M44" i="19"/>
  <c r="N45" i="19"/>
  <c r="A45" i="19" s="1"/>
  <c r="M45" i="19"/>
  <c r="N46" i="19"/>
  <c r="A46" i="19" s="1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M52" i="19"/>
  <c r="N53" i="19"/>
  <c r="A53" i="19" s="1"/>
  <c r="M53" i="19"/>
  <c r="N54" i="19"/>
  <c r="A54" i="19" s="1"/>
  <c r="M54" i="19"/>
  <c r="N55" i="19"/>
  <c r="A55" i="19" s="1"/>
  <c r="M55" i="19"/>
  <c r="N56" i="19"/>
  <c r="A56" i="19" s="1"/>
  <c r="M56" i="19"/>
  <c r="N57" i="19"/>
  <c r="M57" i="19"/>
  <c r="N58" i="19"/>
  <c r="A58" i="19" s="1"/>
  <c r="M58" i="19"/>
  <c r="N59" i="19"/>
  <c r="A59" i="19" s="1"/>
  <c r="M59" i="19"/>
  <c r="N60" i="19"/>
  <c r="A60" i="19" s="1"/>
  <c r="M60" i="19"/>
  <c r="N61" i="19"/>
  <c r="A61" i="19" s="1"/>
  <c r="M61" i="19"/>
  <c r="N62" i="19"/>
  <c r="A62" i="19" s="1"/>
  <c r="M62" i="19"/>
  <c r="N63" i="19"/>
  <c r="A63" i="19" s="1"/>
  <c r="M63" i="19"/>
  <c r="N64" i="19"/>
  <c r="M64" i="19"/>
  <c r="N65" i="19"/>
  <c r="M65" i="19"/>
  <c r="N66" i="19"/>
  <c r="A66" i="19" s="1"/>
  <c r="M66" i="19"/>
  <c r="N67" i="19"/>
  <c r="M67" i="19"/>
  <c r="N68" i="19"/>
  <c r="A68" i="19" s="1"/>
  <c r="M68" i="19"/>
  <c r="N69" i="19"/>
  <c r="A69" i="19" s="1"/>
  <c r="M69" i="19"/>
  <c r="N70" i="19"/>
  <c r="A70" i="19" s="1"/>
  <c r="M70" i="19"/>
  <c r="N71" i="19"/>
  <c r="M71" i="19"/>
  <c r="N72" i="19"/>
  <c r="A72" i="19" s="1"/>
  <c r="M72" i="19"/>
  <c r="N73" i="19"/>
  <c r="A73" i="19" s="1"/>
  <c r="M73" i="19"/>
  <c r="N74" i="19"/>
  <c r="A74" i="19" s="1"/>
  <c r="M74" i="19"/>
  <c r="N75" i="19"/>
  <c r="M75" i="19"/>
  <c r="N76" i="19"/>
  <c r="M76" i="19"/>
  <c r="N77" i="19"/>
  <c r="M77" i="19"/>
  <c r="N78" i="19"/>
  <c r="A78" i="19" s="1"/>
  <c r="M78" i="19"/>
  <c r="N79" i="19"/>
  <c r="M79" i="19"/>
  <c r="N80" i="19"/>
  <c r="A80" i="19" s="1"/>
  <c r="M80" i="19"/>
  <c r="N81" i="19"/>
  <c r="A81" i="19" s="1"/>
  <c r="M81" i="19"/>
  <c r="N82" i="19"/>
  <c r="A82" i="19" s="1"/>
  <c r="M82" i="19"/>
  <c r="N83" i="19"/>
  <c r="M83" i="19"/>
  <c r="N84" i="19"/>
  <c r="A84" i="19" s="1"/>
  <c r="M84" i="19"/>
  <c r="N85" i="19"/>
  <c r="A85" i="19" s="1"/>
  <c r="M85" i="19"/>
  <c r="N86" i="19"/>
  <c r="A86" i="19" s="1"/>
  <c r="M86" i="19"/>
  <c r="N87" i="19"/>
  <c r="M87" i="19"/>
  <c r="N88" i="19"/>
  <c r="M88" i="19"/>
  <c r="N89" i="19"/>
  <c r="M89" i="19"/>
  <c r="N90" i="19"/>
  <c r="A90" i="19" s="1"/>
  <c r="M90" i="19"/>
  <c r="N91" i="19"/>
  <c r="M91" i="19"/>
  <c r="N92" i="19"/>
  <c r="A92" i="19" s="1"/>
  <c r="M92" i="19"/>
  <c r="N93" i="19"/>
  <c r="A93" i="19" s="1"/>
  <c r="M93" i="19"/>
  <c r="N94" i="19"/>
  <c r="A94" i="19" s="1"/>
  <c r="M94" i="19"/>
  <c r="N95" i="19"/>
  <c r="M95" i="19"/>
  <c r="N96" i="19"/>
  <c r="A96" i="19" s="1"/>
  <c r="M96" i="19"/>
  <c r="N97" i="19"/>
  <c r="A97" i="19" s="1"/>
  <c r="M97" i="19"/>
  <c r="N98" i="19"/>
  <c r="A98" i="19" s="1"/>
  <c r="M98" i="19"/>
  <c r="N99" i="19"/>
  <c r="M99" i="19"/>
  <c r="N100" i="19"/>
  <c r="M100" i="19"/>
  <c r="N101" i="19"/>
  <c r="M101" i="19"/>
  <c r="N102" i="19"/>
  <c r="A102" i="19" s="1"/>
  <c r="M102" i="19"/>
  <c r="N103" i="19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M139" i="19"/>
  <c r="N140" i="19"/>
  <c r="M140" i="19"/>
  <c r="N141" i="19"/>
  <c r="A141" i="19" s="1"/>
  <c r="M141" i="19"/>
  <c r="N142" i="19"/>
  <c r="A142" i="19" s="1"/>
  <c r="M142" i="19"/>
  <c r="N143" i="19"/>
  <c r="M143" i="19"/>
  <c r="N144" i="19"/>
  <c r="A144" i="19" s="1"/>
  <c r="M144" i="19"/>
  <c r="N145" i="19"/>
  <c r="A145" i="19" s="1"/>
  <c r="M145" i="19"/>
  <c r="N146" i="19"/>
  <c r="A146" i="19" s="1"/>
  <c r="M146" i="19"/>
  <c r="N147" i="19"/>
  <c r="A147" i="19" s="1"/>
  <c r="M147" i="19"/>
  <c r="N148" i="19"/>
  <c r="A148" i="19" s="1"/>
  <c r="M148" i="19"/>
  <c r="N149" i="19"/>
  <c r="A149" i="19" s="1"/>
  <c r="M149" i="19"/>
  <c r="N150" i="19"/>
  <c r="M150" i="19"/>
  <c r="N151" i="19"/>
  <c r="M151" i="19"/>
  <c r="N152" i="19"/>
  <c r="A152" i="19" s="1"/>
  <c r="M152" i="19"/>
  <c r="N153" i="19"/>
  <c r="M153" i="19"/>
  <c r="N154" i="19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A158" i="19" s="1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M162" i="19"/>
  <c r="N163" i="19"/>
  <c r="A163" i="19" s="1"/>
  <c r="M163" i="19"/>
  <c r="N164" i="19"/>
  <c r="M164" i="19"/>
  <c r="N165" i="19"/>
  <c r="A165" i="19" s="1"/>
  <c r="M165" i="19"/>
  <c r="N166" i="19"/>
  <c r="A166" i="19" s="1"/>
  <c r="M166" i="19"/>
  <c r="N167" i="19"/>
  <c r="A167" i="19" s="1"/>
  <c r="M167" i="19"/>
  <c r="N168" i="19"/>
  <c r="A168" i="19" s="1"/>
  <c r="M168" i="19"/>
  <c r="N169" i="19"/>
  <c r="A169" i="19" s="1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A181" i="19" s="1"/>
  <c r="M181" i="19"/>
  <c r="N182" i="19"/>
  <c r="A182" i="19" s="1"/>
  <c r="M182" i="19"/>
  <c r="N183" i="19"/>
  <c r="A183" i="19" s="1"/>
  <c r="M183" i="19"/>
  <c r="N184" i="19"/>
  <c r="A184" i="19" s="1"/>
  <c r="M184" i="19"/>
  <c r="N185" i="19"/>
  <c r="A185" i="19" s="1"/>
  <c r="M185" i="19"/>
  <c r="N186" i="19"/>
  <c r="M186" i="19"/>
  <c r="N187" i="19"/>
  <c r="A187" i="19" s="1"/>
  <c r="M187" i="19"/>
  <c r="N188" i="19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A194" i="19" s="1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M199" i="19"/>
  <c r="N200" i="19"/>
  <c r="A200" i="19" s="1"/>
  <c r="M200" i="19"/>
  <c r="N201" i="19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A205" i="19" s="1"/>
  <c r="M205" i="19"/>
  <c r="N206" i="19"/>
  <c r="A206" i="19" s="1"/>
  <c r="M206" i="19"/>
  <c r="N207" i="19"/>
  <c r="A207" i="19" s="1"/>
  <c r="M207" i="19"/>
  <c r="N208" i="19"/>
  <c r="A208" i="19" s="1"/>
  <c r="M208" i="19"/>
  <c r="N209" i="19"/>
  <c r="A209" i="19" s="1"/>
  <c r="M209" i="19"/>
  <c r="N210" i="19"/>
  <c r="M210" i="19"/>
  <c r="N211" i="19"/>
  <c r="A211" i="19" s="1"/>
  <c r="M211" i="19"/>
  <c r="N212" i="19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A216" i="19" s="1"/>
  <c r="M216" i="19"/>
  <c r="N217" i="19"/>
  <c r="A217" i="19" s="1"/>
  <c r="M217" i="19"/>
  <c r="N218" i="19"/>
  <c r="A218" i="19" s="1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M223" i="19"/>
  <c r="N224" i="19"/>
  <c r="A224" i="19" s="1"/>
  <c r="M224" i="19"/>
  <c r="N225" i="19"/>
  <c r="M225" i="19"/>
  <c r="N226" i="19"/>
  <c r="A226" i="19" s="1"/>
  <c r="M226" i="19"/>
  <c r="N227" i="19"/>
  <c r="A227" i="19" s="1"/>
  <c r="M227" i="19"/>
  <c r="N228" i="19"/>
  <c r="A228" i="19" s="1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A232" i="19" s="1"/>
  <c r="M232" i="19"/>
  <c r="N233" i="19"/>
  <c r="A233" i="19" s="1"/>
  <c r="M233" i="19"/>
  <c r="N234" i="19"/>
  <c r="M234" i="19"/>
  <c r="N235" i="19"/>
  <c r="A235" i="19" s="1"/>
  <c r="M235" i="19"/>
  <c r="N236" i="19"/>
  <c r="A236" i="19" s="1"/>
  <c r="M236" i="19"/>
  <c r="N237" i="19"/>
  <c r="A237" i="19" s="1"/>
  <c r="M237" i="19"/>
  <c r="N238" i="19"/>
  <c r="A238" i="19" s="1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A244" i="19" s="1"/>
  <c r="M244" i="19"/>
  <c r="N245" i="19"/>
  <c r="A245" i="19" s="1"/>
  <c r="M245" i="19"/>
  <c r="N246" i="19"/>
  <c r="A246" i="19" s="1"/>
  <c r="M246" i="19"/>
  <c r="N247" i="19"/>
  <c r="M247" i="19"/>
  <c r="N248" i="19"/>
  <c r="A248" i="19" s="1"/>
  <c r="M248" i="19"/>
  <c r="N249" i="19"/>
  <c r="M249" i="19"/>
  <c r="N250" i="19"/>
  <c r="A250" i="19" s="1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A256" i="19" s="1"/>
  <c r="M256" i="19"/>
  <c r="N257" i="19"/>
  <c r="A257" i="19" s="1"/>
  <c r="M257" i="19"/>
  <c r="N258" i="19"/>
  <c r="M258" i="19"/>
  <c r="N259" i="19"/>
  <c r="A259" i="19" s="1"/>
  <c r="M259" i="19"/>
  <c r="N260" i="19"/>
  <c r="A260" i="19" s="1"/>
  <c r="M260" i="19"/>
  <c r="N261" i="19"/>
  <c r="A261" i="19" s="1"/>
  <c r="M261" i="19"/>
  <c r="N262" i="19"/>
  <c r="A262" i="19" s="1"/>
  <c r="M262" i="19"/>
  <c r="N263" i="19"/>
  <c r="A263" i="19" s="1"/>
  <c r="M263" i="19"/>
  <c r="N264" i="19"/>
  <c r="A264" i="19" s="1"/>
  <c r="M264" i="19"/>
  <c r="N265" i="19"/>
  <c r="A265" i="19" s="1"/>
  <c r="M265" i="19"/>
  <c r="N266" i="19"/>
  <c r="A266" i="19" s="1"/>
  <c r="M266" i="19"/>
  <c r="N267" i="19"/>
  <c r="A267" i="19" s="1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M271" i="19"/>
  <c r="N272" i="19"/>
  <c r="A272" i="19" s="1"/>
  <c r="M272" i="19"/>
  <c r="N273" i="19"/>
  <c r="M273" i="19"/>
  <c r="N274" i="19"/>
  <c r="A274" i="19" s="1"/>
  <c r="M274" i="19"/>
  <c r="N275" i="19"/>
  <c r="A275" i="19" s="1"/>
  <c r="M275" i="19"/>
  <c r="N276" i="19"/>
  <c r="A276" i="19" s="1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A280" i="19" s="1"/>
  <c r="M280" i="19"/>
  <c r="N281" i="19"/>
  <c r="A281" i="19" s="1"/>
  <c r="M281" i="19"/>
  <c r="N282" i="19"/>
  <c r="M282" i="19"/>
  <c r="N283" i="19"/>
  <c r="A283" i="19" s="1"/>
  <c r="M283" i="19"/>
  <c r="N284" i="19"/>
  <c r="M284" i="19"/>
  <c r="N285" i="19"/>
  <c r="A285" i="19" s="1"/>
  <c r="M285" i="19"/>
  <c r="N286" i="19"/>
  <c r="A286" i="19" s="1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A292" i="19" s="1"/>
  <c r="M292" i="19"/>
  <c r="N293" i="19"/>
  <c r="A293" i="19" s="1"/>
  <c r="M293" i="19"/>
  <c r="N294" i="19"/>
  <c r="A294" i="19" s="1"/>
  <c r="M294" i="19"/>
  <c r="N295" i="19"/>
  <c r="M295" i="19"/>
  <c r="N296" i="19"/>
  <c r="A296" i="19" s="1"/>
  <c r="M296" i="19"/>
  <c r="N297" i="19"/>
  <c r="M297" i="19"/>
  <c r="N298" i="19"/>
  <c r="A298" i="19" s="1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A8" i="14"/>
  <c r="F8" i="20" s="1"/>
  <c r="L7" i="17"/>
  <c r="M7" i="17" s="1"/>
  <c r="L15" i="13" s="1"/>
  <c r="L8" i="17"/>
  <c r="M8" i="17" s="1"/>
  <c r="L7" i="13" s="1"/>
  <c r="L6" i="17"/>
  <c r="M6" i="17" s="1"/>
  <c r="A6" i="17" s="1"/>
  <c r="L10" i="20" s="1"/>
  <c r="M9" i="17"/>
  <c r="L14" i="20" s="1"/>
  <c r="M10" i="17"/>
  <c r="M11" i="17"/>
  <c r="M12" i="17"/>
  <c r="M18" i="17"/>
  <c r="M20" i="17"/>
  <c r="M22" i="17"/>
  <c r="M24" i="17"/>
  <c r="M26" i="17"/>
  <c r="M28" i="17"/>
  <c r="A28" i="17" s="1"/>
  <c r="M30" i="17"/>
  <c r="A30" i="17" s="1"/>
  <c r="M34" i="17"/>
  <c r="A34" i="17" s="1"/>
  <c r="M35" i="17"/>
  <c r="A35" i="17" s="1"/>
  <c r="M8" i="16"/>
  <c r="A8" i="16" s="1"/>
  <c r="M11" i="16"/>
  <c r="A11" i="16" s="1"/>
  <c r="M9" i="16"/>
  <c r="A9" i="16" s="1"/>
  <c r="M12" i="16"/>
  <c r="A12" i="16" s="1"/>
  <c r="J28" i="20" s="1"/>
  <c r="M14" i="16"/>
  <c r="A14" i="16" s="1"/>
  <c r="M6" i="16"/>
  <c r="A6" i="16" s="1"/>
  <c r="I10" i="13"/>
  <c r="I23" i="13"/>
  <c r="I18" i="13"/>
  <c r="I11" i="13"/>
  <c r="I19" i="13"/>
  <c r="M11" i="15"/>
  <c r="A11" i="15" s="1"/>
  <c r="M13" i="15"/>
  <c r="A13" i="15" s="1"/>
  <c r="H16" i="20" s="1"/>
  <c r="M33" i="15"/>
  <c r="A33" i="15" s="1"/>
  <c r="M20" i="15"/>
  <c r="A20" i="15" s="1"/>
  <c r="M8" i="15"/>
  <c r="A8" i="15" s="1"/>
  <c r="M12" i="15"/>
  <c r="A12" i="15" s="1"/>
  <c r="H18" i="20" s="1"/>
  <c r="M31" i="15"/>
  <c r="A31" i="15" s="1"/>
  <c r="M9" i="15"/>
  <c r="A9" i="15" s="1"/>
  <c r="G10" i="13"/>
  <c r="G23" i="13"/>
  <c r="G18" i="13"/>
  <c r="G6" i="13"/>
  <c r="G11" i="13"/>
  <c r="G19" i="13"/>
  <c r="G17" i="13"/>
  <c r="M25" i="15"/>
  <c r="A25" i="15" s="1"/>
  <c r="M34" i="15"/>
  <c r="A34" i="15" s="1"/>
  <c r="M10" i="15"/>
  <c r="A10" i="15" s="1"/>
  <c r="H11" i="20" s="1"/>
  <c r="M32" i="15"/>
  <c r="A32" i="15" s="1"/>
  <c r="M37" i="15"/>
  <c r="A37" i="15" s="1"/>
  <c r="M35" i="15"/>
  <c r="A35" i="15" s="1"/>
  <c r="H24" i="13"/>
  <c r="H8" i="13"/>
  <c r="H21" i="13"/>
  <c r="H22" i="13"/>
  <c r="H16" i="13"/>
  <c r="F13" i="13"/>
  <c r="F8" i="13"/>
  <c r="F17" i="13"/>
  <c r="F14" i="13"/>
  <c r="F15" i="13"/>
  <c r="F21" i="13"/>
  <c r="F19" i="13"/>
  <c r="F24" i="13"/>
  <c r="F16" i="13"/>
  <c r="F6" i="13"/>
  <c r="A7" i="14"/>
  <c r="F11" i="20" s="1"/>
  <c r="A71" i="19"/>
  <c r="L6" i="14"/>
  <c r="L6" i="15"/>
  <c r="M6" i="15" s="1"/>
  <c r="L7" i="16"/>
  <c r="M7" i="16" s="1"/>
  <c r="L6" i="18"/>
  <c r="M6" i="18" s="1"/>
  <c r="A6" i="18" s="1"/>
  <c r="A162" i="19"/>
  <c r="A64" i="19"/>
  <c r="A153" i="19"/>
  <c r="A42" i="19"/>
  <c r="L7" i="18"/>
  <c r="A83" i="19"/>
  <c r="A30" i="19"/>
  <c r="A52" i="19"/>
  <c r="A76" i="19"/>
  <c r="A212" i="19"/>
  <c r="A57" i="19"/>
  <c r="A95" i="19"/>
  <c r="A124" i="19"/>
  <c r="A88" i="19"/>
  <c r="A118" i="19"/>
  <c r="A107" i="19"/>
  <c r="A100" i="19"/>
  <c r="A41" i="19"/>
  <c r="A249" i="19"/>
  <c r="L6" i="19"/>
  <c r="L7" i="19"/>
  <c r="A132" i="19"/>
  <c r="A175" i="19"/>
  <c r="A150" i="19"/>
  <c r="A295" i="19"/>
  <c r="A154" i="19"/>
  <c r="A199" i="19"/>
  <c r="A271" i="19"/>
  <c r="A186" i="19"/>
  <c r="A282" i="19"/>
  <c r="A139" i="19"/>
  <c r="A223" i="19"/>
  <c r="A67" i="19"/>
  <c r="A79" i="19"/>
  <c r="A91" i="19"/>
  <c r="A103" i="19"/>
  <c r="A151" i="19"/>
  <c r="A164" i="19"/>
  <c r="A210" i="19"/>
  <c r="A247" i="19"/>
  <c r="A258" i="19"/>
  <c r="A297" i="19"/>
  <c r="A65" i="19"/>
  <c r="A77" i="19"/>
  <c r="A89" i="19"/>
  <c r="A101" i="19"/>
  <c r="A111" i="19"/>
  <c r="A140" i="19"/>
  <c r="A143" i="19"/>
  <c r="A201" i="19"/>
  <c r="A234" i="19"/>
  <c r="A273" i="19"/>
  <c r="A188" i="19"/>
  <c r="A75" i="19"/>
  <c r="A87" i="19"/>
  <c r="A99" i="19"/>
  <c r="A225" i="19"/>
  <c r="A284" i="19"/>
  <c r="BB23" i="20" l="1"/>
  <c r="BC27" i="20"/>
  <c r="V18" i="20"/>
  <c r="V24" i="20"/>
  <c r="V21" i="20"/>
  <c r="V12" i="20"/>
  <c r="V23" i="20"/>
  <c r="V19" i="20"/>
  <c r="V12" i="13"/>
  <c r="V20" i="20"/>
  <c r="V28" i="20"/>
  <c r="V27" i="20"/>
  <c r="V20" i="13"/>
  <c r="V26" i="20"/>
  <c r="V14" i="20"/>
  <c r="V25" i="13"/>
  <c r="V10" i="20"/>
  <c r="V22" i="20"/>
  <c r="V25" i="20"/>
  <c r="BE26" i="20"/>
  <c r="BB26" i="20"/>
  <c r="BE24" i="20"/>
  <c r="BB8" i="20"/>
  <c r="BD28" i="20"/>
  <c r="BB22" i="20"/>
  <c r="BE27" i="20"/>
  <c r="BE25" i="20"/>
  <c r="BB24" i="20"/>
  <c r="BB25" i="20"/>
  <c r="BE19" i="20"/>
  <c r="BC28" i="20"/>
  <c r="BB17" i="20"/>
  <c r="BD27" i="20"/>
  <c r="BE16" i="20"/>
  <c r="BG26" i="20"/>
  <c r="BG27" i="20"/>
  <c r="BE28" i="20"/>
  <c r="BB9" i="20"/>
  <c r="BC6" i="20"/>
  <c r="BB10" i="20"/>
  <c r="N16" i="13"/>
  <c r="A12" i="18"/>
  <c r="N15" i="13"/>
  <c r="A11" i="18"/>
  <c r="N6" i="13"/>
  <c r="N10" i="20"/>
  <c r="N25" i="20"/>
  <c r="N13" i="13"/>
  <c r="A10" i="18"/>
  <c r="N17" i="13"/>
  <c r="N19" i="20"/>
  <c r="N17" i="20"/>
  <c r="N14" i="13"/>
  <c r="A8" i="18"/>
  <c r="N22" i="13"/>
  <c r="N20" i="20"/>
  <c r="N16" i="20"/>
  <c r="N20" i="13"/>
  <c r="N15" i="20"/>
  <c r="D15" i="20" s="1"/>
  <c r="N28" i="20"/>
  <c r="N21" i="20"/>
  <c r="N12" i="13"/>
  <c r="N12" i="20"/>
  <c r="N6" i="20"/>
  <c r="N18" i="20"/>
  <c r="N11" i="20"/>
  <c r="N24" i="13"/>
  <c r="N13" i="20"/>
  <c r="N23" i="13"/>
  <c r="N18" i="13"/>
  <c r="N23" i="20"/>
  <c r="N26" i="20"/>
  <c r="BE23" i="20"/>
  <c r="BC18" i="20"/>
  <c r="BE9" i="20"/>
  <c r="BC17" i="20"/>
  <c r="BE18" i="20"/>
  <c r="BC8" i="20"/>
  <c r="BG22" i="20"/>
  <c r="L17" i="13"/>
  <c r="L10" i="13"/>
  <c r="L6" i="13"/>
  <c r="L25" i="13"/>
  <c r="L23" i="13"/>
  <c r="L25" i="20"/>
  <c r="L26" i="20"/>
  <c r="L28" i="20"/>
  <c r="L6" i="20"/>
  <c r="L21" i="13"/>
  <c r="L24" i="13"/>
  <c r="L8" i="13"/>
  <c r="L20" i="13"/>
  <c r="L19" i="20"/>
  <c r="L12" i="20"/>
  <c r="L11" i="20"/>
  <c r="L22" i="20"/>
  <c r="L18" i="13"/>
  <c r="L16" i="20"/>
  <c r="D16" i="20" s="1"/>
  <c r="L8" i="20"/>
  <c r="L19" i="13"/>
  <c r="L11" i="13"/>
  <c r="L27" i="20"/>
  <c r="L18" i="20"/>
  <c r="L13" i="13"/>
  <c r="L17" i="20"/>
  <c r="L24" i="20"/>
  <c r="L22" i="13"/>
  <c r="L20" i="20"/>
  <c r="L23" i="20"/>
  <c r="BD26" i="20"/>
  <c r="BD23" i="20"/>
  <c r="BC21" i="20"/>
  <c r="J6" i="13"/>
  <c r="J17" i="20"/>
  <c r="J9" i="13"/>
  <c r="J9" i="20"/>
  <c r="J16" i="13"/>
  <c r="J14" i="13"/>
  <c r="J11" i="20"/>
  <c r="F20" i="13"/>
  <c r="F6" i="20"/>
  <c r="F12" i="20"/>
  <c r="F10" i="20"/>
  <c r="F23" i="20"/>
  <c r="F7" i="20"/>
  <c r="D7" i="20" s="1"/>
  <c r="F20" i="20"/>
  <c r="F21" i="20"/>
  <c r="F24" i="20"/>
  <c r="F22" i="20"/>
  <c r="F19" i="20"/>
  <c r="F26" i="20"/>
  <c r="F27" i="20"/>
  <c r="F25" i="13"/>
  <c r="F25" i="20"/>
  <c r="F18" i="20"/>
  <c r="F28" i="20"/>
  <c r="F11" i="13"/>
  <c r="F18" i="13"/>
  <c r="F23" i="13"/>
  <c r="F10" i="13"/>
  <c r="F12" i="13"/>
  <c r="F14" i="20"/>
  <c r="BD25" i="20"/>
  <c r="BD8" i="20"/>
  <c r="BD7" i="20"/>
  <c r="BC26" i="20"/>
  <c r="BD21" i="20"/>
  <c r="BC16" i="20"/>
  <c r="BG6" i="20"/>
  <c r="BC11" i="20"/>
  <c r="BD6" i="20"/>
  <c r="BG17" i="20"/>
  <c r="BD24" i="20"/>
  <c r="BC25" i="20"/>
  <c r="BG7" i="20"/>
  <c r="BG25" i="20"/>
  <c r="BG21" i="20"/>
  <c r="BG24" i="20"/>
  <c r="BD16" i="20"/>
  <c r="BG10" i="20"/>
  <c r="BG18" i="20"/>
  <c r="BC20" i="20"/>
  <c r="BC14" i="20"/>
  <c r="BC24" i="20"/>
  <c r="BC7" i="20"/>
  <c r="H9" i="13"/>
  <c r="H9" i="20"/>
  <c r="H14" i="13"/>
  <c r="H13" i="20"/>
  <c r="H13" i="13"/>
  <c r="H14" i="20"/>
  <c r="H12" i="13"/>
  <c r="BD11" i="20"/>
  <c r="BG15" i="20"/>
  <c r="BD18" i="20"/>
  <c r="BG19" i="20"/>
  <c r="BC10" i="20"/>
  <c r="BC9" i="20"/>
  <c r="BC15" i="20"/>
  <c r="BD19" i="20"/>
  <c r="BD17" i="20"/>
  <c r="BC23" i="20"/>
  <c r="BG20" i="20"/>
  <c r="BG11" i="20"/>
  <c r="BD15" i="20"/>
  <c r="BD22" i="20"/>
  <c r="BG23" i="20"/>
  <c r="BD13" i="20"/>
  <c r="BD20" i="20"/>
  <c r="BG16" i="20"/>
  <c r="L9" i="13"/>
  <c r="L9" i="20"/>
  <c r="J7" i="13"/>
  <c r="J8" i="20"/>
  <c r="N7" i="13"/>
  <c r="N8" i="20"/>
  <c r="BC12" i="20"/>
  <c r="BD10" i="20"/>
  <c r="BG12" i="20"/>
  <c r="BG8" i="20"/>
  <c r="BG13" i="20"/>
  <c r="BD14" i="20"/>
  <c r="BD9" i="20"/>
  <c r="BD12" i="20"/>
  <c r="BG9" i="20"/>
  <c r="BC13" i="20"/>
  <c r="BG14" i="20"/>
  <c r="L14" i="13"/>
  <c r="N11" i="13"/>
  <c r="V22" i="13"/>
  <c r="V13" i="13"/>
  <c r="V14" i="13"/>
  <c r="V15" i="13"/>
  <c r="V24" i="13"/>
  <c r="V17" i="13"/>
  <c r="V6" i="13"/>
  <c r="V11" i="13"/>
  <c r="V21" i="13"/>
  <c r="V16" i="13"/>
  <c r="V8" i="13"/>
  <c r="V19" i="13"/>
  <c r="V10" i="13"/>
  <c r="V23" i="13"/>
  <c r="V18" i="13"/>
  <c r="M7" i="19"/>
  <c r="N7" i="19" s="1"/>
  <c r="M6" i="19"/>
  <c r="N6" i="19" s="1"/>
  <c r="A6" i="19" s="1"/>
  <c r="M7" i="18"/>
  <c r="A7" i="18" s="1"/>
  <c r="N9" i="13" s="1"/>
  <c r="M6" i="14"/>
  <c r="A6" i="14" s="1"/>
  <c r="J22" i="13"/>
  <c r="J8" i="13"/>
  <c r="J24" i="13"/>
  <c r="J17" i="13"/>
  <c r="J21" i="13"/>
  <c r="J15" i="13"/>
  <c r="J10" i="13"/>
  <c r="A7" i="16"/>
  <c r="J6" i="20" s="1"/>
  <c r="J19" i="13"/>
  <c r="J11" i="13"/>
  <c r="J18" i="13"/>
  <c r="J23" i="13"/>
  <c r="H15" i="13"/>
  <c r="A6" i="15"/>
  <c r="H10" i="20" s="1"/>
  <c r="F7" i="13"/>
  <c r="H17" i="13"/>
  <c r="H6" i="13"/>
  <c r="H10" i="13"/>
  <c r="H19" i="13"/>
  <c r="H18" i="13"/>
  <c r="H11" i="13"/>
  <c r="H23" i="13"/>
  <c r="F22" i="13"/>
  <c r="A7" i="19" l="1"/>
  <c r="V9" i="20" s="1"/>
  <c r="D25" i="13"/>
  <c r="D18" i="20"/>
  <c r="D27" i="20"/>
  <c r="D17" i="20"/>
  <c r="D13" i="20"/>
  <c r="D28" i="20"/>
  <c r="D11" i="20"/>
  <c r="D24" i="13"/>
  <c r="D19" i="20"/>
  <c r="D24" i="20"/>
  <c r="D21" i="20"/>
  <c r="D14" i="20"/>
  <c r="D25" i="20"/>
  <c r="D20" i="20"/>
  <c r="D23" i="20"/>
  <c r="D26" i="20"/>
  <c r="D10" i="20"/>
  <c r="D12" i="20"/>
  <c r="D22" i="20"/>
  <c r="D6" i="20"/>
  <c r="D20" i="13"/>
  <c r="D16" i="13"/>
  <c r="D8" i="13"/>
  <c r="D13" i="13"/>
  <c r="D21" i="13"/>
  <c r="D17" i="13"/>
  <c r="D14" i="13"/>
  <c r="D19" i="13"/>
  <c r="D18" i="13"/>
  <c r="D15" i="13"/>
  <c r="D6" i="13"/>
  <c r="D12" i="13"/>
  <c r="D10" i="13"/>
  <c r="D23" i="13"/>
  <c r="D11" i="13"/>
  <c r="D22" i="13"/>
  <c r="H7" i="13"/>
  <c r="H8" i="20"/>
  <c r="F9" i="20"/>
  <c r="F9" i="13"/>
  <c r="V7" i="13"/>
  <c r="V8" i="20"/>
  <c r="D9" i="20" l="1"/>
  <c r="V9" i="13"/>
  <c r="D9" i="13" s="1"/>
  <c r="D8" i="20"/>
  <c r="D7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<sst xmlns="http://schemas.openxmlformats.org/spreadsheetml/2006/main" count="2961" uniqueCount="281">
  <si>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</si>
  <si>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sezon </t>
    </r>
    <r>
      <rPr>
        <b/>
        <sz val="10"/>
        <color rgb="FFFF0000"/>
        <rFont val="Arial"/>
        <family val="2"/>
      </rPr>
      <t>2023 - 2024</t>
    </r>
  </si>
  <si>
    <t>Na sumę punktów w rankingu skłąda się 6 najlepszych wyników (z 8 możliwych) w turniejach GP PPW oraz wynik z Mistrzostw Polski Weteranów.</t>
  </si>
  <si>
    <t>Kat. 2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</si>
  <si>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</si>
  <si>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</si>
  <si>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</si>
  <si>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</si>
  <si>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</si>
  <si>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</si>
  <si>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</si>
  <si>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</si>
  <si>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</si>
  <si>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VI GP</t>
  </si>
  <si>
    <t>VII GP</t>
  </si>
  <si>
    <t>VIII GP</t>
  </si>
  <si>
    <t>MPW</t>
  </si>
  <si>
    <t>M</t>
  </si>
  <si>
    <t>P</t>
  </si>
  <si>
    <t>GANSZCZYK Marcin</t>
  </si>
  <si>
    <t>NOWICKI Robert</t>
  </si>
  <si>
    <t>ZAWROTNIAK Przemysław</t>
  </si>
  <si>
    <t>GAJDA Leszek</t>
  </si>
  <si>
    <t>RUDY Andrzej</t>
  </si>
  <si>
    <t>KACZMAREK Paweł</t>
  </si>
  <si>
    <t>WINGROWICZ Mariusz</t>
  </si>
  <si>
    <t>MAZIK Aleksander</t>
  </si>
  <si>
    <t>GAJDA Zbigniew</t>
  </si>
  <si>
    <t>JAROSZEK Zbigniew</t>
  </si>
  <si>
    <t>WIERZBICKI Jacek</t>
  </si>
  <si>
    <t>GRZEGOREK Norbert</t>
  </si>
  <si>
    <t>KOTTS Radosław</t>
  </si>
  <si>
    <t>BROSCH Artur</t>
  </si>
  <si>
    <t>REBONOK Andrzej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</si>
  <si>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</si>
  <si>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</si>
  <si>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</si>
  <si>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</si>
  <si>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</si>
  <si>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</si>
  <si>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</si>
  <si>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15.01.2023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</si>
  <si>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</si>
  <si>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</si>
  <si>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</si>
  <si>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</si>
  <si>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</si>
  <si>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</si>
  <si>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</si>
  <si>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</si>
  <si>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</si>
  <si>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</si>
  <si>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</si>
  <si>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</si>
  <si>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KOLEJARZ 24 KATOWICE</t>
  </si>
  <si>
    <t>POL</t>
  </si>
  <si>
    <t>DRAGON ŁÓDŹ</t>
  </si>
  <si>
    <t>x</t>
  </si>
  <si>
    <t>N</t>
  </si>
  <si>
    <t>MUKS VICTOR WARSZAWA</t>
  </si>
  <si>
    <t>MP</t>
  </si>
  <si>
    <t>MP-1</t>
  </si>
  <si>
    <t>log(x)</t>
  </si>
  <si>
    <t>3k1</t>
  </si>
  <si>
    <t>Log(N)</t>
  </si>
  <si>
    <t>4k1</t>
  </si>
  <si>
    <t>MP - (MP-1)*LOG(x)/LOG(N)</t>
  </si>
  <si>
    <t>points</t>
  </si>
  <si>
    <t>TORUŃ</t>
  </si>
  <si>
    <t>05.03.2023</t>
  </si>
  <si>
    <t>BARAŃSKI Wacław</t>
  </si>
  <si>
    <t>KS CRACOVIA 1906.</t>
  </si>
  <si>
    <t>1k1</t>
  </si>
  <si>
    <t>NIEPOŁOMICE</t>
  </si>
  <si>
    <t>18.06.2023</t>
  </si>
  <si>
    <t>ZABŁOCKI Michał</t>
  </si>
  <si>
    <t>2k1</t>
  </si>
  <si>
    <t>OPOLE</t>
  </si>
  <si>
    <t>23-24.10.2023</t>
  </si>
  <si>
    <t>AZS KU POLITECHNIKI OPOLSKIEJ</t>
  </si>
  <si>
    <t>ZAGŁĘBIOWSKI KLUB SZERMIERCZY</t>
  </si>
  <si>
    <t> </t>
  </si>
  <si>
    <t>GDAŃSK</t>
  </si>
  <si>
    <t>28.10.2023</t>
  </si>
  <si>
    <t>BONUS ZA PUCHAR</t>
  </si>
  <si>
    <t>ZABŁOCKI Michał (3)</t>
  </si>
  <si>
    <t>ZAWROTNIAK Przemysław (2)</t>
  </si>
  <si>
    <t>GANSZCZYK Marcin (2)</t>
  </si>
  <si>
    <t>SAJEWICZ Izabela (0)</t>
  </si>
  <si>
    <t>SZEPIETOWSKI Rafał (0)</t>
  </si>
  <si>
    <t>WIERZBICKI Jacek (2)</t>
  </si>
  <si>
    <t>JUSZKIEWICZ Piotr (4)</t>
  </si>
  <si>
    <t>BARAŃSKI Wacław (3)</t>
  </si>
  <si>
    <t>TARANCZEWSKI Janusz (4)</t>
  </si>
  <si>
    <t>KRAKÓW</t>
  </si>
  <si>
    <t>18-19.11.2023</t>
  </si>
  <si>
    <t> POL</t>
  </si>
  <si>
    <t>SPAŁA</t>
  </si>
  <si>
    <t>28.01.2024</t>
  </si>
  <si>
    <t>STOWARZYSZENIE POLSKICH WETERANÓW SZERMIERKI</t>
  </si>
  <si>
    <t>MAZIK ALEKSANDER</t>
  </si>
  <si>
    <t>WIERZBICKI JACEK</t>
  </si>
  <si>
    <t>ZRYW OPOLE</t>
  </si>
  <si>
    <t>23.06.2024</t>
  </si>
  <si>
    <t>ST. POLSKICH WETERANÓW SZERMIERKI</t>
  </si>
  <si>
    <t>Podium</t>
  </si>
  <si>
    <t>Współczynnik MPW</t>
  </si>
  <si>
    <t>WARSZAWA</t>
  </si>
  <si>
    <t>2-3.03.2024</t>
  </si>
  <si>
    <t>Punkty MPW</t>
  </si>
  <si>
    <t xml:space="preserve"> POL</t>
  </si>
  <si>
    <t>Opolskie</t>
  </si>
  <si>
    <t>Klasyfikacja będą podstawą do rekomendacji dla PZSZERM powołań do kadry na międzynarodowe zawody rangi mistrzowskiej.</t>
  </si>
  <si>
    <t>Na sumę punktów w rankingu składa się 6 najlepszych wyników (z 8 możliwych) w turniejach GP PPW, wynik z Mistrzostw Polski Weteranów, 3 najlepsze wyniki z PEW i VFC w ciągu roku (krocząco, w sezonie przejściowym 1,5 roku) oraz punkty zdobyte w IMEW.</t>
  </si>
  <si>
    <t>MĘŻCZYŹNI Kat.2</t>
  </si>
  <si>
    <t>I PEW</t>
  </si>
  <si>
    <t>II PEW</t>
  </si>
  <si>
    <t>III PEW</t>
  </si>
  <si>
    <t>VFC</t>
  </si>
  <si>
    <t>IV PEW</t>
  </si>
  <si>
    <t>V PEW</t>
  </si>
  <si>
    <t>VI PEW</t>
  </si>
  <si>
    <t>VII PEW</t>
  </si>
  <si>
    <t>VIII PEW</t>
  </si>
  <si>
    <t>IX PEW</t>
  </si>
  <si>
    <t>X PEW</t>
  </si>
  <si>
    <t>XI PEW</t>
  </si>
  <si>
    <t>XII PEW</t>
  </si>
  <si>
    <t>IMEW</t>
  </si>
  <si>
    <t>TK</t>
  </si>
  <si>
    <t>TRZENSIOK Bernard</t>
  </si>
  <si>
    <t>Bonus za podium</t>
  </si>
  <si>
    <t>Guildford</t>
  </si>
  <si>
    <t>08.01.2023</t>
  </si>
  <si>
    <t>Faches-Thumesnil</t>
  </si>
  <si>
    <t>21-22.01.2023</t>
  </si>
  <si>
    <t>Terni</t>
  </si>
  <si>
    <t>12.02.2023</t>
  </si>
  <si>
    <t>Paryż</t>
  </si>
  <si>
    <t>Liege</t>
  </si>
  <si>
    <t>01.04.2023</t>
  </si>
  <si>
    <t>3K1</t>
  </si>
  <si>
    <t>Budapest</t>
  </si>
  <si>
    <t>16-17.09.2023</t>
  </si>
  <si>
    <t>Madrid</t>
  </si>
  <si>
    <t>11.11.2023</t>
  </si>
  <si>
    <t>Munich</t>
  </si>
  <si>
    <t>16.12.2023</t>
  </si>
  <si>
    <t>06.01.2024</t>
  </si>
  <si>
    <t>20.01.2024</t>
  </si>
  <si>
    <t>Graz</t>
  </si>
  <si>
    <t>23.03.2024</t>
  </si>
  <si>
    <t>Liège</t>
  </si>
  <si>
    <t>6-7.04.2024</t>
  </si>
  <si>
    <t>Thionville</t>
  </si>
  <si>
    <t xml:space="preserve"> LANCIOTTI </t>
  </si>
  <si>
    <t xml:space="preserve"> STEFANO </t>
  </si>
  <si>
    <t xml:space="preserve">  ITA  </t>
  </si>
  <si>
    <t xml:space="preserve">  </t>
  </si>
  <si>
    <t xml:space="preserve"> POIZAT </t>
  </si>
  <si>
    <t xml:space="preserve"> RENAUD </t>
  </si>
  <si>
    <t xml:space="preserve">  BEL  </t>
  </si>
  <si>
    <t xml:space="preserve"> GASCON BLANCO </t>
  </si>
  <si>
    <t xml:space="preserve"> PEDRO </t>
  </si>
  <si>
    <t xml:space="preserve">  ESP  </t>
  </si>
  <si>
    <t xml:space="preserve"> PISKUNOVS </t>
  </si>
  <si>
    <t xml:space="preserve"> GEORGIJS </t>
  </si>
  <si>
    <t xml:space="preserve">  LAT  </t>
  </si>
  <si>
    <t xml:space="preserve"> ESQUERRE </t>
  </si>
  <si>
    <t xml:space="preserve"> OLIVIER </t>
  </si>
  <si>
    <t xml:space="preserve">  FRA  </t>
  </si>
  <si>
    <t xml:space="preserve"> THEROND </t>
  </si>
  <si>
    <t xml:space="preserve"> EMMANUEL </t>
  </si>
  <si>
    <t xml:space="preserve">  GBR  </t>
  </si>
  <si>
    <t xml:space="preserve"> BERGER </t>
  </si>
  <si>
    <t xml:space="preserve"> SVEND </t>
  </si>
  <si>
    <t xml:space="preserve">  GER  </t>
  </si>
  <si>
    <t xml:space="preserve"> TORI </t>
  </si>
  <si>
    <t xml:space="preserve"> MALDONADO MARTIN </t>
  </si>
  <si>
    <t xml:space="preserve"> ADOLFO </t>
  </si>
  <si>
    <t xml:space="preserve"> KREISCHER </t>
  </si>
  <si>
    <t xml:space="preserve"> VIKTOR </t>
  </si>
  <si>
    <t xml:space="preserve"> ELLISON </t>
  </si>
  <si>
    <t xml:space="preserve"> ALEXANDER </t>
  </si>
  <si>
    <t xml:space="preserve"> QUEGUINER </t>
  </si>
  <si>
    <t xml:space="preserve"> DOMINIQUE </t>
  </si>
  <si>
    <t xml:space="preserve"> GUIGNAT </t>
  </si>
  <si>
    <t xml:space="preserve"> MARGETICH </t>
  </si>
  <si>
    <t xml:space="preserve"> GERHARD </t>
  </si>
  <si>
    <t xml:space="preserve">  AUT  </t>
  </si>
  <si>
    <t xml:space="preserve"> NICASTRO </t>
  </si>
  <si>
    <t xml:space="preserve"> CARLO </t>
  </si>
  <si>
    <t xml:space="preserve"> OSKAMP </t>
  </si>
  <si>
    <t xml:space="preserve"> ANTON </t>
  </si>
  <si>
    <t xml:space="preserve">  NED  </t>
  </si>
  <si>
    <t xml:space="preserve"> FLETCHER </t>
  </si>
  <si>
    <t xml:space="preserve"> NICK </t>
  </si>
  <si>
    <t xml:space="preserve"> CASTAGNER </t>
  </si>
  <si>
    <t xml:space="preserve"> DIEGO </t>
  </si>
  <si>
    <t xml:space="preserve"> MATRIGALI </t>
  </si>
  <si>
    <t xml:space="preserve"> CAMILLO </t>
  </si>
  <si>
    <t xml:space="preserve">  POL  </t>
  </si>
  <si>
    <t xml:space="preserve"> THIELEMANS </t>
  </si>
  <si>
    <t xml:space="preserve"> ALAIN </t>
  </si>
  <si>
    <t xml:space="preserve"> EMMERICH </t>
  </si>
  <si>
    <t xml:space="preserve"> OLIVER </t>
  </si>
  <si>
    <t xml:space="preserve"> HALBACH </t>
  </si>
  <si>
    <t xml:space="preserve"> JURGEN </t>
  </si>
  <si>
    <t xml:space="preserve"> LEORAT </t>
  </si>
  <si>
    <t xml:space="preserve"> GUILLAUME </t>
  </si>
  <si>
    <t xml:space="preserve"> QUENTIN </t>
  </si>
  <si>
    <t xml:space="preserve"> FREDERIC </t>
  </si>
  <si>
    <t xml:space="preserve"> ADINOLFI </t>
  </si>
  <si>
    <t xml:space="preserve"> ANTONIO </t>
  </si>
  <si>
    <t xml:space="preserve"> WICHITILL </t>
  </si>
  <si>
    <t xml:space="preserve"> GERT </t>
  </si>
  <si>
    <t xml:space="preserve"> GIORGIANI </t>
  </si>
  <si>
    <t xml:space="preserve"> ROBERT </t>
  </si>
  <si>
    <t xml:space="preserve"> DE FRANCISCO GONZÁLEZ </t>
  </si>
  <si>
    <t xml:space="preserve"> CESAR </t>
  </si>
  <si>
    <t xml:space="preserve"> MORRETTA </t>
  </si>
  <si>
    <t xml:space="preserve"> LORENZO </t>
  </si>
  <si>
    <t xml:space="preserve"> ALEKSANDER </t>
  </si>
  <si>
    <t xml:space="preserve"> NEVEUX </t>
  </si>
  <si>
    <t xml:space="preserve"> BERTRAND </t>
  </si>
  <si>
    <t xml:space="preserve"> THOMAS </t>
  </si>
  <si>
    <t xml:space="preserve"> CERI </t>
  </si>
  <si>
    <t xml:space="preserve"> WRASE </t>
  </si>
  <si>
    <t xml:space="preserve"> HARTMUT </t>
  </si>
  <si>
    <t xml:space="preserve"> AYDAROV </t>
  </si>
  <si>
    <t xml:space="preserve">  ISR  </t>
  </si>
  <si>
    <t xml:space="preserve"> PAWEL </t>
  </si>
  <si>
    <t xml:space="preserve"> LESZEK </t>
  </si>
  <si>
    <t xml:space="preserve"> REDONDO BERMEJO </t>
  </si>
  <si>
    <t xml:space="preserve"> JOSE LUIS </t>
  </si>
  <si>
    <t xml:space="preserve"> VICO GÓMEZ </t>
  </si>
  <si>
    <t xml:space="preserve"> KESKINIVA </t>
  </si>
  <si>
    <t xml:space="preserve"> ARTO </t>
  </si>
  <si>
    <t xml:space="preserve">  FIN  </t>
  </si>
  <si>
    <t xml:space="preserve"> JOUANNET </t>
  </si>
  <si>
    <t xml:space="preserve"> DAVID </t>
  </si>
  <si>
    <t xml:space="preserve"> BOLODAR </t>
  </si>
  <si>
    <t xml:space="preserve"> ZOLTAN </t>
  </si>
  <si>
    <t xml:space="preserve">  HUN  </t>
  </si>
  <si>
    <t xml:space="preserve"> ULRICH </t>
  </si>
  <si>
    <t xml:space="preserve"> HELGE PINO </t>
  </si>
  <si>
    <t xml:space="preserve"> BERNARD </t>
  </si>
  <si>
    <t xml:space="preserve"> HANS </t>
  </si>
  <si>
    <t xml:space="preserve"> SERGEJ </t>
  </si>
  <si>
    <t xml:space="preserve"> RODGERS </t>
  </si>
  <si>
    <t xml:space="preserve"> LINDSAY </t>
  </si>
  <si>
    <t xml:space="preserve"> KNEZ </t>
  </si>
  <si>
    <t xml:space="preserve"> DARKO </t>
  </si>
  <si>
    <t xml:space="preserve">  SLO  </t>
  </si>
  <si>
    <t xml:space="preserve"> DAVITIDZE </t>
  </si>
  <si>
    <t xml:space="preserve"> KONSTANTIN </t>
  </si>
  <si>
    <t xml:space="preserve">  GEO  </t>
  </si>
  <si>
    <t xml:space="preserve"> TAATILA </t>
  </si>
  <si>
    <t xml:space="preserve"> VESA </t>
  </si>
  <si>
    <t xml:space="preserve"> SEIMANIS </t>
  </si>
  <si>
    <t xml:space="preserve"> ARNIS </t>
  </si>
  <si>
    <t xml:space="preserve"> PALYI </t>
  </si>
  <si>
    <t xml:space="preserve"> GYÖRGY </t>
  </si>
  <si>
    <t xml:space="preserve"> VAN STERKENBURG </t>
  </si>
  <si>
    <t xml:space="preserve"> NICO </t>
  </si>
  <si>
    <t xml:space="preserve"> LUCREZI </t>
  </si>
  <si>
    <t xml:space="preserve"> GINO </t>
  </si>
  <si>
    <t xml:space="preserve"> ESTEVES </t>
  </si>
  <si>
    <t xml:space="preserve"> JORGE </t>
  </si>
  <si>
    <t xml:space="preserve">  POR  </t>
  </si>
  <si>
    <t xml:space="preserve"> TROUTOT </t>
  </si>
  <si>
    <t xml:space="preserve"> ERIC </t>
  </si>
  <si>
    <t xml:space="preserve"> BOURGOGNE </t>
  </si>
  <si>
    <t xml:space="preserve"> LIONEL </t>
  </si>
  <si>
    <t xml:space="preserve"> GIRRBACH </t>
  </si>
  <si>
    <t xml:space="preserve"> MICHAEL </t>
  </si>
  <si>
    <t xml:space="preserve"> DEMRY </t>
  </si>
  <si>
    <t xml:space="preserve"> FRANCK </t>
  </si>
  <si>
    <t xml:space="preserve"> FARAGO </t>
  </si>
  <si>
    <t xml:space="preserve"> JOZSEF </t>
  </si>
  <si>
    <t>12K1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</si>
</sst>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sz val="8"/>
      <name val="Arial"/>
      <family val="2"/>
      <charset val="238"/>
    </font>
    <font>
      <sz val="10"/>
      <color theme="4"/>
      <name val="Arial"/>
      <family val="2"/>
      <charset val="238"/>
    </font>
    <font>
      <b/>
      <sz val="10"/>
      <color rgb="FFFFFFFF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11"/>
      <color theme="4"/>
      <name val="Agency FB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8" fillId="3" borderId="0" applyNumberFormat="0" applyBorder="0" applyAlignment="0" applyProtection="0"/>
    <xf numFmtId="0" fontId="4" fillId="0" borderId="0"/>
    <xf numFmtId="0" fontId="3" fillId="13" borderId="0" applyNumberFormat="0" applyBorder="0" applyAlignment="0" applyProtection="0"/>
    <xf numFmtId="0" fontId="3" fillId="0" borderId="0"/>
    <xf numFmtId="0" fontId="2" fillId="0" borderId="0"/>
    <xf numFmtId="0" fontId="2" fillId="0" borderId="0"/>
    <xf numFmtId="0" fontId="1" fillId="0" borderId="0"/>
    <xf numFmtId="0" fontId="9" fillId="0" borderId="0" applyNumberFormat="0" applyFill="0" applyBorder="0" applyAlignment="0" applyProtection="0"/>
  </cellStyleXfs>
  <cellXfs count="309">
    <xf numFmtId="0" fontId="0" fillId="0" borderId="0" xfId="0"/>
    <xf numFmtId="0" fontId="8" fillId="3" borderId="0" xfId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2" fillId="4" borderId="0" xfId="0" applyFont="1" applyFill="1"/>
    <xf numFmtId="0" fontId="14" fillId="4" borderId="0" xfId="0" applyFont="1" applyFill="1"/>
    <xf numFmtId="0" fontId="13" fillId="4" borderId="0" xfId="0" applyFont="1" applyFill="1"/>
    <xf numFmtId="0" fontId="5" fillId="2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15" fillId="7" borderId="12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left"/>
    </xf>
    <xf numFmtId="0" fontId="7" fillId="7" borderId="14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0" fillId="7" borderId="0" xfId="0" applyFill="1"/>
    <xf numFmtId="0" fontId="4" fillId="8" borderId="0" xfId="2" applyFill="1"/>
    <xf numFmtId="0" fontId="17" fillId="8" borderId="0" xfId="2" applyFont="1" applyFill="1" applyAlignment="1">
      <alignment horizontal="right" vertical="center"/>
    </xf>
    <xf numFmtId="0" fontId="17" fillId="8" borderId="0" xfId="2" applyFont="1" applyFill="1" applyAlignment="1">
      <alignment horizontal="center" vertical="center"/>
    </xf>
    <xf numFmtId="1" fontId="18" fillId="8" borderId="0" xfId="2" applyNumberFormat="1" applyFont="1" applyFill="1" applyAlignment="1">
      <alignment horizontal="left" vertical="center"/>
    </xf>
    <xf numFmtId="0" fontId="4" fillId="8" borderId="0" xfId="2" applyFill="1" applyAlignment="1">
      <alignment horizontal="center" vertical="center"/>
    </xf>
    <xf numFmtId="0" fontId="4" fillId="7" borderId="0" xfId="2" applyFill="1"/>
    <xf numFmtId="0" fontId="6" fillId="8" borderId="0" xfId="0" applyFont="1" applyFill="1" applyAlignment="1">
      <alignment horizontal="right"/>
    </xf>
    <xf numFmtId="0" fontId="19" fillId="8" borderId="0" xfId="0" applyFont="1" applyFill="1" applyAlignment="1">
      <alignment horizontal="right"/>
    </xf>
    <xf numFmtId="0" fontId="10" fillId="9" borderId="0" xfId="2" applyFont="1" applyFill="1" applyAlignment="1">
      <alignment horizontal="center" vertical="center"/>
    </xf>
    <xf numFmtId="0" fontId="10" fillId="7" borderId="0" xfId="2" applyFont="1" applyFill="1" applyAlignment="1">
      <alignment horizontal="center" vertical="center"/>
    </xf>
    <xf numFmtId="1" fontId="4" fillId="7" borderId="0" xfId="2" applyNumberFormat="1" applyFill="1" applyAlignment="1">
      <alignment horizontal="center" vertical="center"/>
    </xf>
    <xf numFmtId="0" fontId="4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4" fillId="8" borderId="0" xfId="2" applyNumberFormat="1" applyFill="1" applyAlignment="1">
      <alignment horizontal="center" vertical="center"/>
    </xf>
    <xf numFmtId="0" fontId="0" fillId="8" borderId="0" xfId="0" applyFill="1"/>
    <xf numFmtId="0" fontId="8" fillId="3" borderId="17" xfId="1" applyBorder="1" applyAlignment="1">
      <alignment horizontal="center" vertical="center" wrapText="1"/>
    </xf>
    <xf numFmtId="0" fontId="20" fillId="10" borderId="0" xfId="2" applyFont="1" applyFill="1" applyAlignment="1">
      <alignment horizontal="center" vertical="center"/>
    </xf>
    <xf numFmtId="0" fontId="20" fillId="10" borderId="0" xfId="2" applyFont="1" applyFill="1" applyAlignment="1">
      <alignment horizontal="center" vertical="center" wrapText="1"/>
    </xf>
    <xf numFmtId="1" fontId="20" fillId="10" borderId="0" xfId="2" applyNumberFormat="1" applyFont="1" applyFill="1" applyAlignment="1">
      <alignment horizontal="center" vertical="center" wrapText="1"/>
    </xf>
    <xf numFmtId="1" fontId="7" fillId="7" borderId="0" xfId="0" applyNumberFormat="1" applyFont="1" applyFill="1" applyAlignment="1">
      <alignment horizontal="center" vertical="center"/>
    </xf>
    <xf numFmtId="0" fontId="21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2" fillId="8" borderId="0" xfId="2" applyFont="1" applyFill="1" applyAlignment="1">
      <alignment horizontal="center" vertical="center"/>
    </xf>
    <xf numFmtId="2" fontId="22" fillId="8" borderId="0" xfId="2" applyNumberFormat="1" applyFont="1" applyFill="1" applyAlignment="1">
      <alignment horizontal="center" vertical="center"/>
    </xf>
    <xf numFmtId="164" fontId="22" fillId="8" borderId="0" xfId="2" applyNumberFormat="1" applyFont="1" applyFill="1" applyAlignment="1">
      <alignment horizontal="center" vertical="center"/>
    </xf>
    <xf numFmtId="1" fontId="7" fillId="6" borderId="0" xfId="0" applyNumberFormat="1" applyFont="1" applyFill="1" applyAlignment="1">
      <alignment horizontal="center" vertical="center"/>
    </xf>
    <xf numFmtId="0" fontId="21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2" fillId="11" borderId="0" xfId="2" applyFont="1" applyFill="1" applyAlignment="1">
      <alignment horizontal="center" vertical="center"/>
    </xf>
    <xf numFmtId="2" fontId="22" fillId="11" borderId="0" xfId="2" applyNumberFormat="1" applyFont="1" applyFill="1" applyAlignment="1">
      <alignment horizontal="center" vertical="center"/>
    </xf>
    <xf numFmtId="164" fontId="22" fillId="11" borderId="0" xfId="2" applyNumberFormat="1" applyFont="1" applyFill="1" applyAlignment="1">
      <alignment horizontal="center" vertical="center"/>
    </xf>
    <xf numFmtId="0" fontId="11" fillId="7" borderId="0" xfId="2" applyFont="1" applyFill="1"/>
    <xf numFmtId="1" fontId="4" fillId="7" borderId="0" xfId="2" applyNumberFormat="1" applyFill="1"/>
    <xf numFmtId="0" fontId="4" fillId="7" borderId="0" xfId="2" applyFill="1" applyAlignment="1">
      <alignment horizontal="right"/>
    </xf>
    <xf numFmtId="0" fontId="10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3" fillId="7" borderId="0" xfId="2" applyFont="1" applyFill="1"/>
    <xf numFmtId="164" fontId="4" fillId="8" borderId="0" xfId="2" applyNumberFormat="1" applyFill="1"/>
    <xf numFmtId="49" fontId="4" fillId="7" borderId="0" xfId="2" applyNumberFormat="1" applyFill="1"/>
    <xf numFmtId="0" fontId="10" fillId="8" borderId="0" xfId="2" applyFont="1" applyFill="1"/>
    <xf numFmtId="164" fontId="10" fillId="7" borderId="0" xfId="2" applyNumberFormat="1" applyFont="1" applyFill="1"/>
    <xf numFmtId="164" fontId="4" fillId="7" borderId="0" xfId="2" applyNumberFormat="1" applyFill="1"/>
    <xf numFmtId="1" fontId="4" fillId="0" borderId="0" xfId="2" applyNumberFormat="1" applyAlignment="1">
      <alignment horizontal="center"/>
    </xf>
    <xf numFmtId="0" fontId="4" fillId="0" borderId="0" xfId="2"/>
    <xf numFmtId="164" fontId="4" fillId="0" borderId="0" xfId="2" applyNumberFormat="1" applyAlignment="1">
      <alignment horizontal="center"/>
    </xf>
    <xf numFmtId="0" fontId="4" fillId="0" borderId="0" xfId="2" applyAlignment="1">
      <alignment horizontal="center" vertical="center"/>
    </xf>
    <xf numFmtId="1" fontId="4" fillId="0" borderId="0" xfId="2" applyNumberFormat="1" applyAlignment="1">
      <alignment horizontal="center" vertical="center"/>
    </xf>
    <xf numFmtId="164" fontId="4" fillId="0" borderId="0" xfId="2" applyNumberFormat="1" applyAlignment="1">
      <alignment horizontal="center" vertical="center"/>
    </xf>
    <xf numFmtId="0" fontId="11" fillId="8" borderId="0" xfId="2" applyFont="1" applyFill="1" applyAlignment="1">
      <alignment horizontal="left" vertical="center"/>
    </xf>
    <xf numFmtId="0" fontId="4" fillId="8" borderId="0" xfId="2" applyFill="1" applyAlignment="1">
      <alignment horizontal="left" vertical="center"/>
    </xf>
    <xf numFmtId="164" fontId="4" fillId="7" borderId="0" xfId="2" applyNumberFormat="1" applyFill="1" applyAlignment="1">
      <alignment horizontal="center" vertical="center"/>
    </xf>
    <xf numFmtId="2" fontId="4" fillId="7" borderId="0" xfId="2" applyNumberFormat="1" applyFill="1" applyAlignment="1">
      <alignment horizontal="center" vertical="center"/>
    </xf>
    <xf numFmtId="0" fontId="7" fillId="7" borderId="0" xfId="0" applyFont="1" applyFill="1" applyAlignment="1">
      <alignment vertical="center" wrapText="1"/>
    </xf>
    <xf numFmtId="0" fontId="7" fillId="6" borderId="0" xfId="0" applyFont="1" applyFill="1" applyAlignment="1">
      <alignment vertical="center" wrapText="1"/>
    </xf>
    <xf numFmtId="0" fontId="24" fillId="7" borderId="0" xfId="0" applyFont="1" applyFill="1" applyAlignment="1">
      <alignment vertical="center" wrapText="1"/>
    </xf>
    <xf numFmtId="0" fontId="24" fillId="6" borderId="0" xfId="0" applyFont="1" applyFill="1" applyAlignment="1">
      <alignment vertical="center" wrapText="1"/>
    </xf>
    <xf numFmtId="0" fontId="25" fillId="7" borderId="0" xfId="0" applyFont="1" applyFill="1" applyAlignment="1">
      <alignment vertical="center" wrapText="1"/>
    </xf>
    <xf numFmtId="0" fontId="9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7" fillId="4" borderId="0" xfId="0" applyFont="1" applyFill="1"/>
    <xf numFmtId="0" fontId="28" fillId="2" borderId="1" xfId="0" applyFont="1" applyFill="1" applyBorder="1" applyAlignment="1">
      <alignment horizontal="center" vertical="center" wrapText="1"/>
    </xf>
    <xf numFmtId="0" fontId="28" fillId="2" borderId="9" xfId="0" applyFont="1" applyFill="1" applyBorder="1" applyAlignment="1">
      <alignment horizontal="center" vertical="center" wrapText="1"/>
    </xf>
    <xf numFmtId="0" fontId="11" fillId="13" borderId="1" xfId="3" applyFont="1" applyBorder="1" applyAlignment="1">
      <alignment horizontal="center" vertical="center" wrapText="1"/>
    </xf>
    <xf numFmtId="0" fontId="11" fillId="13" borderId="9" xfId="3" applyFont="1" applyBorder="1" applyAlignment="1">
      <alignment horizontal="center" vertical="center" wrapText="1"/>
    </xf>
    <xf numFmtId="2" fontId="14" fillId="7" borderId="11" xfId="0" applyNumberFormat="1" applyFont="1" applyFill="1" applyBorder="1" applyAlignment="1">
      <alignment horizontal="center" vertical="center"/>
    </xf>
    <xf numFmtId="2" fontId="16" fillId="7" borderId="11" xfId="0" applyNumberFormat="1" applyFont="1" applyFill="1" applyBorder="1" applyAlignment="1">
      <alignment horizontal="center" vertical="center"/>
    </xf>
    <xf numFmtId="2" fontId="16" fillId="7" borderId="13" xfId="0" applyNumberFormat="1" applyFont="1" applyFill="1" applyBorder="1" applyAlignment="1">
      <alignment horizontal="center" vertical="center"/>
    </xf>
    <xf numFmtId="2" fontId="29" fillId="7" borderId="11" xfId="0" applyNumberFormat="1" applyFont="1" applyFill="1" applyBorder="1" applyAlignment="1">
      <alignment horizontal="center" vertical="center"/>
    </xf>
    <xf numFmtId="2" fontId="29" fillId="7" borderId="16" xfId="0" applyNumberFormat="1" applyFont="1" applyFill="1" applyBorder="1" applyAlignment="1">
      <alignment horizontal="center" vertical="center"/>
    </xf>
    <xf numFmtId="1" fontId="30" fillId="0" borderId="0" xfId="0" applyNumberFormat="1" applyFont="1" applyAlignment="1">
      <alignment horizontal="center" vertical="center"/>
    </xf>
    <xf numFmtId="2" fontId="16" fillId="7" borderId="14" xfId="0" applyNumberFormat="1" applyFont="1" applyFill="1" applyBorder="1" applyAlignment="1">
      <alignment horizontal="center" vertical="center"/>
    </xf>
    <xf numFmtId="2" fontId="16" fillId="7" borderId="16" xfId="0" applyNumberFormat="1" applyFont="1" applyFill="1" applyBorder="1" applyAlignment="1">
      <alignment horizontal="center" vertical="center"/>
    </xf>
    <xf numFmtId="0" fontId="3" fillId="8" borderId="0" xfId="4" applyFill="1"/>
    <xf numFmtId="0" fontId="17" fillId="8" borderId="0" xfId="4" applyFont="1" applyFill="1" applyAlignment="1">
      <alignment horizontal="right" vertical="center"/>
    </xf>
    <xf numFmtId="0" fontId="17" fillId="8" borderId="0" xfId="4" applyFont="1" applyFill="1" applyAlignment="1">
      <alignment horizontal="center" vertical="center"/>
    </xf>
    <xf numFmtId="1" fontId="18" fillId="8" borderId="0" xfId="4" applyNumberFormat="1" applyFont="1" applyFill="1" applyAlignment="1">
      <alignment horizontal="left" vertical="center"/>
    </xf>
    <xf numFmtId="0" fontId="3" fillId="8" borderId="0" xfId="4" applyFill="1" applyAlignment="1">
      <alignment horizontal="center" vertical="center"/>
    </xf>
    <xf numFmtId="0" fontId="3" fillId="7" borderId="0" xfId="4" applyFill="1"/>
    <xf numFmtId="0" fontId="10" fillId="9" borderId="0" xfId="4" applyFont="1" applyFill="1" applyAlignment="1">
      <alignment horizontal="center" vertical="center"/>
    </xf>
    <xf numFmtId="0" fontId="10" fillId="7" borderId="0" xfId="4" applyFont="1" applyFill="1" applyAlignment="1">
      <alignment horizontal="center" vertical="center"/>
    </xf>
    <xf numFmtId="2" fontId="3" fillId="7" borderId="0" xfId="4" applyNumberFormat="1" applyFill="1" applyAlignment="1">
      <alignment horizontal="center" vertical="center"/>
    </xf>
    <xf numFmtId="0" fontId="3" fillId="8" borderId="0" xfId="4" applyFill="1" applyAlignment="1">
      <alignment horizontal="right"/>
    </xf>
    <xf numFmtId="1" fontId="3" fillId="8" borderId="0" xfId="4" applyNumberFormat="1" applyFill="1" applyAlignment="1">
      <alignment horizontal="center" vertical="center"/>
    </xf>
    <xf numFmtId="0" fontId="20" fillId="10" borderId="0" xfId="4" applyFont="1" applyFill="1" applyAlignment="1">
      <alignment horizontal="center" vertical="center"/>
    </xf>
    <xf numFmtId="0" fontId="20" fillId="10" borderId="0" xfId="4" applyFont="1" applyFill="1" applyAlignment="1">
      <alignment horizontal="center" vertical="center" wrapText="1"/>
    </xf>
    <xf numFmtId="1" fontId="20" fillId="10" borderId="0" xfId="4" applyNumberFormat="1" applyFont="1" applyFill="1" applyAlignment="1">
      <alignment horizontal="center" vertical="center" wrapText="1"/>
    </xf>
    <xf numFmtId="2" fontId="7" fillId="7" borderId="0" xfId="0" applyNumberFormat="1" applyFont="1" applyFill="1" applyAlignment="1">
      <alignment horizontal="center" vertical="center"/>
    </xf>
    <xf numFmtId="0" fontId="22" fillId="8" borderId="0" xfId="4" applyFont="1" applyFill="1" applyAlignment="1">
      <alignment horizontal="center" vertical="center"/>
    </xf>
    <xf numFmtId="2" fontId="22" fillId="8" borderId="0" xfId="4" applyNumberFormat="1" applyFont="1" applyFill="1" applyAlignment="1">
      <alignment horizontal="center" vertical="center"/>
    </xf>
    <xf numFmtId="164" fontId="22" fillId="8" borderId="0" xfId="4" applyNumberFormat="1" applyFont="1" applyFill="1" applyAlignment="1">
      <alignment horizontal="center" vertical="center"/>
    </xf>
    <xf numFmtId="2" fontId="7" fillId="6" borderId="0" xfId="0" applyNumberFormat="1" applyFont="1" applyFill="1" applyAlignment="1">
      <alignment horizontal="center" vertical="center"/>
    </xf>
    <xf numFmtId="0" fontId="22" fillId="11" borderId="0" xfId="4" applyFont="1" applyFill="1" applyAlignment="1">
      <alignment horizontal="center" vertical="center"/>
    </xf>
    <xf numFmtId="2" fontId="22" fillId="11" borderId="0" xfId="4" applyNumberFormat="1" applyFont="1" applyFill="1" applyAlignment="1">
      <alignment horizontal="center" vertical="center"/>
    </xf>
    <xf numFmtId="164" fontId="22" fillId="11" borderId="0" xfId="4" applyNumberFormat="1" applyFont="1" applyFill="1" applyAlignment="1">
      <alignment horizontal="center" vertical="center"/>
    </xf>
    <xf numFmtId="0" fontId="11" fillId="7" borderId="0" xfId="4" applyFont="1" applyFill="1"/>
    <xf numFmtId="1" fontId="3" fillId="7" borderId="0" xfId="4" applyNumberFormat="1" applyFill="1"/>
    <xf numFmtId="0" fontId="3" fillId="7" borderId="0" xfId="4" applyFill="1" applyAlignment="1">
      <alignment horizontal="right"/>
    </xf>
    <xf numFmtId="0" fontId="10" fillId="7" borderId="0" xfId="4" applyFont="1" applyFill="1"/>
    <xf numFmtId="0" fontId="23" fillId="7" borderId="0" xfId="4" applyFont="1" applyFill="1"/>
    <xf numFmtId="164" fontId="3" fillId="8" borderId="0" xfId="4" applyNumberFormat="1" applyFill="1"/>
    <xf numFmtId="49" fontId="3" fillId="7" borderId="0" xfId="4" applyNumberFormat="1" applyFill="1"/>
    <xf numFmtId="0" fontId="10" fillId="8" borderId="0" xfId="4" applyFont="1" applyFill="1"/>
    <xf numFmtId="164" fontId="10" fillId="7" borderId="0" xfId="4" applyNumberFormat="1" applyFont="1" applyFill="1"/>
    <xf numFmtId="164" fontId="3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3" fillId="0" borderId="0" xfId="4" applyNumberFormat="1" applyAlignment="1">
      <alignment horizontal="center"/>
    </xf>
    <xf numFmtId="0" fontId="3" fillId="0" borderId="0" xfId="4"/>
    <xf numFmtId="1" fontId="3" fillId="0" borderId="0" xfId="4" applyNumberFormat="1" applyAlignment="1">
      <alignment horizontal="center"/>
    </xf>
    <xf numFmtId="164" fontId="3" fillId="0" borderId="0" xfId="4" applyNumberFormat="1" applyAlignment="1">
      <alignment horizontal="center"/>
    </xf>
    <xf numFmtId="0" fontId="3" fillId="0" borderId="0" xfId="4" applyAlignment="1">
      <alignment horizontal="center" vertical="center"/>
    </xf>
    <xf numFmtId="1" fontId="3" fillId="0" borderId="0" xfId="4" applyNumberFormat="1" applyAlignment="1">
      <alignment horizontal="center" vertical="center"/>
    </xf>
    <xf numFmtId="164" fontId="3" fillId="0" borderId="0" xfId="4" applyNumberFormat="1" applyAlignment="1">
      <alignment horizontal="center" vertical="center"/>
    </xf>
    <xf numFmtId="1" fontId="3" fillId="7" borderId="0" xfId="4" applyNumberFormat="1" applyFill="1" applyAlignment="1">
      <alignment horizontal="center" vertical="center"/>
    </xf>
    <xf numFmtId="0" fontId="11" fillId="8" borderId="0" xfId="4" applyFont="1" applyFill="1" applyAlignment="1">
      <alignment horizontal="left" vertical="center"/>
    </xf>
    <xf numFmtId="0" fontId="3" fillId="8" borderId="0" xfId="4" applyFill="1" applyAlignment="1">
      <alignment horizontal="left" vertical="center"/>
    </xf>
    <xf numFmtId="164" fontId="3" fillId="7" borderId="0" xfId="4" applyNumberFormat="1" applyFill="1" applyAlignment="1">
      <alignment horizontal="center" vertical="center"/>
    </xf>
    <xf numFmtId="14" fontId="9" fillId="8" borderId="0" xfId="8" applyNumberFormat="1" applyFill="1" applyAlignment="1">
      <alignment horizontal="left"/>
    </xf>
    <xf numFmtId="0" fontId="7" fillId="7" borderId="11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31" fillId="7" borderId="18" xfId="0" applyFont="1" applyFill="1" applyBorder="1" applyAlignment="1">
      <alignment horizontal="center" vertical="center"/>
    </xf>
    <xf numFmtId="0" fontId="0" fillId="12" borderId="0" xfId="0" applyFill="1" applyAlignment="1">
      <alignment horizontal="left"/>
    </xf>
    <xf numFmtId="0" fontId="2" fillId="8" borderId="0" xfId="5" applyFill="1"/>
    <xf numFmtId="0" fontId="17" fillId="8" borderId="0" xfId="5" applyFont="1" applyFill="1" applyAlignment="1">
      <alignment horizontal="right" vertical="center"/>
    </xf>
    <xf numFmtId="0" fontId="17" fillId="8" borderId="0" xfId="5" applyFont="1" applyFill="1" applyAlignment="1">
      <alignment horizontal="center" vertical="center"/>
    </xf>
    <xf numFmtId="1" fontId="18" fillId="8" borderId="0" xfId="5" applyNumberFormat="1" applyFont="1" applyFill="1" applyAlignment="1">
      <alignment horizontal="left" vertical="center"/>
    </xf>
    <xf numFmtId="0" fontId="2" fillId="8" borderId="0" xfId="5" applyFill="1" applyAlignment="1">
      <alignment horizontal="center" vertical="center"/>
    </xf>
    <xf numFmtId="0" fontId="2" fillId="7" borderId="0" xfId="5" applyFill="1"/>
    <xf numFmtId="0" fontId="10" fillId="9" borderId="0" xfId="5" applyFont="1" applyFill="1" applyAlignment="1">
      <alignment horizontal="center" vertical="center"/>
    </xf>
    <xf numFmtId="0" fontId="10" fillId="7" borderId="0" xfId="5" applyFont="1" applyFill="1" applyAlignment="1">
      <alignment horizontal="center" vertical="center"/>
    </xf>
    <xf numFmtId="1" fontId="2" fillId="7" borderId="0" xfId="5" applyNumberFormat="1" applyFill="1" applyAlignment="1">
      <alignment horizontal="center" vertical="center"/>
    </xf>
    <xf numFmtId="0" fontId="2" fillId="8" borderId="0" xfId="5" applyFill="1" applyAlignment="1">
      <alignment horizontal="right"/>
    </xf>
    <xf numFmtId="1" fontId="2" fillId="8" borderId="0" xfId="5" applyNumberFormat="1" applyFill="1" applyAlignment="1">
      <alignment horizontal="center" vertical="center"/>
    </xf>
    <xf numFmtId="0" fontId="20" fillId="10" borderId="0" xfId="5" applyFont="1" applyFill="1" applyAlignment="1">
      <alignment horizontal="center" vertical="center"/>
    </xf>
    <xf numFmtId="0" fontId="20" fillId="10" borderId="0" xfId="5" applyFont="1" applyFill="1" applyAlignment="1">
      <alignment horizontal="center" vertical="center" wrapText="1"/>
    </xf>
    <xf numFmtId="1" fontId="20" fillId="10" borderId="0" xfId="5" applyNumberFormat="1" applyFont="1" applyFill="1" applyAlignment="1">
      <alignment horizontal="center" vertical="center" wrapText="1"/>
    </xf>
    <xf numFmtId="0" fontId="22" fillId="8" borderId="0" xfId="5" applyFont="1" applyFill="1" applyAlignment="1">
      <alignment horizontal="center" vertical="center"/>
    </xf>
    <xf numFmtId="2" fontId="22" fillId="8" borderId="0" xfId="5" applyNumberFormat="1" applyFont="1" applyFill="1" applyAlignment="1">
      <alignment horizontal="center" vertical="center"/>
    </xf>
    <xf numFmtId="164" fontId="22" fillId="8" borderId="0" xfId="5" applyNumberFormat="1" applyFont="1" applyFill="1" applyAlignment="1">
      <alignment horizontal="center" vertical="center"/>
    </xf>
    <xf numFmtId="0" fontId="22" fillId="11" borderId="0" xfId="5" applyFont="1" applyFill="1" applyAlignment="1">
      <alignment horizontal="center" vertical="center"/>
    </xf>
    <xf numFmtId="2" fontId="22" fillId="11" borderId="0" xfId="5" applyNumberFormat="1" applyFont="1" applyFill="1" applyAlignment="1">
      <alignment horizontal="center" vertical="center"/>
    </xf>
    <xf numFmtId="164" fontId="22" fillId="11" borderId="0" xfId="5" applyNumberFormat="1" applyFont="1" applyFill="1" applyAlignment="1">
      <alignment horizontal="center" vertical="center"/>
    </xf>
    <xf numFmtId="0" fontId="11" fillId="7" borderId="0" xfId="5" applyFont="1" applyFill="1"/>
    <xf numFmtId="1" fontId="2" fillId="7" borderId="0" xfId="5" applyNumberFormat="1" applyFill="1"/>
    <xf numFmtId="0" fontId="2" fillId="7" borderId="0" xfId="5" applyFill="1" applyAlignment="1">
      <alignment horizontal="right"/>
    </xf>
    <xf numFmtId="0" fontId="10" fillId="7" borderId="0" xfId="5" applyFont="1" applyFill="1"/>
    <xf numFmtId="0" fontId="23" fillId="7" borderId="0" xfId="5" applyFont="1" applyFill="1"/>
    <xf numFmtId="164" fontId="2" fillId="8" borderId="0" xfId="5" applyNumberFormat="1" applyFill="1"/>
    <xf numFmtId="49" fontId="2" fillId="7" borderId="0" xfId="5" applyNumberFormat="1" applyFill="1"/>
    <xf numFmtId="0" fontId="10" fillId="8" borderId="0" xfId="5" applyFont="1" applyFill="1"/>
    <xf numFmtId="164" fontId="10" fillId="7" borderId="0" xfId="5" applyNumberFormat="1" applyFont="1" applyFill="1"/>
    <xf numFmtId="164" fontId="2" fillId="7" borderId="0" xfId="5" applyNumberFormat="1" applyFill="1"/>
    <xf numFmtId="1" fontId="2" fillId="0" borderId="0" xfId="5" applyNumberFormat="1" applyAlignment="1">
      <alignment horizontal="center"/>
    </xf>
    <xf numFmtId="0" fontId="2" fillId="0" borderId="0" xfId="5"/>
    <xf numFmtId="164" fontId="2" fillId="0" borderId="0" xfId="5" applyNumberFormat="1" applyAlignment="1">
      <alignment horizontal="center"/>
    </xf>
    <xf numFmtId="0" fontId="2" fillId="0" borderId="0" xfId="5" applyAlignment="1">
      <alignment horizontal="center" vertical="center"/>
    </xf>
    <xf numFmtId="1" fontId="2" fillId="0" borderId="0" xfId="5" applyNumberFormat="1" applyAlignment="1">
      <alignment horizontal="center" vertical="center"/>
    </xf>
    <xf numFmtId="164" fontId="2" fillId="0" borderId="0" xfId="5" applyNumberFormat="1" applyAlignment="1">
      <alignment horizontal="center" vertical="center"/>
    </xf>
    <xf numFmtId="0" fontId="9" fillId="12" borderId="0" xfId="8" applyFill="1" applyAlignment="1">
      <alignment horizontal="left"/>
    </xf>
    <xf numFmtId="0" fontId="2" fillId="8" borderId="0" xfId="6" applyFill="1"/>
    <xf numFmtId="0" fontId="17" fillId="8" borderId="0" xfId="6" applyFont="1" applyFill="1" applyAlignment="1">
      <alignment horizontal="right" vertical="center"/>
    </xf>
    <xf numFmtId="0" fontId="17" fillId="8" borderId="0" xfId="6" applyFont="1" applyFill="1" applyAlignment="1">
      <alignment horizontal="center" vertical="center"/>
    </xf>
    <xf numFmtId="1" fontId="18" fillId="8" borderId="0" xfId="6" applyNumberFormat="1" applyFont="1" applyFill="1" applyAlignment="1">
      <alignment horizontal="left" vertical="center"/>
    </xf>
    <xf numFmtId="0" fontId="2" fillId="8" borderId="0" xfId="6" applyFill="1" applyAlignment="1">
      <alignment horizontal="center" vertical="center"/>
    </xf>
    <xf numFmtId="0" fontId="2" fillId="7" borderId="0" xfId="6" applyFill="1"/>
    <xf numFmtId="0" fontId="10" fillId="9" borderId="0" xfId="6" applyFont="1" applyFill="1" applyAlignment="1">
      <alignment horizontal="center" vertical="center"/>
    </xf>
    <xf numFmtId="0" fontId="10" fillId="7" borderId="0" xfId="6" applyFont="1" applyFill="1" applyAlignment="1">
      <alignment horizontal="center" vertical="center"/>
    </xf>
    <xf numFmtId="1" fontId="2" fillId="7" borderId="0" xfId="6" applyNumberFormat="1" applyFill="1" applyAlignment="1">
      <alignment horizontal="center" vertical="center"/>
    </xf>
    <xf numFmtId="0" fontId="2" fillId="8" borderId="0" xfId="6" applyFill="1" applyAlignment="1">
      <alignment horizontal="right"/>
    </xf>
    <xf numFmtId="0" fontId="20" fillId="10" borderId="0" xfId="6" applyFont="1" applyFill="1" applyAlignment="1">
      <alignment horizontal="center" vertical="center"/>
    </xf>
    <xf numFmtId="0" fontId="20" fillId="10" borderId="0" xfId="6" applyFont="1" applyFill="1" applyAlignment="1">
      <alignment horizontal="center" vertical="center" wrapText="1"/>
    </xf>
    <xf numFmtId="0" fontId="22" fillId="8" borderId="0" xfId="6" applyFont="1" applyFill="1" applyAlignment="1">
      <alignment horizontal="center" vertical="center"/>
    </xf>
    <xf numFmtId="2" fontId="22" fillId="8" borderId="0" xfId="6" applyNumberFormat="1" applyFont="1" applyFill="1" applyAlignment="1">
      <alignment horizontal="center" vertical="center"/>
    </xf>
    <xf numFmtId="164" fontId="22" fillId="8" borderId="0" xfId="6" applyNumberFormat="1" applyFont="1" applyFill="1" applyAlignment="1">
      <alignment horizontal="center" vertical="center"/>
    </xf>
    <xf numFmtId="0" fontId="22" fillId="11" borderId="0" xfId="6" applyFont="1" applyFill="1" applyAlignment="1">
      <alignment horizontal="center" vertical="center"/>
    </xf>
    <xf numFmtId="2" fontId="22" fillId="11" borderId="0" xfId="6" applyNumberFormat="1" applyFont="1" applyFill="1" applyAlignment="1">
      <alignment horizontal="center" vertical="center"/>
    </xf>
    <xf numFmtId="164" fontId="22" fillId="11" borderId="0" xfId="6" applyNumberFormat="1" applyFont="1" applyFill="1" applyAlignment="1">
      <alignment horizontal="center" vertical="center"/>
    </xf>
    <xf numFmtId="0" fontId="11" fillId="7" borderId="0" xfId="6" applyFont="1" applyFill="1"/>
    <xf numFmtId="1" fontId="2" fillId="7" borderId="0" xfId="6" applyNumberFormat="1" applyFill="1"/>
    <xf numFmtId="0" fontId="2" fillId="7" borderId="0" xfId="6" applyFill="1" applyAlignment="1">
      <alignment horizontal="right"/>
    </xf>
    <xf numFmtId="0" fontId="10" fillId="7" borderId="0" xfId="6" applyFont="1" applyFill="1"/>
    <xf numFmtId="0" fontId="23" fillId="7" borderId="0" xfId="6" applyFont="1" applyFill="1"/>
    <xf numFmtId="164" fontId="2" fillId="8" borderId="0" xfId="6" applyNumberFormat="1" applyFill="1"/>
    <xf numFmtId="49" fontId="2" fillId="7" borderId="0" xfId="6" applyNumberFormat="1" applyFill="1"/>
    <xf numFmtId="0" fontId="10" fillId="8" borderId="0" xfId="6" applyFont="1" applyFill="1"/>
    <xf numFmtId="164" fontId="10" fillId="7" borderId="0" xfId="6" applyNumberFormat="1" applyFont="1" applyFill="1"/>
    <xf numFmtId="164" fontId="2" fillId="7" borderId="0" xfId="6" applyNumberFormat="1" applyFill="1"/>
    <xf numFmtId="0" fontId="2" fillId="0" borderId="0" xfId="6"/>
    <xf numFmtId="1" fontId="2" fillId="0" borderId="0" xfId="6" applyNumberFormat="1" applyAlignment="1">
      <alignment horizontal="center"/>
    </xf>
    <xf numFmtId="164" fontId="2" fillId="0" borderId="0" xfId="6" applyNumberFormat="1" applyAlignment="1">
      <alignment horizontal="center"/>
    </xf>
    <xf numFmtId="0" fontId="2" fillId="0" borderId="0" xfId="6" applyAlignment="1">
      <alignment horizontal="center" vertical="center"/>
    </xf>
    <xf numFmtId="1" fontId="2" fillId="0" borderId="0" xfId="6" applyNumberFormat="1" applyAlignment="1">
      <alignment horizontal="center" vertical="center"/>
    </xf>
    <xf numFmtId="164" fontId="2" fillId="0" borderId="0" xfId="6" applyNumberFormat="1" applyAlignment="1">
      <alignment horizontal="center" vertical="center"/>
    </xf>
    <xf numFmtId="2" fontId="2" fillId="7" borderId="0" xfId="6" applyNumberFormat="1" applyFill="1" applyAlignment="1">
      <alignment horizontal="center" vertical="center"/>
    </xf>
    <xf numFmtId="1" fontId="2" fillId="8" borderId="0" xfId="6" applyNumberFormat="1" applyFill="1" applyAlignment="1">
      <alignment horizontal="center" vertical="center"/>
    </xf>
    <xf numFmtId="1" fontId="20" fillId="10" borderId="0" xfId="6" applyNumberFormat="1" applyFont="1" applyFill="1" applyAlignment="1">
      <alignment horizontal="center" vertical="center" wrapText="1"/>
    </xf>
    <xf numFmtId="2" fontId="2" fillId="0" borderId="0" xfId="6" applyNumberFormat="1" applyAlignment="1">
      <alignment horizontal="center"/>
    </xf>
    <xf numFmtId="0" fontId="3" fillId="13" borderId="14" xfId="3" applyBorder="1" applyAlignment="1">
      <alignment horizontal="left"/>
    </xf>
    <xf numFmtId="2" fontId="3" fillId="13" borderId="0" xfId="3" applyNumberFormat="1" applyAlignment="1">
      <alignment horizontal="center" vertical="center"/>
    </xf>
    <xf numFmtId="0" fontId="3" fillId="13" borderId="18" xfId="3" applyBorder="1" applyAlignment="1">
      <alignment horizontal="center" vertical="center"/>
    </xf>
    <xf numFmtId="0" fontId="3" fillId="13" borderId="0" xfId="3" applyAlignment="1">
      <alignment vertical="center" wrapText="1"/>
    </xf>
    <xf numFmtId="1" fontId="3" fillId="13" borderId="0" xfId="3" applyNumberFormat="1" applyAlignment="1">
      <alignment horizontal="center" vertical="center"/>
    </xf>
    <xf numFmtId="0" fontId="3" fillId="13" borderId="11" xfId="3" applyBorder="1" applyAlignment="1">
      <alignment horizontal="left"/>
    </xf>
    <xf numFmtId="0" fontId="32" fillId="12" borderId="0" xfId="0" applyFont="1" applyFill="1"/>
    <xf numFmtId="0" fontId="32" fillId="12" borderId="0" xfId="0" applyFont="1" applyFill="1" applyAlignment="1">
      <alignment horizontal="left" vertical="center"/>
    </xf>
    <xf numFmtId="0" fontId="32" fillId="12" borderId="0" xfId="0" applyFont="1" applyFill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33" fillId="12" borderId="0" xfId="0" applyFont="1" applyFill="1"/>
    <xf numFmtId="0" fontId="33" fillId="12" borderId="0" xfId="0" applyFont="1" applyFill="1" applyAlignment="1">
      <alignment horizontal="left" vertical="center"/>
    </xf>
    <xf numFmtId="0" fontId="34" fillId="12" borderId="0" xfId="0" applyFont="1" applyFill="1" applyAlignment="1">
      <alignment horizontal="center" vertical="center"/>
    </xf>
    <xf numFmtId="17" fontId="32" fillId="12" borderId="0" xfId="0" applyNumberFormat="1" applyFont="1" applyFill="1" applyAlignment="1">
      <alignment horizontal="center" vertical="center"/>
    </xf>
    <xf numFmtId="0" fontId="1" fillId="8" borderId="0" xfId="7" applyFill="1"/>
    <xf numFmtId="0" fontId="17" fillId="8" borderId="0" xfId="7" applyFont="1" applyFill="1" applyAlignment="1">
      <alignment horizontal="right" vertical="center"/>
    </xf>
    <xf numFmtId="0" fontId="17" fillId="8" borderId="0" xfId="7" applyFont="1" applyFill="1" applyAlignment="1">
      <alignment horizontal="center" vertical="center"/>
    </xf>
    <xf numFmtId="1" fontId="18" fillId="8" borderId="0" xfId="7" applyNumberFormat="1" applyFont="1" applyFill="1" applyAlignment="1">
      <alignment horizontal="left" vertical="center"/>
    </xf>
    <xf numFmtId="0" fontId="1" fillId="8" borderId="0" xfId="7" applyFill="1" applyAlignment="1">
      <alignment horizontal="center" vertical="center"/>
    </xf>
    <xf numFmtId="0" fontId="1" fillId="7" borderId="0" xfId="7" applyFill="1"/>
    <xf numFmtId="0" fontId="10" fillId="9" borderId="0" xfId="7" applyFont="1" applyFill="1" applyAlignment="1">
      <alignment horizontal="center" vertical="center"/>
    </xf>
    <xf numFmtId="0" fontId="10" fillId="7" borderId="0" xfId="7" applyFont="1" applyFill="1" applyAlignment="1">
      <alignment horizontal="center" vertical="center"/>
    </xf>
    <xf numFmtId="1" fontId="1" fillId="7" borderId="0" xfId="7" applyNumberFormat="1" applyFill="1" applyAlignment="1">
      <alignment horizontal="center" vertical="center"/>
    </xf>
    <xf numFmtId="0" fontId="1" fillId="8" borderId="0" xfId="7" applyFill="1" applyAlignment="1">
      <alignment horizontal="right"/>
    </xf>
    <xf numFmtId="1" fontId="1" fillId="8" borderId="0" xfId="7" applyNumberFormat="1" applyFill="1" applyAlignment="1">
      <alignment horizontal="center" vertical="center"/>
    </xf>
    <xf numFmtId="0" fontId="20" fillId="10" borderId="0" xfId="7" applyFont="1" applyFill="1" applyAlignment="1">
      <alignment horizontal="center" vertical="center"/>
    </xf>
    <xf numFmtId="0" fontId="20" fillId="10" borderId="0" xfId="7" applyFont="1" applyFill="1" applyAlignment="1">
      <alignment horizontal="center" vertical="center" wrapText="1"/>
    </xf>
    <xf numFmtId="1" fontId="20" fillId="10" borderId="0" xfId="7" applyNumberFormat="1" applyFont="1" applyFill="1" applyAlignment="1">
      <alignment horizontal="center" vertical="center" wrapText="1"/>
    </xf>
    <xf numFmtId="0" fontId="22" fillId="8" borderId="0" xfId="7" applyFont="1" applyFill="1" applyAlignment="1">
      <alignment horizontal="center" vertical="center"/>
    </xf>
    <xf numFmtId="2" fontId="22" fillId="8" borderId="0" xfId="7" applyNumberFormat="1" applyFont="1" applyFill="1" applyAlignment="1">
      <alignment horizontal="center" vertical="center"/>
    </xf>
    <xf numFmtId="164" fontId="22" fillId="8" borderId="0" xfId="7" applyNumberFormat="1" applyFont="1" applyFill="1" applyAlignment="1">
      <alignment horizontal="center" vertical="center"/>
    </xf>
    <xf numFmtId="0" fontId="22" fillId="11" borderId="0" xfId="7" applyFont="1" applyFill="1" applyAlignment="1">
      <alignment horizontal="center" vertical="center"/>
    </xf>
    <xf numFmtId="2" fontId="22" fillId="11" borderId="0" xfId="7" applyNumberFormat="1" applyFont="1" applyFill="1" applyAlignment="1">
      <alignment horizontal="center" vertical="center"/>
    </xf>
    <xf numFmtId="164" fontId="22" fillId="11" borderId="0" xfId="7" applyNumberFormat="1" applyFont="1" applyFill="1" applyAlignment="1">
      <alignment horizontal="center" vertical="center"/>
    </xf>
    <xf numFmtId="0" fontId="11" fillId="7" borderId="0" xfId="7" applyFont="1" applyFill="1"/>
    <xf numFmtId="1" fontId="1" fillId="7" borderId="0" xfId="7" applyNumberFormat="1" applyFill="1"/>
    <xf numFmtId="0" fontId="1" fillId="7" borderId="0" xfId="7" applyFill="1" applyAlignment="1">
      <alignment horizontal="right"/>
    </xf>
    <xf numFmtId="0" fontId="10" fillId="7" borderId="0" xfId="7" applyFont="1" applyFill="1"/>
    <xf numFmtId="0" fontId="23" fillId="7" borderId="0" xfId="7" applyFont="1" applyFill="1"/>
    <xf numFmtId="164" fontId="1" fillId="8" borderId="0" xfId="7" applyNumberFormat="1" applyFill="1"/>
    <xf numFmtId="49" fontId="1" fillId="7" borderId="0" xfId="7" applyNumberFormat="1" applyFill="1"/>
    <xf numFmtId="0" fontId="10" fillId="8" borderId="0" xfId="7" applyFont="1" applyFill="1"/>
    <xf numFmtId="164" fontId="10" fillId="7" borderId="0" xfId="7" applyNumberFormat="1" applyFont="1" applyFill="1"/>
    <xf numFmtId="164" fontId="1" fillId="7" borderId="0" xfId="7" applyNumberFormat="1" applyFill="1"/>
    <xf numFmtId="0" fontId="1" fillId="0" borderId="0" xfId="7"/>
    <xf numFmtId="1" fontId="1" fillId="0" borderId="0" xfId="7" applyNumberFormat="1" applyAlignment="1">
      <alignment horizontal="center"/>
    </xf>
    <xf numFmtId="164" fontId="1" fillId="0" borderId="0" xfId="7" applyNumberFormat="1" applyAlignment="1">
      <alignment horizontal="center"/>
    </xf>
    <xf numFmtId="0" fontId="1" fillId="0" borderId="0" xfId="7" applyAlignment="1">
      <alignment horizontal="center" vertical="center"/>
    </xf>
    <xf numFmtId="1" fontId="1" fillId="0" borderId="0" xfId="7" applyNumberFormat="1" applyAlignment="1">
      <alignment horizontal="center" vertical="center"/>
    </xf>
    <xf numFmtId="164" fontId="1" fillId="0" borderId="0" xfId="7" applyNumberFormat="1" applyAlignment="1">
      <alignment horizontal="center" vertical="center"/>
    </xf>
    <xf numFmtId="1" fontId="1" fillId="13" borderId="0" xfId="3" applyNumberFormat="1" applyFont="1" applyAlignment="1">
      <alignment horizontal="center" vertical="center"/>
    </xf>
    <xf numFmtId="0" fontId="1" fillId="13" borderId="18" xfId="3" applyFont="1" applyBorder="1" applyAlignment="1">
      <alignment horizontal="center" vertical="center"/>
    </xf>
    <xf numFmtId="0" fontId="1" fillId="7" borderId="0" xfId="2" applyFont="1" applyFill="1"/>
    <xf numFmtId="0" fontId="9" fillId="8" borderId="0" xfId="8" applyFill="1"/>
    <xf numFmtId="0" fontId="7" fillId="7" borderId="0" xfId="0" applyFont="1" applyFill="1" applyAlignment="1">
      <alignment horizontal="left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9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33" fillId="12" borderId="0" xfId="0" applyFont="1" applyFill="1" applyAlignment="1">
      <alignment horizontal="center" vertical="center"/>
    </xf>
    <xf numFmtId="0" fontId="11" fillId="13" borderId="27" xfId="3" applyFont="1" applyBorder="1" applyAlignment="1">
      <alignment horizontal="center" vertical="center"/>
    </xf>
    <xf numFmtId="0" fontId="11" fillId="13" borderId="28" xfId="3" applyFont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8" fillId="2" borderId="5" xfId="0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0" fontId="26" fillId="4" borderId="0" xfId="0" applyFont="1" applyFill="1" applyAlignment="1">
      <alignment horizontal="center" vertical="center" wrapText="1"/>
    </xf>
    <xf numFmtId="0" fontId="0" fillId="14" borderId="19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 wrapText="1"/>
    </xf>
    <xf numFmtId="0" fontId="0" fillId="14" borderId="21" xfId="0" applyFill="1" applyBorder="1" applyAlignment="1">
      <alignment horizontal="center" vertical="center" wrapText="1"/>
    </xf>
    <xf numFmtId="0" fontId="0" fillId="14" borderId="22" xfId="0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4" borderId="23" xfId="0" applyFill="1" applyBorder="1" applyAlignment="1">
      <alignment horizontal="center" vertical="center" wrapText="1"/>
    </xf>
    <xf numFmtId="0" fontId="0" fillId="14" borderId="24" xfId="0" applyFill="1" applyBorder="1" applyAlignment="1">
      <alignment horizontal="center" vertical="center" wrapText="1"/>
    </xf>
    <xf numFmtId="0" fontId="0" fillId="14" borderId="25" xfId="0" applyFill="1" applyBorder="1" applyAlignment="1">
      <alignment horizontal="center" vertical="center" wrapText="1"/>
    </xf>
    <xf numFmtId="0" fontId="0" fillId="14" borderId="26" xfId="0" applyFill="1" applyBorder="1" applyAlignment="1">
      <alignment horizontal="center" vertical="center" wrapText="1"/>
    </xf>
    <xf numFmtId="14" fontId="9" fillId="8" borderId="0" xfId="8" applyNumberFormat="1" applyFill="1" applyAlignment="1">
      <alignment horizontal="left"/>
    </xf>
    <xf numFmtId="0" fontId="9" fillId="12" borderId="0" xfId="8" applyFill="1" applyBorder="1" applyAlignment="1"/>
    <xf numFmtId="0" fontId="0" fillId="12" borderId="0" xfId="0" applyFill="1" applyAlignment="1">
      <alignment horizontal="left"/>
    </xf>
  </cellXfs>
  <cellStyles count="9">
    <cellStyle name="20% — akcent 1" xfId="3" builtinId="30"/>
    <cellStyle name="Akcent 1" xfId="1" builtinId="29"/>
    <cellStyle name="Hiperłącze" xfId="8" builtinId="8"/>
    <cellStyle name="Normal 2" xfId="2" xr:uid="{32C5DCD0-5240-4940-8218-168D30B66270}"/>
    <cellStyle name="Normal 2 2" xfId="5" xr:uid="{C75CE405-F78C-4C9E-849C-8B9A865AD059}"/>
    <cellStyle name="Normal 2 2 2" xfId="4" xr:uid="{14DF5238-5EB9-4636-91DF-67D4BEEC936D}"/>
    <cellStyle name="Normal 2 2 2 2" xfId="6" xr:uid="{164935F7-B6CA-4ED8-AD54-0BA894EC614F}"/>
    <cellStyle name="Normal 2 2 2 3" xfId="7" xr:uid="{9FDB0F0A-1481-4B8A-83DB-EA837A34D5D7}"/>
    <cellStyle name="Normalny" xfId="0" builtinId="0"/>
  </cellStyles>
  <dxfs count="3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1B7847E738D94ECF81C4EAA666F72494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7BF46A80B6F54D70BC72E92B8372DBE6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tableaus/scores/1AC4D12B29C44E2F87CACEDE92FB7F1E/4F4CEF653E8E48779C9C65A58C867358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F2E032A7448E42A3BFA22FD04F1C9521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9F634F806CE54F0F9F539A52CB034B29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events/results/1DFD78A24F804FED859780D1F095C526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encingtimelive.com/events/results/56B70427E99D46C5BE4CC3B76CDB0E66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F158AFE3ECB5426EBBC4507AF013DCDB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ncingtimelive.com/events/results/18C456BDB6704E4DA372CAE7ED9B5400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4FD63B8F21424FF892CBB15A9A160201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3/shv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engarde-service.com/?fbclid=IwAR1q8b20973WNdhLRYbl3vdP-rPK0cilvuHZi37KFNf-Dodoicffb3YOQe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engarde-service.com/competition/aeve_esgrima/evf_madrid_2023/t_sm_2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fencing.ophardt.online/en/search/results/27166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www.4fence.it/FIS/Risultati/2023-12-17-16_Terni_(TR)_-_3_Prova_Circuito_Naz.le_Master/index.php?a=SC&amp;s=M&amp;c=7&amp;f=clafinale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www.fencingtimelive.com/events/results/596DEB7962CE4C2BB3F94FCEB08F4F33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s://www.veteransfencing.eu/fencing/rankings/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s://www.veteransfencing.eu/fencing/rankings/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www.veteransfencing.eu/fencing/rankings/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hyperlink" Target="https://engarde-service.com/competition/e3f/efcv/mensabrev2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62D2E-E459-40A4-899A-23E614F92C3E}">
  <dimension ref="A1:AA38"/>
  <sheetViews>
    <sheetView workbookViewId="0">
      <selection activeCell="B17" sqref="B17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5" max="5" width="6.140625" customWidth="1"/>
    <col min="6" max="6" width="6.7109375" bestFit="1" customWidth="1"/>
    <col min="7" max="7" width="7.28515625" bestFit="1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20" width="6" customWidth="1"/>
    <col min="21" max="21" width="3.7109375" customWidth="1"/>
    <col min="22" max="22" width="6" customWidth="1"/>
    <col min="23" max="23" width="5.28515625" customWidth="1"/>
  </cols>
  <sheetData>
    <row r="1" spans="1:27" ht="14.25" thickBot="1">
      <c r="A1" s="3"/>
      <c r="B1" s="3"/>
      <c r="C1" s="3"/>
      <c r="D1" s="7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7" ht="14.25" customHeight="1" thickTop="1">
      <c r="A2" s="3"/>
      <c r="B2" s="4" t="s">
        <v>0</v>
      </c>
      <c r="C2" s="3"/>
      <c r="D2" s="5" t="s">
        <v>1</v>
      </c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Q2" s="3"/>
      <c r="R2" s="3"/>
      <c r="S2" s="3"/>
      <c r="T2" s="3"/>
      <c r="U2" s="3"/>
      <c r="V2" s="3"/>
      <c r="X2" s="275" t="s">
        <v>2</v>
      </c>
      <c r="Y2" s="276"/>
      <c r="Z2" s="276"/>
      <c r="AA2" s="277"/>
    </row>
    <row r="3" spans="1:27" ht="13.7">
      <c r="A3" s="3"/>
      <c r="B3" s="3"/>
      <c r="C3" s="3"/>
      <c r="D3" s="7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278"/>
      <c r="Y3" s="279"/>
      <c r="Z3" s="279"/>
      <c r="AA3" s="280"/>
    </row>
    <row r="4" spans="1:27" ht="24.75" customHeight="1" thickBot="1">
      <c r="A4" s="270" t="s">
        <v>4</v>
      </c>
      <c r="B4" s="272" t="s">
        <v>5</v>
      </c>
      <c r="C4" s="272" t="s">
        <v>6</v>
      </c>
      <c r="D4" s="272" t="s">
        <v>7</v>
      </c>
      <c r="E4" s="268" t="s">
        <v>8</v>
      </c>
      <c r="F4" s="269"/>
      <c r="G4" s="268" t="s">
        <v>9</v>
      </c>
      <c r="H4" s="269"/>
      <c r="I4" s="268" t="s">
        <v>10</v>
      </c>
      <c r="J4" s="269"/>
      <c r="K4" s="268" t="s">
        <v>11</v>
      </c>
      <c r="L4" s="269"/>
      <c r="M4" s="268" t="s">
        <v>12</v>
      </c>
      <c r="N4" s="269"/>
      <c r="O4" s="268" t="s">
        <v>13</v>
      </c>
      <c r="P4" s="269"/>
      <c r="Q4" s="268" t="s">
        <v>14</v>
      </c>
      <c r="R4" s="269"/>
      <c r="S4" s="268" t="s">
        <v>15</v>
      </c>
      <c r="T4" s="269"/>
      <c r="U4" s="268" t="s">
        <v>16</v>
      </c>
      <c r="V4" s="269"/>
      <c r="X4" s="281"/>
      <c r="Y4" s="282"/>
      <c r="Z4" s="282"/>
      <c r="AA4" s="283"/>
    </row>
    <row r="5" spans="1:27" ht="18" customHeight="1" thickTop="1">
      <c r="A5" s="271"/>
      <c r="B5" s="273"/>
      <c r="C5" s="273"/>
      <c r="D5" s="274"/>
      <c r="E5" s="2" t="s">
        <v>17</v>
      </c>
      <c r="F5" s="2" t="s">
        <v>18</v>
      </c>
      <c r="G5" s="2" t="s">
        <v>17</v>
      </c>
      <c r="H5" s="2" t="s">
        <v>18</v>
      </c>
      <c r="I5" s="2" t="s">
        <v>17</v>
      </c>
      <c r="J5" s="2" t="s">
        <v>18</v>
      </c>
      <c r="K5" s="2" t="s">
        <v>17</v>
      </c>
      <c r="L5" s="2" t="s">
        <v>18</v>
      </c>
      <c r="M5" s="2" t="s">
        <v>17</v>
      </c>
      <c r="N5" s="8" t="s">
        <v>18</v>
      </c>
      <c r="O5" s="2" t="s">
        <v>17</v>
      </c>
      <c r="P5" s="8" t="s">
        <v>18</v>
      </c>
      <c r="Q5" s="2" t="s">
        <v>17</v>
      </c>
      <c r="R5" s="8" t="s">
        <v>18</v>
      </c>
      <c r="S5" s="2" t="s">
        <v>17</v>
      </c>
      <c r="T5" s="8" t="s">
        <v>18</v>
      </c>
      <c r="U5" s="2" t="s">
        <v>17</v>
      </c>
      <c r="V5" s="8" t="s">
        <v>18</v>
      </c>
    </row>
    <row r="6" spans="1:27" ht="14.85" customHeight="1">
      <c r="A6" s="9">
        <f>ROW()-5</f>
        <v>1</v>
      </c>
      <c r="B6" s="218" t="s">
        <v>19</v>
      </c>
      <c r="C6" s="134"/>
      <c r="D6" s="80">
        <f>SUM(F6,H6,J6,L6,N6,P6,R6,T6,V6)-SUM(SMALL((F6,H6,J6,L6,N6,P6,R6,T6),1),SMALL((F6,H6,J6,L6,N6,P6,R6,T6),2))</f>
        <v>570.17879458520247</v>
      </c>
      <c r="E6" s="10" t="str">
        <f>_xlfn.XLOOKUP($B6,'GP1'!$C$6:$C$101,'GP1'!$B$6:$B$101,"")</f>
        <v>4k1</v>
      </c>
      <c r="F6" s="81">
        <f>_xlfn.XLOOKUP(E6,'GP1'!$B$6:$B$55,'GP1'!$A$6:$A$55,0)</f>
        <v>25.09</v>
      </c>
      <c r="G6" s="10" t="str">
        <f>_xlfn.XLOOKUP($B6,'GP2'!$C$6:$C$101,'GP2'!$B$6:$B$101,"")</f>
        <v>1k1</v>
      </c>
      <c r="H6" s="81">
        <f>_xlfn.XLOOKUP(G6,'GP2'!$B$6:$B$55,'GP2'!$A$6:$A$55,0)</f>
        <v>96.35</v>
      </c>
      <c r="I6" s="10" t="str">
        <f>_xlfn.XLOOKUP($B6,'GP3'!$C$6:$C$101,'GP3'!$B$6:$B$101,"")</f>
        <v>2k1</v>
      </c>
      <c r="J6" s="81">
        <f>_xlfn.XLOOKUP(I6,'GP3'!$B$6:$B$55,'GP3'!$A$6:$A$55,0)</f>
        <v>61.95</v>
      </c>
      <c r="K6" s="10">
        <f>_xlfn.XLOOKUP($B6,'GP4'!$C$6:$C$101,'GP4'!$B$6:$B$101,"")</f>
        <v>2</v>
      </c>
      <c r="L6" s="81">
        <f>_xlfn.XLOOKUP(K6,'GP4'!$B$6:$B$55,'GP4'!$A$6:$A$55,0)</f>
        <v>80.068366573734622</v>
      </c>
      <c r="M6" s="10">
        <f>_xlfn.XLOOKUP($B6,'GP5'!$C$6:$C$101,'GP5'!$B$6:$B$101,"")</f>
        <v>2</v>
      </c>
      <c r="N6" s="82">
        <f>_xlfn.XLOOKUP(M6,'GP5'!$B$6:$B$55,'GP5'!$A$6:$A$55,0)</f>
        <v>47.73793949684304</v>
      </c>
      <c r="O6" s="10">
        <f>_xlfn.XLOOKUP($B6,'GP6'!$C$6:$C$101,'GP6'!$B$6:$B$101,"")</f>
        <v>1</v>
      </c>
      <c r="P6" s="82">
        <f>_xlfn.XLOOKUP(O6,'GP6'!$B$6:$B$55,'GP6'!$A$6:$A$55,0)</f>
        <v>109.38991221028695</v>
      </c>
      <c r="Q6" s="10">
        <f>_xlfn.XLOOKUP($B6,'GP7'!$C$6:$C$101,'GP7'!$B$6:$B$101,"")</f>
        <v>4</v>
      </c>
      <c r="R6" s="82">
        <f>_xlfn.XLOOKUP(Q6,'GP7'!$B$6:$B$55,'GP7'!$A$6:$A$55,0)</f>
        <v>42.663591326189277</v>
      </c>
      <c r="S6" s="10">
        <f>_xlfn.XLOOKUP($B6,'GP8'!$C$6:$C$101,'GP8'!$B$6:$B$101,"")</f>
        <v>3</v>
      </c>
      <c r="T6" s="82">
        <f>_xlfn.XLOOKUP(S6,'GP8'!$B$6:$B$55,'GP8'!$A$6:$A$55,0)</f>
        <v>38.074616879691767</v>
      </c>
      <c r="U6" s="10">
        <f>_xlfn.XLOOKUP(B6,MPW!C$6:C$101,MPW!B$6:B$101,"")</f>
        <v>1</v>
      </c>
      <c r="V6" s="82">
        <f>_xlfn.XLOOKUP(U6,MPW!B$6:B$55,MPW!A$6:A$55,0)</f>
        <v>132.01898497814861</v>
      </c>
    </row>
    <row r="7" spans="1:27" ht="14.85" customHeight="1">
      <c r="A7" s="9">
        <f>ROW()-5</f>
        <v>2</v>
      </c>
      <c r="B7" s="11" t="s">
        <v>20</v>
      </c>
      <c r="C7" s="135"/>
      <c r="D7" s="80">
        <f>SUM(F7,H7,J7,L7,N7,P7,R7,T7,V7)-SUM(SMALL((F7,H7,J7,L7,N7,P7,R7,T7),1),SMALL((F7,H7,J7,L7,N7,P7,R7,T7),2))</f>
        <v>503.44057821611472</v>
      </c>
      <c r="E7" s="13">
        <f>_xlfn.XLOOKUP($B7,'GP1'!$C$6:$C$101,'GP1'!$B$6:$B$101,"")</f>
        <v>3</v>
      </c>
      <c r="F7" s="86">
        <f>_xlfn.XLOOKUP(E7,'GP1'!$B$6:$B$55,'GP1'!$A$6:$A$55,0)</f>
        <v>40.112279154887787</v>
      </c>
      <c r="G7" s="13">
        <f>_xlfn.XLOOKUP($B7,'GP2'!$C$6:$C$101,'GP2'!$B$6:$B$101,"")</f>
        <v>4</v>
      </c>
      <c r="H7" s="86">
        <f>_xlfn.XLOOKUP(G7,'GP2'!$B$6:$B$55,'GP2'!$A$6:$A$55,0)</f>
        <v>40.499060424929844</v>
      </c>
      <c r="I7" s="13">
        <f>_xlfn.XLOOKUP($B7,'GP3'!$C$6:$C$101,'GP3'!$B$6:$B$101,"")</f>
        <v>1</v>
      </c>
      <c r="J7" s="86">
        <f>_xlfn.XLOOKUP(I7,'GP3'!$B$6:$B$55,'GP3'!$A$6:$A$55,0)</f>
        <v>97.216380644951499</v>
      </c>
      <c r="K7" s="10">
        <f>_xlfn.XLOOKUP($B7,'GP4'!$C$6:$C$101,'GP4'!$B$6:$B$101,"")</f>
        <v>6</v>
      </c>
      <c r="L7" s="81">
        <f>_xlfn.XLOOKUP(K7,'GP4'!$B$6:$B$55,'GP4'!$A$6:$A$55,0)</f>
        <v>24.668204336905362</v>
      </c>
      <c r="M7" s="13" t="str">
        <f>_xlfn.XLOOKUP($B7,'GP5'!$C$6:$C$101,'GP5'!$B$6:$B$101,"")</f>
        <v/>
      </c>
      <c r="N7" s="87">
        <f>_xlfn.XLOOKUP(M7,'GP5'!$B$6:$B$55,'GP5'!$A$6:$A$55,0)</f>
        <v>0</v>
      </c>
      <c r="O7" s="13">
        <f>_xlfn.XLOOKUP($B7,'GP6'!$C$6:$C$101,'GP6'!$B$6:$B$101,"")</f>
        <v>2</v>
      </c>
      <c r="P7" s="87">
        <f>_xlfn.XLOOKUP(O7,'GP6'!$B$6:$B$55,'GP6'!$A$6:$A$55,0)</f>
        <v>78.176138352656224</v>
      </c>
      <c r="Q7" s="13">
        <f>_xlfn.XLOOKUP($B7,'GP7'!$C$6:$C$101,'GP7'!$B$6:$B$101,"")</f>
        <v>3</v>
      </c>
      <c r="R7" s="87">
        <f>_xlfn.XLOOKUP(Q7,'GP7'!$B$6:$B$55,'GP7'!$A$6:$A$55,0)</f>
        <v>55.204694129130715</v>
      </c>
      <c r="S7" s="13">
        <f>_xlfn.XLOOKUP($B7,'GP8'!$C$6:$C$101,'GP8'!$B$6:$B$101,"")</f>
        <v>1</v>
      </c>
      <c r="T7" s="87">
        <f>_xlfn.XLOOKUP(S7,'GP8'!$B$6:$B$55,'GP8'!$A$6:$A$55,0)</f>
        <v>97.216380644951499</v>
      </c>
      <c r="U7" s="13">
        <f>_xlfn.XLOOKUP(B7,MPW!C$6:C$101,MPW!B$6:B$101,"")</f>
        <v>2</v>
      </c>
      <c r="V7" s="87">
        <f>_xlfn.XLOOKUP(U7,MPW!B$6:B$55,MPW!A$6:A$55,0)</f>
        <v>95.015644864607268</v>
      </c>
    </row>
    <row r="8" spans="1:27" ht="15.75" customHeight="1">
      <c r="A8" s="9">
        <f>ROW()-5</f>
        <v>3</v>
      </c>
      <c r="B8" s="213" t="s">
        <v>21</v>
      </c>
      <c r="C8" s="12"/>
      <c r="D8" s="80">
        <f>SUM(F8,H8,J8,L8,N8,P8,R8,T8,V8)-SUM(SMALL((F8,H8,J8,L8,N8,P8,R8,T8),1),SMALL((F8,H8,J8,L8,N8,P8,R8,T8),2))</f>
        <v>446.50637182621364</v>
      </c>
      <c r="E8" s="13" t="str">
        <f>_xlfn.XLOOKUP($B8,'GP1'!$C$6:$C$101,'GP1'!$B$6:$B$101,"")</f>
        <v>3k1</v>
      </c>
      <c r="F8" s="86">
        <f>_xlfn.XLOOKUP(E8,'GP1'!$B$6:$B$55,'GP1'!$A$6:$A$55,0)</f>
        <v>38.074616879691767</v>
      </c>
      <c r="G8" s="13" t="str">
        <f>_xlfn.XLOOKUP($B8,'GP2'!$C$6:$C$101,'GP2'!$B$6:$B$101,"")</f>
        <v/>
      </c>
      <c r="H8" s="86">
        <f>_xlfn.XLOOKUP(G8,'GP2'!$B$6:$B$55,'GP2'!$A$6:$A$55,0)</f>
        <v>0</v>
      </c>
      <c r="I8" s="13" t="str">
        <f>_xlfn.XLOOKUP($B8,'GP3'!$C$6:$C$101,'GP3'!$B$6:$B$101,"")</f>
        <v>3k1</v>
      </c>
      <c r="J8" s="86">
        <f>_xlfn.XLOOKUP(I8,'GP3'!$B$6:$B$55,'GP3'!$A$6:$A$55,0)</f>
        <v>35.407149332988958</v>
      </c>
      <c r="K8" s="10">
        <f>_xlfn.XLOOKUP($B8,'GP4'!$C$6:$C$101,'GP4'!$B$6:$B$101,"")</f>
        <v>3</v>
      </c>
      <c r="L8" s="81">
        <f>_xlfn.XLOOKUP(K8,'GP4'!$B$6:$B$55,'GP4'!$A$6:$A$55,0)</f>
        <v>55.204694129130715</v>
      </c>
      <c r="M8" s="13">
        <f>_xlfn.XLOOKUP($B8,'GP5'!$C$6:$C$101,'GP5'!$B$6:$B$101,"")</f>
        <v>1</v>
      </c>
      <c r="N8" s="87">
        <f>_xlfn.XLOOKUP(M8,'GP5'!$B$6:$B$55,'GP5'!$A$6:$A$55,0)</f>
        <v>92.980246132766666</v>
      </c>
      <c r="O8" s="13">
        <f>_xlfn.XLOOKUP($B8,'GP6'!$C$6:$C$101,'GP6'!$B$6:$B$101,"")</f>
        <v>3</v>
      </c>
      <c r="P8" s="87">
        <f>_xlfn.XLOOKUP(O8,'GP6'!$B$6:$B$55,'GP6'!$A$6:$A$55,0)</f>
        <v>53.084362588832192</v>
      </c>
      <c r="Q8" s="13">
        <f>_xlfn.XLOOKUP($B8,'GP7'!$C$6:$C$101,'GP7'!$B$6:$B$101,"")</f>
        <v>1</v>
      </c>
      <c r="R8" s="87">
        <f>_xlfn.XLOOKUP(Q8,'GP7'!$B$6:$B$55,'GP7'!$A$6:$A$55,0)</f>
        <v>110.60485636595998</v>
      </c>
      <c r="S8" s="13">
        <f>_xlfn.XLOOKUP($B8,'GP8'!$C$6:$C$101,'GP8'!$B$6:$B$101,"")</f>
        <v>2</v>
      </c>
      <c r="T8" s="87">
        <f>_xlfn.XLOOKUP(S8,'GP8'!$B$6:$B$55,'GP8'!$A$6:$A$55,0)</f>
        <v>64.023434928341246</v>
      </c>
      <c r="U8" s="13">
        <f>_xlfn.XLOOKUP(B8,MPW!C$6:C$101,MPW!B$6:B$101,"")</f>
        <v>5</v>
      </c>
      <c r="V8" s="87">
        <f>_xlfn.XLOOKUP(U8,MPW!B$6:B$55,MPW!A$6:A$55,0)</f>
        <v>32.534160801491105</v>
      </c>
    </row>
    <row r="9" spans="1:27" ht="14.85" customHeight="1">
      <c r="A9" s="9">
        <f>ROW()-5</f>
        <v>4</v>
      </c>
      <c r="B9" s="11" t="s">
        <v>22</v>
      </c>
      <c r="C9" s="12"/>
      <c r="D9" s="80">
        <f>SUM(F9,H9,J9,L9,N9,P9,R9,T9,V9)-SUM(SMALL((F9,H9,J9,L9,N9,P9,R9,T9),1),SMALL((F9,H9,J9,L9,N9,P9,R9,T9),2))</f>
        <v>373.17162568272937</v>
      </c>
      <c r="E9" s="13">
        <f>_xlfn.XLOOKUP($B9,'GP1'!$C$6:$C$101,'GP1'!$B$6:$B$101,"")</f>
        <v>1</v>
      </c>
      <c r="F9" s="86">
        <f>_xlfn.XLOOKUP(E9,'GP1'!$B$6:$B$55,'GP1'!$A$6:$A$55,0)</f>
        <v>98</v>
      </c>
      <c r="G9" s="13">
        <f>_xlfn.XLOOKUP($B9,'GP2'!$C$6:$C$101,'GP2'!$B$6:$B$101,"")</f>
        <v>2</v>
      </c>
      <c r="H9" s="86">
        <f>_xlfn.XLOOKUP(G9,'GP2'!$B$6:$B$55,'GP2'!$A$6:$A$55,0)</f>
        <v>78.176138352656224</v>
      </c>
      <c r="I9" s="13">
        <f>_xlfn.XLOOKUP($B9,'GP3'!$C$6:$C$101,'GP3'!$B$6:$B$101,"")</f>
        <v>3</v>
      </c>
      <c r="J9" s="86">
        <f>_xlfn.XLOOKUP(I9,'GP3'!$B$6:$B$55,'GP3'!$A$6:$A$55,0)</f>
        <v>38.074616879691767</v>
      </c>
      <c r="K9" s="10">
        <f>_xlfn.XLOOKUP($B9,'GP4'!$C$6:$C$101,'GP4'!$B$6:$B$101,"")</f>
        <v>5</v>
      </c>
      <c r="L9" s="81">
        <f>_xlfn.XLOOKUP(K9,'GP4'!$B$6:$B$55,'GP4'!$A$6:$A$55,0)</f>
        <v>28.263412343478148</v>
      </c>
      <c r="M9" s="13" t="str">
        <f>_xlfn.XLOOKUP($B9,'GP5'!$C$6:$C$101,'GP5'!$B$6:$B$101,"")</f>
        <v/>
      </c>
      <c r="N9" s="87">
        <f>_xlfn.XLOOKUP(M9,'GP5'!$B$6:$B$55,'GP5'!$A$6:$A$55,0)</f>
        <v>0</v>
      </c>
      <c r="O9" s="13">
        <f>_xlfn.XLOOKUP($B9,'GP6'!$C$6:$C$101,'GP6'!$B$6:$B$101,"")</f>
        <v>4</v>
      </c>
      <c r="P9" s="87">
        <f>_xlfn.XLOOKUP(O9,'GP6'!$B$6:$B$55,'GP6'!$A$6:$A$55,0)</f>
        <v>40.499060424929844</v>
      </c>
      <c r="Q9" s="13">
        <f>_xlfn.XLOOKUP($B9,'GP7'!$C$6:$C$101,'GP7'!$B$6:$B$101,"")</f>
        <v>8</v>
      </c>
      <c r="R9" s="87">
        <f>_xlfn.XLOOKUP(Q9,'GP7'!$B$6:$B$55,'GP7'!$A$6:$A$55,0)</f>
        <v>18.995386989283922</v>
      </c>
      <c r="S9" s="13">
        <f>_xlfn.XLOOKUP($B9,'GP8'!$C$6:$C$101,'GP8'!$B$6:$B$101,"")</f>
        <v>4</v>
      </c>
      <c r="T9" s="87">
        <f>_xlfn.XLOOKUP(S9,'GP8'!$B$6:$B$55,'GP8'!$A$6:$A$55,0)</f>
        <v>25.091695663413823</v>
      </c>
      <c r="U9" s="13">
        <f>_xlfn.XLOOKUP(B9,MPW!C$6:C$101,MPW!B$6:B$101,"")</f>
        <v>3</v>
      </c>
      <c r="V9" s="87">
        <f>_xlfn.XLOOKUP(U9,MPW!B$6:B$55,MPW!A$6:A$55,0)</f>
        <v>65.066702018559553</v>
      </c>
    </row>
    <row r="10" spans="1:27" ht="14.85" customHeight="1">
      <c r="A10" s="9">
        <f>ROW()-5</f>
        <v>5</v>
      </c>
      <c r="B10" s="213" t="s">
        <v>23</v>
      </c>
      <c r="C10" s="12"/>
      <c r="D10" s="80">
        <f>SUM(F10,H10,J10,L10,N10,P10,R10,T10,V10)-SUM(SMALL((F10,H10,J10,L10,N10,P10,R10,T10),1),SMALL((F10,H10,J10,L10,N10,P10,R10,T10),2))</f>
        <v>328.12649705499979</v>
      </c>
      <c r="E10" s="13" t="str">
        <f>_xlfn.XLOOKUP($B10,'GP1'!$C$6:$C$101,'GP1'!$B$6:$B$101,"")</f>
        <v/>
      </c>
      <c r="F10" s="86">
        <f>_xlfn.XLOOKUP(E10,'GP1'!$B$6:$B$55,'GP1'!$A$6:$A$55,0)</f>
        <v>0</v>
      </c>
      <c r="G10" s="13">
        <f>_xlfn.XLOOKUP($B10,'GP2'!$C$6:$C$101,'GP2'!$B$6:$B$101,"")</f>
        <v>1</v>
      </c>
      <c r="H10" s="86">
        <f>_xlfn.XLOOKUP(G10,'GP2'!$B$6:$B$55,'GP2'!$A$6:$A$55,0)</f>
        <v>109.38991221028695</v>
      </c>
      <c r="I10" s="13" t="str">
        <f>_xlfn.XLOOKUP($B10,'GP3'!$C$6:$C$101,'GP3'!$B$6:$B$101,"")</f>
        <v/>
      </c>
      <c r="J10" s="86">
        <f>_xlfn.XLOOKUP(I10,'GP3'!$B$6:$B$55,'GP3'!$A$6:$A$55,0)</f>
        <v>0</v>
      </c>
      <c r="K10" s="10">
        <f>_xlfn.XLOOKUP($B10,'GP4'!$C$6:$C$101,'GP4'!$B$6:$B$101,"")</f>
        <v>1</v>
      </c>
      <c r="L10" s="81">
        <f>_xlfn.XLOOKUP(K10,'GP4'!$B$6:$B$55,'GP4'!$A$6:$A$55,0)</f>
        <v>110.60485636595998</v>
      </c>
      <c r="M10" s="13" t="str">
        <f>_xlfn.XLOOKUP($B10,'GP5'!$C$6:$C$101,'GP5'!$B$6:$B$101,"")</f>
        <v/>
      </c>
      <c r="N10" s="87">
        <f>_xlfn.XLOOKUP(M10,'GP5'!$B$6:$B$55,'GP5'!$A$6:$A$55,0)</f>
        <v>0</v>
      </c>
      <c r="O10" s="13" t="str">
        <f>_xlfn.XLOOKUP($B10,'GP6'!$C$6:$C$101,'GP6'!$B$6:$B$101,"")</f>
        <v/>
      </c>
      <c r="P10" s="87">
        <f>_xlfn.XLOOKUP(O10,'GP6'!$B$6:$B$55,'GP6'!$A$6:$A$55,0)</f>
        <v>0</v>
      </c>
      <c r="Q10" s="13">
        <f>_xlfn.XLOOKUP($B10,'GP7'!$C$6:$C$101,'GP7'!$B$6:$B$101,"")</f>
        <v>2</v>
      </c>
      <c r="R10" s="87">
        <f>_xlfn.XLOOKUP(Q10,'GP7'!$B$6:$B$55,'GP7'!$A$6:$A$55,0)</f>
        <v>80.068366573734622</v>
      </c>
      <c r="S10" s="13" t="str">
        <f>_xlfn.XLOOKUP($B10,'GP8'!$C$6:$C$101,'GP8'!$B$6:$B$101,"")</f>
        <v/>
      </c>
      <c r="T10" s="87">
        <f>_xlfn.XLOOKUP(S10,'GP8'!$B$6:$B$55,'GP8'!$A$6:$A$55,0)</f>
        <v>0</v>
      </c>
      <c r="U10" s="13">
        <f>_xlfn.XLOOKUP(B10,MPW!C$6:C$101,MPW!B$6:B$101,"")</f>
        <v>6</v>
      </c>
      <c r="V10" s="87">
        <f>_xlfn.XLOOKUP(U10,MPW!B$6:B$55,MPW!A$6:A$55,0)</f>
        <v>28.063361905018223</v>
      </c>
    </row>
    <row r="11" spans="1:27" ht="14.85" customHeight="1">
      <c r="A11" s="9">
        <f>ROW()-5</f>
        <v>6</v>
      </c>
      <c r="B11" s="11" t="s">
        <v>24</v>
      </c>
      <c r="C11" s="12"/>
      <c r="D11" s="80">
        <f>SUM(F11,H11,J11,L11,N11,P11,R11,T11,V11)-SUM(SMALL((F11,H11,J11,L11,N11,P11,R11,T11),1),SMALL((F11,H11,J11,L11,N11,P11,R11,T11),2))</f>
        <v>234.99691620451114</v>
      </c>
      <c r="E11" s="13">
        <f>_xlfn.XLOOKUP($B11,'GP1'!$C$6:$C$101,'GP1'!$B$6:$B$101,"")</f>
        <v>2</v>
      </c>
      <c r="F11" s="86">
        <f>_xlfn.XLOOKUP(E11,'GP1'!$B$6:$B$55,'GP1'!$A$6:$A$55,0)</f>
        <v>65.666666666666657</v>
      </c>
      <c r="G11" s="13">
        <f>_xlfn.XLOOKUP($B11,'GP2'!$C$6:$C$101,'GP2'!$B$6:$B$101,"")</f>
        <v>5</v>
      </c>
      <c r="H11" s="86">
        <f>_xlfn.XLOOKUP(G11,'GP2'!$B$6:$B$55,'GP2'!$A$6:$A$55,0)</f>
        <v>25.750469787535074</v>
      </c>
      <c r="I11" s="13">
        <f>_xlfn.XLOOKUP($B11,'GP3'!$C$6:$C$101,'GP3'!$B$6:$B$101,"")</f>
        <v>4</v>
      </c>
      <c r="J11" s="86">
        <f>_xlfn.XLOOKUP(I11,'GP3'!$B$6:$B$55,'GP3'!$A$6:$A$55,0)</f>
        <v>25.091695663413823</v>
      </c>
      <c r="K11" s="10">
        <f>_xlfn.XLOOKUP($B11,'GP4'!$C$6:$C$101,'GP4'!$B$6:$B$101,"")</f>
        <v>7</v>
      </c>
      <c r="L11" s="81">
        <f>_xlfn.XLOOKUP(K11,'GP4'!$B$6:$B$55,'GP4'!$A$6:$A$55,0)</f>
        <v>21.628499279099643</v>
      </c>
      <c r="M11" s="13" t="str">
        <f>_xlfn.XLOOKUP($B11,'GP5'!$C$6:$C$101,'GP5'!$B$6:$B$101,"")</f>
        <v/>
      </c>
      <c r="N11" s="87">
        <f>_xlfn.XLOOKUP(M11,'GP5'!$B$6:$B$55,'GP5'!$A$6:$A$55,0)</f>
        <v>0</v>
      </c>
      <c r="O11" s="13">
        <f>_xlfn.XLOOKUP($B11,'GP6'!$C$6:$C$101,'GP6'!$B$6:$B$101,"")</f>
        <v>7</v>
      </c>
      <c r="P11" s="87">
        <f>_xlfn.XLOOKUP(O11,'GP6'!$B$6:$B$55,'GP6'!$A$6:$A$55,0)</f>
        <v>18.590196039301418</v>
      </c>
      <c r="Q11" s="13">
        <f>_xlfn.XLOOKUP($B11,'GP7'!$C$6:$C$101,'GP7'!$B$6:$B$101,"")</f>
        <v>5</v>
      </c>
      <c r="R11" s="87">
        <f>_xlfn.XLOOKUP(Q11,'GP7'!$B$6:$B$55,'GP7'!$A$6:$A$55,0)</f>
        <v>28.263412343478148</v>
      </c>
      <c r="S11" s="13" t="str">
        <f>_xlfn.XLOOKUP($B11,'GP8'!$C$6:$C$101,'GP8'!$B$6:$B$101,"")</f>
        <v/>
      </c>
      <c r="T11" s="87">
        <f>_xlfn.XLOOKUP(S11,'GP8'!$B$6:$B$55,'GP8'!$A$6:$A$55,0)</f>
        <v>0</v>
      </c>
      <c r="U11" s="13">
        <f>_xlfn.XLOOKUP(B11,MPW!C$6:C$101,MPW!B$6:B$101,"")</f>
        <v>4</v>
      </c>
      <c r="V11" s="87">
        <f>_xlfn.XLOOKUP(U11,MPW!B$6:B$55,MPW!A$6:A$55,0)</f>
        <v>50.005976425016385</v>
      </c>
    </row>
    <row r="12" spans="1:27" ht="14.85" customHeight="1">
      <c r="A12" s="9">
        <f>ROW()-5</f>
        <v>7</v>
      </c>
      <c r="B12" s="213" t="s">
        <v>25</v>
      </c>
      <c r="C12" s="12"/>
      <c r="D12" s="80">
        <f>SUM(F12,H12,J12,L12,N12,P12,R12,T12,V12)-SUM(SMALL((F12,H12,J12,L12,N12,P12,R12,T12),1),SMALL((F12,H12,J12,L12,N12,P12,R12,T12),2))</f>
        <v>183.8217618107976</v>
      </c>
      <c r="E12" s="13">
        <f>_xlfn.XLOOKUP($B12,'GP1'!$C$6:$C$101,'GP1'!$B$6:$B$101,"")</f>
        <v>6</v>
      </c>
      <c r="F12" s="86">
        <f>_xlfn.XLOOKUP(E12,'GP1'!$B$6:$B$55,'GP1'!$A$6:$A$55,0)</f>
        <v>7.7789458215544443</v>
      </c>
      <c r="G12" s="13">
        <f>_xlfn.XLOOKUP($B12,'GP2'!$C$6:$C$101,'GP2'!$B$6:$B$101,"")</f>
        <v>3</v>
      </c>
      <c r="H12" s="86">
        <f>_xlfn.XLOOKUP(G12,'GP2'!$B$6:$B$55,'GP2'!$A$6:$A$55,0)</f>
        <v>53.084362588832192</v>
      </c>
      <c r="I12" s="13" t="str">
        <f>_xlfn.XLOOKUP($B12,'GP3'!$C$6:$C$101,'GP3'!$B$6:$B$101,"")</f>
        <v/>
      </c>
      <c r="J12" s="86">
        <f>_xlfn.XLOOKUP(I12,'GP3'!$B$6:$B$55,'GP3'!$A$6:$A$55,0)</f>
        <v>0</v>
      </c>
      <c r="K12" s="10">
        <f>_xlfn.XLOOKUP($B12,'GP4'!$C$6:$C$101,'GP4'!$B$6:$B$101,"")</f>
        <v>4</v>
      </c>
      <c r="L12" s="81">
        <f>_xlfn.XLOOKUP(K12,'GP4'!$B$6:$B$55,'GP4'!$A$6:$A$55,0)</f>
        <v>42.663591326189277</v>
      </c>
      <c r="M12" s="13" t="str">
        <f>_xlfn.XLOOKUP($B12,'GP5'!$C$6:$C$101,'GP5'!$B$6:$B$101,"")</f>
        <v/>
      </c>
      <c r="N12" s="87">
        <f>_xlfn.XLOOKUP(M12,'GP5'!$B$6:$B$55,'GP5'!$A$6:$A$55,0)</f>
        <v>0</v>
      </c>
      <c r="O12" s="13">
        <f>_xlfn.XLOOKUP($B12,'GP6'!$C$6:$C$101,'GP6'!$B$6:$B$101,"")</f>
        <v>6</v>
      </c>
      <c r="P12" s="87">
        <f>_xlfn.XLOOKUP(O12,'GP6'!$B$6:$B$55,'GP6'!$A$6:$A$55,0)</f>
        <v>21.870588731201465</v>
      </c>
      <c r="Q12" s="13">
        <f>_xlfn.XLOOKUP($B12,'GP7'!$C$6:$C$101,'GP7'!$B$6:$B$101,"")</f>
        <v>6</v>
      </c>
      <c r="R12" s="87">
        <f>_xlfn.XLOOKUP(Q12,'GP7'!$B$6:$B$55,'GP7'!$A$6:$A$55,0)</f>
        <v>24.668204336905362</v>
      </c>
      <c r="S12" s="13">
        <f>_xlfn.XLOOKUP($B12,'GP8'!$C$6:$C$101,'GP8'!$B$6:$B$101,"")</f>
        <v>5</v>
      </c>
      <c r="T12" s="87">
        <f>_xlfn.XLOOKUP(S12,'GP8'!$B$6:$B$55,'GP8'!$A$6:$A$55,0)</f>
        <v>9.472713708001109</v>
      </c>
      <c r="U12" s="13">
        <f>_xlfn.XLOOKUP(B12,MPW!C$6:C$101,MPW!B$6:B$101,"")</f>
        <v>7</v>
      </c>
      <c r="V12" s="87">
        <f>_xlfn.XLOOKUP(U12,MPW!B$6:B$55,MPW!A$6:A$55,0)</f>
        <v>24.283355298113769</v>
      </c>
    </row>
    <row r="13" spans="1:27" ht="14.85" customHeight="1">
      <c r="A13" s="9">
        <f>ROW()-5</f>
        <v>8</v>
      </c>
      <c r="B13" s="11" t="s">
        <v>26</v>
      </c>
      <c r="C13" s="12"/>
      <c r="D13" s="80">
        <f>SUM(F13,H13,J13,L13,N13,P13,R13,T13,V13)-SUM(SMALL((F13,H13,J13,L13,N13,P13,R13,T13),1),SMALL((F13,H13,J13,L13,N13,P13,R13,T13),2))</f>
        <v>123.73550767417636</v>
      </c>
      <c r="E13" s="13">
        <f>_xlfn.XLOOKUP($B13,'GP1'!$C$6:$C$101,'GP1'!$B$6:$B$101,"")</f>
        <v>4</v>
      </c>
      <c r="F13" s="86">
        <f>_xlfn.XLOOKUP(E13,'GP1'!$B$6:$B$55,'GP1'!$A$6:$A$55,0)</f>
        <v>27.333333333333329</v>
      </c>
      <c r="G13" s="13">
        <f>_xlfn.XLOOKUP($B13,'GP2'!$C$6:$C$101,'GP2'!$B$6:$B$101,"")</f>
        <v>6</v>
      </c>
      <c r="H13" s="86">
        <f>_xlfn.XLOOKUP(G13,'GP2'!$B$6:$B$55,'GP2'!$A$6:$A$55,0)</f>
        <v>21.870588731201465</v>
      </c>
      <c r="I13" s="13">
        <f>_xlfn.XLOOKUP($B13,'GP3'!$C$6:$C$101,'GP3'!$B$6:$B$101,"")</f>
        <v>5</v>
      </c>
      <c r="J13" s="86">
        <f>_xlfn.XLOOKUP(I13,'GP3'!$B$6:$B$55,'GP3'!$A$6:$A$55,0)</f>
        <v>9.472713708001109</v>
      </c>
      <c r="K13" s="10">
        <f>_xlfn.XLOOKUP($B13,'GP4'!$C$6:$C$101,'GP4'!$B$6:$B$101,"")</f>
        <v>9</v>
      </c>
      <c r="L13" s="81">
        <f>_xlfn.XLOOKUP(K13,'GP4'!$B$6:$B$55,'GP4'!$A$6:$A$55,0)</f>
        <v>6.6728173476214536</v>
      </c>
      <c r="M13" s="13" t="str">
        <f>_xlfn.XLOOKUP($B13,'GP5'!$C$6:$C$101,'GP5'!$B$6:$B$101,"")</f>
        <v/>
      </c>
      <c r="N13" s="87">
        <f>_xlfn.XLOOKUP(M13,'GP5'!$B$6:$B$55,'GP5'!$A$6:$A$55,0)</f>
        <v>0</v>
      </c>
      <c r="O13" s="13">
        <f>_xlfn.XLOOKUP($B13,'GP6'!$C$6:$C$101,'GP6'!$B$6:$B$101,"")</f>
        <v>8</v>
      </c>
      <c r="P13" s="87">
        <f>_xlfn.XLOOKUP(O13,'GP6'!$B$6:$B$55,'GP6'!$A$6:$A$55,0)</f>
        <v>15.74859063739477</v>
      </c>
      <c r="Q13" s="13">
        <f>_xlfn.XLOOKUP($B13,'GP7'!$C$6:$C$101,'GP7'!$B$6:$B$101,"")</f>
        <v>7</v>
      </c>
      <c r="R13" s="87">
        <f>_xlfn.XLOOKUP(Q13,'GP7'!$B$6:$B$55,'GP7'!$A$6:$A$55,0)</f>
        <v>21.628499279099643</v>
      </c>
      <c r="S13" s="13" t="str">
        <f>_xlfn.XLOOKUP($B13,'GP8'!$C$6:$C$101,'GP8'!$B$6:$B$101,"")</f>
        <v/>
      </c>
      <c r="T13" s="87">
        <f>_xlfn.XLOOKUP(S13,'GP8'!$B$6:$B$55,'GP8'!$A$6:$A$55,0)</f>
        <v>0</v>
      </c>
      <c r="U13" s="13">
        <f>_xlfn.XLOOKUP(B13,MPW!C$6:C$101,MPW!B$6:B$101,"")</f>
        <v>8</v>
      </c>
      <c r="V13" s="87">
        <f>_xlfn.XLOOKUP(U13,MPW!B$6:B$55,MPW!A$6:A$55,0)</f>
        <v>21.008964637524588</v>
      </c>
    </row>
    <row r="14" spans="1:27" ht="14.85" customHeight="1">
      <c r="A14" s="9">
        <f>ROW()-5</f>
        <v>9</v>
      </c>
      <c r="B14" s="11" t="s">
        <v>27</v>
      </c>
      <c r="C14" s="12"/>
      <c r="D14" s="80">
        <f>SUM(F14,H14,J14,L14,N14,P14,R14,T14,V14)-SUM(SMALL((F14,H14,J14,L14,N14,P14,R14,T14),1),SMALL((F14,H14,J14,L14,N14,P14,R14,T14),2))</f>
        <v>63.49384857461353</v>
      </c>
      <c r="E14" s="13">
        <f>_xlfn.XLOOKUP($B14,'GP1'!$C$6:$C$101,'GP1'!$B$6:$B$101,"")</f>
        <v>5</v>
      </c>
      <c r="F14" s="86">
        <f>_xlfn.XLOOKUP(E14,'GP1'!$B$6:$B$55,'GP1'!$A$6:$A$55,0)</f>
        <v>12.07517445017308</v>
      </c>
      <c r="G14" s="13" t="str">
        <f>_xlfn.XLOOKUP($B14,'GP2'!$C$6:$C$101,'GP2'!$B$6:$B$101,"")</f>
        <v/>
      </c>
      <c r="H14" s="86">
        <f>_xlfn.XLOOKUP(G14,'GP2'!$B$6:$B$55,'GP2'!$A$6:$A$55,0)</f>
        <v>0</v>
      </c>
      <c r="I14" s="13" t="str">
        <f>_xlfn.XLOOKUP($B14,'GP3'!$C$6:$C$101,'GP3'!$B$6:$B$101,"")</f>
        <v/>
      </c>
      <c r="J14" s="86">
        <f>_xlfn.XLOOKUP(I14,'GP3'!$B$6:$B$55,'GP3'!$A$6:$A$55,0)</f>
        <v>0</v>
      </c>
      <c r="K14" s="10">
        <f>_xlfn.XLOOKUP($B14,'GP4'!$C$6:$C$101,'GP4'!$B$6:$B$101,"")</f>
        <v>8</v>
      </c>
      <c r="L14" s="81">
        <f>_xlfn.XLOOKUP(K14,'GP4'!$B$6:$B$55,'GP4'!$A$6:$A$55,0)</f>
        <v>18.995386989283922</v>
      </c>
      <c r="M14" s="13" t="str">
        <f>_xlfn.XLOOKUP($B14,'GP5'!$C$6:$C$101,'GP5'!$B$6:$B$101,"")</f>
        <v/>
      </c>
      <c r="N14" s="87">
        <f>_xlfn.XLOOKUP(M14,'GP5'!$B$6:$B$55,'GP5'!$A$6:$A$55,0)</f>
        <v>0</v>
      </c>
      <c r="O14" s="13">
        <f>_xlfn.XLOOKUP($B14,'GP6'!$C$6:$C$101,'GP6'!$B$6:$B$101,"")</f>
        <v>5</v>
      </c>
      <c r="P14" s="87">
        <f>_xlfn.XLOOKUP(O14,'GP6'!$B$6:$B$55,'GP6'!$A$6:$A$55,0)</f>
        <v>25.750469787535074</v>
      </c>
      <c r="Q14" s="13">
        <f>_xlfn.XLOOKUP($B14,'GP7'!$C$6:$C$101,'GP7'!$B$6:$B$101,"")</f>
        <v>9</v>
      </c>
      <c r="R14" s="87">
        <f>_xlfn.XLOOKUP(Q14,'GP7'!$B$6:$B$55,'GP7'!$A$6:$A$55,0)</f>
        <v>6.6728173476214536</v>
      </c>
      <c r="S14" s="13" t="str">
        <f>_xlfn.XLOOKUP($B14,'GP8'!$C$6:$C$101,'GP8'!$B$6:$B$101,"")</f>
        <v/>
      </c>
      <c r="T14" s="87">
        <f>_xlfn.XLOOKUP(S14,'GP8'!$B$6:$B$55,'GP8'!$A$6:$A$55,0)</f>
        <v>0</v>
      </c>
      <c r="U14" s="13" t="str">
        <f>_xlfn.XLOOKUP(B14,MPW!C$6:C$101,MPW!B$6:B$101,"")</f>
        <v/>
      </c>
      <c r="V14" s="87">
        <f>_xlfn.XLOOKUP(U14,MPW!B$6:B$55,MPW!A$6:A$55,0)</f>
        <v>0</v>
      </c>
    </row>
    <row r="15" spans="1:27" ht="14.85" customHeight="1">
      <c r="A15" s="9">
        <f>ROW()-5</f>
        <v>10</v>
      </c>
      <c r="B15" s="11" t="s">
        <v>28</v>
      </c>
      <c r="C15" s="12"/>
      <c r="D15" s="80">
        <f>SUM(F15,H15,J15,L15,N15,P15,R15,T15,V15)-SUM(SMALL((F15,H15,J15,L15,N15,P15,R15,T15),1),SMALL((F15,H15,J15,L15,N15,P15,R15,T15),2))</f>
        <v>38.448407346092601</v>
      </c>
      <c r="E15" s="13">
        <f>_xlfn.XLOOKUP($B15,'GP1'!$C$6:$C$101,'GP1'!$B$6:$B$101,"")</f>
        <v>7</v>
      </c>
      <c r="F15" s="86">
        <f>_xlfn.XLOOKUP(E15,'GP1'!$B$6:$B$55,'GP1'!$A$6:$A$55,0)</f>
        <v>4.1465362730591337</v>
      </c>
      <c r="G15" s="13">
        <f>_xlfn.XLOOKUP($B15,'GP2'!$C$6:$C$101,'GP2'!$B$6:$B$101,"")</f>
        <v>8</v>
      </c>
      <c r="H15" s="86">
        <f>_xlfn.XLOOKUP(G15,'GP2'!$B$6:$B$55,'GP2'!$A$6:$A$55,0)</f>
        <v>15.74859063739477</v>
      </c>
      <c r="I15" s="13" t="str">
        <f>_xlfn.XLOOKUP($B15,'GP3'!$C$6:$C$101,'GP3'!$B$6:$B$101,"")</f>
        <v/>
      </c>
      <c r="J15" s="86">
        <f>_xlfn.XLOOKUP(I15,'GP3'!$B$6:$B$55,'GP3'!$A$6:$A$55,0)</f>
        <v>0</v>
      </c>
      <c r="K15" s="10">
        <f>_xlfn.XLOOKUP($B15,'GP4'!$C$6:$C$101,'GP4'!$B$6:$B$101,"")</f>
        <v>10</v>
      </c>
      <c r="L15" s="81">
        <f>_xlfn.XLOOKUP(K15,'GP4'!$B$6:$B$55,'GP4'!$A$6:$A$55,0)</f>
        <v>4.5952080065727898</v>
      </c>
      <c r="M15" s="13" t="str">
        <f>_xlfn.XLOOKUP($B15,'GP5'!$C$6:$C$101,'GP5'!$B$6:$B$101,"")</f>
        <v/>
      </c>
      <c r="N15" s="87">
        <f>_xlfn.XLOOKUP(M15,'GP5'!$B$6:$B$55,'GP5'!$A$6:$A$55,0)</f>
        <v>0</v>
      </c>
      <c r="O15" s="13">
        <f>_xlfn.XLOOKUP($B15,'GP6'!$C$6:$C$101,'GP6'!$B$6:$B$101,"")</f>
        <v>9</v>
      </c>
      <c r="P15" s="87">
        <f>_xlfn.XLOOKUP(O15,'GP6'!$B$6:$B$55,'GP6'!$A$6:$A$55,0)</f>
        <v>3.2421170374730792</v>
      </c>
      <c r="Q15" s="13">
        <f>_xlfn.XLOOKUP($B15,'GP7'!$C$6:$C$101,'GP7'!$B$6:$B$101,"")</f>
        <v>10</v>
      </c>
      <c r="R15" s="87">
        <f>_xlfn.XLOOKUP(Q15,'GP7'!$B$6:$B$55,'GP7'!$A$6:$A$55,0)</f>
        <v>4.5952080065727898</v>
      </c>
      <c r="S15" s="13" t="str">
        <f>_xlfn.XLOOKUP($B15,'GP8'!$C$6:$C$101,'GP8'!$B$6:$B$101,"")</f>
        <v/>
      </c>
      <c r="T15" s="87">
        <f>_xlfn.XLOOKUP(S15,'GP8'!$B$6:$B$55,'GP8'!$A$6:$A$55,0)</f>
        <v>0</v>
      </c>
      <c r="U15" s="13">
        <f>_xlfn.XLOOKUP(B15,MPW!C$6:C$101,MPW!B$6:B$101,"")</f>
        <v>9</v>
      </c>
      <c r="V15" s="87">
        <f>_xlfn.XLOOKUP(U15,MPW!B$6:B$55,MPW!A$6:A$55,0)</f>
        <v>6.1207473850200413</v>
      </c>
    </row>
    <row r="16" spans="1:27" ht="14.85" customHeight="1">
      <c r="A16" s="9">
        <f>ROW()-5</f>
        <v>11</v>
      </c>
      <c r="B16" s="11" t="s">
        <v>29</v>
      </c>
      <c r="C16" s="12"/>
      <c r="D16" s="80">
        <f>SUM(F16,H16,J16,L16,N16,P16,R16,T16,V16)-SUM(SMALL((F16,H16,J16,L16,N16,P16,R16,T16),1),SMALL((F16,H16,J16,L16,N16,P16,R16,T16),2))</f>
        <v>35.05880354491287</v>
      </c>
      <c r="E16" s="13">
        <f>_xlfn.XLOOKUP($B16,'GP1'!$C$6:$C$101,'GP1'!$B$6:$B$101,"")</f>
        <v>8</v>
      </c>
      <c r="F16" s="86">
        <f>_xlfn.XLOOKUP(E16,'GP1'!$B$6:$B$55,'GP1'!$A$6:$A$55,0)</f>
        <v>1</v>
      </c>
      <c r="G16" s="13" t="str">
        <f>_xlfn.XLOOKUP($B16,'GP2'!$C$6:$C$101,'GP2'!$B$6:$B$101,"")</f>
        <v/>
      </c>
      <c r="H16" s="86">
        <f>_xlfn.XLOOKUP(G16,'GP2'!$B$6:$B$55,'GP2'!$A$6:$A$55,0)</f>
        <v>0</v>
      </c>
      <c r="I16" s="13">
        <f>_xlfn.XLOOKUP($B16,'GP3'!$C$6:$C$101,'GP3'!$B$6:$B$101,"")</f>
        <v>6</v>
      </c>
      <c r="J16" s="86">
        <f>_xlfn.XLOOKUP(I16,'GP3'!$B$6:$B$55,'GP3'!$A$6:$A$55,0)</f>
        <v>4.8816711630815135</v>
      </c>
      <c r="K16" s="10">
        <f>_xlfn.XLOOKUP($B16,'GP4'!$C$6:$C$101,'GP4'!$B$6:$B$101,"")</f>
        <v>11</v>
      </c>
      <c r="L16" s="81">
        <f>_xlfn.XLOOKUP(K16,'GP4'!$B$6:$B$55,'GP4'!$A$6:$A$55,0)</f>
        <v>2.7157817469141534</v>
      </c>
      <c r="M16" s="13">
        <f>_xlfn.XLOOKUP($B16,'GP5'!$C$6:$C$101,'GP5'!$B$6:$B$101,"")</f>
        <v>3</v>
      </c>
      <c r="N16" s="87">
        <f>_xlfn.XLOOKUP(M16,'GP5'!$B$6:$B$55,'GP5'!$A$6:$A$55,0)</f>
        <v>15.326748710922224</v>
      </c>
      <c r="O16" s="13">
        <f>_xlfn.XLOOKUP($B16,'GP6'!$C$6:$C$101,'GP6'!$B$6:$B$101,"")</f>
        <v>10</v>
      </c>
      <c r="P16" s="87">
        <f>_xlfn.XLOOKUP(O16,'GP6'!$B$6:$B$55,'GP6'!$A$6:$A$55,0)</f>
        <v>1</v>
      </c>
      <c r="Q16" s="13">
        <f>_xlfn.XLOOKUP($B16,'GP7'!$C$6:$C$101,'GP7'!$B$6:$B$101,"")</f>
        <v>11</v>
      </c>
      <c r="R16" s="87">
        <f>_xlfn.XLOOKUP(Q16,'GP7'!$B$6:$B$55,'GP7'!$A$6:$A$55,0)</f>
        <v>2.7157817469141534</v>
      </c>
      <c r="S16" s="13">
        <f>_xlfn.XLOOKUP($B16,'GP8'!$C$6:$C$101,'GP8'!$B$6:$B$101,"")</f>
        <v>6</v>
      </c>
      <c r="T16" s="87">
        <f>_xlfn.XLOOKUP(S16,'GP8'!$B$6:$B$55,'GP8'!$A$6:$A$55,0)</f>
        <v>4.8816711630815135</v>
      </c>
      <c r="U16" s="13">
        <f>_xlfn.XLOOKUP(B16,MPW!C$6:C$101,MPW!B$6:B$101,"")</f>
        <v>10</v>
      </c>
      <c r="V16" s="87">
        <f>_xlfn.XLOOKUP(U16,MPW!B$6:B$55,MPW!A$6:A$55,0)</f>
        <v>3.5371490139993114</v>
      </c>
    </row>
    <row r="17" spans="1:22" ht="14.85" customHeight="1">
      <c r="A17" s="9">
        <f>ROW()-5</f>
        <v>12</v>
      </c>
      <c r="B17" s="11" t="s">
        <v>30</v>
      </c>
      <c r="C17" s="12"/>
      <c r="D17" s="80">
        <f>SUM(F17,H17,J17,L17,N17,P17,R17,T17,V17)-SUM(SMALL((F17,H17,J17,L17,N17,P17,R17,T17),1),SMALL((F17,H17,J17,L17,N17,P17,R17,T17),2))</f>
        <v>18.590196039301418</v>
      </c>
      <c r="E17" s="13" t="str">
        <f>_xlfn.XLOOKUP($B17,'GP1'!$C$6:$C$101,'GP1'!$B$6:$B$101,"")</f>
        <v/>
      </c>
      <c r="F17" s="86">
        <f>_xlfn.XLOOKUP(E17,'GP1'!$B$6:$B$55,'GP1'!$A$6:$A$55,0)</f>
        <v>0</v>
      </c>
      <c r="G17" s="13">
        <f>_xlfn.XLOOKUP($B17,'GP2'!$C$6:$C$101,'GP2'!$B$6:$B$101,"")</f>
        <v>7</v>
      </c>
      <c r="H17" s="86">
        <f>_xlfn.XLOOKUP(G17,'GP2'!$B$6:$B$55,'GP2'!$A$6:$A$55,0)</f>
        <v>18.590196039301418</v>
      </c>
      <c r="I17" s="13" t="str">
        <f>_xlfn.XLOOKUP($B17,'GP3'!$C$6:$C$101,'GP3'!$B$6:$B$101,"")</f>
        <v/>
      </c>
      <c r="J17" s="86">
        <f>_xlfn.XLOOKUP(I17,'GP3'!$B$6:$B$55,'GP3'!$A$6:$A$55,0)</f>
        <v>0</v>
      </c>
      <c r="K17" s="10" t="str">
        <f>_xlfn.XLOOKUP($B17,'GP4'!$C$6:$C$101,'GP4'!$B$6:$B$101,"")</f>
        <v/>
      </c>
      <c r="L17" s="81">
        <f>_xlfn.XLOOKUP(K17,'GP4'!$B$6:$B$55,'GP4'!$A$6:$A$55,0)</f>
        <v>0</v>
      </c>
      <c r="M17" s="13" t="str">
        <f>_xlfn.XLOOKUP($B17,'GP5'!$C$6:$C$101,'GP5'!$B$6:$B$101,"")</f>
        <v/>
      </c>
      <c r="N17" s="87">
        <f>_xlfn.XLOOKUP(M17,'GP5'!$B$6:$B$55,'GP5'!$A$6:$A$55,0)</f>
        <v>0</v>
      </c>
      <c r="O17" s="13" t="str">
        <f>_xlfn.XLOOKUP($B17,'GP6'!$C$6:$C$101,'GP6'!$B$6:$B$101,"")</f>
        <v/>
      </c>
      <c r="P17" s="87">
        <f>_xlfn.XLOOKUP(O17,'GP6'!$B$6:$B$55,'GP6'!$A$6:$A$55,0)</f>
        <v>0</v>
      </c>
      <c r="Q17" s="13" t="str">
        <f>_xlfn.XLOOKUP($B17,'GP7'!$C$6:$C$101,'GP7'!$B$6:$B$101,"")</f>
        <v/>
      </c>
      <c r="R17" s="87">
        <f>_xlfn.XLOOKUP(Q17,'GP7'!$B$6:$B$55,'GP7'!$A$6:$A$55,0)</f>
        <v>0</v>
      </c>
      <c r="S17" s="13" t="str">
        <f>_xlfn.XLOOKUP($B17,'GP8'!$C$6:$C$101,'GP8'!$B$6:$B$101,"")</f>
        <v/>
      </c>
      <c r="T17" s="87">
        <f>_xlfn.XLOOKUP(S17,'GP8'!$B$6:$B$55,'GP8'!$A$6:$A$55,0)</f>
        <v>0</v>
      </c>
      <c r="U17" s="13" t="str">
        <f>_xlfn.XLOOKUP(B17,MPW!C$6:C$101,MPW!B$6:B$101,"")</f>
        <v/>
      </c>
      <c r="V17" s="87">
        <f>_xlfn.XLOOKUP(U17,MPW!B$6:B$55,MPW!A$6:A$55,0)</f>
        <v>0</v>
      </c>
    </row>
    <row r="18" spans="1:22" ht="14.85" customHeight="1">
      <c r="A18" s="9">
        <f>ROW()-5</f>
        <v>13</v>
      </c>
      <c r="B18" s="11" t="s">
        <v>31</v>
      </c>
      <c r="C18" s="12"/>
      <c r="D18" s="80">
        <f>SUM(F18,H18,J18,L18,N18,P18,R18,T18,V18)-SUM(SMALL((F18,H18,J18,L18,N18,P18,R18,T18),1),SMALL((F18,H18,J18,L18,N18,P18,R18,T18),2))</f>
        <v>2.2000000000000002</v>
      </c>
      <c r="E18" s="13" t="str">
        <f>_xlfn.XLOOKUP($B18,'GP1'!$C$6:$C$101,'GP1'!$B$6:$B$101,"")</f>
        <v/>
      </c>
      <c r="F18" s="86">
        <f>_xlfn.XLOOKUP(E18,'GP1'!$B$6:$B$55,'GP1'!$A$6:$A$55,0)</f>
        <v>0</v>
      </c>
      <c r="G18" s="13" t="str">
        <f>_xlfn.XLOOKUP($B18,'GP2'!$C$6:$C$101,'GP2'!$B$6:$B$101,"")</f>
        <v/>
      </c>
      <c r="H18" s="86">
        <f>_xlfn.XLOOKUP(G18,'GP2'!$B$6:$B$55,'GP2'!$A$6:$A$55,0)</f>
        <v>0</v>
      </c>
      <c r="I18" s="13" t="str">
        <f>_xlfn.XLOOKUP($B18,'GP3'!$C$6:$C$101,'GP3'!$B$6:$B$101,"")</f>
        <v/>
      </c>
      <c r="J18" s="86">
        <f>_xlfn.XLOOKUP(I18,'GP3'!$B$6:$B$55,'GP3'!$A$6:$A$55,0)</f>
        <v>0</v>
      </c>
      <c r="K18" s="10" t="str">
        <f>_xlfn.XLOOKUP($B18,'GP4'!$C$6:$C$101,'GP4'!$B$6:$B$101,"")</f>
        <v/>
      </c>
      <c r="L18" s="81">
        <f>_xlfn.XLOOKUP(K18,'GP4'!$B$6:$B$55,'GP4'!$A$6:$A$55,0)</f>
        <v>0</v>
      </c>
      <c r="M18" s="13" t="str">
        <f>_xlfn.XLOOKUP($B18,'GP5'!$C$6:$C$101,'GP5'!$B$6:$B$101,"")</f>
        <v/>
      </c>
      <c r="N18" s="87">
        <f>_xlfn.XLOOKUP(M18,'GP5'!$B$6:$B$55,'GP5'!$A$6:$A$55,0)</f>
        <v>0</v>
      </c>
      <c r="O18" s="13" t="str">
        <f>_xlfn.XLOOKUP($B18,'GP6'!$C$6:$C$101,'GP6'!$B$6:$B$101,"")</f>
        <v/>
      </c>
      <c r="P18" s="87">
        <f>_xlfn.XLOOKUP(O18,'GP6'!$B$6:$B$55,'GP6'!$A$6:$A$55,0)</f>
        <v>0</v>
      </c>
      <c r="Q18" s="13">
        <f>_xlfn.XLOOKUP($B18,'GP7'!$C$6:$C$101,'GP7'!$B$6:$B$101,"")</f>
        <v>12</v>
      </c>
      <c r="R18" s="87">
        <f>_xlfn.XLOOKUP(Q18,'GP7'!$B$6:$B$55,'GP7'!$A$6:$A$55,0)</f>
        <v>1</v>
      </c>
      <c r="S18" s="13" t="str">
        <f>_xlfn.XLOOKUP($B18,'GP8'!$C$6:$C$101,'GP8'!$B$6:$B$101,"")</f>
        <v/>
      </c>
      <c r="T18" s="87">
        <f>_xlfn.XLOOKUP(S18,'GP8'!$B$6:$B$55,'GP8'!$A$6:$A$55,0)</f>
        <v>0</v>
      </c>
      <c r="U18" s="13">
        <f>_xlfn.XLOOKUP(B18,MPW!C$6:C$101,MPW!B$6:B$101,"")</f>
        <v>11</v>
      </c>
      <c r="V18" s="87">
        <f>_xlfn.XLOOKUP(U18,MPW!B$6:B$55,MPW!A$6:A$55,0)</f>
        <v>1.2</v>
      </c>
    </row>
    <row r="19" spans="1:22" ht="14.85" customHeight="1">
      <c r="A19" s="9">
        <f>ROW()-5</f>
        <v>14</v>
      </c>
      <c r="B19" s="267" t="s">
        <v>32</v>
      </c>
      <c r="C19" s="12"/>
      <c r="D19" s="80">
        <f>SUM(F19,H19,J19,L19,N19,P19,R19,T19,V19)-SUM(SMALL((F19,H19,J19,L19,N19,P19,R19,T19),1),SMALL((F19,H19,J19,L19,N19,P19,R19,T19),2))</f>
        <v>2</v>
      </c>
      <c r="E19" s="13" t="str">
        <f>_xlfn.XLOOKUP($B19,'GP1'!$C$6:$C$101,'GP1'!$B$6:$B$101,"")</f>
        <v/>
      </c>
      <c r="F19" s="86">
        <f>_xlfn.XLOOKUP(E19,'GP1'!$B$6:$B$55,'GP1'!$A$6:$A$55,0)</f>
        <v>0</v>
      </c>
      <c r="G19" s="13" t="str">
        <f>_xlfn.XLOOKUP($B19,'GP2'!$C$6:$C$101,'GP2'!$B$6:$B$101,"")</f>
        <v/>
      </c>
      <c r="H19" s="86">
        <f>_xlfn.XLOOKUP(G19,'GP2'!$B$6:$B$55,'GP2'!$A$6:$A$55,0)</f>
        <v>0</v>
      </c>
      <c r="I19" s="13" t="str">
        <f>_xlfn.XLOOKUP($B19,'GP3'!$C$6:$C$101,'GP3'!$B$6:$B$101,"")</f>
        <v/>
      </c>
      <c r="J19" s="86">
        <f>_xlfn.XLOOKUP(I19,'GP3'!$B$6:$B$55,'GP3'!$A$6:$A$55,0)</f>
        <v>0</v>
      </c>
      <c r="K19" s="10">
        <f>_xlfn.XLOOKUP($B19,'GP4'!$C$6:$C$101,'GP4'!$B$6:$B$101,"")</f>
        <v>12</v>
      </c>
      <c r="L19" s="81">
        <f>_xlfn.XLOOKUP(K19,'GP4'!$B$6:$B$55,'GP4'!$A$6:$A$55,0)</f>
        <v>1</v>
      </c>
      <c r="M19" s="13" t="str">
        <f>_xlfn.XLOOKUP($B19,'GP5'!$C$6:$C$101,'GP5'!$B$6:$B$101,"")</f>
        <v/>
      </c>
      <c r="N19" s="87">
        <f>_xlfn.XLOOKUP(M19,'GP5'!$B$6:$B$55,'GP5'!$A$6:$A$55,0)</f>
        <v>0</v>
      </c>
      <c r="O19" s="13" t="str">
        <f>_xlfn.XLOOKUP($B19,'GP6'!$C$6:$C$101,'GP6'!$B$6:$B$101,"")</f>
        <v/>
      </c>
      <c r="P19" s="87">
        <f>_xlfn.XLOOKUP(O19,'GP6'!$B$6:$B$55,'GP6'!$A$6:$A$55,0)</f>
        <v>0</v>
      </c>
      <c r="Q19" s="13" t="str">
        <f>_xlfn.XLOOKUP($B19,'GP7'!$C$6:$C$101,'GP7'!$B$6:$B$101,"")</f>
        <v/>
      </c>
      <c r="R19" s="87">
        <f>_xlfn.XLOOKUP(Q19,'GP7'!$B$6:$B$55,'GP7'!$A$6:$A$55,0)</f>
        <v>0</v>
      </c>
      <c r="S19" s="13">
        <f>_xlfn.XLOOKUP($B19,'GP8'!$C$6:$C$101,'GP8'!$B$6:$B$101,"")</f>
        <v>7</v>
      </c>
      <c r="T19" s="87">
        <f>_xlfn.XLOOKUP(S19,'GP8'!$B$6:$B$55,'GP8'!$A$6:$A$55,0)</f>
        <v>1</v>
      </c>
      <c r="U19" s="13" t="str">
        <f>_xlfn.XLOOKUP(B19,MPW!C$6:C$101,MPW!B$6:B$101,"")</f>
        <v/>
      </c>
      <c r="V19" s="87">
        <f>_xlfn.XLOOKUP(U19,MPW!B$6:B$55,MPW!A$6:A$55,0)</f>
        <v>0</v>
      </c>
    </row>
    <row r="20" spans="1:22" ht="14.85" customHeight="1">
      <c r="A20" s="9">
        <f>ROW()-5</f>
        <v>15</v>
      </c>
      <c r="B20" s="11" t="s">
        <v>33</v>
      </c>
      <c r="C20" s="12"/>
      <c r="D20" s="80">
        <f>SUM(F20,H20,J20,L20,N20,P20,R20,T20,V20)-SUM(SMALL((F20,H20,J20,L20,N20,P20,R20,T20),1),SMALL((F20,H20,J20,L20,N20,P20,R20,T20),2))</f>
        <v>1</v>
      </c>
      <c r="E20" s="13" t="str">
        <f>_xlfn.XLOOKUP($B20,'GP1'!$C$6:$C$101,'GP1'!$B$6:$B$101,"")</f>
        <v/>
      </c>
      <c r="F20" s="86">
        <f>_xlfn.XLOOKUP(E20,'GP1'!$B$6:$B$55,'GP1'!$A$6:$A$55,0)</f>
        <v>0</v>
      </c>
      <c r="G20" s="13">
        <f>_xlfn.XLOOKUP($B20,'GP2'!$C$6:$C$101,'GP2'!$B$6:$B$101,"")</f>
        <v>10</v>
      </c>
      <c r="H20" s="86">
        <f>_xlfn.XLOOKUP(G20,'GP2'!$B$6:$B$55,'GP2'!$A$6:$A$55,0)</f>
        <v>1</v>
      </c>
      <c r="I20" s="13" t="str">
        <f>_xlfn.XLOOKUP($B20,'GP3'!$C$6:$C$101,'GP3'!$B$6:$B$101,"")</f>
        <v/>
      </c>
      <c r="J20" s="86">
        <f>_xlfn.XLOOKUP(I20,'GP3'!$B$6:$B$55,'GP3'!$A$6:$A$55,0)</f>
        <v>0</v>
      </c>
      <c r="K20" s="10" t="str">
        <f>_xlfn.XLOOKUP($B20,'GP4'!$C$6:$C$101,'GP4'!$B$6:$B$101,"")</f>
        <v/>
      </c>
      <c r="L20" s="81">
        <f>_xlfn.XLOOKUP(K20,'GP4'!$B$6:$B$55,'GP4'!$A$6:$A$55,0)</f>
        <v>0</v>
      </c>
      <c r="M20" s="13" t="str">
        <f>_xlfn.XLOOKUP($B20,'GP5'!$C$6:$C$101,'GP5'!$B$6:$B$101,"")</f>
        <v/>
      </c>
      <c r="N20" s="87">
        <f>_xlfn.XLOOKUP(M20,'GP5'!$B$6:$B$55,'GP5'!$A$6:$A$55,0)</f>
        <v>0</v>
      </c>
      <c r="O20" s="13" t="str">
        <f>_xlfn.XLOOKUP($B20,'GP6'!$C$6:$C$101,'GP6'!$B$6:$B$101,"")</f>
        <v/>
      </c>
      <c r="P20" s="87">
        <f>_xlfn.XLOOKUP(O20,'GP6'!$B$6:$B$55,'GP6'!$A$6:$A$55,0)</f>
        <v>0</v>
      </c>
      <c r="Q20" s="13" t="str">
        <f>_xlfn.XLOOKUP($B20,'GP7'!$C$6:$C$101,'GP7'!$B$6:$B$101,"")</f>
        <v/>
      </c>
      <c r="R20" s="87">
        <f>_xlfn.XLOOKUP(Q20,'GP7'!$B$6:$B$55,'GP7'!$A$6:$A$55,0)</f>
        <v>0</v>
      </c>
      <c r="S20" s="13" t="str">
        <f>_xlfn.XLOOKUP($B20,'GP8'!$C$6:$C$101,'GP8'!$B$6:$B$101,"")</f>
        <v/>
      </c>
      <c r="T20" s="87">
        <f>_xlfn.XLOOKUP(S20,'GP8'!$B$6:$B$55,'GP8'!$A$6:$A$55,0)</f>
        <v>0</v>
      </c>
      <c r="U20" s="13" t="str">
        <f>_xlfn.XLOOKUP(B20,MPW!C$6:C$101,MPW!B$6:B$101,"")</f>
        <v/>
      </c>
      <c r="V20" s="87">
        <f>_xlfn.XLOOKUP(U20,MPW!B$6:B$55,MPW!A$6:A$55,0)</f>
        <v>0</v>
      </c>
    </row>
    <row r="21" spans="1:22" ht="14.85" customHeight="1">
      <c r="A21" s="9">
        <f>ROW()-5</f>
        <v>16</v>
      </c>
      <c r="B21" s="11"/>
      <c r="C21" s="12"/>
      <c r="D21" s="80">
        <f>SUM(F21,H21,J21,L21,N21,P21,R21,T21,V21)-SUM(SMALL((F21,H21,J21,L21,N21,P21,R21,T21),1),SMALL((F21,H21,J21,L21,N21,P21,R21,T21),2))</f>
        <v>0</v>
      </c>
      <c r="E21" s="13" t="str">
        <f>_xlfn.XLOOKUP($B21,'GP1'!$C$6:$C$101,'GP1'!$B$6:$B$101,"")</f>
        <v/>
      </c>
      <c r="F21" s="86">
        <f>_xlfn.XLOOKUP(E21,'GP1'!$B$6:$B$55,'GP1'!$A$6:$A$55,0)</f>
        <v>0</v>
      </c>
      <c r="G21" s="13">
        <f>_xlfn.XLOOKUP($B21,'GP2'!$C$6:$C$101,'GP2'!$B$6:$B$101,"")</f>
        <v>0</v>
      </c>
      <c r="H21" s="86">
        <f>_xlfn.XLOOKUP(G21,'GP2'!$B$6:$B$55,'GP2'!$A$6:$A$55,0)</f>
        <v>0</v>
      </c>
      <c r="I21" s="13" t="str">
        <f>_xlfn.XLOOKUP($B21,'GP3'!$C$6:$C$101,'GP3'!$B$6:$B$101,"")</f>
        <v/>
      </c>
      <c r="J21" s="86">
        <f>_xlfn.XLOOKUP(I21,'GP3'!$B$6:$B$55,'GP3'!$A$6:$A$55,0)</f>
        <v>0</v>
      </c>
      <c r="K21" s="10" t="str">
        <f>_xlfn.XLOOKUP($B21,'GP4'!$C$6:$C$101,'GP4'!$B$6:$B$101,"")</f>
        <v/>
      </c>
      <c r="L21" s="81">
        <f>_xlfn.XLOOKUP(K21,'GP4'!$B$6:$B$55,'GP4'!$A$6:$A$55,0)</f>
        <v>0</v>
      </c>
      <c r="M21" s="13" t="str">
        <f>_xlfn.XLOOKUP($B21,'GP5'!$C$6:$C$101,'GP5'!$B$6:$B$101,"")</f>
        <v/>
      </c>
      <c r="N21" s="87">
        <f>_xlfn.XLOOKUP(M21,'GP5'!$B$6:$B$55,'GP5'!$A$6:$A$55,0)</f>
        <v>0</v>
      </c>
      <c r="O21" s="13" t="str">
        <f>_xlfn.XLOOKUP($B21,'GP6'!$C$6:$C$101,'GP6'!$B$6:$B$101,"")</f>
        <v/>
      </c>
      <c r="P21" s="87">
        <f>_xlfn.XLOOKUP(O21,'GP6'!$B$6:$B$55,'GP6'!$A$6:$A$55,0)</f>
        <v>0</v>
      </c>
      <c r="Q21" s="13" t="str">
        <f>_xlfn.XLOOKUP($B21,'GP7'!$C$6:$C$101,'GP7'!$B$6:$B$101,"")</f>
        <v/>
      </c>
      <c r="R21" s="87">
        <f>_xlfn.XLOOKUP(Q21,'GP7'!$B$6:$B$55,'GP7'!$A$6:$A$55,0)</f>
        <v>0</v>
      </c>
      <c r="S21" s="13" t="str">
        <f>_xlfn.XLOOKUP($B21,'GP8'!$C$6:$C$101,'GP8'!$B$6:$B$101,"")</f>
        <v/>
      </c>
      <c r="T21" s="87">
        <f>_xlfn.XLOOKUP(S21,'GP8'!$B$6:$B$55,'GP8'!$A$6:$A$55,0)</f>
        <v>0</v>
      </c>
      <c r="U21" s="13" t="str">
        <f>_xlfn.XLOOKUP(B21,MPW!C$6:C$101,MPW!B$6:B$101,"")</f>
        <v/>
      </c>
      <c r="V21" s="87">
        <f>_xlfn.XLOOKUP(U21,MPW!B$6:B$55,MPW!A$6:A$55,0)</f>
        <v>0</v>
      </c>
    </row>
    <row r="22" spans="1:22" ht="14.85" customHeight="1">
      <c r="A22" s="9">
        <f>ROW()-5</f>
        <v>17</v>
      </c>
      <c r="B22" s="11"/>
      <c r="C22" s="12"/>
      <c r="D22" s="80">
        <f>SUM(F22,H22,J22,L22,N22,P22,R22,T22,V22)-SUM(SMALL((F22,H22,J22,L22,N22,P22,R22,T22),1),SMALL((F22,H22,J22,L22,N22,P22,R22,T22),2))</f>
        <v>0</v>
      </c>
      <c r="E22" s="13" t="str">
        <f>_xlfn.XLOOKUP($B22,'GP1'!$C$6:$C$101,'GP1'!$B$6:$B$101,"")</f>
        <v/>
      </c>
      <c r="F22" s="86">
        <f>_xlfn.XLOOKUP(E22,'GP1'!$B$6:$B$55,'GP1'!$A$6:$A$55,0)</f>
        <v>0</v>
      </c>
      <c r="G22" s="13">
        <f>_xlfn.XLOOKUP($B22,'GP2'!$C$6:$C$101,'GP2'!$B$6:$B$101,"")</f>
        <v>0</v>
      </c>
      <c r="H22" s="86">
        <f>_xlfn.XLOOKUP(G22,'GP2'!$B$6:$B$55,'GP2'!$A$6:$A$55,0)</f>
        <v>0</v>
      </c>
      <c r="I22" s="13" t="str">
        <f>_xlfn.XLOOKUP($B22,'GP3'!$C$6:$C$101,'GP3'!$B$6:$B$101,"")</f>
        <v/>
      </c>
      <c r="J22" s="86">
        <f>_xlfn.XLOOKUP(I22,'GP3'!$B$6:$B$55,'GP3'!$A$6:$A$55,0)</f>
        <v>0</v>
      </c>
      <c r="K22" s="10" t="str">
        <f>_xlfn.XLOOKUP($B22,'GP4'!$C$6:$C$101,'GP4'!$B$6:$B$101,"")</f>
        <v/>
      </c>
      <c r="L22" s="81">
        <f>_xlfn.XLOOKUP(K22,'GP4'!$B$6:$B$55,'GP4'!$A$6:$A$55,0)</f>
        <v>0</v>
      </c>
      <c r="M22" s="13" t="str">
        <f>_xlfn.XLOOKUP($B22,'GP5'!$C$6:$C$101,'GP5'!$B$6:$B$101,"")</f>
        <v/>
      </c>
      <c r="N22" s="87">
        <f>_xlfn.XLOOKUP(M22,'GP5'!$B$6:$B$55,'GP5'!$A$6:$A$55,0)</f>
        <v>0</v>
      </c>
      <c r="O22" s="13" t="str">
        <f>_xlfn.XLOOKUP($B22,'GP6'!$C$6:$C$101,'GP6'!$B$6:$B$101,"")</f>
        <v/>
      </c>
      <c r="P22" s="87">
        <f>_xlfn.XLOOKUP(O22,'GP6'!$B$6:$B$55,'GP6'!$A$6:$A$55,0)</f>
        <v>0</v>
      </c>
      <c r="Q22" s="13" t="str">
        <f>_xlfn.XLOOKUP($B22,'GP7'!$C$6:$C$101,'GP7'!$B$6:$B$101,"")</f>
        <v/>
      </c>
      <c r="R22" s="87">
        <f>_xlfn.XLOOKUP(Q22,'GP7'!$B$6:$B$55,'GP7'!$A$6:$A$55,0)</f>
        <v>0</v>
      </c>
      <c r="S22" s="13" t="str">
        <f>_xlfn.XLOOKUP($B22,'GP8'!$C$6:$C$101,'GP8'!$B$6:$B$101,"")</f>
        <v/>
      </c>
      <c r="T22" s="87">
        <f>_xlfn.XLOOKUP(S22,'GP8'!$B$6:$B$55,'GP8'!$A$6:$A$55,0)</f>
        <v>0</v>
      </c>
      <c r="U22" s="13" t="str">
        <f>_xlfn.XLOOKUP(B22,MPW!C$6:C$101,MPW!B$6:B$101,"")</f>
        <v/>
      </c>
      <c r="V22" s="87">
        <f>_xlfn.XLOOKUP(U22,MPW!B$6:B$55,MPW!A$6:A$55,0)</f>
        <v>0</v>
      </c>
    </row>
    <row r="23" spans="1:22" ht="14.85" customHeight="1">
      <c r="A23" s="9">
        <f>ROW()-5</f>
        <v>18</v>
      </c>
      <c r="B23" s="11"/>
      <c r="C23" s="12"/>
      <c r="D23" s="80">
        <f>SUM(F23,H23,J23,L23,N23,P23,R23,T23,V23)-SUM(SMALL((F23,H23,J23,L23,N23,P23,R23,T23),1),SMALL((F23,H23,J23,L23,N23,P23,R23,T23),2))</f>
        <v>0</v>
      </c>
      <c r="E23" s="13" t="str">
        <f>_xlfn.XLOOKUP($B23,'GP1'!$C$6:$C$101,'GP1'!$B$6:$B$101,"")</f>
        <v/>
      </c>
      <c r="F23" s="86">
        <f>_xlfn.XLOOKUP(E23,'GP1'!$B$6:$B$55,'GP1'!$A$6:$A$55,0)</f>
        <v>0</v>
      </c>
      <c r="G23" s="13">
        <f>_xlfn.XLOOKUP($B23,'GP2'!$C$6:$C$101,'GP2'!$B$6:$B$101,"")</f>
        <v>0</v>
      </c>
      <c r="H23" s="86">
        <f>_xlfn.XLOOKUP(G23,'GP2'!$B$6:$B$55,'GP2'!$A$6:$A$55,0)</f>
        <v>0</v>
      </c>
      <c r="I23" s="13" t="str">
        <f>_xlfn.XLOOKUP($B23,'GP3'!$C$6:$C$101,'GP3'!$B$6:$B$101,"")</f>
        <v/>
      </c>
      <c r="J23" s="86">
        <f>_xlfn.XLOOKUP(I23,'GP3'!$B$6:$B$55,'GP3'!$A$6:$A$55,0)</f>
        <v>0</v>
      </c>
      <c r="K23" s="10" t="str">
        <f>_xlfn.XLOOKUP($B23,'GP4'!$C$6:$C$101,'GP4'!$B$6:$B$101,"")</f>
        <v/>
      </c>
      <c r="L23" s="81">
        <f>_xlfn.XLOOKUP(K23,'GP4'!$B$6:$B$55,'GP4'!$A$6:$A$55,0)</f>
        <v>0</v>
      </c>
      <c r="M23" s="13" t="str">
        <f>_xlfn.XLOOKUP($B23,'GP5'!$C$6:$C$101,'GP5'!$B$6:$B$101,"")</f>
        <v/>
      </c>
      <c r="N23" s="87">
        <f>_xlfn.XLOOKUP(M23,'GP5'!$B$6:$B$55,'GP5'!$A$6:$A$55,0)</f>
        <v>0</v>
      </c>
      <c r="O23" s="13" t="str">
        <f>_xlfn.XLOOKUP($B23,'GP6'!$C$6:$C$101,'GP6'!$B$6:$B$101,"")</f>
        <v/>
      </c>
      <c r="P23" s="87">
        <f>_xlfn.XLOOKUP(O23,'GP6'!$B$6:$B$55,'GP6'!$A$6:$A$55,0)</f>
        <v>0</v>
      </c>
      <c r="Q23" s="13" t="str">
        <f>_xlfn.XLOOKUP($B23,'GP7'!$C$6:$C$101,'GP7'!$B$6:$B$101,"")</f>
        <v/>
      </c>
      <c r="R23" s="87">
        <f>_xlfn.XLOOKUP(Q23,'GP7'!$B$6:$B$55,'GP7'!$A$6:$A$55,0)</f>
        <v>0</v>
      </c>
      <c r="S23" s="13" t="str">
        <f>_xlfn.XLOOKUP($B23,'GP8'!$C$6:$C$101,'GP8'!$B$6:$B$101,"")</f>
        <v/>
      </c>
      <c r="T23" s="87">
        <f>_xlfn.XLOOKUP(S23,'GP8'!$B$6:$B$55,'GP8'!$A$6:$A$55,0)</f>
        <v>0</v>
      </c>
      <c r="U23" s="13" t="str">
        <f>_xlfn.XLOOKUP(B23,MPW!C$6:C$101,MPW!B$6:B$101,"")</f>
        <v/>
      </c>
      <c r="V23" s="87">
        <f>_xlfn.XLOOKUP(U23,MPW!B$6:B$55,MPW!A$6:A$55,0)</f>
        <v>0</v>
      </c>
    </row>
    <row r="24" spans="1:22" ht="14.85" customHeight="1">
      <c r="A24" s="9">
        <f>ROW()-5</f>
        <v>19</v>
      </c>
      <c r="B24" s="11"/>
      <c r="C24" s="12"/>
      <c r="D24" s="80">
        <f>SUM(F24,H24,J24,L24,N24,P24,R24,T24,V24)-SUM(SMALL((F24,H24,J24,L24,N24,P24,R24,T24),1),SMALL((F24,H24,J24,L24,N24,P24,R24,T24),2))</f>
        <v>0</v>
      </c>
      <c r="E24" s="13" t="str">
        <f>_xlfn.XLOOKUP($B24,'GP1'!$C$6:$C$101,'GP1'!$B$6:$B$101,"")</f>
        <v/>
      </c>
      <c r="F24" s="86">
        <f>_xlfn.XLOOKUP(E24,'GP1'!$B$6:$B$55,'GP1'!$A$6:$A$55,0)</f>
        <v>0</v>
      </c>
      <c r="G24" s="13">
        <f>_xlfn.XLOOKUP($B24,'GP2'!$C$6:$C$101,'GP2'!$B$6:$B$101,"")</f>
        <v>0</v>
      </c>
      <c r="H24" s="86">
        <f>_xlfn.XLOOKUP(G24,'GP2'!$B$6:$B$55,'GP2'!$A$6:$A$55,0)</f>
        <v>0</v>
      </c>
      <c r="I24" s="13" t="str">
        <f>_xlfn.XLOOKUP($B24,'GP3'!$C$6:$C$101,'GP3'!$B$6:$B$101,"")</f>
        <v/>
      </c>
      <c r="J24" s="86">
        <f>_xlfn.XLOOKUP(I24,'GP3'!$B$6:$B$55,'GP3'!$A$6:$A$55,0)</f>
        <v>0</v>
      </c>
      <c r="K24" s="10" t="str">
        <f>_xlfn.XLOOKUP($B24,'GP4'!$C$6:$C$101,'GP4'!$B$6:$B$101,"")</f>
        <v/>
      </c>
      <c r="L24" s="81">
        <f>_xlfn.XLOOKUP(K24,'GP4'!$B$6:$B$55,'GP4'!$A$6:$A$55,0)</f>
        <v>0</v>
      </c>
      <c r="M24" s="13" t="str">
        <f>_xlfn.XLOOKUP($B24,'GP5'!$C$6:$C$101,'GP5'!$B$6:$B$101,"")</f>
        <v/>
      </c>
      <c r="N24" s="87">
        <f>_xlfn.XLOOKUP(M24,'GP5'!$B$6:$B$55,'GP5'!$A$6:$A$55,0)</f>
        <v>0</v>
      </c>
      <c r="O24" s="13" t="str">
        <f>_xlfn.XLOOKUP($B24,'GP6'!$C$6:$C$101,'GP6'!$B$6:$B$101,"")</f>
        <v/>
      </c>
      <c r="P24" s="87">
        <f>_xlfn.XLOOKUP(O24,'GP6'!$B$6:$B$55,'GP6'!$A$6:$A$55,0)</f>
        <v>0</v>
      </c>
      <c r="Q24" s="13" t="str">
        <f>_xlfn.XLOOKUP($B24,'GP7'!$C$6:$C$101,'GP7'!$B$6:$B$101,"")</f>
        <v/>
      </c>
      <c r="R24" s="87">
        <f>_xlfn.XLOOKUP(Q24,'GP7'!$B$6:$B$55,'GP7'!$A$6:$A$55,0)</f>
        <v>0</v>
      </c>
      <c r="S24" s="13" t="str">
        <f>_xlfn.XLOOKUP($B24,'GP8'!$C$6:$C$101,'GP8'!$B$6:$B$101,"")</f>
        <v/>
      </c>
      <c r="T24" s="87">
        <f>_xlfn.XLOOKUP(S24,'GP8'!$B$6:$B$55,'GP8'!$A$6:$A$55,0)</f>
        <v>0</v>
      </c>
      <c r="U24" s="13" t="str">
        <f>_xlfn.XLOOKUP(B24,MPW!C$6:C$101,MPW!B$6:B$101,"")</f>
        <v/>
      </c>
      <c r="V24" s="87">
        <f>_xlfn.XLOOKUP(U24,MPW!B$6:B$55,MPW!A$6:A$55,0)</f>
        <v>0</v>
      </c>
    </row>
    <row r="25" spans="1:22" ht="14.85" customHeight="1">
      <c r="A25" s="9">
        <f>ROW()-5</f>
        <v>20</v>
      </c>
      <c r="B25" s="11"/>
      <c r="C25" s="12"/>
      <c r="D25" s="80">
        <f>SUM(F25,H25,J25,L25,N25,P25,R25,T25,V25)-SUM(SMALL((F25,H25,J25,L25,N25,P25,R25,T25),1),SMALL((F25,H25,J25,L25,N25,P25,R25,T25),2))</f>
        <v>0</v>
      </c>
      <c r="E25" s="13" t="str">
        <f>_xlfn.XLOOKUP($B25,'GP1'!$C$6:$C$101,'GP1'!$B$6:$B$101,"")</f>
        <v/>
      </c>
      <c r="F25" s="86">
        <f>_xlfn.XLOOKUP(E25,'GP1'!$B$6:$B$55,'GP1'!$A$6:$A$55,0)</f>
        <v>0</v>
      </c>
      <c r="G25" s="13">
        <f>_xlfn.XLOOKUP($B25,'GP2'!$C$6:$C$101,'GP2'!$B$6:$B$101,"")</f>
        <v>0</v>
      </c>
      <c r="H25" s="86">
        <f>_xlfn.XLOOKUP(G25,'GP2'!$B$6:$B$55,'GP2'!$A$6:$A$55,0)</f>
        <v>0</v>
      </c>
      <c r="I25" s="13" t="str">
        <f>_xlfn.XLOOKUP($B25,'GP3'!$C$6:$C$101,'GP3'!$B$6:$B$101,"")</f>
        <v/>
      </c>
      <c r="J25" s="86">
        <f>_xlfn.XLOOKUP(I25,'GP3'!$B$6:$B$55,'GP3'!$A$6:$A$55,0)</f>
        <v>0</v>
      </c>
      <c r="K25" s="10" t="str">
        <f>_xlfn.XLOOKUP($B25,'GP4'!$C$6:$C$101,'GP4'!$B$6:$B$101,"")</f>
        <v/>
      </c>
      <c r="L25" s="81">
        <f>_xlfn.XLOOKUP(K25,'GP4'!$B$6:$B$55,'GP4'!$A$6:$A$55,0)</f>
        <v>0</v>
      </c>
      <c r="M25" s="13" t="str">
        <f>_xlfn.XLOOKUP($B25,'GP5'!$C$6:$C$101,'GP5'!$B$6:$B$101,"")</f>
        <v/>
      </c>
      <c r="N25" s="87">
        <f>_xlfn.XLOOKUP(M25,'GP5'!$B$6:$B$55,'GP5'!$A$6:$A$55,0)</f>
        <v>0</v>
      </c>
      <c r="O25" s="13" t="str">
        <f>_xlfn.XLOOKUP($B25,'GP6'!$C$6:$C$101,'GP6'!$B$6:$B$101,"")</f>
        <v/>
      </c>
      <c r="P25" s="87">
        <f>_xlfn.XLOOKUP(O25,'GP6'!$B$6:$B$55,'GP6'!$A$6:$A$55,0)</f>
        <v>0</v>
      </c>
      <c r="Q25" s="13" t="str">
        <f>_xlfn.XLOOKUP($B25,'GP7'!$C$6:$C$101,'GP7'!$B$6:$B$101,"")</f>
        <v/>
      </c>
      <c r="R25" s="87">
        <f>_xlfn.XLOOKUP(Q25,'GP7'!$B$6:$B$55,'GP7'!$A$6:$A$55,0)</f>
        <v>0</v>
      </c>
      <c r="S25" s="13" t="str">
        <f>_xlfn.XLOOKUP($B25,'GP8'!$C$6:$C$101,'GP8'!$B$6:$B$101,"")</f>
        <v/>
      </c>
      <c r="T25" s="87">
        <f>_xlfn.XLOOKUP(S25,'GP8'!$B$6:$B$55,'GP8'!$A$6:$A$55,0)</f>
        <v>0</v>
      </c>
      <c r="U25" s="13" t="str">
        <f>_xlfn.XLOOKUP(B25,MPW!C$6:C$101,MPW!B$6:B$101,"")</f>
        <v/>
      </c>
      <c r="V25" s="87">
        <f>_xlfn.XLOOKUP(U25,MPW!B$6:B$55,MPW!A$6:A$55,0)</f>
        <v>0</v>
      </c>
    </row>
    <row r="26" spans="1:2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2" ht="65.4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2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2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2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2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2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</sheetData>
  <sheetProtection selectLockedCells="1" selectUnlockedCells="1"/>
  <autoFilter ref="A5:V5" xr:uid="{5E062D2E-E459-40A4-899A-23E614F92C3E}">
    <sortState xmlns:xlrd2="http://schemas.microsoft.com/office/spreadsheetml/2017/richdata2" ref="A7:V25">
      <sortCondition descending="1" ref="D5"/>
    </sortState>
  </autoFilter>
  <mergeCells count="14">
    <mergeCell ref="X2:AA4"/>
    <mergeCell ref="I4:J4"/>
    <mergeCell ref="K4:L4"/>
    <mergeCell ref="M4:N4"/>
    <mergeCell ref="U4:V4"/>
    <mergeCell ref="O4:P4"/>
    <mergeCell ref="Q4:R4"/>
    <mergeCell ref="S4:T4"/>
    <mergeCell ref="G4:H4"/>
    <mergeCell ref="A4:A5"/>
    <mergeCell ref="B4:B5"/>
    <mergeCell ref="C4:C5"/>
    <mergeCell ref="D4:D5"/>
    <mergeCell ref="E4:F4"/>
  </mergeCells>
  <conditionalFormatting sqref="A6:A25">
    <cfRule type="cellIs" dxfId="37" priority="7" operator="equal">
      <formula>3</formula>
    </cfRule>
    <cfRule type="cellIs" dxfId="36" priority="8" operator="equal">
      <formula>2</formula>
    </cfRule>
    <cfRule type="cellIs" dxfId="35" priority="9" operator="equal">
      <formula>1</formula>
    </cfRule>
  </conditionalFormatting>
  <conditionalFormatting sqref="D6:V25">
    <cfRule type="cellIs" dxfId="34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75149-965E-428F-B236-15DA265BF60B}">
  <sheetPr>
    <tabColor rgb="FF92D050"/>
  </sheetPr>
  <dimension ref="A1:AL343"/>
  <sheetViews>
    <sheetView workbookViewId="0">
      <selection activeCell="C3" sqref="C3:D3"/>
    </sheetView>
  </sheetViews>
  <sheetFormatPr defaultColWidth="8.85546875" defaultRowHeight="14.25"/>
  <cols>
    <col min="1" max="1" width="6.28515625" style="59" bestFit="1" customWidth="1"/>
    <col min="2" max="2" width="8.28515625" style="59" customWidth="1"/>
    <col min="3" max="3" width="34.7109375" style="59" customWidth="1"/>
    <col min="4" max="4" width="11.28515625" style="59" customWidth="1"/>
    <col min="5" max="6" width="8.85546875" style="59"/>
    <col min="7" max="7" width="0.85546875" style="59" customWidth="1"/>
    <col min="8" max="8" width="8.85546875" style="61"/>
    <col min="9" max="9" width="11" style="61" customWidth="1"/>
    <col min="10" max="10" width="15.28515625" style="61" customWidth="1"/>
    <col min="11" max="11" width="8.7109375" style="61" customWidth="1"/>
    <col min="12" max="12" width="11" style="61" customWidth="1"/>
    <col min="13" max="13" width="12.28515625" style="62" customWidth="1"/>
    <col min="14" max="15" width="13.85546875" style="15" customWidth="1"/>
    <col min="16" max="18" width="8.85546875" style="15"/>
    <col min="19" max="20" width="8.85546875" style="20"/>
    <col min="21" max="21" width="12.140625" style="20" customWidth="1"/>
    <col min="22" max="22" width="27.42578125" style="20" customWidth="1"/>
    <col min="23" max="38" width="8.85546875" style="20"/>
    <col min="39" max="16384" width="8.85546875" style="59"/>
  </cols>
  <sheetData>
    <row r="1" spans="1:36">
      <c r="A1" s="15"/>
      <c r="B1" s="15"/>
      <c r="C1" s="15"/>
      <c r="D1" s="15"/>
      <c r="E1" s="15"/>
      <c r="F1" s="15"/>
      <c r="G1" s="15"/>
      <c r="H1" s="16" t="s">
        <v>34</v>
      </c>
      <c r="I1" s="17" t="s">
        <v>35</v>
      </c>
      <c r="J1" s="17" t="s">
        <v>36</v>
      </c>
      <c r="K1" s="18" t="s">
        <v>37</v>
      </c>
      <c r="L1" s="19"/>
      <c r="M1" s="19"/>
    </row>
    <row r="2" spans="1:36">
      <c r="A2" s="15"/>
      <c r="B2" s="21" t="s">
        <v>38</v>
      </c>
      <c r="C2" s="284" t="s">
        <v>39</v>
      </c>
      <c r="D2" s="284"/>
      <c r="E2" s="22"/>
      <c r="F2" s="22"/>
      <c r="G2" s="22"/>
      <c r="H2" s="23">
        <v>8</v>
      </c>
      <c r="I2" s="24">
        <v>50</v>
      </c>
      <c r="J2" s="24">
        <v>10</v>
      </c>
      <c r="K2" s="67">
        <f>3*H2^(1/3)</f>
        <v>5.9999999999999991</v>
      </c>
      <c r="L2" s="19"/>
      <c r="M2" s="19"/>
    </row>
    <row r="3" spans="1:36" ht="14.25" customHeight="1">
      <c r="A3" s="15"/>
      <c r="B3" s="26" t="s">
        <v>40</v>
      </c>
      <c r="C3" s="285" t="s">
        <v>41</v>
      </c>
      <c r="D3" s="285"/>
      <c r="E3" s="27"/>
      <c r="F3" s="27"/>
      <c r="G3" s="27"/>
      <c r="H3" s="19"/>
      <c r="I3" s="19"/>
      <c r="J3" s="28"/>
      <c r="K3" s="19"/>
      <c r="L3" s="19"/>
      <c r="M3" s="19"/>
    </row>
    <row r="4" spans="1:36" ht="10.15" customHeight="1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700000000000003">
      <c r="A5" s="1" t="s">
        <v>42</v>
      </c>
      <c r="B5" s="30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9"/>
      <c r="H5" s="31" t="s">
        <v>48</v>
      </c>
      <c r="I5" s="32" t="s">
        <v>49</v>
      </c>
      <c r="J5" s="33" t="s">
        <v>50</v>
      </c>
      <c r="K5" s="32" t="s">
        <v>51</v>
      </c>
      <c r="L5" s="32" t="s">
        <v>52</v>
      </c>
      <c r="M5" s="31" t="s">
        <v>53</v>
      </c>
    </row>
    <row r="6" spans="1:36" ht="14.45" customHeight="1">
      <c r="A6" s="34">
        <f>M6</f>
        <v>98</v>
      </c>
      <c r="B6" s="35">
        <f t="shared" ref="B6:B13" si="0">IF(H6&gt;$H$2,"",(ROW()-5))</f>
        <v>1</v>
      </c>
      <c r="C6" s="36" t="s">
        <v>22</v>
      </c>
      <c r="D6" s="36" t="s">
        <v>54</v>
      </c>
      <c r="E6" s="36"/>
      <c r="F6" s="36" t="s">
        <v>55</v>
      </c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3</v>
      </c>
      <c r="K6" s="37">
        <f t="shared" ref="K6:K69" si="1">J6*$J$2</f>
        <v>30</v>
      </c>
      <c r="L6" s="39">
        <f>3*K2</f>
        <v>17.999999999999996</v>
      </c>
      <c r="M6" s="39">
        <f t="shared" ref="M6:M69" si="2">IF(I6&lt;&gt;"",K6+I6+L6,0)</f>
        <v>98</v>
      </c>
    </row>
    <row r="7" spans="1:36" ht="14.45" customHeight="1">
      <c r="A7" s="40">
        <f t="shared" ref="A7:A37" si="3">M7</f>
        <v>65.666666666666657</v>
      </c>
      <c r="B7" s="41">
        <f t="shared" si="0"/>
        <v>2</v>
      </c>
      <c r="C7" s="42" t="s">
        <v>24</v>
      </c>
      <c r="D7" s="42" t="s">
        <v>56</v>
      </c>
      <c r="E7" s="42"/>
      <c r="F7" s="42" t="s">
        <v>55</v>
      </c>
      <c r="G7" s="29"/>
      <c r="H7" s="43">
        <v>2</v>
      </c>
      <c r="I7" s="44">
        <f t="shared" ref="I7:I69" si="4">IF(H7&lt;$H$2+1,($I$2-($I$2-1)*(LOG(H7)/LOG($H$2))),"")</f>
        <v>33.666666666666664</v>
      </c>
      <c r="J7" s="43">
        <f t="shared" ref="J7:J70" si="5">INT(LOG($H$2,2))-ROUNDUP(LOG(H7,2),0)+IF(OR($H$2=1,$H$2=2,$H$2=4,$H$2=8,$H$2=16,$H$2=32,$H$2=64,$H$2=128,$H$2=256),0,1)</f>
        <v>2</v>
      </c>
      <c r="K7" s="43">
        <f t="shared" si="1"/>
        <v>20</v>
      </c>
      <c r="L7" s="45">
        <f>2*K2</f>
        <v>11.999999999999998</v>
      </c>
      <c r="M7" s="45">
        <f t="shared" si="2"/>
        <v>65.666666666666657</v>
      </c>
    </row>
    <row r="8" spans="1:36" ht="14.45" customHeight="1">
      <c r="A8" s="34">
        <f t="shared" si="3"/>
        <v>40.112279154887787</v>
      </c>
      <c r="B8" s="35">
        <f t="shared" si="0"/>
        <v>3</v>
      </c>
      <c r="C8" s="36" t="s">
        <v>20</v>
      </c>
      <c r="D8" s="36" t="s">
        <v>54</v>
      </c>
      <c r="E8" s="36"/>
      <c r="F8" s="36" t="s">
        <v>55</v>
      </c>
      <c r="G8" s="29"/>
      <c r="H8" s="37">
        <v>3</v>
      </c>
      <c r="I8" s="38">
        <f t="shared" si="4"/>
        <v>24.112279154887784</v>
      </c>
      <c r="J8" s="37">
        <f t="shared" si="5"/>
        <v>1</v>
      </c>
      <c r="K8" s="37">
        <f t="shared" si="1"/>
        <v>10</v>
      </c>
      <c r="L8" s="39">
        <f>K2</f>
        <v>5.9999999999999991</v>
      </c>
      <c r="M8" s="39">
        <f t="shared" si="2"/>
        <v>40.112279154887787</v>
      </c>
    </row>
    <row r="9" spans="1:36" ht="14.45" customHeight="1">
      <c r="A9" s="40">
        <f t="shared" si="3"/>
        <v>27.333333333333329</v>
      </c>
      <c r="B9" s="41">
        <f t="shared" si="0"/>
        <v>4</v>
      </c>
      <c r="C9" s="42" t="s">
        <v>26</v>
      </c>
      <c r="D9" s="42" t="s">
        <v>54</v>
      </c>
      <c r="E9" s="42"/>
      <c r="F9" s="42" t="s">
        <v>55</v>
      </c>
      <c r="G9" s="29"/>
      <c r="H9" s="43">
        <v>4</v>
      </c>
      <c r="I9" s="44">
        <f t="shared" si="4"/>
        <v>17.333333333333329</v>
      </c>
      <c r="J9" s="43">
        <f t="shared" si="5"/>
        <v>1</v>
      </c>
      <c r="K9" s="43">
        <f t="shared" si="1"/>
        <v>10</v>
      </c>
      <c r="L9" s="45"/>
      <c r="M9" s="45">
        <f t="shared" si="2"/>
        <v>27.333333333333329</v>
      </c>
      <c r="V9" s="46"/>
      <c r="Z9" s="47"/>
      <c r="AA9" s="47"/>
      <c r="AG9" s="48"/>
      <c r="AH9" s="20" t="s">
        <v>57</v>
      </c>
      <c r="AI9" s="20">
        <v>23</v>
      </c>
    </row>
    <row r="10" spans="1:36" ht="14.45" customHeight="1">
      <c r="A10" s="34">
        <f t="shared" si="3"/>
        <v>12.07517445017308</v>
      </c>
      <c r="B10" s="35">
        <f t="shared" si="0"/>
        <v>5</v>
      </c>
      <c r="C10" s="36" t="s">
        <v>27</v>
      </c>
      <c r="D10" s="36" t="s">
        <v>54</v>
      </c>
      <c r="E10" s="36"/>
      <c r="F10" s="36" t="s">
        <v>55</v>
      </c>
      <c r="G10" s="29"/>
      <c r="H10" s="37">
        <v>5</v>
      </c>
      <c r="I10" s="38">
        <f t="shared" si="4"/>
        <v>12.07517445017308</v>
      </c>
      <c r="J10" s="37">
        <f t="shared" si="5"/>
        <v>0</v>
      </c>
      <c r="K10" s="37">
        <f t="shared" si="1"/>
        <v>0</v>
      </c>
      <c r="L10" s="37"/>
      <c r="M10" s="39">
        <f t="shared" si="2"/>
        <v>12.07517445017308</v>
      </c>
      <c r="V10" s="46"/>
      <c r="Z10" s="47"/>
      <c r="AA10" s="47"/>
      <c r="AG10" s="48"/>
      <c r="AH10" s="20" t="s">
        <v>58</v>
      </c>
      <c r="AI10" s="20">
        <v>45</v>
      </c>
    </row>
    <row r="11" spans="1:36" ht="14.45" customHeight="1">
      <c r="A11" s="40">
        <f t="shared" si="3"/>
        <v>7.7789458215544443</v>
      </c>
      <c r="B11" s="41">
        <f t="shared" si="0"/>
        <v>6</v>
      </c>
      <c r="C11" s="42" t="s">
        <v>25</v>
      </c>
      <c r="D11" s="42" t="s">
        <v>59</v>
      </c>
      <c r="E11" s="42"/>
      <c r="F11" s="42" t="s">
        <v>55</v>
      </c>
      <c r="G11" s="29"/>
      <c r="H11" s="43">
        <v>6</v>
      </c>
      <c r="I11" s="44">
        <f t="shared" si="4"/>
        <v>7.7789458215544443</v>
      </c>
      <c r="J11" s="43">
        <f t="shared" si="5"/>
        <v>0</v>
      </c>
      <c r="K11" s="43">
        <f t="shared" si="1"/>
        <v>0</v>
      </c>
      <c r="L11" s="43"/>
      <c r="M11" s="45">
        <f t="shared" si="2"/>
        <v>7.7789458215544443</v>
      </c>
      <c r="V11" s="49"/>
      <c r="Z11" s="47"/>
      <c r="AA11" s="47"/>
      <c r="AG11" s="48"/>
      <c r="AH11" s="20" t="s">
        <v>60</v>
      </c>
      <c r="AI11" s="20">
        <v>50</v>
      </c>
    </row>
    <row r="12" spans="1:36" ht="14.45" customHeight="1">
      <c r="A12" s="34">
        <f t="shared" si="3"/>
        <v>4.1465362730591337</v>
      </c>
      <c r="B12" s="35">
        <f t="shared" si="0"/>
        <v>7</v>
      </c>
      <c r="C12" s="36" t="s">
        <v>28</v>
      </c>
      <c r="D12" s="36" t="s">
        <v>54</v>
      </c>
      <c r="E12" s="36"/>
      <c r="F12" s="36" t="s">
        <v>55</v>
      </c>
      <c r="G12" s="29"/>
      <c r="H12" s="37">
        <v>7</v>
      </c>
      <c r="I12" s="38">
        <f t="shared" si="4"/>
        <v>4.1465362730591337</v>
      </c>
      <c r="J12" s="37">
        <f t="shared" si="5"/>
        <v>0</v>
      </c>
      <c r="K12" s="37">
        <f t="shared" si="1"/>
        <v>0</v>
      </c>
      <c r="L12" s="37"/>
      <c r="M12" s="39">
        <f t="shared" si="2"/>
        <v>4.1465362730591337</v>
      </c>
      <c r="Z12" s="47"/>
      <c r="AA12" s="47"/>
      <c r="AG12" s="48"/>
      <c r="AH12" s="20" t="s">
        <v>61</v>
      </c>
      <c r="AI12" s="20">
        <f>AI11-1</f>
        <v>49</v>
      </c>
    </row>
    <row r="13" spans="1:36" ht="14.45" customHeight="1">
      <c r="A13" s="40">
        <f>M13</f>
        <v>1</v>
      </c>
      <c r="B13" s="41">
        <f t="shared" si="0"/>
        <v>8</v>
      </c>
      <c r="C13" s="42" t="s">
        <v>29</v>
      </c>
      <c r="D13" s="42"/>
      <c r="E13" s="42"/>
      <c r="F13" s="42"/>
      <c r="G13" s="29"/>
      <c r="H13" s="43">
        <v>8</v>
      </c>
      <c r="I13" s="44">
        <f t="shared" si="4"/>
        <v>1</v>
      </c>
      <c r="J13" s="43">
        <f t="shared" si="5"/>
        <v>0</v>
      </c>
      <c r="K13" s="43">
        <f t="shared" si="1"/>
        <v>0</v>
      </c>
      <c r="L13" s="43"/>
      <c r="M13" s="45">
        <f t="shared" si="2"/>
        <v>1</v>
      </c>
      <c r="X13" s="46"/>
      <c r="AG13" s="48"/>
      <c r="AH13" s="20" t="s">
        <v>62</v>
      </c>
      <c r="AI13" s="20">
        <f>LOG(AI9)</f>
        <v>1.3617278360175928</v>
      </c>
    </row>
    <row r="14" spans="1:36">
      <c r="A14" s="217">
        <v>38.074616879691767</v>
      </c>
      <c r="B14" s="215" t="s">
        <v>63</v>
      </c>
      <c r="C14" s="216" t="s">
        <v>21</v>
      </c>
      <c r="D14" s="36"/>
      <c r="E14" s="36"/>
      <c r="F14" s="36"/>
      <c r="G14" s="29"/>
      <c r="H14" s="37">
        <v>9</v>
      </c>
      <c r="I14" s="38" t="str">
        <f t="shared" si="4"/>
        <v/>
      </c>
      <c r="J14" s="37">
        <f t="shared" si="5"/>
        <v>-1</v>
      </c>
      <c r="K14" s="37">
        <f t="shared" si="1"/>
        <v>-10</v>
      </c>
      <c r="L14" s="37"/>
      <c r="M14" s="39">
        <f t="shared" si="2"/>
        <v>0</v>
      </c>
      <c r="X14" s="52"/>
      <c r="Z14" s="47"/>
      <c r="AA14" s="47"/>
      <c r="AG14" s="48"/>
      <c r="AH14" s="20" t="s">
        <v>64</v>
      </c>
      <c r="AI14" s="20">
        <f>LOG(AI10)</f>
        <v>1.6532125137753437</v>
      </c>
    </row>
    <row r="15" spans="1:36">
      <c r="A15" s="263">
        <v>25.09</v>
      </c>
      <c r="B15" s="264" t="s">
        <v>65</v>
      </c>
      <c r="C15" s="216" t="s">
        <v>19</v>
      </c>
      <c r="D15" s="42"/>
      <c r="E15" s="42"/>
      <c r="F15" s="42"/>
      <c r="G15" s="29"/>
      <c r="H15" s="43">
        <v>10</v>
      </c>
      <c r="I15" s="44" t="str">
        <f t="shared" si="4"/>
        <v/>
      </c>
      <c r="J15" s="43">
        <f t="shared" si="5"/>
        <v>-1</v>
      </c>
      <c r="K15" s="43">
        <f t="shared" si="1"/>
        <v>-10</v>
      </c>
      <c r="L15" s="43"/>
      <c r="M15" s="45">
        <f t="shared" si="2"/>
        <v>0</v>
      </c>
      <c r="X15" s="46"/>
      <c r="Z15" s="47"/>
      <c r="AA15" s="47"/>
    </row>
    <row r="16" spans="1:36">
      <c r="A16" s="34">
        <f t="shared" si="3"/>
        <v>0</v>
      </c>
      <c r="B16" s="35" t="str">
        <f t="shared" ref="B16:B65" si="6">IF(H16&gt;$H$2,"",(ROW()-5))</f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>
        <f t="shared" si="5"/>
        <v>-1</v>
      </c>
      <c r="K16" s="37">
        <f t="shared" si="1"/>
        <v>-10</v>
      </c>
      <c r="L16" s="37"/>
      <c r="M16" s="39">
        <f t="shared" si="2"/>
        <v>0</v>
      </c>
      <c r="R16" s="53"/>
      <c r="Z16" s="47"/>
      <c r="AA16" s="47"/>
      <c r="AH16" s="54" t="s">
        <v>66</v>
      </c>
      <c r="AI16" s="20">
        <f>AI11-AI12*AI13/AI14</f>
        <v>9.6393909380186855</v>
      </c>
      <c r="AJ16" s="20" t="s">
        <v>67</v>
      </c>
    </row>
    <row r="17" spans="1:19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>
        <f t="shared" si="5"/>
        <v>-1</v>
      </c>
      <c r="K17" s="43">
        <f t="shared" si="1"/>
        <v>-10</v>
      </c>
      <c r="L17" s="43"/>
      <c r="M17" s="45">
        <f t="shared" si="2"/>
        <v>0</v>
      </c>
    </row>
    <row r="18" spans="1:19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>
        <f t="shared" si="5"/>
        <v>-1</v>
      </c>
      <c r="K18" s="37">
        <f t="shared" si="1"/>
        <v>-10</v>
      </c>
      <c r="L18" s="37"/>
      <c r="M18" s="39">
        <f t="shared" si="2"/>
        <v>0</v>
      </c>
    </row>
    <row r="19" spans="1:19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>
        <f t="shared" si="5"/>
        <v>-1</v>
      </c>
      <c r="K19" s="43">
        <f t="shared" si="1"/>
        <v>-10</v>
      </c>
      <c r="L19" s="43"/>
      <c r="M19" s="45">
        <f t="shared" si="2"/>
        <v>0</v>
      </c>
    </row>
    <row r="20" spans="1:19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>
        <f t="shared" si="5"/>
        <v>-1</v>
      </c>
      <c r="K20" s="37">
        <f t="shared" si="1"/>
        <v>-10</v>
      </c>
      <c r="L20" s="37"/>
      <c r="M20" s="39">
        <f t="shared" si="2"/>
        <v>0</v>
      </c>
      <c r="R20" s="55"/>
      <c r="S20" s="56"/>
    </row>
    <row r="21" spans="1:19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>
        <f t="shared" si="5"/>
        <v>-1</v>
      </c>
      <c r="K21" s="43">
        <f t="shared" si="1"/>
        <v>-10</v>
      </c>
      <c r="L21" s="43"/>
      <c r="M21" s="45">
        <f t="shared" si="2"/>
        <v>0</v>
      </c>
    </row>
    <row r="22" spans="1:19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>
        <f t="shared" si="5"/>
        <v>-2</v>
      </c>
      <c r="K22" s="37">
        <f t="shared" si="1"/>
        <v>-20</v>
      </c>
      <c r="L22" s="37"/>
      <c r="M22" s="39">
        <f t="shared" si="2"/>
        <v>0</v>
      </c>
    </row>
    <row r="23" spans="1:19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>
        <f t="shared" si="5"/>
        <v>-2</v>
      </c>
      <c r="K23" s="43">
        <f t="shared" si="1"/>
        <v>-20</v>
      </c>
      <c r="L23" s="43"/>
      <c r="M23" s="45">
        <f t="shared" si="2"/>
        <v>0</v>
      </c>
    </row>
    <row r="24" spans="1:19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>
        <f t="shared" si="5"/>
        <v>-2</v>
      </c>
      <c r="K24" s="37">
        <f t="shared" si="1"/>
        <v>-20</v>
      </c>
      <c r="L24" s="37"/>
      <c r="M24" s="39">
        <f t="shared" si="2"/>
        <v>0</v>
      </c>
      <c r="R24" s="55"/>
      <c r="S24" s="56"/>
    </row>
    <row r="25" spans="1:19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>
        <f t="shared" si="5"/>
        <v>-2</v>
      </c>
      <c r="K25" s="43">
        <f t="shared" si="1"/>
        <v>-20</v>
      </c>
      <c r="L25" s="43"/>
      <c r="M25" s="45">
        <f t="shared" si="2"/>
        <v>0</v>
      </c>
    </row>
    <row r="26" spans="1:19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>
        <f t="shared" si="5"/>
        <v>-2</v>
      </c>
      <c r="K26" s="37">
        <f t="shared" si="1"/>
        <v>-20</v>
      </c>
      <c r="L26" s="37"/>
      <c r="M26" s="39">
        <f t="shared" si="2"/>
        <v>0</v>
      </c>
    </row>
    <row r="27" spans="1:19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>
        <f t="shared" si="5"/>
        <v>-2</v>
      </c>
      <c r="K27" s="43">
        <f t="shared" si="1"/>
        <v>-20</v>
      </c>
      <c r="L27" s="43"/>
      <c r="M27" s="45">
        <f t="shared" si="2"/>
        <v>0</v>
      </c>
    </row>
    <row r="28" spans="1:19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>
        <f t="shared" si="5"/>
        <v>-2</v>
      </c>
      <c r="K28" s="37">
        <f t="shared" si="1"/>
        <v>-20</v>
      </c>
      <c r="L28" s="37"/>
      <c r="M28" s="39">
        <f t="shared" si="2"/>
        <v>0</v>
      </c>
      <c r="R28" s="55"/>
      <c r="S28" s="56"/>
    </row>
    <row r="29" spans="1:19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>
        <f t="shared" si="5"/>
        <v>-2</v>
      </c>
      <c r="K29" s="43">
        <f t="shared" si="1"/>
        <v>-20</v>
      </c>
      <c r="L29" s="43"/>
      <c r="M29" s="45">
        <f t="shared" si="2"/>
        <v>0</v>
      </c>
    </row>
    <row r="30" spans="1:19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>
        <f t="shared" si="5"/>
        <v>-2</v>
      </c>
      <c r="K30" s="37">
        <f t="shared" si="1"/>
        <v>-20</v>
      </c>
      <c r="L30" s="37"/>
      <c r="M30" s="39">
        <f t="shared" si="2"/>
        <v>0</v>
      </c>
    </row>
    <row r="31" spans="1:19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>
        <f t="shared" si="5"/>
        <v>-2</v>
      </c>
      <c r="K31" s="43">
        <f t="shared" si="1"/>
        <v>-20</v>
      </c>
      <c r="L31" s="43"/>
      <c r="M31" s="45">
        <f t="shared" si="2"/>
        <v>0</v>
      </c>
    </row>
    <row r="32" spans="1:19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>
        <f t="shared" si="5"/>
        <v>-2</v>
      </c>
      <c r="K32" s="37">
        <f t="shared" si="1"/>
        <v>-20</v>
      </c>
      <c r="L32" s="37"/>
      <c r="M32" s="39">
        <f t="shared" si="2"/>
        <v>0</v>
      </c>
      <c r="R32" s="55"/>
      <c r="S32" s="56"/>
    </row>
    <row r="33" spans="1:21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>
        <f t="shared" si="5"/>
        <v>-2</v>
      </c>
      <c r="K33" s="43">
        <f t="shared" si="1"/>
        <v>-20</v>
      </c>
      <c r="L33" s="43"/>
      <c r="M33" s="45">
        <f t="shared" si="2"/>
        <v>0</v>
      </c>
    </row>
    <row r="34" spans="1:21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>
        <f t="shared" si="5"/>
        <v>-2</v>
      </c>
      <c r="K34" s="37">
        <f t="shared" si="1"/>
        <v>-20</v>
      </c>
      <c r="L34" s="37"/>
      <c r="M34" s="39">
        <f t="shared" si="2"/>
        <v>0</v>
      </c>
    </row>
    <row r="35" spans="1:21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>
        <f t="shared" si="5"/>
        <v>-2</v>
      </c>
      <c r="K35" s="43">
        <f t="shared" si="1"/>
        <v>-20</v>
      </c>
      <c r="L35" s="43"/>
      <c r="M35" s="45">
        <f t="shared" si="2"/>
        <v>0</v>
      </c>
    </row>
    <row r="36" spans="1:21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>
        <f t="shared" si="5"/>
        <v>-2</v>
      </c>
      <c r="K36" s="37">
        <f t="shared" si="1"/>
        <v>-20</v>
      </c>
      <c r="L36" s="37"/>
      <c r="M36" s="39">
        <f t="shared" si="2"/>
        <v>0</v>
      </c>
      <c r="R36" s="55"/>
      <c r="S36" s="56"/>
    </row>
    <row r="37" spans="1:21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>
        <f t="shared" si="5"/>
        <v>-2</v>
      </c>
      <c r="K37" s="43">
        <f t="shared" si="1"/>
        <v>-20</v>
      </c>
      <c r="L37" s="43"/>
      <c r="M37" s="45">
        <f t="shared" si="2"/>
        <v>0</v>
      </c>
    </row>
    <row r="38" spans="1:21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>
        <f t="shared" si="5"/>
        <v>-3</v>
      </c>
      <c r="K38" s="37">
        <f t="shared" si="1"/>
        <v>-30</v>
      </c>
      <c r="L38" s="37"/>
      <c r="M38" s="39">
        <f t="shared" si="2"/>
        <v>0</v>
      </c>
    </row>
    <row r="39" spans="1:21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>
        <f t="shared" si="5"/>
        <v>-3</v>
      </c>
      <c r="K39" s="43">
        <f t="shared" si="1"/>
        <v>-30</v>
      </c>
      <c r="L39" s="43"/>
      <c r="M39" s="45">
        <f t="shared" si="2"/>
        <v>0</v>
      </c>
    </row>
    <row r="40" spans="1:21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>
        <f t="shared" si="5"/>
        <v>-3</v>
      </c>
      <c r="K40" s="37">
        <f t="shared" si="1"/>
        <v>-30</v>
      </c>
      <c r="L40" s="37"/>
      <c r="M40" s="39">
        <f t="shared" si="2"/>
        <v>0</v>
      </c>
    </row>
    <row r="41" spans="1:21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>
        <f t="shared" si="5"/>
        <v>-3</v>
      </c>
      <c r="K41" s="43">
        <f t="shared" si="1"/>
        <v>-30</v>
      </c>
      <c r="L41" s="43"/>
      <c r="M41" s="45">
        <f t="shared" si="2"/>
        <v>0</v>
      </c>
      <c r="S41" s="57"/>
    </row>
    <row r="42" spans="1:21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>
        <f t="shared" si="5"/>
        <v>-3</v>
      </c>
      <c r="K42" s="37">
        <f t="shared" si="1"/>
        <v>-30</v>
      </c>
      <c r="L42" s="37"/>
      <c r="M42" s="39">
        <f t="shared" si="2"/>
        <v>0</v>
      </c>
    </row>
    <row r="43" spans="1:21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>
        <f t="shared" si="5"/>
        <v>-3</v>
      </c>
      <c r="K43" s="43">
        <f t="shared" si="1"/>
        <v>-30</v>
      </c>
      <c r="L43" s="43"/>
      <c r="M43" s="45">
        <f t="shared" si="2"/>
        <v>0</v>
      </c>
    </row>
    <row r="44" spans="1:21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>
        <f t="shared" si="5"/>
        <v>-3</v>
      </c>
      <c r="K44" s="37">
        <f t="shared" si="1"/>
        <v>-30</v>
      </c>
      <c r="L44" s="37"/>
      <c r="M44" s="39">
        <f t="shared" si="2"/>
        <v>0</v>
      </c>
    </row>
    <row r="45" spans="1:21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>
        <f t="shared" si="5"/>
        <v>-3</v>
      </c>
      <c r="K45" s="43">
        <f t="shared" si="1"/>
        <v>-30</v>
      </c>
      <c r="L45" s="43"/>
      <c r="M45" s="45">
        <f t="shared" si="2"/>
        <v>0</v>
      </c>
    </row>
    <row r="46" spans="1:21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>
        <f t="shared" si="5"/>
        <v>-3</v>
      </c>
      <c r="K46" s="37">
        <f t="shared" si="1"/>
        <v>-30</v>
      </c>
      <c r="L46" s="37"/>
      <c r="M46" s="39">
        <f t="shared" si="2"/>
        <v>0</v>
      </c>
      <c r="R46" s="15">
        <f>LOG($H$2,2)</f>
        <v>3</v>
      </c>
      <c r="T46" s="20">
        <f>LOG(H38,2)</f>
        <v>5.0443941193584534</v>
      </c>
      <c r="U46" s="20">
        <f>R46-T46</f>
        <v>-2.0443941193584534</v>
      </c>
    </row>
    <row r="47" spans="1:21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>
        <f t="shared" si="5"/>
        <v>-3</v>
      </c>
      <c r="K47" s="43">
        <f t="shared" si="1"/>
        <v>-30</v>
      </c>
      <c r="L47" s="43"/>
      <c r="M47" s="45">
        <f t="shared" si="2"/>
        <v>0</v>
      </c>
    </row>
    <row r="48" spans="1:21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>
        <f t="shared" si="5"/>
        <v>-3</v>
      </c>
      <c r="K48" s="37">
        <f t="shared" si="1"/>
        <v>-30</v>
      </c>
      <c r="L48" s="37"/>
      <c r="M48" s="39">
        <f t="shared" si="2"/>
        <v>0</v>
      </c>
    </row>
    <row r="49" spans="1:13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>
        <f t="shared" si="5"/>
        <v>-3</v>
      </c>
      <c r="K49" s="43">
        <f t="shared" si="1"/>
        <v>-30</v>
      </c>
      <c r="L49" s="43"/>
      <c r="M49" s="45">
        <f t="shared" si="2"/>
        <v>0</v>
      </c>
    </row>
    <row r="50" spans="1:13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>
        <f t="shared" si="5"/>
        <v>-3</v>
      </c>
      <c r="K50" s="37">
        <f t="shared" si="1"/>
        <v>-30</v>
      </c>
      <c r="L50" s="37"/>
      <c r="M50" s="39">
        <f t="shared" si="2"/>
        <v>0</v>
      </c>
    </row>
    <row r="51" spans="1:13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>
        <f t="shared" si="5"/>
        <v>-3</v>
      </c>
      <c r="K51" s="43">
        <f t="shared" si="1"/>
        <v>-30</v>
      </c>
      <c r="L51" s="43"/>
      <c r="M51" s="45">
        <f t="shared" si="2"/>
        <v>0</v>
      </c>
    </row>
    <row r="52" spans="1:13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>
        <f t="shared" si="5"/>
        <v>-3</v>
      </c>
      <c r="K52" s="37">
        <f t="shared" si="1"/>
        <v>-30</v>
      </c>
      <c r="L52" s="37"/>
      <c r="M52" s="39">
        <f t="shared" si="2"/>
        <v>0</v>
      </c>
    </row>
    <row r="53" spans="1:13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>
        <f t="shared" si="5"/>
        <v>-3</v>
      </c>
      <c r="K53" s="43">
        <f t="shared" si="1"/>
        <v>-30</v>
      </c>
      <c r="L53" s="43"/>
      <c r="M53" s="45">
        <f t="shared" si="2"/>
        <v>0</v>
      </c>
    </row>
    <row r="54" spans="1:13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>
        <f t="shared" si="5"/>
        <v>-3</v>
      </c>
      <c r="K54" s="37">
        <f t="shared" si="1"/>
        <v>-30</v>
      </c>
      <c r="L54" s="37"/>
      <c r="M54" s="39">
        <f t="shared" si="2"/>
        <v>0</v>
      </c>
    </row>
    <row r="55" spans="1:13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>
        <f t="shared" si="5"/>
        <v>-3</v>
      </c>
      <c r="K55" s="43">
        <f t="shared" si="1"/>
        <v>-30</v>
      </c>
      <c r="L55" s="43"/>
      <c r="M55" s="45">
        <f t="shared" si="2"/>
        <v>0</v>
      </c>
    </row>
    <row r="56" spans="1:13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>
        <f t="shared" si="5"/>
        <v>-3</v>
      </c>
      <c r="K56" s="37">
        <f t="shared" si="1"/>
        <v>-30</v>
      </c>
      <c r="L56" s="37"/>
      <c r="M56" s="39">
        <f t="shared" si="2"/>
        <v>0</v>
      </c>
    </row>
    <row r="57" spans="1:13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>
        <f t="shared" si="5"/>
        <v>-3</v>
      </c>
      <c r="K57" s="43">
        <f t="shared" si="1"/>
        <v>-30</v>
      </c>
      <c r="L57" s="43"/>
      <c r="M57" s="45">
        <f t="shared" si="2"/>
        <v>0</v>
      </c>
    </row>
    <row r="58" spans="1:13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>
        <f t="shared" si="5"/>
        <v>-3</v>
      </c>
      <c r="K58" s="37">
        <f t="shared" si="1"/>
        <v>-30</v>
      </c>
      <c r="L58" s="37"/>
      <c r="M58" s="39">
        <f t="shared" si="2"/>
        <v>0</v>
      </c>
    </row>
    <row r="59" spans="1:13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>
        <f t="shared" si="5"/>
        <v>-3</v>
      </c>
      <c r="K59" s="43">
        <f t="shared" si="1"/>
        <v>-30</v>
      </c>
      <c r="L59" s="43"/>
      <c r="M59" s="45">
        <f t="shared" si="2"/>
        <v>0</v>
      </c>
    </row>
    <row r="60" spans="1:13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>
        <f t="shared" si="5"/>
        <v>-3</v>
      </c>
      <c r="K60" s="37">
        <f t="shared" si="1"/>
        <v>-30</v>
      </c>
      <c r="L60" s="37"/>
      <c r="M60" s="39">
        <f t="shared" si="2"/>
        <v>0</v>
      </c>
    </row>
    <row r="61" spans="1:13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>
        <f t="shared" si="5"/>
        <v>-3</v>
      </c>
      <c r="K61" s="43">
        <f t="shared" si="1"/>
        <v>-30</v>
      </c>
      <c r="L61" s="43"/>
      <c r="M61" s="45">
        <f t="shared" si="2"/>
        <v>0</v>
      </c>
    </row>
    <row r="62" spans="1:13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>
        <f t="shared" si="5"/>
        <v>-3</v>
      </c>
      <c r="K62" s="37">
        <f t="shared" si="1"/>
        <v>-30</v>
      </c>
      <c r="L62" s="37"/>
      <c r="M62" s="39">
        <f t="shared" si="2"/>
        <v>0</v>
      </c>
    </row>
    <row r="63" spans="1:13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>
        <f t="shared" si="5"/>
        <v>-3</v>
      </c>
      <c r="K63" s="43">
        <f t="shared" si="1"/>
        <v>-30</v>
      </c>
      <c r="L63" s="43"/>
      <c r="M63" s="45">
        <f t="shared" si="2"/>
        <v>0</v>
      </c>
    </row>
    <row r="64" spans="1:13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>
        <f t="shared" si="5"/>
        <v>-3</v>
      </c>
      <c r="K64" s="37">
        <f t="shared" si="1"/>
        <v>-30</v>
      </c>
      <c r="L64" s="37"/>
      <c r="M64" s="39">
        <f t="shared" si="2"/>
        <v>0</v>
      </c>
    </row>
    <row r="65" spans="1:13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>
        <f t="shared" si="5"/>
        <v>-3</v>
      </c>
      <c r="K65" s="43">
        <f t="shared" si="1"/>
        <v>-30</v>
      </c>
      <c r="L65" s="43"/>
      <c r="M65" s="45">
        <f t="shared" si="2"/>
        <v>0</v>
      </c>
    </row>
    <row r="66" spans="1:13">
      <c r="A66" s="58"/>
      <c r="B66" s="35"/>
      <c r="G66" s="15"/>
      <c r="H66" s="37">
        <v>61</v>
      </c>
      <c r="I66" s="38" t="str">
        <f t="shared" si="4"/>
        <v/>
      </c>
      <c r="J66" s="37">
        <f t="shared" si="5"/>
        <v>-3</v>
      </c>
      <c r="K66" s="37">
        <f t="shared" si="1"/>
        <v>-30</v>
      </c>
      <c r="L66" s="37"/>
      <c r="M66" s="39">
        <f t="shared" si="2"/>
        <v>0</v>
      </c>
    </row>
    <row r="67" spans="1:13">
      <c r="A67" s="58"/>
      <c r="B67" s="41"/>
      <c r="G67" s="15"/>
      <c r="H67" s="37">
        <v>62</v>
      </c>
      <c r="I67" s="38" t="str">
        <f t="shared" si="4"/>
        <v/>
      </c>
      <c r="J67" s="37">
        <f t="shared" si="5"/>
        <v>-3</v>
      </c>
      <c r="K67" s="37">
        <f t="shared" si="1"/>
        <v>-30</v>
      </c>
      <c r="L67" s="37"/>
      <c r="M67" s="39">
        <f t="shared" si="2"/>
        <v>0</v>
      </c>
    </row>
    <row r="68" spans="1:13">
      <c r="A68" s="58"/>
      <c r="B68" s="35"/>
      <c r="G68" s="15"/>
      <c r="H68" s="37">
        <v>63</v>
      </c>
      <c r="I68" s="38" t="str">
        <f t="shared" si="4"/>
        <v/>
      </c>
      <c r="J68" s="37">
        <f t="shared" si="5"/>
        <v>-3</v>
      </c>
      <c r="K68" s="37">
        <f t="shared" si="1"/>
        <v>-30</v>
      </c>
      <c r="L68" s="37"/>
      <c r="M68" s="39">
        <f t="shared" si="2"/>
        <v>0</v>
      </c>
    </row>
    <row r="69" spans="1:13">
      <c r="A69" s="58"/>
      <c r="B69" s="41"/>
      <c r="G69" s="15"/>
      <c r="H69" s="37">
        <v>64</v>
      </c>
      <c r="I69" s="38" t="str">
        <f t="shared" si="4"/>
        <v/>
      </c>
      <c r="J69" s="37">
        <f t="shared" si="5"/>
        <v>-3</v>
      </c>
      <c r="K69" s="37">
        <f t="shared" si="1"/>
        <v>-30</v>
      </c>
      <c r="L69" s="37"/>
      <c r="M69" s="39">
        <f t="shared" si="2"/>
        <v>0</v>
      </c>
    </row>
    <row r="70" spans="1:13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>
        <f t="shared" si="5"/>
        <v>-4</v>
      </c>
      <c r="K70" s="37">
        <f t="shared" ref="K70:K133" si="8">J70*$J$2</f>
        <v>-40</v>
      </c>
      <c r="L70" s="37"/>
      <c r="M70" s="39">
        <f t="shared" ref="M70:M133" si="9">IF(I70&lt;&gt;"",K70+I70+L70,0)</f>
        <v>0</v>
      </c>
    </row>
    <row r="71" spans="1:13">
      <c r="A71" s="58"/>
      <c r="G71" s="15"/>
      <c r="H71" s="37">
        <v>66</v>
      </c>
      <c r="I71" s="38" t="str">
        <f t="shared" si="7"/>
        <v/>
      </c>
      <c r="J71" s="37">
        <f t="shared" ref="J71:J134" si="10">INT(LOG($H$2,2))-ROUNDUP(LOG(H71,2),0)+IF(OR($H$2=1,$H$2=2,$H$2=4,$H$2=8,$H$2=16,$H$2=32,$H$2=64,$H$2=128,$H$2=256),0,1)</f>
        <v>-4</v>
      </c>
      <c r="K71" s="37">
        <f t="shared" si="8"/>
        <v>-40</v>
      </c>
      <c r="L71" s="37"/>
      <c r="M71" s="39">
        <f t="shared" si="9"/>
        <v>0</v>
      </c>
    </row>
    <row r="72" spans="1:13">
      <c r="A72" s="58"/>
      <c r="G72" s="15"/>
      <c r="H72" s="37">
        <v>67</v>
      </c>
      <c r="I72" s="38" t="str">
        <f t="shared" si="7"/>
        <v/>
      </c>
      <c r="J72" s="37">
        <f t="shared" si="10"/>
        <v>-4</v>
      </c>
      <c r="K72" s="37">
        <f t="shared" si="8"/>
        <v>-40</v>
      </c>
      <c r="L72" s="37"/>
      <c r="M72" s="39">
        <f t="shared" si="9"/>
        <v>0</v>
      </c>
    </row>
    <row r="73" spans="1:13">
      <c r="A73" s="58"/>
      <c r="G73" s="15"/>
      <c r="H73" s="37">
        <v>68</v>
      </c>
      <c r="I73" s="38" t="str">
        <f t="shared" si="7"/>
        <v/>
      </c>
      <c r="J73" s="37">
        <f t="shared" si="10"/>
        <v>-4</v>
      </c>
      <c r="K73" s="37">
        <f t="shared" si="8"/>
        <v>-40</v>
      </c>
      <c r="L73" s="37"/>
      <c r="M73" s="39">
        <f t="shared" si="9"/>
        <v>0</v>
      </c>
    </row>
    <row r="74" spans="1:13">
      <c r="A74" s="58"/>
      <c r="G74" s="15"/>
      <c r="H74" s="37">
        <v>69</v>
      </c>
      <c r="I74" s="38" t="str">
        <f t="shared" si="7"/>
        <v/>
      </c>
      <c r="J74" s="37">
        <f t="shared" si="10"/>
        <v>-4</v>
      </c>
      <c r="K74" s="37">
        <f t="shared" si="8"/>
        <v>-40</v>
      </c>
      <c r="L74" s="37"/>
      <c r="M74" s="39">
        <f t="shared" si="9"/>
        <v>0</v>
      </c>
    </row>
    <row r="75" spans="1:13">
      <c r="A75" s="58"/>
      <c r="G75" s="15"/>
      <c r="H75" s="37">
        <v>70</v>
      </c>
      <c r="I75" s="38" t="str">
        <f t="shared" si="7"/>
        <v/>
      </c>
      <c r="J75" s="37">
        <f t="shared" si="10"/>
        <v>-4</v>
      </c>
      <c r="K75" s="37">
        <f t="shared" si="8"/>
        <v>-40</v>
      </c>
      <c r="L75" s="37"/>
      <c r="M75" s="39">
        <f t="shared" si="9"/>
        <v>0</v>
      </c>
    </row>
    <row r="76" spans="1:13">
      <c r="A76" s="58"/>
      <c r="G76" s="15"/>
      <c r="H76" s="37">
        <v>71</v>
      </c>
      <c r="I76" s="38" t="str">
        <f t="shared" si="7"/>
        <v/>
      </c>
      <c r="J76" s="37">
        <f t="shared" si="10"/>
        <v>-4</v>
      </c>
      <c r="K76" s="37">
        <f t="shared" si="8"/>
        <v>-40</v>
      </c>
      <c r="L76" s="37"/>
      <c r="M76" s="39">
        <f t="shared" si="9"/>
        <v>0</v>
      </c>
    </row>
    <row r="77" spans="1:13">
      <c r="A77" s="58"/>
      <c r="G77" s="15"/>
      <c r="H77" s="37">
        <v>72</v>
      </c>
      <c r="I77" s="38" t="str">
        <f t="shared" si="7"/>
        <v/>
      </c>
      <c r="J77" s="37">
        <f t="shared" si="10"/>
        <v>-4</v>
      </c>
      <c r="K77" s="37">
        <f t="shared" si="8"/>
        <v>-40</v>
      </c>
      <c r="L77" s="37"/>
      <c r="M77" s="39">
        <f t="shared" si="9"/>
        <v>0</v>
      </c>
    </row>
    <row r="78" spans="1:13">
      <c r="A78" s="58"/>
      <c r="G78" s="15"/>
      <c r="H78" s="37">
        <v>73</v>
      </c>
      <c r="I78" s="38" t="str">
        <f t="shared" si="7"/>
        <v/>
      </c>
      <c r="J78" s="37">
        <f t="shared" si="10"/>
        <v>-4</v>
      </c>
      <c r="K78" s="37">
        <f t="shared" si="8"/>
        <v>-40</v>
      </c>
      <c r="L78" s="37"/>
      <c r="M78" s="39">
        <f t="shared" si="9"/>
        <v>0</v>
      </c>
    </row>
    <row r="79" spans="1:13">
      <c r="A79" s="58"/>
      <c r="G79" s="15"/>
      <c r="H79" s="37">
        <v>74</v>
      </c>
      <c r="I79" s="38" t="str">
        <f t="shared" si="7"/>
        <v/>
      </c>
      <c r="J79" s="37">
        <f t="shared" si="10"/>
        <v>-4</v>
      </c>
      <c r="K79" s="37">
        <f t="shared" si="8"/>
        <v>-40</v>
      </c>
      <c r="L79" s="37"/>
      <c r="M79" s="39">
        <f t="shared" si="9"/>
        <v>0</v>
      </c>
    </row>
    <row r="80" spans="1:13">
      <c r="A80" s="58"/>
      <c r="G80" s="15"/>
      <c r="H80" s="37">
        <v>75</v>
      </c>
      <c r="I80" s="38" t="str">
        <f t="shared" si="7"/>
        <v/>
      </c>
      <c r="J80" s="37">
        <f t="shared" si="10"/>
        <v>-4</v>
      </c>
      <c r="K80" s="37">
        <f t="shared" si="8"/>
        <v>-40</v>
      </c>
      <c r="L80" s="37"/>
      <c r="M80" s="39">
        <f t="shared" si="9"/>
        <v>0</v>
      </c>
    </row>
    <row r="81" spans="1:13">
      <c r="A81" s="58"/>
      <c r="G81" s="15"/>
      <c r="H81" s="37">
        <v>76</v>
      </c>
      <c r="I81" s="38" t="str">
        <f t="shared" si="7"/>
        <v/>
      </c>
      <c r="J81" s="37">
        <f t="shared" si="10"/>
        <v>-4</v>
      </c>
      <c r="K81" s="37">
        <f t="shared" si="8"/>
        <v>-40</v>
      </c>
      <c r="L81" s="37"/>
      <c r="M81" s="39">
        <f t="shared" si="9"/>
        <v>0</v>
      </c>
    </row>
    <row r="82" spans="1:13">
      <c r="A82" s="58"/>
      <c r="G82" s="15"/>
      <c r="H82" s="37">
        <v>77</v>
      </c>
      <c r="I82" s="38" t="str">
        <f t="shared" si="7"/>
        <v/>
      </c>
      <c r="J82" s="37">
        <f t="shared" si="10"/>
        <v>-4</v>
      </c>
      <c r="K82" s="37">
        <f t="shared" si="8"/>
        <v>-40</v>
      </c>
      <c r="L82" s="37"/>
      <c r="M82" s="39">
        <f t="shared" si="9"/>
        <v>0</v>
      </c>
    </row>
    <row r="83" spans="1:13">
      <c r="A83" s="58"/>
      <c r="G83" s="15"/>
      <c r="H83" s="37">
        <v>78</v>
      </c>
      <c r="I83" s="38" t="str">
        <f t="shared" si="7"/>
        <v/>
      </c>
      <c r="J83" s="37">
        <f t="shared" si="10"/>
        <v>-4</v>
      </c>
      <c r="K83" s="37">
        <f t="shared" si="8"/>
        <v>-40</v>
      </c>
      <c r="L83" s="37"/>
      <c r="M83" s="39">
        <f t="shared" si="9"/>
        <v>0</v>
      </c>
    </row>
    <row r="84" spans="1:13">
      <c r="A84" s="58"/>
      <c r="G84" s="15"/>
      <c r="H84" s="37">
        <v>79</v>
      </c>
      <c r="I84" s="38" t="str">
        <f t="shared" si="7"/>
        <v/>
      </c>
      <c r="J84" s="37">
        <f t="shared" si="10"/>
        <v>-4</v>
      </c>
      <c r="K84" s="37">
        <f t="shared" si="8"/>
        <v>-40</v>
      </c>
      <c r="L84" s="37"/>
      <c r="M84" s="39">
        <f t="shared" si="9"/>
        <v>0</v>
      </c>
    </row>
    <row r="85" spans="1:13">
      <c r="A85" s="58"/>
      <c r="G85" s="15"/>
      <c r="H85" s="37">
        <v>80</v>
      </c>
      <c r="I85" s="38" t="str">
        <f t="shared" si="7"/>
        <v/>
      </c>
      <c r="J85" s="37">
        <f t="shared" si="10"/>
        <v>-4</v>
      </c>
      <c r="K85" s="37">
        <f t="shared" si="8"/>
        <v>-40</v>
      </c>
      <c r="L85" s="37"/>
      <c r="M85" s="39">
        <f t="shared" si="9"/>
        <v>0</v>
      </c>
    </row>
    <row r="86" spans="1:13">
      <c r="A86" s="58"/>
      <c r="G86" s="15"/>
      <c r="H86" s="37">
        <v>81</v>
      </c>
      <c r="I86" s="38" t="str">
        <f t="shared" si="7"/>
        <v/>
      </c>
      <c r="J86" s="37">
        <f t="shared" si="10"/>
        <v>-4</v>
      </c>
      <c r="K86" s="37">
        <f t="shared" si="8"/>
        <v>-40</v>
      </c>
      <c r="L86" s="37"/>
      <c r="M86" s="39">
        <f t="shared" si="9"/>
        <v>0</v>
      </c>
    </row>
    <row r="87" spans="1:13">
      <c r="A87" s="58"/>
      <c r="G87" s="15"/>
      <c r="H87" s="37">
        <v>82</v>
      </c>
      <c r="I87" s="38" t="str">
        <f t="shared" si="7"/>
        <v/>
      </c>
      <c r="J87" s="37">
        <f t="shared" si="10"/>
        <v>-4</v>
      </c>
      <c r="K87" s="37">
        <f t="shared" si="8"/>
        <v>-40</v>
      </c>
      <c r="L87" s="37"/>
      <c r="M87" s="39">
        <f t="shared" si="9"/>
        <v>0</v>
      </c>
    </row>
    <row r="88" spans="1:13">
      <c r="A88" s="58"/>
      <c r="G88" s="15"/>
      <c r="H88" s="37">
        <v>83</v>
      </c>
      <c r="I88" s="38" t="str">
        <f t="shared" si="7"/>
        <v/>
      </c>
      <c r="J88" s="37">
        <f t="shared" si="10"/>
        <v>-4</v>
      </c>
      <c r="K88" s="37">
        <f t="shared" si="8"/>
        <v>-40</v>
      </c>
      <c r="L88" s="37"/>
      <c r="M88" s="39">
        <f t="shared" si="9"/>
        <v>0</v>
      </c>
    </row>
    <row r="89" spans="1:13">
      <c r="A89" s="58"/>
      <c r="G89" s="15"/>
      <c r="H89" s="37">
        <v>84</v>
      </c>
      <c r="I89" s="38" t="str">
        <f t="shared" si="7"/>
        <v/>
      </c>
      <c r="J89" s="37">
        <f t="shared" si="10"/>
        <v>-4</v>
      </c>
      <c r="K89" s="37">
        <f t="shared" si="8"/>
        <v>-40</v>
      </c>
      <c r="L89" s="37"/>
      <c r="M89" s="39">
        <f t="shared" si="9"/>
        <v>0</v>
      </c>
    </row>
    <row r="90" spans="1:13">
      <c r="A90" s="58"/>
      <c r="G90" s="15"/>
      <c r="H90" s="37">
        <v>85</v>
      </c>
      <c r="I90" s="38" t="str">
        <f t="shared" si="7"/>
        <v/>
      </c>
      <c r="J90" s="37">
        <f t="shared" si="10"/>
        <v>-4</v>
      </c>
      <c r="K90" s="37">
        <f t="shared" si="8"/>
        <v>-40</v>
      </c>
      <c r="L90" s="37"/>
      <c r="M90" s="39">
        <f t="shared" si="9"/>
        <v>0</v>
      </c>
    </row>
    <row r="91" spans="1:13">
      <c r="A91" s="58"/>
      <c r="G91" s="15"/>
      <c r="H91" s="37">
        <v>86</v>
      </c>
      <c r="I91" s="38" t="str">
        <f t="shared" si="7"/>
        <v/>
      </c>
      <c r="J91" s="37">
        <f t="shared" si="10"/>
        <v>-4</v>
      </c>
      <c r="K91" s="37">
        <f t="shared" si="8"/>
        <v>-40</v>
      </c>
      <c r="L91" s="37"/>
      <c r="M91" s="39">
        <f t="shared" si="9"/>
        <v>0</v>
      </c>
    </row>
    <row r="92" spans="1:13">
      <c r="A92" s="58"/>
      <c r="G92" s="15"/>
      <c r="H92" s="37">
        <v>87</v>
      </c>
      <c r="I92" s="38" t="str">
        <f t="shared" si="7"/>
        <v/>
      </c>
      <c r="J92" s="37">
        <f t="shared" si="10"/>
        <v>-4</v>
      </c>
      <c r="K92" s="37">
        <f t="shared" si="8"/>
        <v>-40</v>
      </c>
      <c r="L92" s="37"/>
      <c r="M92" s="39">
        <f t="shared" si="9"/>
        <v>0</v>
      </c>
    </row>
    <row r="93" spans="1:13">
      <c r="A93" s="58"/>
      <c r="G93" s="15"/>
      <c r="H93" s="37">
        <v>88</v>
      </c>
      <c r="I93" s="38" t="str">
        <f t="shared" si="7"/>
        <v/>
      </c>
      <c r="J93" s="37">
        <f t="shared" si="10"/>
        <v>-4</v>
      </c>
      <c r="K93" s="37">
        <f t="shared" si="8"/>
        <v>-40</v>
      </c>
      <c r="L93" s="37"/>
      <c r="M93" s="39">
        <f t="shared" si="9"/>
        <v>0</v>
      </c>
    </row>
    <row r="94" spans="1:13">
      <c r="A94" s="58"/>
      <c r="G94" s="15"/>
      <c r="H94" s="37">
        <v>89</v>
      </c>
      <c r="I94" s="38" t="str">
        <f t="shared" si="7"/>
        <v/>
      </c>
      <c r="J94" s="37">
        <f t="shared" si="10"/>
        <v>-4</v>
      </c>
      <c r="K94" s="37">
        <f t="shared" si="8"/>
        <v>-40</v>
      </c>
      <c r="L94" s="37"/>
      <c r="M94" s="39">
        <f t="shared" si="9"/>
        <v>0</v>
      </c>
    </row>
    <row r="95" spans="1:13">
      <c r="A95" s="58"/>
      <c r="G95" s="15"/>
      <c r="H95" s="37">
        <v>90</v>
      </c>
      <c r="I95" s="38" t="str">
        <f t="shared" si="7"/>
        <v/>
      </c>
      <c r="J95" s="37">
        <f t="shared" si="10"/>
        <v>-4</v>
      </c>
      <c r="K95" s="37">
        <f t="shared" si="8"/>
        <v>-40</v>
      </c>
      <c r="L95" s="37"/>
      <c r="M95" s="39">
        <f t="shared" si="9"/>
        <v>0</v>
      </c>
    </row>
    <row r="96" spans="1:13">
      <c r="A96" s="58"/>
      <c r="G96" s="15"/>
      <c r="H96" s="37">
        <v>91</v>
      </c>
      <c r="I96" s="38" t="str">
        <f t="shared" si="7"/>
        <v/>
      </c>
      <c r="J96" s="37">
        <f t="shared" si="10"/>
        <v>-4</v>
      </c>
      <c r="K96" s="37">
        <f t="shared" si="8"/>
        <v>-40</v>
      </c>
      <c r="L96" s="37"/>
      <c r="M96" s="39">
        <f t="shared" si="9"/>
        <v>0</v>
      </c>
    </row>
    <row r="97" spans="1:13">
      <c r="A97" s="58"/>
      <c r="G97" s="15"/>
      <c r="H97" s="37">
        <v>92</v>
      </c>
      <c r="I97" s="38" t="str">
        <f t="shared" si="7"/>
        <v/>
      </c>
      <c r="J97" s="37">
        <f t="shared" si="10"/>
        <v>-4</v>
      </c>
      <c r="K97" s="37">
        <f t="shared" si="8"/>
        <v>-40</v>
      </c>
      <c r="L97" s="37"/>
      <c r="M97" s="39">
        <f t="shared" si="9"/>
        <v>0</v>
      </c>
    </row>
    <row r="98" spans="1:13">
      <c r="A98" s="58"/>
      <c r="G98" s="15"/>
      <c r="H98" s="37">
        <v>93</v>
      </c>
      <c r="I98" s="38" t="str">
        <f t="shared" si="7"/>
        <v/>
      </c>
      <c r="J98" s="37">
        <f t="shared" si="10"/>
        <v>-4</v>
      </c>
      <c r="K98" s="37">
        <f t="shared" si="8"/>
        <v>-40</v>
      </c>
      <c r="L98" s="37"/>
      <c r="M98" s="39">
        <f t="shared" si="9"/>
        <v>0</v>
      </c>
    </row>
    <row r="99" spans="1:13">
      <c r="A99" s="58"/>
      <c r="G99" s="15"/>
      <c r="H99" s="37">
        <v>94</v>
      </c>
      <c r="I99" s="38" t="str">
        <f t="shared" si="7"/>
        <v/>
      </c>
      <c r="J99" s="37">
        <f t="shared" si="10"/>
        <v>-4</v>
      </c>
      <c r="K99" s="37">
        <f t="shared" si="8"/>
        <v>-40</v>
      </c>
      <c r="L99" s="37"/>
      <c r="M99" s="39">
        <f t="shared" si="9"/>
        <v>0</v>
      </c>
    </row>
    <row r="100" spans="1:13">
      <c r="A100" s="58"/>
      <c r="G100" s="15"/>
      <c r="H100" s="37">
        <v>95</v>
      </c>
      <c r="I100" s="38" t="str">
        <f t="shared" si="7"/>
        <v/>
      </c>
      <c r="J100" s="37">
        <f t="shared" si="10"/>
        <v>-4</v>
      </c>
      <c r="K100" s="37">
        <f t="shared" si="8"/>
        <v>-40</v>
      </c>
      <c r="L100" s="37"/>
      <c r="M100" s="39">
        <f t="shared" si="9"/>
        <v>0</v>
      </c>
    </row>
    <row r="101" spans="1:13">
      <c r="A101" s="58"/>
      <c r="G101" s="15"/>
      <c r="H101" s="37">
        <v>96</v>
      </c>
      <c r="I101" s="38" t="str">
        <f t="shared" si="7"/>
        <v/>
      </c>
      <c r="J101" s="37">
        <f t="shared" si="10"/>
        <v>-4</v>
      </c>
      <c r="K101" s="37">
        <f t="shared" si="8"/>
        <v>-40</v>
      </c>
      <c r="L101" s="37"/>
      <c r="M101" s="39">
        <f t="shared" si="9"/>
        <v>0</v>
      </c>
    </row>
    <row r="102" spans="1:13">
      <c r="A102" s="58"/>
      <c r="G102" s="15"/>
      <c r="H102" s="37">
        <v>97</v>
      </c>
      <c r="I102" s="38" t="str">
        <f t="shared" si="7"/>
        <v/>
      </c>
      <c r="J102" s="37">
        <f t="shared" si="10"/>
        <v>-4</v>
      </c>
      <c r="K102" s="37">
        <f t="shared" si="8"/>
        <v>-40</v>
      </c>
      <c r="L102" s="37"/>
      <c r="M102" s="39">
        <f t="shared" si="9"/>
        <v>0</v>
      </c>
    </row>
    <row r="103" spans="1:13">
      <c r="A103" s="58"/>
      <c r="G103" s="15"/>
      <c r="H103" s="37">
        <v>98</v>
      </c>
      <c r="I103" s="38" t="str">
        <f t="shared" si="7"/>
        <v/>
      </c>
      <c r="J103" s="37">
        <f t="shared" si="10"/>
        <v>-4</v>
      </c>
      <c r="K103" s="37">
        <f t="shared" si="8"/>
        <v>-40</v>
      </c>
      <c r="L103" s="37"/>
      <c r="M103" s="39">
        <f t="shared" si="9"/>
        <v>0</v>
      </c>
    </row>
    <row r="104" spans="1:13">
      <c r="A104" s="58"/>
      <c r="G104" s="15"/>
      <c r="H104" s="37">
        <v>99</v>
      </c>
      <c r="I104" s="38" t="str">
        <f t="shared" si="7"/>
        <v/>
      </c>
      <c r="J104" s="37">
        <f t="shared" si="10"/>
        <v>-4</v>
      </c>
      <c r="K104" s="37">
        <f t="shared" si="8"/>
        <v>-40</v>
      </c>
      <c r="L104" s="37"/>
      <c r="M104" s="39">
        <f t="shared" si="9"/>
        <v>0</v>
      </c>
    </row>
    <row r="105" spans="1:13">
      <c r="A105" s="58"/>
      <c r="G105" s="15"/>
      <c r="H105" s="37">
        <v>100</v>
      </c>
      <c r="I105" s="38" t="str">
        <f t="shared" si="7"/>
        <v/>
      </c>
      <c r="J105" s="37">
        <f t="shared" si="10"/>
        <v>-4</v>
      </c>
      <c r="K105" s="37">
        <f t="shared" si="8"/>
        <v>-40</v>
      </c>
      <c r="L105" s="37"/>
      <c r="M105" s="39">
        <f t="shared" si="9"/>
        <v>0</v>
      </c>
    </row>
    <row r="106" spans="1:13">
      <c r="A106" s="58"/>
      <c r="G106" s="15"/>
      <c r="H106" s="37">
        <v>101</v>
      </c>
      <c r="I106" s="38" t="str">
        <f t="shared" si="7"/>
        <v/>
      </c>
      <c r="J106" s="37">
        <f t="shared" si="10"/>
        <v>-4</v>
      </c>
      <c r="K106" s="37">
        <f t="shared" si="8"/>
        <v>-40</v>
      </c>
      <c r="L106" s="37"/>
      <c r="M106" s="39">
        <f t="shared" si="9"/>
        <v>0</v>
      </c>
    </row>
    <row r="107" spans="1:13">
      <c r="A107" s="58"/>
      <c r="G107" s="15"/>
      <c r="H107" s="37">
        <v>102</v>
      </c>
      <c r="I107" s="38" t="str">
        <f t="shared" si="7"/>
        <v/>
      </c>
      <c r="J107" s="37">
        <f t="shared" si="10"/>
        <v>-4</v>
      </c>
      <c r="K107" s="37">
        <f t="shared" si="8"/>
        <v>-40</v>
      </c>
      <c r="L107" s="37"/>
      <c r="M107" s="39">
        <f t="shared" si="9"/>
        <v>0</v>
      </c>
    </row>
    <row r="108" spans="1:13">
      <c r="A108" s="58"/>
      <c r="G108" s="15"/>
      <c r="H108" s="37">
        <v>103</v>
      </c>
      <c r="I108" s="38" t="str">
        <f t="shared" si="7"/>
        <v/>
      </c>
      <c r="J108" s="37">
        <f t="shared" si="10"/>
        <v>-4</v>
      </c>
      <c r="K108" s="37">
        <f t="shared" si="8"/>
        <v>-40</v>
      </c>
      <c r="L108" s="37"/>
      <c r="M108" s="39">
        <f t="shared" si="9"/>
        <v>0</v>
      </c>
    </row>
    <row r="109" spans="1:13">
      <c r="A109" s="58"/>
      <c r="G109" s="15"/>
      <c r="H109" s="37">
        <v>104</v>
      </c>
      <c r="I109" s="38" t="str">
        <f t="shared" si="7"/>
        <v/>
      </c>
      <c r="J109" s="37">
        <f t="shared" si="10"/>
        <v>-4</v>
      </c>
      <c r="K109" s="37">
        <f t="shared" si="8"/>
        <v>-40</v>
      </c>
      <c r="L109" s="37"/>
      <c r="M109" s="39">
        <f t="shared" si="9"/>
        <v>0</v>
      </c>
    </row>
    <row r="110" spans="1:13">
      <c r="A110" s="58"/>
      <c r="G110" s="15"/>
      <c r="H110" s="37">
        <v>105</v>
      </c>
      <c r="I110" s="38" t="str">
        <f t="shared" si="7"/>
        <v/>
      </c>
      <c r="J110" s="37">
        <f t="shared" si="10"/>
        <v>-4</v>
      </c>
      <c r="K110" s="37">
        <f t="shared" si="8"/>
        <v>-40</v>
      </c>
      <c r="L110" s="37"/>
      <c r="M110" s="39">
        <f t="shared" si="9"/>
        <v>0</v>
      </c>
    </row>
    <row r="111" spans="1:13">
      <c r="A111" s="58"/>
      <c r="G111" s="15"/>
      <c r="H111" s="37">
        <v>106</v>
      </c>
      <c r="I111" s="38" t="str">
        <f t="shared" si="7"/>
        <v/>
      </c>
      <c r="J111" s="37">
        <f t="shared" si="10"/>
        <v>-4</v>
      </c>
      <c r="K111" s="37">
        <f t="shared" si="8"/>
        <v>-40</v>
      </c>
      <c r="L111" s="37"/>
      <c r="M111" s="39">
        <f t="shared" si="9"/>
        <v>0</v>
      </c>
    </row>
    <row r="112" spans="1:13">
      <c r="A112" s="58"/>
      <c r="G112" s="15"/>
      <c r="H112" s="37">
        <v>107</v>
      </c>
      <c r="I112" s="38" t="str">
        <f t="shared" si="7"/>
        <v/>
      </c>
      <c r="J112" s="37">
        <f t="shared" si="10"/>
        <v>-4</v>
      </c>
      <c r="K112" s="37">
        <f t="shared" si="8"/>
        <v>-40</v>
      </c>
      <c r="L112" s="37"/>
      <c r="M112" s="39">
        <f t="shared" si="9"/>
        <v>0</v>
      </c>
    </row>
    <row r="113" spans="1:13">
      <c r="A113" s="58"/>
      <c r="G113" s="15"/>
      <c r="H113" s="37">
        <v>108</v>
      </c>
      <c r="I113" s="38" t="str">
        <f t="shared" si="7"/>
        <v/>
      </c>
      <c r="J113" s="37">
        <f t="shared" si="10"/>
        <v>-4</v>
      </c>
      <c r="K113" s="37">
        <f t="shared" si="8"/>
        <v>-40</v>
      </c>
      <c r="L113" s="37"/>
      <c r="M113" s="39">
        <f t="shared" si="9"/>
        <v>0</v>
      </c>
    </row>
    <row r="114" spans="1:13">
      <c r="A114" s="58"/>
      <c r="G114" s="15"/>
      <c r="H114" s="37">
        <v>109</v>
      </c>
      <c r="I114" s="38" t="str">
        <f t="shared" si="7"/>
        <v/>
      </c>
      <c r="J114" s="37">
        <f t="shared" si="10"/>
        <v>-4</v>
      </c>
      <c r="K114" s="37">
        <f t="shared" si="8"/>
        <v>-40</v>
      </c>
      <c r="L114" s="37"/>
      <c r="M114" s="39">
        <f t="shared" si="9"/>
        <v>0</v>
      </c>
    </row>
    <row r="115" spans="1:13">
      <c r="A115" s="58"/>
      <c r="G115" s="15"/>
      <c r="H115" s="37">
        <v>110</v>
      </c>
      <c r="I115" s="38" t="str">
        <f t="shared" si="7"/>
        <v/>
      </c>
      <c r="J115" s="37">
        <f t="shared" si="10"/>
        <v>-4</v>
      </c>
      <c r="K115" s="37">
        <f t="shared" si="8"/>
        <v>-40</v>
      </c>
      <c r="L115" s="37"/>
      <c r="M115" s="39">
        <f t="shared" si="9"/>
        <v>0</v>
      </c>
    </row>
    <row r="116" spans="1:13">
      <c r="A116" s="58"/>
      <c r="G116" s="15"/>
      <c r="H116" s="37">
        <v>111</v>
      </c>
      <c r="I116" s="38" t="str">
        <f t="shared" si="7"/>
        <v/>
      </c>
      <c r="J116" s="37">
        <f t="shared" si="10"/>
        <v>-4</v>
      </c>
      <c r="K116" s="37">
        <f t="shared" si="8"/>
        <v>-40</v>
      </c>
      <c r="L116" s="37"/>
      <c r="M116" s="39">
        <f t="shared" si="9"/>
        <v>0</v>
      </c>
    </row>
    <row r="117" spans="1:13">
      <c r="A117" s="58"/>
      <c r="G117" s="15"/>
      <c r="H117" s="37">
        <v>112</v>
      </c>
      <c r="I117" s="38" t="str">
        <f t="shared" si="7"/>
        <v/>
      </c>
      <c r="J117" s="37">
        <f t="shared" si="10"/>
        <v>-4</v>
      </c>
      <c r="K117" s="37">
        <f t="shared" si="8"/>
        <v>-40</v>
      </c>
      <c r="L117" s="37"/>
      <c r="M117" s="39">
        <f t="shared" si="9"/>
        <v>0</v>
      </c>
    </row>
    <row r="118" spans="1:13">
      <c r="A118" s="58"/>
      <c r="G118" s="15"/>
      <c r="H118" s="37">
        <v>113</v>
      </c>
      <c r="I118" s="38" t="str">
        <f t="shared" si="7"/>
        <v/>
      </c>
      <c r="J118" s="37">
        <f t="shared" si="10"/>
        <v>-4</v>
      </c>
      <c r="K118" s="37">
        <f t="shared" si="8"/>
        <v>-40</v>
      </c>
      <c r="L118" s="37"/>
      <c r="M118" s="39">
        <f t="shared" si="9"/>
        <v>0</v>
      </c>
    </row>
    <row r="119" spans="1:13">
      <c r="A119" s="58"/>
      <c r="G119" s="15"/>
      <c r="H119" s="37">
        <v>114</v>
      </c>
      <c r="I119" s="38" t="str">
        <f t="shared" si="7"/>
        <v/>
      </c>
      <c r="J119" s="37">
        <f t="shared" si="10"/>
        <v>-4</v>
      </c>
      <c r="K119" s="37">
        <f t="shared" si="8"/>
        <v>-40</v>
      </c>
      <c r="L119" s="37"/>
      <c r="M119" s="39">
        <f t="shared" si="9"/>
        <v>0</v>
      </c>
    </row>
    <row r="120" spans="1:13">
      <c r="A120" s="58"/>
      <c r="G120" s="15"/>
      <c r="H120" s="37">
        <v>115</v>
      </c>
      <c r="I120" s="38" t="str">
        <f t="shared" si="7"/>
        <v/>
      </c>
      <c r="J120" s="37">
        <f t="shared" si="10"/>
        <v>-4</v>
      </c>
      <c r="K120" s="37">
        <f t="shared" si="8"/>
        <v>-40</v>
      </c>
      <c r="L120" s="37"/>
      <c r="M120" s="39">
        <f t="shared" si="9"/>
        <v>0</v>
      </c>
    </row>
    <row r="121" spans="1:13">
      <c r="A121" s="58"/>
      <c r="G121" s="15"/>
      <c r="H121" s="37">
        <v>116</v>
      </c>
      <c r="I121" s="38" t="str">
        <f t="shared" si="7"/>
        <v/>
      </c>
      <c r="J121" s="37">
        <f t="shared" si="10"/>
        <v>-4</v>
      </c>
      <c r="K121" s="37">
        <f t="shared" si="8"/>
        <v>-40</v>
      </c>
      <c r="L121" s="37"/>
      <c r="M121" s="39">
        <f t="shared" si="9"/>
        <v>0</v>
      </c>
    </row>
    <row r="122" spans="1:13">
      <c r="A122" s="58"/>
      <c r="G122" s="15"/>
      <c r="H122" s="37">
        <v>117</v>
      </c>
      <c r="I122" s="38" t="str">
        <f t="shared" si="7"/>
        <v/>
      </c>
      <c r="J122" s="37">
        <f t="shared" si="10"/>
        <v>-4</v>
      </c>
      <c r="K122" s="37">
        <f t="shared" si="8"/>
        <v>-40</v>
      </c>
      <c r="L122" s="37"/>
      <c r="M122" s="39">
        <f t="shared" si="9"/>
        <v>0</v>
      </c>
    </row>
    <row r="123" spans="1:13">
      <c r="A123" s="58"/>
      <c r="G123" s="15"/>
      <c r="H123" s="37">
        <v>118</v>
      </c>
      <c r="I123" s="38" t="str">
        <f t="shared" si="7"/>
        <v/>
      </c>
      <c r="J123" s="37">
        <f t="shared" si="10"/>
        <v>-4</v>
      </c>
      <c r="K123" s="37">
        <f t="shared" si="8"/>
        <v>-40</v>
      </c>
      <c r="L123" s="37"/>
      <c r="M123" s="39">
        <f t="shared" si="9"/>
        <v>0</v>
      </c>
    </row>
    <row r="124" spans="1:13">
      <c r="A124" s="58"/>
      <c r="G124" s="15"/>
      <c r="H124" s="37">
        <v>119</v>
      </c>
      <c r="I124" s="38" t="str">
        <f t="shared" si="7"/>
        <v/>
      </c>
      <c r="J124" s="37">
        <f t="shared" si="10"/>
        <v>-4</v>
      </c>
      <c r="K124" s="37">
        <f t="shared" si="8"/>
        <v>-40</v>
      </c>
      <c r="L124" s="37"/>
      <c r="M124" s="39">
        <f t="shared" si="9"/>
        <v>0</v>
      </c>
    </row>
    <row r="125" spans="1:13">
      <c r="A125" s="58"/>
      <c r="G125" s="15"/>
      <c r="H125" s="37">
        <v>120</v>
      </c>
      <c r="I125" s="38" t="str">
        <f t="shared" si="7"/>
        <v/>
      </c>
      <c r="J125" s="37">
        <f t="shared" si="10"/>
        <v>-4</v>
      </c>
      <c r="K125" s="37">
        <f t="shared" si="8"/>
        <v>-40</v>
      </c>
      <c r="L125" s="37"/>
      <c r="M125" s="39">
        <f t="shared" si="9"/>
        <v>0</v>
      </c>
    </row>
    <row r="126" spans="1:13">
      <c r="A126" s="58"/>
      <c r="G126" s="15"/>
      <c r="H126" s="37">
        <v>121</v>
      </c>
      <c r="I126" s="38" t="str">
        <f t="shared" si="7"/>
        <v/>
      </c>
      <c r="J126" s="37">
        <f t="shared" si="10"/>
        <v>-4</v>
      </c>
      <c r="K126" s="37">
        <f t="shared" si="8"/>
        <v>-40</v>
      </c>
      <c r="L126" s="37"/>
      <c r="M126" s="39">
        <f t="shared" si="9"/>
        <v>0</v>
      </c>
    </row>
    <row r="127" spans="1:13">
      <c r="A127" s="58"/>
      <c r="G127" s="15"/>
      <c r="H127" s="37">
        <v>122</v>
      </c>
      <c r="I127" s="38" t="str">
        <f t="shared" si="7"/>
        <v/>
      </c>
      <c r="J127" s="37">
        <f t="shared" si="10"/>
        <v>-4</v>
      </c>
      <c r="K127" s="37">
        <f t="shared" si="8"/>
        <v>-40</v>
      </c>
      <c r="L127" s="37"/>
      <c r="M127" s="39">
        <f t="shared" si="9"/>
        <v>0</v>
      </c>
    </row>
    <row r="128" spans="1:13">
      <c r="A128" s="58"/>
      <c r="G128" s="15"/>
      <c r="H128" s="37">
        <v>123</v>
      </c>
      <c r="I128" s="38" t="str">
        <f t="shared" si="7"/>
        <v/>
      </c>
      <c r="J128" s="37">
        <f t="shared" si="10"/>
        <v>-4</v>
      </c>
      <c r="K128" s="37">
        <f t="shared" si="8"/>
        <v>-40</v>
      </c>
      <c r="L128" s="37"/>
      <c r="M128" s="39">
        <f t="shared" si="9"/>
        <v>0</v>
      </c>
    </row>
    <row r="129" spans="1:13">
      <c r="A129" s="58"/>
      <c r="G129" s="15"/>
      <c r="H129" s="37">
        <v>124</v>
      </c>
      <c r="I129" s="38" t="str">
        <f t="shared" si="7"/>
        <v/>
      </c>
      <c r="J129" s="37">
        <f t="shared" si="10"/>
        <v>-4</v>
      </c>
      <c r="K129" s="37">
        <f t="shared" si="8"/>
        <v>-40</v>
      </c>
      <c r="L129" s="37"/>
      <c r="M129" s="39">
        <f t="shared" si="9"/>
        <v>0</v>
      </c>
    </row>
    <row r="130" spans="1:13">
      <c r="A130" s="58"/>
      <c r="G130" s="15"/>
      <c r="H130" s="37">
        <v>125</v>
      </c>
      <c r="I130" s="38" t="str">
        <f t="shared" si="7"/>
        <v/>
      </c>
      <c r="J130" s="37">
        <f t="shared" si="10"/>
        <v>-4</v>
      </c>
      <c r="K130" s="37">
        <f t="shared" si="8"/>
        <v>-40</v>
      </c>
      <c r="L130" s="37"/>
      <c r="M130" s="39">
        <f t="shared" si="9"/>
        <v>0</v>
      </c>
    </row>
    <row r="131" spans="1:13">
      <c r="A131" s="58"/>
      <c r="G131" s="15"/>
      <c r="H131" s="37">
        <v>126</v>
      </c>
      <c r="I131" s="38" t="str">
        <f t="shared" si="7"/>
        <v/>
      </c>
      <c r="J131" s="37">
        <f t="shared" si="10"/>
        <v>-4</v>
      </c>
      <c r="K131" s="37">
        <f t="shared" si="8"/>
        <v>-40</v>
      </c>
      <c r="L131" s="37"/>
      <c r="M131" s="39">
        <f t="shared" si="9"/>
        <v>0</v>
      </c>
    </row>
    <row r="132" spans="1:13">
      <c r="A132" s="58"/>
      <c r="G132" s="15"/>
      <c r="H132" s="37">
        <v>127</v>
      </c>
      <c r="I132" s="38" t="str">
        <f t="shared" si="7"/>
        <v/>
      </c>
      <c r="J132" s="37">
        <f t="shared" si="10"/>
        <v>-4</v>
      </c>
      <c r="K132" s="37">
        <f t="shared" si="8"/>
        <v>-40</v>
      </c>
      <c r="L132" s="37"/>
      <c r="M132" s="39">
        <f t="shared" si="9"/>
        <v>0</v>
      </c>
    </row>
    <row r="133" spans="1:13">
      <c r="A133" s="58"/>
      <c r="G133" s="15"/>
      <c r="H133" s="37">
        <v>128</v>
      </c>
      <c r="I133" s="38" t="str">
        <f t="shared" si="7"/>
        <v/>
      </c>
      <c r="J133" s="37">
        <f t="shared" si="10"/>
        <v>-4</v>
      </c>
      <c r="K133" s="37">
        <f t="shared" si="8"/>
        <v>-40</v>
      </c>
      <c r="L133" s="37"/>
      <c r="M133" s="39">
        <f t="shared" si="9"/>
        <v>0</v>
      </c>
    </row>
    <row r="134" spans="1:13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>
        <f t="shared" si="10"/>
        <v>-5</v>
      </c>
      <c r="K134" s="37">
        <f t="shared" ref="K134:K197" si="12">J134*$J$2</f>
        <v>-50</v>
      </c>
      <c r="L134" s="37"/>
      <c r="M134" s="39">
        <f t="shared" ref="M134:M197" si="13">IF(I134&lt;&gt;"",K134+I134+L134,0)</f>
        <v>0</v>
      </c>
    </row>
    <row r="135" spans="1:13">
      <c r="A135" s="58"/>
      <c r="G135" s="15"/>
      <c r="H135" s="37">
        <v>130</v>
      </c>
      <c r="I135" s="38" t="str">
        <f t="shared" si="11"/>
        <v/>
      </c>
      <c r="J135" s="37">
        <f t="shared" ref="J135:J198" si="14">INT(LOG($H$2,2))-ROUNDUP(LOG(H135,2),0)+IF(OR($H$2=1,$H$2=2,$H$2=4,$H$2=8,$H$2=16,$H$2=32,$H$2=64,$H$2=128,$H$2=256),0,1)</f>
        <v>-5</v>
      </c>
      <c r="K135" s="37">
        <f t="shared" si="12"/>
        <v>-50</v>
      </c>
      <c r="L135" s="37"/>
      <c r="M135" s="39">
        <f t="shared" si="13"/>
        <v>0</v>
      </c>
    </row>
    <row r="136" spans="1:13">
      <c r="A136" s="58"/>
      <c r="G136" s="15"/>
      <c r="H136" s="37">
        <v>131</v>
      </c>
      <c r="I136" s="38" t="str">
        <f t="shared" si="11"/>
        <v/>
      </c>
      <c r="J136" s="37">
        <f t="shared" si="14"/>
        <v>-5</v>
      </c>
      <c r="K136" s="37">
        <f t="shared" si="12"/>
        <v>-50</v>
      </c>
      <c r="L136" s="37"/>
      <c r="M136" s="39">
        <f t="shared" si="13"/>
        <v>0</v>
      </c>
    </row>
    <row r="137" spans="1:13">
      <c r="A137" s="58"/>
      <c r="G137" s="15"/>
      <c r="H137" s="37">
        <v>132</v>
      </c>
      <c r="I137" s="38" t="str">
        <f t="shared" si="11"/>
        <v/>
      </c>
      <c r="J137" s="37">
        <f t="shared" si="14"/>
        <v>-5</v>
      </c>
      <c r="K137" s="37">
        <f t="shared" si="12"/>
        <v>-50</v>
      </c>
      <c r="L137" s="37"/>
      <c r="M137" s="39">
        <f t="shared" si="13"/>
        <v>0</v>
      </c>
    </row>
    <row r="138" spans="1:13">
      <c r="A138" s="58"/>
      <c r="G138" s="15"/>
      <c r="H138" s="37">
        <v>133</v>
      </c>
      <c r="I138" s="38" t="str">
        <f t="shared" si="11"/>
        <v/>
      </c>
      <c r="J138" s="37">
        <f t="shared" si="14"/>
        <v>-5</v>
      </c>
      <c r="K138" s="37">
        <f t="shared" si="12"/>
        <v>-50</v>
      </c>
      <c r="L138" s="37"/>
      <c r="M138" s="39">
        <f t="shared" si="13"/>
        <v>0</v>
      </c>
    </row>
    <row r="139" spans="1:13">
      <c r="A139" s="58"/>
      <c r="G139" s="15"/>
      <c r="H139" s="37">
        <v>134</v>
      </c>
      <c r="I139" s="38" t="str">
        <f t="shared" si="11"/>
        <v/>
      </c>
      <c r="J139" s="37">
        <f t="shared" si="14"/>
        <v>-5</v>
      </c>
      <c r="K139" s="37">
        <f t="shared" si="12"/>
        <v>-50</v>
      </c>
      <c r="L139" s="37"/>
      <c r="M139" s="39">
        <f t="shared" si="13"/>
        <v>0</v>
      </c>
    </row>
    <row r="140" spans="1:13">
      <c r="A140" s="58"/>
      <c r="G140" s="15"/>
      <c r="H140" s="37">
        <v>135</v>
      </c>
      <c r="I140" s="38" t="str">
        <f t="shared" si="11"/>
        <v/>
      </c>
      <c r="J140" s="37">
        <f t="shared" si="14"/>
        <v>-5</v>
      </c>
      <c r="K140" s="37">
        <f t="shared" si="12"/>
        <v>-50</v>
      </c>
      <c r="L140" s="37"/>
      <c r="M140" s="39">
        <f t="shared" si="13"/>
        <v>0</v>
      </c>
    </row>
    <row r="141" spans="1:13">
      <c r="A141" s="58"/>
      <c r="G141" s="15"/>
      <c r="H141" s="37">
        <v>136</v>
      </c>
      <c r="I141" s="38" t="str">
        <f t="shared" si="11"/>
        <v/>
      </c>
      <c r="J141" s="37">
        <f t="shared" si="14"/>
        <v>-5</v>
      </c>
      <c r="K141" s="37">
        <f t="shared" si="12"/>
        <v>-50</v>
      </c>
      <c r="L141" s="37"/>
      <c r="M141" s="39">
        <f t="shared" si="13"/>
        <v>0</v>
      </c>
    </row>
    <row r="142" spans="1:13">
      <c r="A142" s="58"/>
      <c r="G142" s="15"/>
      <c r="H142" s="37">
        <v>137</v>
      </c>
      <c r="I142" s="38" t="str">
        <f t="shared" si="11"/>
        <v/>
      </c>
      <c r="J142" s="37">
        <f t="shared" si="14"/>
        <v>-5</v>
      </c>
      <c r="K142" s="37">
        <f t="shared" si="12"/>
        <v>-50</v>
      </c>
      <c r="L142" s="37"/>
      <c r="M142" s="39">
        <f t="shared" si="13"/>
        <v>0</v>
      </c>
    </row>
    <row r="143" spans="1:13">
      <c r="A143" s="58"/>
      <c r="G143" s="15"/>
      <c r="H143" s="37">
        <v>138</v>
      </c>
      <c r="I143" s="38" t="str">
        <f t="shared" si="11"/>
        <v/>
      </c>
      <c r="J143" s="37">
        <f t="shared" si="14"/>
        <v>-5</v>
      </c>
      <c r="K143" s="37">
        <f t="shared" si="12"/>
        <v>-50</v>
      </c>
      <c r="L143" s="37"/>
      <c r="M143" s="39">
        <f t="shared" si="13"/>
        <v>0</v>
      </c>
    </row>
    <row r="144" spans="1:13">
      <c r="A144" s="58"/>
      <c r="G144" s="15"/>
      <c r="H144" s="37">
        <v>139</v>
      </c>
      <c r="I144" s="38" t="str">
        <f t="shared" si="11"/>
        <v/>
      </c>
      <c r="J144" s="37">
        <f t="shared" si="14"/>
        <v>-5</v>
      </c>
      <c r="K144" s="37">
        <f t="shared" si="12"/>
        <v>-50</v>
      </c>
      <c r="L144" s="37"/>
      <c r="M144" s="39">
        <f t="shared" si="13"/>
        <v>0</v>
      </c>
    </row>
    <row r="145" spans="1:13">
      <c r="A145" s="58"/>
      <c r="G145" s="15"/>
      <c r="H145" s="37">
        <v>140</v>
      </c>
      <c r="I145" s="38" t="str">
        <f t="shared" si="11"/>
        <v/>
      </c>
      <c r="J145" s="37">
        <f t="shared" si="14"/>
        <v>-5</v>
      </c>
      <c r="K145" s="37">
        <f t="shared" si="12"/>
        <v>-50</v>
      </c>
      <c r="L145" s="37"/>
      <c r="M145" s="39">
        <f t="shared" si="13"/>
        <v>0</v>
      </c>
    </row>
    <row r="146" spans="1:13">
      <c r="A146" s="58"/>
      <c r="G146" s="15"/>
      <c r="H146" s="37">
        <v>141</v>
      </c>
      <c r="I146" s="38" t="str">
        <f t="shared" si="11"/>
        <v/>
      </c>
      <c r="J146" s="37">
        <f t="shared" si="14"/>
        <v>-5</v>
      </c>
      <c r="K146" s="37">
        <f t="shared" si="12"/>
        <v>-50</v>
      </c>
      <c r="L146" s="37"/>
      <c r="M146" s="39">
        <f t="shared" si="13"/>
        <v>0</v>
      </c>
    </row>
    <row r="147" spans="1:13">
      <c r="A147" s="58"/>
      <c r="G147" s="15"/>
      <c r="H147" s="37">
        <v>142</v>
      </c>
      <c r="I147" s="38" t="str">
        <f t="shared" si="11"/>
        <v/>
      </c>
      <c r="J147" s="37">
        <f t="shared" si="14"/>
        <v>-5</v>
      </c>
      <c r="K147" s="37">
        <f t="shared" si="12"/>
        <v>-50</v>
      </c>
      <c r="L147" s="37"/>
      <c r="M147" s="39">
        <f t="shared" si="13"/>
        <v>0</v>
      </c>
    </row>
    <row r="148" spans="1:13">
      <c r="A148" s="58"/>
      <c r="G148" s="15"/>
      <c r="H148" s="37">
        <v>143</v>
      </c>
      <c r="I148" s="38" t="str">
        <f t="shared" si="11"/>
        <v/>
      </c>
      <c r="J148" s="37">
        <f t="shared" si="14"/>
        <v>-5</v>
      </c>
      <c r="K148" s="37">
        <f t="shared" si="12"/>
        <v>-50</v>
      </c>
      <c r="L148" s="37"/>
      <c r="M148" s="39">
        <f t="shared" si="13"/>
        <v>0</v>
      </c>
    </row>
    <row r="149" spans="1:13">
      <c r="A149" s="58"/>
      <c r="G149" s="15"/>
      <c r="H149" s="37">
        <v>144</v>
      </c>
      <c r="I149" s="38" t="str">
        <f t="shared" si="11"/>
        <v/>
      </c>
      <c r="J149" s="37">
        <f t="shared" si="14"/>
        <v>-5</v>
      </c>
      <c r="K149" s="37">
        <f t="shared" si="12"/>
        <v>-50</v>
      </c>
      <c r="L149" s="37"/>
      <c r="M149" s="39">
        <f t="shared" si="13"/>
        <v>0</v>
      </c>
    </row>
    <row r="150" spans="1:13">
      <c r="A150" s="58"/>
      <c r="G150" s="15"/>
      <c r="H150" s="37">
        <v>145</v>
      </c>
      <c r="I150" s="38" t="str">
        <f t="shared" si="11"/>
        <v/>
      </c>
      <c r="J150" s="37">
        <f t="shared" si="14"/>
        <v>-5</v>
      </c>
      <c r="K150" s="37">
        <f t="shared" si="12"/>
        <v>-50</v>
      </c>
      <c r="L150" s="37"/>
      <c r="M150" s="39">
        <f t="shared" si="13"/>
        <v>0</v>
      </c>
    </row>
    <row r="151" spans="1:13">
      <c r="A151" s="58"/>
      <c r="G151" s="15"/>
      <c r="H151" s="37">
        <v>146</v>
      </c>
      <c r="I151" s="38" t="str">
        <f t="shared" si="11"/>
        <v/>
      </c>
      <c r="J151" s="37">
        <f t="shared" si="14"/>
        <v>-5</v>
      </c>
      <c r="K151" s="37">
        <f t="shared" si="12"/>
        <v>-50</v>
      </c>
      <c r="L151" s="37"/>
      <c r="M151" s="39">
        <f t="shared" si="13"/>
        <v>0</v>
      </c>
    </row>
    <row r="152" spans="1:13">
      <c r="A152" s="58"/>
      <c r="G152" s="15"/>
      <c r="H152" s="37">
        <v>147</v>
      </c>
      <c r="I152" s="38" t="str">
        <f t="shared" si="11"/>
        <v/>
      </c>
      <c r="J152" s="37">
        <f t="shared" si="14"/>
        <v>-5</v>
      </c>
      <c r="K152" s="37">
        <f t="shared" si="12"/>
        <v>-50</v>
      </c>
      <c r="L152" s="37"/>
      <c r="M152" s="39">
        <f t="shared" si="13"/>
        <v>0</v>
      </c>
    </row>
    <row r="153" spans="1:13">
      <c r="A153" s="58"/>
      <c r="G153" s="15"/>
      <c r="H153" s="37">
        <v>148</v>
      </c>
      <c r="I153" s="38" t="str">
        <f t="shared" si="11"/>
        <v/>
      </c>
      <c r="J153" s="37">
        <f t="shared" si="14"/>
        <v>-5</v>
      </c>
      <c r="K153" s="37">
        <f t="shared" si="12"/>
        <v>-50</v>
      </c>
      <c r="L153" s="37"/>
      <c r="M153" s="39">
        <f t="shared" si="13"/>
        <v>0</v>
      </c>
    </row>
    <row r="154" spans="1:13">
      <c r="A154" s="58"/>
      <c r="G154" s="15"/>
      <c r="H154" s="37">
        <v>149</v>
      </c>
      <c r="I154" s="38" t="str">
        <f t="shared" si="11"/>
        <v/>
      </c>
      <c r="J154" s="37">
        <f t="shared" si="14"/>
        <v>-5</v>
      </c>
      <c r="K154" s="37">
        <f t="shared" si="12"/>
        <v>-50</v>
      </c>
      <c r="L154" s="37"/>
      <c r="M154" s="39">
        <f t="shared" si="13"/>
        <v>0</v>
      </c>
    </row>
    <row r="155" spans="1:13">
      <c r="A155" s="58"/>
      <c r="G155" s="15"/>
      <c r="H155" s="37">
        <v>150</v>
      </c>
      <c r="I155" s="38" t="str">
        <f t="shared" si="11"/>
        <v/>
      </c>
      <c r="J155" s="37">
        <f t="shared" si="14"/>
        <v>-5</v>
      </c>
      <c r="K155" s="37">
        <f t="shared" si="12"/>
        <v>-50</v>
      </c>
      <c r="L155" s="37"/>
      <c r="M155" s="39">
        <f t="shared" si="13"/>
        <v>0</v>
      </c>
    </row>
    <row r="156" spans="1:13">
      <c r="A156" s="58"/>
      <c r="G156" s="15"/>
      <c r="H156" s="37">
        <v>151</v>
      </c>
      <c r="I156" s="38" t="str">
        <f t="shared" si="11"/>
        <v/>
      </c>
      <c r="J156" s="37">
        <f t="shared" si="14"/>
        <v>-5</v>
      </c>
      <c r="K156" s="37">
        <f t="shared" si="12"/>
        <v>-50</v>
      </c>
      <c r="L156" s="37"/>
      <c r="M156" s="39">
        <f t="shared" si="13"/>
        <v>0</v>
      </c>
    </row>
    <row r="157" spans="1:13">
      <c r="A157" s="58"/>
      <c r="G157" s="15"/>
      <c r="H157" s="37">
        <v>152</v>
      </c>
      <c r="I157" s="38" t="str">
        <f t="shared" si="11"/>
        <v/>
      </c>
      <c r="J157" s="37">
        <f t="shared" si="14"/>
        <v>-5</v>
      </c>
      <c r="K157" s="37">
        <f t="shared" si="12"/>
        <v>-50</v>
      </c>
      <c r="L157" s="37"/>
      <c r="M157" s="39">
        <f t="shared" si="13"/>
        <v>0</v>
      </c>
    </row>
    <row r="158" spans="1:13">
      <c r="A158" s="58"/>
      <c r="G158" s="15"/>
      <c r="H158" s="37">
        <v>153</v>
      </c>
      <c r="I158" s="38" t="str">
        <f t="shared" si="11"/>
        <v/>
      </c>
      <c r="J158" s="37">
        <f t="shared" si="14"/>
        <v>-5</v>
      </c>
      <c r="K158" s="37">
        <f t="shared" si="12"/>
        <v>-50</v>
      </c>
      <c r="L158" s="37"/>
      <c r="M158" s="39">
        <f t="shared" si="13"/>
        <v>0</v>
      </c>
    </row>
    <row r="159" spans="1:13">
      <c r="A159" s="58"/>
      <c r="G159" s="15"/>
      <c r="H159" s="37">
        <v>154</v>
      </c>
      <c r="I159" s="38" t="str">
        <f t="shared" si="11"/>
        <v/>
      </c>
      <c r="J159" s="37">
        <f t="shared" si="14"/>
        <v>-5</v>
      </c>
      <c r="K159" s="37">
        <f t="shared" si="12"/>
        <v>-50</v>
      </c>
      <c r="L159" s="37"/>
      <c r="M159" s="39">
        <f t="shared" si="13"/>
        <v>0</v>
      </c>
    </row>
    <row r="160" spans="1:13">
      <c r="A160" s="58"/>
      <c r="G160" s="15"/>
      <c r="H160" s="37">
        <v>155</v>
      </c>
      <c r="I160" s="38" t="str">
        <f t="shared" si="11"/>
        <v/>
      </c>
      <c r="J160" s="37">
        <f t="shared" si="14"/>
        <v>-5</v>
      </c>
      <c r="K160" s="37">
        <f t="shared" si="12"/>
        <v>-50</v>
      </c>
      <c r="L160" s="37"/>
      <c r="M160" s="39">
        <f t="shared" si="13"/>
        <v>0</v>
      </c>
    </row>
    <row r="161" spans="1:13">
      <c r="A161" s="58"/>
      <c r="G161" s="15"/>
      <c r="H161" s="37">
        <v>156</v>
      </c>
      <c r="I161" s="38" t="str">
        <f t="shared" si="11"/>
        <v/>
      </c>
      <c r="J161" s="37">
        <f t="shared" si="14"/>
        <v>-5</v>
      </c>
      <c r="K161" s="37">
        <f t="shared" si="12"/>
        <v>-50</v>
      </c>
      <c r="L161" s="37"/>
      <c r="M161" s="39">
        <f t="shared" si="13"/>
        <v>0</v>
      </c>
    </row>
    <row r="162" spans="1:13">
      <c r="A162" s="58"/>
      <c r="G162" s="15"/>
      <c r="H162" s="37">
        <v>157</v>
      </c>
      <c r="I162" s="38" t="str">
        <f t="shared" si="11"/>
        <v/>
      </c>
      <c r="J162" s="37">
        <f t="shared" si="14"/>
        <v>-5</v>
      </c>
      <c r="K162" s="37">
        <f t="shared" si="12"/>
        <v>-50</v>
      </c>
      <c r="L162" s="37"/>
      <c r="M162" s="39">
        <f t="shared" si="13"/>
        <v>0</v>
      </c>
    </row>
    <row r="163" spans="1:13">
      <c r="A163" s="58"/>
      <c r="G163" s="15"/>
      <c r="H163" s="37">
        <v>158</v>
      </c>
      <c r="I163" s="38" t="str">
        <f t="shared" si="11"/>
        <v/>
      </c>
      <c r="J163" s="37">
        <f t="shared" si="14"/>
        <v>-5</v>
      </c>
      <c r="K163" s="37">
        <f t="shared" si="12"/>
        <v>-50</v>
      </c>
      <c r="L163" s="37"/>
      <c r="M163" s="39">
        <f t="shared" si="13"/>
        <v>0</v>
      </c>
    </row>
    <row r="164" spans="1:13">
      <c r="A164" s="58"/>
      <c r="G164" s="15"/>
      <c r="H164" s="37">
        <v>159</v>
      </c>
      <c r="I164" s="38" t="str">
        <f t="shared" si="11"/>
        <v/>
      </c>
      <c r="J164" s="37">
        <f t="shared" si="14"/>
        <v>-5</v>
      </c>
      <c r="K164" s="37">
        <f t="shared" si="12"/>
        <v>-50</v>
      </c>
      <c r="L164" s="37"/>
      <c r="M164" s="39">
        <f t="shared" si="13"/>
        <v>0</v>
      </c>
    </row>
    <row r="165" spans="1:13">
      <c r="A165" s="58"/>
      <c r="G165" s="15"/>
      <c r="H165" s="37">
        <v>160</v>
      </c>
      <c r="I165" s="38" t="str">
        <f t="shared" si="11"/>
        <v/>
      </c>
      <c r="J165" s="37">
        <f t="shared" si="14"/>
        <v>-5</v>
      </c>
      <c r="K165" s="37">
        <f t="shared" si="12"/>
        <v>-50</v>
      </c>
      <c r="L165" s="37"/>
      <c r="M165" s="39">
        <f t="shared" si="13"/>
        <v>0</v>
      </c>
    </row>
    <row r="166" spans="1:13">
      <c r="A166" s="58"/>
      <c r="G166" s="15"/>
      <c r="H166" s="37">
        <v>161</v>
      </c>
      <c r="I166" s="38" t="str">
        <f t="shared" si="11"/>
        <v/>
      </c>
      <c r="J166" s="37">
        <f t="shared" si="14"/>
        <v>-5</v>
      </c>
      <c r="K166" s="37">
        <f t="shared" si="12"/>
        <v>-50</v>
      </c>
      <c r="L166" s="37"/>
      <c r="M166" s="39">
        <f t="shared" si="13"/>
        <v>0</v>
      </c>
    </row>
    <row r="167" spans="1:13">
      <c r="A167" s="58"/>
      <c r="G167" s="15"/>
      <c r="H167" s="37">
        <v>162</v>
      </c>
      <c r="I167" s="38" t="str">
        <f t="shared" si="11"/>
        <v/>
      </c>
      <c r="J167" s="37">
        <f t="shared" si="14"/>
        <v>-5</v>
      </c>
      <c r="K167" s="37">
        <f t="shared" si="12"/>
        <v>-50</v>
      </c>
      <c r="L167" s="37"/>
      <c r="M167" s="39">
        <f t="shared" si="13"/>
        <v>0</v>
      </c>
    </row>
    <row r="168" spans="1:13">
      <c r="A168" s="58"/>
      <c r="G168" s="15"/>
      <c r="H168" s="37">
        <v>163</v>
      </c>
      <c r="I168" s="38" t="str">
        <f t="shared" si="11"/>
        <v/>
      </c>
      <c r="J168" s="37">
        <f t="shared" si="14"/>
        <v>-5</v>
      </c>
      <c r="K168" s="37">
        <f t="shared" si="12"/>
        <v>-50</v>
      </c>
      <c r="L168" s="37"/>
      <c r="M168" s="39">
        <f t="shared" si="13"/>
        <v>0</v>
      </c>
    </row>
    <row r="169" spans="1:13">
      <c r="A169" s="58"/>
      <c r="G169" s="15"/>
      <c r="H169" s="37">
        <v>164</v>
      </c>
      <c r="I169" s="38" t="str">
        <f t="shared" si="11"/>
        <v/>
      </c>
      <c r="J169" s="37">
        <f t="shared" si="14"/>
        <v>-5</v>
      </c>
      <c r="K169" s="37">
        <f t="shared" si="12"/>
        <v>-50</v>
      </c>
      <c r="L169" s="37"/>
      <c r="M169" s="39">
        <f t="shared" si="13"/>
        <v>0</v>
      </c>
    </row>
    <row r="170" spans="1:13">
      <c r="A170" s="58"/>
      <c r="G170" s="15"/>
      <c r="H170" s="37">
        <v>165</v>
      </c>
      <c r="I170" s="38" t="str">
        <f t="shared" si="11"/>
        <v/>
      </c>
      <c r="J170" s="37">
        <f t="shared" si="14"/>
        <v>-5</v>
      </c>
      <c r="K170" s="37">
        <f t="shared" si="12"/>
        <v>-50</v>
      </c>
      <c r="L170" s="37"/>
      <c r="M170" s="39">
        <f t="shared" si="13"/>
        <v>0</v>
      </c>
    </row>
    <row r="171" spans="1:13">
      <c r="A171" s="58"/>
      <c r="G171" s="15"/>
      <c r="H171" s="37">
        <v>166</v>
      </c>
      <c r="I171" s="38" t="str">
        <f t="shared" si="11"/>
        <v/>
      </c>
      <c r="J171" s="37">
        <f t="shared" si="14"/>
        <v>-5</v>
      </c>
      <c r="K171" s="37">
        <f t="shared" si="12"/>
        <v>-50</v>
      </c>
      <c r="L171" s="37"/>
      <c r="M171" s="39">
        <f t="shared" si="13"/>
        <v>0</v>
      </c>
    </row>
    <row r="172" spans="1:13">
      <c r="A172" s="58"/>
      <c r="G172" s="15"/>
      <c r="H172" s="37">
        <v>167</v>
      </c>
      <c r="I172" s="38" t="str">
        <f t="shared" si="11"/>
        <v/>
      </c>
      <c r="J172" s="37">
        <f t="shared" si="14"/>
        <v>-5</v>
      </c>
      <c r="K172" s="37">
        <f t="shared" si="12"/>
        <v>-50</v>
      </c>
      <c r="L172" s="37"/>
      <c r="M172" s="39">
        <f t="shared" si="13"/>
        <v>0</v>
      </c>
    </row>
    <row r="173" spans="1:13">
      <c r="A173" s="58"/>
      <c r="G173" s="15"/>
      <c r="H173" s="37">
        <v>168</v>
      </c>
      <c r="I173" s="38" t="str">
        <f t="shared" si="11"/>
        <v/>
      </c>
      <c r="J173" s="37">
        <f t="shared" si="14"/>
        <v>-5</v>
      </c>
      <c r="K173" s="37">
        <f t="shared" si="12"/>
        <v>-50</v>
      </c>
      <c r="L173" s="37"/>
      <c r="M173" s="39">
        <f t="shared" si="13"/>
        <v>0</v>
      </c>
    </row>
    <row r="174" spans="1:13">
      <c r="A174" s="58"/>
      <c r="G174" s="15"/>
      <c r="H174" s="37">
        <v>169</v>
      </c>
      <c r="I174" s="38" t="str">
        <f t="shared" si="11"/>
        <v/>
      </c>
      <c r="J174" s="37">
        <f t="shared" si="14"/>
        <v>-5</v>
      </c>
      <c r="K174" s="37">
        <f t="shared" si="12"/>
        <v>-50</v>
      </c>
      <c r="L174" s="37"/>
      <c r="M174" s="39">
        <f t="shared" si="13"/>
        <v>0</v>
      </c>
    </row>
    <row r="175" spans="1:13">
      <c r="A175" s="58"/>
      <c r="G175" s="15"/>
      <c r="H175" s="37">
        <v>170</v>
      </c>
      <c r="I175" s="38" t="str">
        <f t="shared" si="11"/>
        <v/>
      </c>
      <c r="J175" s="37">
        <f t="shared" si="14"/>
        <v>-5</v>
      </c>
      <c r="K175" s="37">
        <f t="shared" si="12"/>
        <v>-50</v>
      </c>
      <c r="L175" s="37"/>
      <c r="M175" s="39">
        <f t="shared" si="13"/>
        <v>0</v>
      </c>
    </row>
    <row r="176" spans="1:13">
      <c r="A176" s="58"/>
      <c r="G176" s="15"/>
      <c r="H176" s="37">
        <v>171</v>
      </c>
      <c r="I176" s="38" t="str">
        <f t="shared" si="11"/>
        <v/>
      </c>
      <c r="J176" s="37">
        <f t="shared" si="14"/>
        <v>-5</v>
      </c>
      <c r="K176" s="37">
        <f t="shared" si="12"/>
        <v>-50</v>
      </c>
      <c r="L176" s="37"/>
      <c r="M176" s="39">
        <f t="shared" si="13"/>
        <v>0</v>
      </c>
    </row>
    <row r="177" spans="1:13">
      <c r="A177" s="58"/>
      <c r="G177" s="15"/>
      <c r="H177" s="37">
        <v>172</v>
      </c>
      <c r="I177" s="38" t="str">
        <f t="shared" si="11"/>
        <v/>
      </c>
      <c r="J177" s="37">
        <f t="shared" si="14"/>
        <v>-5</v>
      </c>
      <c r="K177" s="37">
        <f t="shared" si="12"/>
        <v>-50</v>
      </c>
      <c r="L177" s="37"/>
      <c r="M177" s="39">
        <f t="shared" si="13"/>
        <v>0</v>
      </c>
    </row>
    <row r="178" spans="1:13">
      <c r="A178" s="58"/>
      <c r="G178" s="15"/>
      <c r="H178" s="37">
        <v>173</v>
      </c>
      <c r="I178" s="38" t="str">
        <f t="shared" si="11"/>
        <v/>
      </c>
      <c r="J178" s="37">
        <f t="shared" si="14"/>
        <v>-5</v>
      </c>
      <c r="K178" s="37">
        <f t="shared" si="12"/>
        <v>-50</v>
      </c>
      <c r="L178" s="37"/>
      <c r="M178" s="39">
        <f t="shared" si="13"/>
        <v>0</v>
      </c>
    </row>
    <row r="179" spans="1:13">
      <c r="A179" s="58"/>
      <c r="G179" s="15"/>
      <c r="H179" s="37">
        <v>174</v>
      </c>
      <c r="I179" s="38" t="str">
        <f t="shared" si="11"/>
        <v/>
      </c>
      <c r="J179" s="37">
        <f t="shared" si="14"/>
        <v>-5</v>
      </c>
      <c r="K179" s="37">
        <f t="shared" si="12"/>
        <v>-50</v>
      </c>
      <c r="L179" s="37"/>
      <c r="M179" s="39">
        <f t="shared" si="13"/>
        <v>0</v>
      </c>
    </row>
    <row r="180" spans="1:13">
      <c r="A180" s="58"/>
      <c r="G180" s="15"/>
      <c r="H180" s="37">
        <v>175</v>
      </c>
      <c r="I180" s="38" t="str">
        <f t="shared" si="11"/>
        <v/>
      </c>
      <c r="J180" s="37">
        <f t="shared" si="14"/>
        <v>-5</v>
      </c>
      <c r="K180" s="37">
        <f t="shared" si="12"/>
        <v>-50</v>
      </c>
      <c r="L180" s="37"/>
      <c r="M180" s="39">
        <f t="shared" si="13"/>
        <v>0</v>
      </c>
    </row>
    <row r="181" spans="1:13">
      <c r="A181" s="58"/>
      <c r="G181" s="15"/>
      <c r="H181" s="37">
        <v>176</v>
      </c>
      <c r="I181" s="38" t="str">
        <f t="shared" si="11"/>
        <v/>
      </c>
      <c r="J181" s="37">
        <f t="shared" si="14"/>
        <v>-5</v>
      </c>
      <c r="K181" s="37">
        <f t="shared" si="12"/>
        <v>-50</v>
      </c>
      <c r="L181" s="37"/>
      <c r="M181" s="39">
        <f t="shared" si="13"/>
        <v>0</v>
      </c>
    </row>
    <row r="182" spans="1:13">
      <c r="A182" s="58"/>
      <c r="G182" s="15"/>
      <c r="H182" s="37">
        <v>177</v>
      </c>
      <c r="I182" s="38" t="str">
        <f t="shared" si="11"/>
        <v/>
      </c>
      <c r="J182" s="37">
        <f t="shared" si="14"/>
        <v>-5</v>
      </c>
      <c r="K182" s="37">
        <f t="shared" si="12"/>
        <v>-50</v>
      </c>
      <c r="L182" s="37"/>
      <c r="M182" s="39">
        <f t="shared" si="13"/>
        <v>0</v>
      </c>
    </row>
    <row r="183" spans="1:13">
      <c r="A183" s="58"/>
      <c r="G183" s="15"/>
      <c r="H183" s="37">
        <v>178</v>
      </c>
      <c r="I183" s="38" t="str">
        <f t="shared" si="11"/>
        <v/>
      </c>
      <c r="J183" s="37">
        <f t="shared" si="14"/>
        <v>-5</v>
      </c>
      <c r="K183" s="37">
        <f t="shared" si="12"/>
        <v>-50</v>
      </c>
      <c r="L183" s="37"/>
      <c r="M183" s="39">
        <f t="shared" si="13"/>
        <v>0</v>
      </c>
    </row>
    <row r="184" spans="1:13">
      <c r="A184" s="58"/>
      <c r="G184" s="15"/>
      <c r="H184" s="37">
        <v>179</v>
      </c>
      <c r="I184" s="38" t="str">
        <f t="shared" si="11"/>
        <v/>
      </c>
      <c r="J184" s="37">
        <f t="shared" si="14"/>
        <v>-5</v>
      </c>
      <c r="K184" s="37">
        <f t="shared" si="12"/>
        <v>-50</v>
      </c>
      <c r="L184" s="37"/>
      <c r="M184" s="39">
        <f t="shared" si="13"/>
        <v>0</v>
      </c>
    </row>
    <row r="185" spans="1:13">
      <c r="A185" s="58"/>
      <c r="G185" s="15"/>
      <c r="H185" s="37">
        <v>180</v>
      </c>
      <c r="I185" s="38" t="str">
        <f t="shared" si="11"/>
        <v/>
      </c>
      <c r="J185" s="37">
        <f t="shared" si="14"/>
        <v>-5</v>
      </c>
      <c r="K185" s="37">
        <f t="shared" si="12"/>
        <v>-50</v>
      </c>
      <c r="L185" s="37"/>
      <c r="M185" s="39">
        <f t="shared" si="13"/>
        <v>0</v>
      </c>
    </row>
    <row r="186" spans="1:13">
      <c r="A186" s="58"/>
      <c r="G186" s="15"/>
      <c r="H186" s="37">
        <v>181</v>
      </c>
      <c r="I186" s="38" t="str">
        <f t="shared" si="11"/>
        <v/>
      </c>
      <c r="J186" s="37">
        <f t="shared" si="14"/>
        <v>-5</v>
      </c>
      <c r="K186" s="37">
        <f t="shared" si="12"/>
        <v>-50</v>
      </c>
      <c r="L186" s="37"/>
      <c r="M186" s="39">
        <f t="shared" si="13"/>
        <v>0</v>
      </c>
    </row>
    <row r="187" spans="1:13">
      <c r="A187" s="58"/>
      <c r="G187" s="15"/>
      <c r="H187" s="37">
        <v>182</v>
      </c>
      <c r="I187" s="38" t="str">
        <f t="shared" si="11"/>
        <v/>
      </c>
      <c r="J187" s="37">
        <f t="shared" si="14"/>
        <v>-5</v>
      </c>
      <c r="K187" s="37">
        <f t="shared" si="12"/>
        <v>-50</v>
      </c>
      <c r="L187" s="37"/>
      <c r="M187" s="39">
        <f t="shared" si="13"/>
        <v>0</v>
      </c>
    </row>
    <row r="188" spans="1:13">
      <c r="A188" s="58"/>
      <c r="G188" s="15"/>
      <c r="H188" s="37">
        <v>183</v>
      </c>
      <c r="I188" s="38" t="str">
        <f t="shared" si="11"/>
        <v/>
      </c>
      <c r="J188" s="37">
        <f t="shared" si="14"/>
        <v>-5</v>
      </c>
      <c r="K188" s="37">
        <f t="shared" si="12"/>
        <v>-50</v>
      </c>
      <c r="L188" s="37"/>
      <c r="M188" s="39">
        <f t="shared" si="13"/>
        <v>0</v>
      </c>
    </row>
    <row r="189" spans="1:13">
      <c r="A189" s="58"/>
      <c r="G189" s="15"/>
      <c r="H189" s="37">
        <v>184</v>
      </c>
      <c r="I189" s="38" t="str">
        <f t="shared" si="11"/>
        <v/>
      </c>
      <c r="J189" s="37">
        <f t="shared" si="14"/>
        <v>-5</v>
      </c>
      <c r="K189" s="37">
        <f t="shared" si="12"/>
        <v>-50</v>
      </c>
      <c r="L189" s="37"/>
      <c r="M189" s="39">
        <f t="shared" si="13"/>
        <v>0</v>
      </c>
    </row>
    <row r="190" spans="1:13">
      <c r="A190" s="58"/>
      <c r="G190" s="15"/>
      <c r="H190" s="37">
        <v>185</v>
      </c>
      <c r="I190" s="38" t="str">
        <f t="shared" si="11"/>
        <v/>
      </c>
      <c r="J190" s="37">
        <f t="shared" si="14"/>
        <v>-5</v>
      </c>
      <c r="K190" s="37">
        <f t="shared" si="12"/>
        <v>-50</v>
      </c>
      <c r="L190" s="37"/>
      <c r="M190" s="39">
        <f t="shared" si="13"/>
        <v>0</v>
      </c>
    </row>
    <row r="191" spans="1:13">
      <c r="A191" s="58"/>
      <c r="G191" s="15"/>
      <c r="H191" s="37">
        <v>186</v>
      </c>
      <c r="I191" s="38" t="str">
        <f t="shared" si="11"/>
        <v/>
      </c>
      <c r="J191" s="37">
        <f t="shared" si="14"/>
        <v>-5</v>
      </c>
      <c r="K191" s="37">
        <f t="shared" si="12"/>
        <v>-50</v>
      </c>
      <c r="L191" s="37"/>
      <c r="M191" s="39">
        <f t="shared" si="13"/>
        <v>0</v>
      </c>
    </row>
    <row r="192" spans="1:13">
      <c r="A192" s="58"/>
      <c r="G192" s="15"/>
      <c r="H192" s="37">
        <v>187</v>
      </c>
      <c r="I192" s="38" t="str">
        <f t="shared" si="11"/>
        <v/>
      </c>
      <c r="J192" s="37">
        <f t="shared" si="14"/>
        <v>-5</v>
      </c>
      <c r="K192" s="37">
        <f t="shared" si="12"/>
        <v>-50</v>
      </c>
      <c r="L192" s="37"/>
      <c r="M192" s="39">
        <f t="shared" si="13"/>
        <v>0</v>
      </c>
    </row>
    <row r="193" spans="1:13">
      <c r="A193" s="58"/>
      <c r="G193" s="15"/>
      <c r="H193" s="37">
        <v>188</v>
      </c>
      <c r="I193" s="38" t="str">
        <f t="shared" si="11"/>
        <v/>
      </c>
      <c r="J193" s="37">
        <f t="shared" si="14"/>
        <v>-5</v>
      </c>
      <c r="K193" s="37">
        <f t="shared" si="12"/>
        <v>-50</v>
      </c>
      <c r="L193" s="37"/>
      <c r="M193" s="39">
        <f t="shared" si="13"/>
        <v>0</v>
      </c>
    </row>
    <row r="194" spans="1:13">
      <c r="A194" s="58"/>
      <c r="G194" s="15"/>
      <c r="H194" s="37">
        <v>189</v>
      </c>
      <c r="I194" s="38" t="str">
        <f t="shared" si="11"/>
        <v/>
      </c>
      <c r="J194" s="37">
        <f t="shared" si="14"/>
        <v>-5</v>
      </c>
      <c r="K194" s="37">
        <f t="shared" si="12"/>
        <v>-50</v>
      </c>
      <c r="L194" s="37"/>
      <c r="M194" s="39">
        <f t="shared" si="13"/>
        <v>0</v>
      </c>
    </row>
    <row r="195" spans="1:13">
      <c r="A195" s="58"/>
      <c r="G195" s="15"/>
      <c r="H195" s="37">
        <v>190</v>
      </c>
      <c r="I195" s="38" t="str">
        <f t="shared" si="11"/>
        <v/>
      </c>
      <c r="J195" s="37">
        <f t="shared" si="14"/>
        <v>-5</v>
      </c>
      <c r="K195" s="37">
        <f t="shared" si="12"/>
        <v>-50</v>
      </c>
      <c r="L195" s="37"/>
      <c r="M195" s="39">
        <f t="shared" si="13"/>
        <v>0</v>
      </c>
    </row>
    <row r="196" spans="1:13">
      <c r="A196" s="58"/>
      <c r="G196" s="15"/>
      <c r="H196" s="37">
        <v>191</v>
      </c>
      <c r="I196" s="38" t="str">
        <f t="shared" si="11"/>
        <v/>
      </c>
      <c r="J196" s="37">
        <f t="shared" si="14"/>
        <v>-5</v>
      </c>
      <c r="K196" s="37">
        <f t="shared" si="12"/>
        <v>-50</v>
      </c>
      <c r="L196" s="37"/>
      <c r="M196" s="39">
        <f t="shared" si="13"/>
        <v>0</v>
      </c>
    </row>
    <row r="197" spans="1:13">
      <c r="A197" s="58"/>
      <c r="G197" s="15"/>
      <c r="H197" s="37">
        <v>192</v>
      </c>
      <c r="I197" s="38" t="str">
        <f t="shared" si="11"/>
        <v/>
      </c>
      <c r="J197" s="37">
        <f t="shared" si="14"/>
        <v>-5</v>
      </c>
      <c r="K197" s="37">
        <f t="shared" si="12"/>
        <v>-50</v>
      </c>
      <c r="L197" s="37"/>
      <c r="M197" s="39">
        <f t="shared" si="13"/>
        <v>0</v>
      </c>
    </row>
    <row r="198" spans="1:13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>
        <f t="shared" si="14"/>
        <v>-5</v>
      </c>
      <c r="K198" s="37">
        <f t="shared" ref="K198:K261" si="16">J198*$J$2</f>
        <v>-50</v>
      </c>
      <c r="L198" s="37"/>
      <c r="M198" s="39">
        <f t="shared" ref="M198:M261" si="17">IF(I198&lt;&gt;"",K198+I198+L198,0)</f>
        <v>0</v>
      </c>
    </row>
    <row r="199" spans="1:13">
      <c r="A199" s="58"/>
      <c r="G199" s="15"/>
      <c r="H199" s="37">
        <v>194</v>
      </c>
      <c r="I199" s="38" t="str">
        <f t="shared" si="15"/>
        <v/>
      </c>
      <c r="J199" s="37">
        <f t="shared" ref="J199:J262" si="18">INT(LOG($H$2,2))-ROUNDUP(LOG(H199,2),0)+IF(OR($H$2=1,$H$2=2,$H$2=4,$H$2=8,$H$2=16,$H$2=32,$H$2=64,$H$2=128,$H$2=256),0,1)</f>
        <v>-5</v>
      </c>
      <c r="K199" s="37">
        <f t="shared" si="16"/>
        <v>-50</v>
      </c>
      <c r="L199" s="37"/>
      <c r="M199" s="39">
        <f t="shared" si="17"/>
        <v>0</v>
      </c>
    </row>
    <row r="200" spans="1:13">
      <c r="A200" s="58"/>
      <c r="G200" s="15"/>
      <c r="H200" s="37">
        <v>195</v>
      </c>
      <c r="I200" s="38" t="str">
        <f t="shared" si="15"/>
        <v/>
      </c>
      <c r="J200" s="37">
        <f t="shared" si="18"/>
        <v>-5</v>
      </c>
      <c r="K200" s="37">
        <f t="shared" si="16"/>
        <v>-50</v>
      </c>
      <c r="L200" s="37"/>
      <c r="M200" s="39">
        <f t="shared" si="17"/>
        <v>0</v>
      </c>
    </row>
    <row r="201" spans="1:13">
      <c r="A201" s="58"/>
      <c r="G201" s="15"/>
      <c r="H201" s="37">
        <v>196</v>
      </c>
      <c r="I201" s="38" t="str">
        <f t="shared" si="15"/>
        <v/>
      </c>
      <c r="J201" s="37">
        <f t="shared" si="18"/>
        <v>-5</v>
      </c>
      <c r="K201" s="37">
        <f t="shared" si="16"/>
        <v>-50</v>
      </c>
      <c r="L201" s="37"/>
      <c r="M201" s="39">
        <f t="shared" si="17"/>
        <v>0</v>
      </c>
    </row>
    <row r="202" spans="1:13">
      <c r="A202" s="58"/>
      <c r="G202" s="15"/>
      <c r="H202" s="37">
        <v>197</v>
      </c>
      <c r="I202" s="38" t="str">
        <f t="shared" si="15"/>
        <v/>
      </c>
      <c r="J202" s="37">
        <f t="shared" si="18"/>
        <v>-5</v>
      </c>
      <c r="K202" s="37">
        <f t="shared" si="16"/>
        <v>-50</v>
      </c>
      <c r="L202" s="37"/>
      <c r="M202" s="39">
        <f t="shared" si="17"/>
        <v>0</v>
      </c>
    </row>
    <row r="203" spans="1:13">
      <c r="A203" s="58"/>
      <c r="G203" s="15"/>
      <c r="H203" s="37">
        <v>198</v>
      </c>
      <c r="I203" s="38" t="str">
        <f t="shared" si="15"/>
        <v/>
      </c>
      <c r="J203" s="37">
        <f t="shared" si="18"/>
        <v>-5</v>
      </c>
      <c r="K203" s="37">
        <f t="shared" si="16"/>
        <v>-50</v>
      </c>
      <c r="L203" s="37"/>
      <c r="M203" s="39">
        <f t="shared" si="17"/>
        <v>0</v>
      </c>
    </row>
    <row r="204" spans="1:13">
      <c r="A204" s="58"/>
      <c r="G204" s="15"/>
      <c r="H204" s="37">
        <v>199</v>
      </c>
      <c r="I204" s="38" t="str">
        <f t="shared" si="15"/>
        <v/>
      </c>
      <c r="J204" s="37">
        <f t="shared" si="18"/>
        <v>-5</v>
      </c>
      <c r="K204" s="37">
        <f t="shared" si="16"/>
        <v>-50</v>
      </c>
      <c r="L204" s="37"/>
      <c r="M204" s="39">
        <f t="shared" si="17"/>
        <v>0</v>
      </c>
    </row>
    <row r="205" spans="1:13">
      <c r="A205" s="58"/>
      <c r="G205" s="15"/>
      <c r="H205" s="37">
        <v>200</v>
      </c>
      <c r="I205" s="38" t="str">
        <f t="shared" si="15"/>
        <v/>
      </c>
      <c r="J205" s="37">
        <f t="shared" si="18"/>
        <v>-5</v>
      </c>
      <c r="K205" s="37">
        <f t="shared" si="16"/>
        <v>-50</v>
      </c>
      <c r="L205" s="37"/>
      <c r="M205" s="39">
        <f t="shared" si="17"/>
        <v>0</v>
      </c>
    </row>
    <row r="206" spans="1:13">
      <c r="A206" s="58"/>
      <c r="G206" s="15"/>
      <c r="H206" s="37">
        <v>201</v>
      </c>
      <c r="I206" s="38" t="str">
        <f t="shared" si="15"/>
        <v/>
      </c>
      <c r="J206" s="37">
        <f t="shared" si="18"/>
        <v>-5</v>
      </c>
      <c r="K206" s="37">
        <f t="shared" si="16"/>
        <v>-50</v>
      </c>
      <c r="L206" s="37"/>
      <c r="M206" s="39">
        <f t="shared" si="17"/>
        <v>0</v>
      </c>
    </row>
    <row r="207" spans="1:13">
      <c r="A207" s="58"/>
      <c r="G207" s="15"/>
      <c r="H207" s="37">
        <v>202</v>
      </c>
      <c r="I207" s="38" t="str">
        <f t="shared" si="15"/>
        <v/>
      </c>
      <c r="J207" s="37">
        <f t="shared" si="18"/>
        <v>-5</v>
      </c>
      <c r="K207" s="37">
        <f t="shared" si="16"/>
        <v>-50</v>
      </c>
      <c r="L207" s="37"/>
      <c r="M207" s="39">
        <f t="shared" si="17"/>
        <v>0</v>
      </c>
    </row>
    <row r="208" spans="1:13">
      <c r="A208" s="58"/>
      <c r="G208" s="15"/>
      <c r="H208" s="37">
        <v>203</v>
      </c>
      <c r="I208" s="38" t="str">
        <f t="shared" si="15"/>
        <v/>
      </c>
      <c r="J208" s="37">
        <f t="shared" si="18"/>
        <v>-5</v>
      </c>
      <c r="K208" s="37">
        <f t="shared" si="16"/>
        <v>-50</v>
      </c>
      <c r="L208" s="37"/>
      <c r="M208" s="39">
        <f t="shared" si="17"/>
        <v>0</v>
      </c>
    </row>
    <row r="209" spans="1:13">
      <c r="A209" s="58"/>
      <c r="G209" s="15"/>
      <c r="H209" s="37">
        <v>204</v>
      </c>
      <c r="I209" s="38" t="str">
        <f t="shared" si="15"/>
        <v/>
      </c>
      <c r="J209" s="37">
        <f t="shared" si="18"/>
        <v>-5</v>
      </c>
      <c r="K209" s="37">
        <f t="shared" si="16"/>
        <v>-50</v>
      </c>
      <c r="L209" s="37"/>
      <c r="M209" s="39">
        <f t="shared" si="17"/>
        <v>0</v>
      </c>
    </row>
    <row r="210" spans="1:13">
      <c r="A210" s="58"/>
      <c r="G210" s="15"/>
      <c r="H210" s="37">
        <v>205</v>
      </c>
      <c r="I210" s="38" t="str">
        <f t="shared" si="15"/>
        <v/>
      </c>
      <c r="J210" s="37">
        <f t="shared" si="18"/>
        <v>-5</v>
      </c>
      <c r="K210" s="37">
        <f t="shared" si="16"/>
        <v>-50</v>
      </c>
      <c r="L210" s="37"/>
      <c r="M210" s="39">
        <f t="shared" si="17"/>
        <v>0</v>
      </c>
    </row>
    <row r="211" spans="1:13">
      <c r="A211" s="58"/>
      <c r="G211" s="15"/>
      <c r="H211" s="37">
        <v>206</v>
      </c>
      <c r="I211" s="38" t="str">
        <f t="shared" si="15"/>
        <v/>
      </c>
      <c r="J211" s="37">
        <f t="shared" si="18"/>
        <v>-5</v>
      </c>
      <c r="K211" s="37">
        <f t="shared" si="16"/>
        <v>-50</v>
      </c>
      <c r="L211" s="37"/>
      <c r="M211" s="39">
        <f t="shared" si="17"/>
        <v>0</v>
      </c>
    </row>
    <row r="212" spans="1:13">
      <c r="A212" s="58"/>
      <c r="G212" s="15"/>
      <c r="H212" s="37">
        <v>207</v>
      </c>
      <c r="I212" s="38" t="str">
        <f t="shared" si="15"/>
        <v/>
      </c>
      <c r="J212" s="37">
        <f t="shared" si="18"/>
        <v>-5</v>
      </c>
      <c r="K212" s="37">
        <f t="shared" si="16"/>
        <v>-50</v>
      </c>
      <c r="L212" s="37"/>
      <c r="M212" s="39">
        <f t="shared" si="17"/>
        <v>0</v>
      </c>
    </row>
    <row r="213" spans="1:13">
      <c r="A213" s="58"/>
      <c r="G213" s="15"/>
      <c r="H213" s="37">
        <v>208</v>
      </c>
      <c r="I213" s="38" t="str">
        <f t="shared" si="15"/>
        <v/>
      </c>
      <c r="J213" s="37">
        <f t="shared" si="18"/>
        <v>-5</v>
      </c>
      <c r="K213" s="37">
        <f t="shared" si="16"/>
        <v>-50</v>
      </c>
      <c r="L213" s="37"/>
      <c r="M213" s="39">
        <f t="shared" si="17"/>
        <v>0</v>
      </c>
    </row>
    <row r="214" spans="1:13">
      <c r="A214" s="58"/>
      <c r="G214" s="15"/>
      <c r="H214" s="37">
        <v>209</v>
      </c>
      <c r="I214" s="38" t="str">
        <f t="shared" si="15"/>
        <v/>
      </c>
      <c r="J214" s="37">
        <f t="shared" si="18"/>
        <v>-5</v>
      </c>
      <c r="K214" s="37">
        <f t="shared" si="16"/>
        <v>-50</v>
      </c>
      <c r="L214" s="37"/>
      <c r="M214" s="39">
        <f t="shared" si="17"/>
        <v>0</v>
      </c>
    </row>
    <row r="215" spans="1:13">
      <c r="A215" s="58"/>
      <c r="G215" s="15"/>
      <c r="H215" s="37">
        <v>210</v>
      </c>
      <c r="I215" s="38" t="str">
        <f t="shared" si="15"/>
        <v/>
      </c>
      <c r="J215" s="37">
        <f t="shared" si="18"/>
        <v>-5</v>
      </c>
      <c r="K215" s="37">
        <f t="shared" si="16"/>
        <v>-50</v>
      </c>
      <c r="L215" s="37"/>
      <c r="M215" s="39">
        <f t="shared" si="17"/>
        <v>0</v>
      </c>
    </row>
    <row r="216" spans="1:13">
      <c r="A216" s="58"/>
      <c r="G216" s="15"/>
      <c r="H216" s="37">
        <v>211</v>
      </c>
      <c r="I216" s="38" t="str">
        <f t="shared" si="15"/>
        <v/>
      </c>
      <c r="J216" s="37">
        <f t="shared" si="18"/>
        <v>-5</v>
      </c>
      <c r="K216" s="37">
        <f t="shared" si="16"/>
        <v>-50</v>
      </c>
      <c r="L216" s="37"/>
      <c r="M216" s="39">
        <f t="shared" si="17"/>
        <v>0</v>
      </c>
    </row>
    <row r="217" spans="1:13">
      <c r="A217" s="58"/>
      <c r="G217" s="15"/>
      <c r="H217" s="37">
        <v>212</v>
      </c>
      <c r="I217" s="38" t="str">
        <f t="shared" si="15"/>
        <v/>
      </c>
      <c r="J217" s="37">
        <f t="shared" si="18"/>
        <v>-5</v>
      </c>
      <c r="K217" s="37">
        <f t="shared" si="16"/>
        <v>-50</v>
      </c>
      <c r="L217" s="37"/>
      <c r="M217" s="39">
        <f t="shared" si="17"/>
        <v>0</v>
      </c>
    </row>
    <row r="218" spans="1:13">
      <c r="A218" s="58"/>
      <c r="G218" s="15"/>
      <c r="H218" s="37">
        <v>213</v>
      </c>
      <c r="I218" s="38" t="str">
        <f t="shared" si="15"/>
        <v/>
      </c>
      <c r="J218" s="37">
        <f t="shared" si="18"/>
        <v>-5</v>
      </c>
      <c r="K218" s="37">
        <f t="shared" si="16"/>
        <v>-50</v>
      </c>
      <c r="L218" s="37"/>
      <c r="M218" s="39">
        <f t="shared" si="17"/>
        <v>0</v>
      </c>
    </row>
    <row r="219" spans="1:13">
      <c r="A219" s="58"/>
      <c r="G219" s="15"/>
      <c r="H219" s="37">
        <v>214</v>
      </c>
      <c r="I219" s="38" t="str">
        <f t="shared" si="15"/>
        <v/>
      </c>
      <c r="J219" s="37">
        <f t="shared" si="18"/>
        <v>-5</v>
      </c>
      <c r="K219" s="37">
        <f t="shared" si="16"/>
        <v>-50</v>
      </c>
      <c r="L219" s="37"/>
      <c r="M219" s="39">
        <f t="shared" si="17"/>
        <v>0</v>
      </c>
    </row>
    <row r="220" spans="1:13">
      <c r="A220" s="58"/>
      <c r="G220" s="15"/>
      <c r="H220" s="37">
        <v>215</v>
      </c>
      <c r="I220" s="38" t="str">
        <f t="shared" si="15"/>
        <v/>
      </c>
      <c r="J220" s="37">
        <f t="shared" si="18"/>
        <v>-5</v>
      </c>
      <c r="K220" s="37">
        <f t="shared" si="16"/>
        <v>-50</v>
      </c>
      <c r="L220" s="37"/>
      <c r="M220" s="39">
        <f t="shared" si="17"/>
        <v>0</v>
      </c>
    </row>
    <row r="221" spans="1:13">
      <c r="A221" s="58"/>
      <c r="G221" s="15"/>
      <c r="H221" s="37">
        <v>216</v>
      </c>
      <c r="I221" s="38" t="str">
        <f t="shared" si="15"/>
        <v/>
      </c>
      <c r="J221" s="37">
        <f t="shared" si="18"/>
        <v>-5</v>
      </c>
      <c r="K221" s="37">
        <f t="shared" si="16"/>
        <v>-50</v>
      </c>
      <c r="L221" s="37"/>
      <c r="M221" s="39">
        <f t="shared" si="17"/>
        <v>0</v>
      </c>
    </row>
    <row r="222" spans="1:13">
      <c r="A222" s="58"/>
      <c r="G222" s="15"/>
      <c r="H222" s="37">
        <v>217</v>
      </c>
      <c r="I222" s="38" t="str">
        <f t="shared" si="15"/>
        <v/>
      </c>
      <c r="J222" s="37">
        <f t="shared" si="18"/>
        <v>-5</v>
      </c>
      <c r="K222" s="37">
        <f t="shared" si="16"/>
        <v>-50</v>
      </c>
      <c r="L222" s="37"/>
      <c r="M222" s="39">
        <f t="shared" si="17"/>
        <v>0</v>
      </c>
    </row>
    <row r="223" spans="1:13">
      <c r="A223" s="58"/>
      <c r="G223" s="15"/>
      <c r="H223" s="37">
        <v>218</v>
      </c>
      <c r="I223" s="38" t="str">
        <f t="shared" si="15"/>
        <v/>
      </c>
      <c r="J223" s="37">
        <f t="shared" si="18"/>
        <v>-5</v>
      </c>
      <c r="K223" s="37">
        <f t="shared" si="16"/>
        <v>-50</v>
      </c>
      <c r="L223" s="37"/>
      <c r="M223" s="39">
        <f t="shared" si="17"/>
        <v>0</v>
      </c>
    </row>
    <row r="224" spans="1:13">
      <c r="A224" s="58"/>
      <c r="G224" s="15"/>
      <c r="H224" s="37">
        <v>219</v>
      </c>
      <c r="I224" s="38" t="str">
        <f t="shared" si="15"/>
        <v/>
      </c>
      <c r="J224" s="37">
        <f t="shared" si="18"/>
        <v>-5</v>
      </c>
      <c r="K224" s="37">
        <f t="shared" si="16"/>
        <v>-50</v>
      </c>
      <c r="L224" s="37"/>
      <c r="M224" s="39">
        <f t="shared" si="17"/>
        <v>0</v>
      </c>
    </row>
    <row r="225" spans="1:13">
      <c r="A225" s="58"/>
      <c r="G225" s="15"/>
      <c r="H225" s="37">
        <v>220</v>
      </c>
      <c r="I225" s="38" t="str">
        <f t="shared" si="15"/>
        <v/>
      </c>
      <c r="J225" s="37">
        <f t="shared" si="18"/>
        <v>-5</v>
      </c>
      <c r="K225" s="37">
        <f t="shared" si="16"/>
        <v>-50</v>
      </c>
      <c r="L225" s="37"/>
      <c r="M225" s="39">
        <f t="shared" si="17"/>
        <v>0</v>
      </c>
    </row>
    <row r="226" spans="1:13">
      <c r="A226" s="58"/>
      <c r="G226" s="15"/>
      <c r="H226" s="37">
        <v>221</v>
      </c>
      <c r="I226" s="38" t="str">
        <f t="shared" si="15"/>
        <v/>
      </c>
      <c r="J226" s="37">
        <f t="shared" si="18"/>
        <v>-5</v>
      </c>
      <c r="K226" s="37">
        <f t="shared" si="16"/>
        <v>-50</v>
      </c>
      <c r="L226" s="37"/>
      <c r="M226" s="39">
        <f t="shared" si="17"/>
        <v>0</v>
      </c>
    </row>
    <row r="227" spans="1:13">
      <c r="A227" s="58"/>
      <c r="G227" s="15"/>
      <c r="H227" s="37">
        <v>222</v>
      </c>
      <c r="I227" s="38" t="str">
        <f t="shared" si="15"/>
        <v/>
      </c>
      <c r="J227" s="37">
        <f t="shared" si="18"/>
        <v>-5</v>
      </c>
      <c r="K227" s="37">
        <f t="shared" si="16"/>
        <v>-50</v>
      </c>
      <c r="L227" s="37"/>
      <c r="M227" s="39">
        <f t="shared" si="17"/>
        <v>0</v>
      </c>
    </row>
    <row r="228" spans="1:13">
      <c r="A228" s="58"/>
      <c r="G228" s="15"/>
      <c r="H228" s="37">
        <v>223</v>
      </c>
      <c r="I228" s="38" t="str">
        <f t="shared" si="15"/>
        <v/>
      </c>
      <c r="J228" s="37">
        <f t="shared" si="18"/>
        <v>-5</v>
      </c>
      <c r="K228" s="37">
        <f t="shared" si="16"/>
        <v>-50</v>
      </c>
      <c r="L228" s="37"/>
      <c r="M228" s="39">
        <f t="shared" si="17"/>
        <v>0</v>
      </c>
    </row>
    <row r="229" spans="1:13">
      <c r="A229" s="58"/>
      <c r="G229" s="15"/>
      <c r="H229" s="37">
        <v>224</v>
      </c>
      <c r="I229" s="38" t="str">
        <f t="shared" si="15"/>
        <v/>
      </c>
      <c r="J229" s="37">
        <f t="shared" si="18"/>
        <v>-5</v>
      </c>
      <c r="K229" s="37">
        <f t="shared" si="16"/>
        <v>-50</v>
      </c>
      <c r="L229" s="37"/>
      <c r="M229" s="39">
        <f t="shared" si="17"/>
        <v>0</v>
      </c>
    </row>
    <row r="230" spans="1:13">
      <c r="A230" s="58"/>
      <c r="G230" s="15"/>
      <c r="H230" s="37">
        <v>225</v>
      </c>
      <c r="I230" s="38" t="str">
        <f t="shared" si="15"/>
        <v/>
      </c>
      <c r="J230" s="37">
        <f t="shared" si="18"/>
        <v>-5</v>
      </c>
      <c r="K230" s="37">
        <f t="shared" si="16"/>
        <v>-50</v>
      </c>
      <c r="L230" s="37"/>
      <c r="M230" s="39">
        <f t="shared" si="17"/>
        <v>0</v>
      </c>
    </row>
    <row r="231" spans="1:13">
      <c r="A231" s="58"/>
      <c r="G231" s="15"/>
      <c r="H231" s="37">
        <v>226</v>
      </c>
      <c r="I231" s="38" t="str">
        <f t="shared" si="15"/>
        <v/>
      </c>
      <c r="J231" s="37">
        <f t="shared" si="18"/>
        <v>-5</v>
      </c>
      <c r="K231" s="37">
        <f t="shared" si="16"/>
        <v>-50</v>
      </c>
      <c r="L231" s="37"/>
      <c r="M231" s="39">
        <f t="shared" si="17"/>
        <v>0</v>
      </c>
    </row>
    <row r="232" spans="1:13">
      <c r="A232" s="58"/>
      <c r="G232" s="15"/>
      <c r="H232" s="37">
        <v>227</v>
      </c>
      <c r="I232" s="38" t="str">
        <f t="shared" si="15"/>
        <v/>
      </c>
      <c r="J232" s="37">
        <f t="shared" si="18"/>
        <v>-5</v>
      </c>
      <c r="K232" s="37">
        <f t="shared" si="16"/>
        <v>-50</v>
      </c>
      <c r="L232" s="37"/>
      <c r="M232" s="39">
        <f t="shared" si="17"/>
        <v>0</v>
      </c>
    </row>
    <row r="233" spans="1:13">
      <c r="A233" s="58"/>
      <c r="G233" s="15"/>
      <c r="H233" s="37">
        <v>228</v>
      </c>
      <c r="I233" s="38" t="str">
        <f t="shared" si="15"/>
        <v/>
      </c>
      <c r="J233" s="37">
        <f t="shared" si="18"/>
        <v>-5</v>
      </c>
      <c r="K233" s="37">
        <f t="shared" si="16"/>
        <v>-50</v>
      </c>
      <c r="L233" s="37"/>
      <c r="M233" s="39">
        <f t="shared" si="17"/>
        <v>0</v>
      </c>
    </row>
    <row r="234" spans="1:13">
      <c r="A234" s="58"/>
      <c r="G234" s="15"/>
      <c r="H234" s="37">
        <v>229</v>
      </c>
      <c r="I234" s="38" t="str">
        <f t="shared" si="15"/>
        <v/>
      </c>
      <c r="J234" s="37">
        <f t="shared" si="18"/>
        <v>-5</v>
      </c>
      <c r="K234" s="37">
        <f t="shared" si="16"/>
        <v>-50</v>
      </c>
      <c r="L234" s="37"/>
      <c r="M234" s="39">
        <f t="shared" si="17"/>
        <v>0</v>
      </c>
    </row>
    <row r="235" spans="1:13">
      <c r="A235" s="58"/>
      <c r="G235" s="15"/>
      <c r="H235" s="37">
        <v>230</v>
      </c>
      <c r="I235" s="38" t="str">
        <f t="shared" si="15"/>
        <v/>
      </c>
      <c r="J235" s="37">
        <f t="shared" si="18"/>
        <v>-5</v>
      </c>
      <c r="K235" s="37">
        <f t="shared" si="16"/>
        <v>-50</v>
      </c>
      <c r="L235" s="37"/>
      <c r="M235" s="39">
        <f t="shared" si="17"/>
        <v>0</v>
      </c>
    </row>
    <row r="236" spans="1:13">
      <c r="A236" s="58"/>
      <c r="G236" s="15"/>
      <c r="H236" s="37">
        <v>231</v>
      </c>
      <c r="I236" s="38" t="str">
        <f t="shared" si="15"/>
        <v/>
      </c>
      <c r="J236" s="37">
        <f t="shared" si="18"/>
        <v>-5</v>
      </c>
      <c r="K236" s="37">
        <f t="shared" si="16"/>
        <v>-50</v>
      </c>
      <c r="L236" s="37"/>
      <c r="M236" s="39">
        <f t="shared" si="17"/>
        <v>0</v>
      </c>
    </row>
    <row r="237" spans="1:13">
      <c r="A237" s="58"/>
      <c r="G237" s="15"/>
      <c r="H237" s="37">
        <v>232</v>
      </c>
      <c r="I237" s="38" t="str">
        <f t="shared" si="15"/>
        <v/>
      </c>
      <c r="J237" s="37">
        <f t="shared" si="18"/>
        <v>-5</v>
      </c>
      <c r="K237" s="37">
        <f t="shared" si="16"/>
        <v>-50</v>
      </c>
      <c r="L237" s="37"/>
      <c r="M237" s="39">
        <f t="shared" si="17"/>
        <v>0</v>
      </c>
    </row>
    <row r="238" spans="1:13">
      <c r="A238" s="58"/>
      <c r="G238" s="15"/>
      <c r="H238" s="37">
        <v>233</v>
      </c>
      <c r="I238" s="38" t="str">
        <f t="shared" si="15"/>
        <v/>
      </c>
      <c r="J238" s="37">
        <f t="shared" si="18"/>
        <v>-5</v>
      </c>
      <c r="K238" s="37">
        <f t="shared" si="16"/>
        <v>-50</v>
      </c>
      <c r="L238" s="37"/>
      <c r="M238" s="39">
        <f t="shared" si="17"/>
        <v>0</v>
      </c>
    </row>
    <row r="239" spans="1:13">
      <c r="A239" s="58"/>
      <c r="G239" s="15"/>
      <c r="H239" s="37">
        <v>234</v>
      </c>
      <c r="I239" s="38" t="str">
        <f t="shared" si="15"/>
        <v/>
      </c>
      <c r="J239" s="37">
        <f t="shared" si="18"/>
        <v>-5</v>
      </c>
      <c r="K239" s="37">
        <f t="shared" si="16"/>
        <v>-50</v>
      </c>
      <c r="L239" s="37"/>
      <c r="M239" s="39">
        <f t="shared" si="17"/>
        <v>0</v>
      </c>
    </row>
    <row r="240" spans="1:13">
      <c r="A240" s="58"/>
      <c r="G240" s="15"/>
      <c r="H240" s="37">
        <v>235</v>
      </c>
      <c r="I240" s="38" t="str">
        <f t="shared" si="15"/>
        <v/>
      </c>
      <c r="J240" s="37">
        <f t="shared" si="18"/>
        <v>-5</v>
      </c>
      <c r="K240" s="37">
        <f t="shared" si="16"/>
        <v>-50</v>
      </c>
      <c r="L240" s="37"/>
      <c r="M240" s="39">
        <f t="shared" si="17"/>
        <v>0</v>
      </c>
    </row>
    <row r="241" spans="1:13">
      <c r="A241" s="58"/>
      <c r="G241" s="15"/>
      <c r="H241" s="37">
        <v>236</v>
      </c>
      <c r="I241" s="38" t="str">
        <f t="shared" si="15"/>
        <v/>
      </c>
      <c r="J241" s="37">
        <f t="shared" si="18"/>
        <v>-5</v>
      </c>
      <c r="K241" s="37">
        <f t="shared" si="16"/>
        <v>-50</v>
      </c>
      <c r="L241" s="37"/>
      <c r="M241" s="39">
        <f t="shared" si="17"/>
        <v>0</v>
      </c>
    </row>
    <row r="242" spans="1:13">
      <c r="A242" s="58"/>
      <c r="G242" s="15"/>
      <c r="H242" s="37">
        <v>237</v>
      </c>
      <c r="I242" s="38" t="str">
        <f t="shared" si="15"/>
        <v/>
      </c>
      <c r="J242" s="37">
        <f t="shared" si="18"/>
        <v>-5</v>
      </c>
      <c r="K242" s="37">
        <f t="shared" si="16"/>
        <v>-50</v>
      </c>
      <c r="L242" s="37"/>
      <c r="M242" s="39">
        <f t="shared" si="17"/>
        <v>0</v>
      </c>
    </row>
    <row r="243" spans="1:13">
      <c r="A243" s="58"/>
      <c r="G243" s="15"/>
      <c r="H243" s="37">
        <v>238</v>
      </c>
      <c r="I243" s="38" t="str">
        <f t="shared" si="15"/>
        <v/>
      </c>
      <c r="J243" s="37">
        <f t="shared" si="18"/>
        <v>-5</v>
      </c>
      <c r="K243" s="37">
        <f t="shared" si="16"/>
        <v>-50</v>
      </c>
      <c r="L243" s="37"/>
      <c r="M243" s="39">
        <f t="shared" si="17"/>
        <v>0</v>
      </c>
    </row>
    <row r="244" spans="1:13">
      <c r="A244" s="58"/>
      <c r="G244" s="15"/>
      <c r="H244" s="37">
        <v>239</v>
      </c>
      <c r="I244" s="38" t="str">
        <f t="shared" si="15"/>
        <v/>
      </c>
      <c r="J244" s="37">
        <f t="shared" si="18"/>
        <v>-5</v>
      </c>
      <c r="K244" s="37">
        <f t="shared" si="16"/>
        <v>-50</v>
      </c>
      <c r="L244" s="37"/>
      <c r="M244" s="39">
        <f t="shared" si="17"/>
        <v>0</v>
      </c>
    </row>
    <row r="245" spans="1:13">
      <c r="A245" s="58"/>
      <c r="G245" s="15"/>
      <c r="H245" s="37">
        <v>240</v>
      </c>
      <c r="I245" s="38" t="str">
        <f t="shared" si="15"/>
        <v/>
      </c>
      <c r="J245" s="37">
        <f t="shared" si="18"/>
        <v>-5</v>
      </c>
      <c r="K245" s="37">
        <f t="shared" si="16"/>
        <v>-50</v>
      </c>
      <c r="L245" s="37"/>
      <c r="M245" s="39">
        <f t="shared" si="17"/>
        <v>0</v>
      </c>
    </row>
    <row r="246" spans="1:13">
      <c r="A246" s="58"/>
      <c r="G246" s="15"/>
      <c r="H246" s="37">
        <v>241</v>
      </c>
      <c r="I246" s="38" t="str">
        <f t="shared" si="15"/>
        <v/>
      </c>
      <c r="J246" s="37">
        <f t="shared" si="18"/>
        <v>-5</v>
      </c>
      <c r="K246" s="37">
        <f t="shared" si="16"/>
        <v>-50</v>
      </c>
      <c r="L246" s="37"/>
      <c r="M246" s="39">
        <f t="shared" si="17"/>
        <v>0</v>
      </c>
    </row>
    <row r="247" spans="1:13">
      <c r="A247" s="58"/>
      <c r="G247" s="15"/>
      <c r="H247" s="37">
        <v>242</v>
      </c>
      <c r="I247" s="38" t="str">
        <f t="shared" si="15"/>
        <v/>
      </c>
      <c r="J247" s="37">
        <f t="shared" si="18"/>
        <v>-5</v>
      </c>
      <c r="K247" s="37">
        <f t="shared" si="16"/>
        <v>-50</v>
      </c>
      <c r="L247" s="37"/>
      <c r="M247" s="39">
        <f t="shared" si="17"/>
        <v>0</v>
      </c>
    </row>
    <row r="248" spans="1:13">
      <c r="A248" s="58"/>
      <c r="G248" s="15"/>
      <c r="H248" s="37">
        <v>243</v>
      </c>
      <c r="I248" s="38" t="str">
        <f t="shared" si="15"/>
        <v/>
      </c>
      <c r="J248" s="37">
        <f t="shared" si="18"/>
        <v>-5</v>
      </c>
      <c r="K248" s="37">
        <f t="shared" si="16"/>
        <v>-50</v>
      </c>
      <c r="L248" s="37"/>
      <c r="M248" s="39">
        <f t="shared" si="17"/>
        <v>0</v>
      </c>
    </row>
    <row r="249" spans="1:13">
      <c r="A249" s="58"/>
      <c r="G249" s="15"/>
      <c r="H249" s="37">
        <v>244</v>
      </c>
      <c r="I249" s="38" t="str">
        <f t="shared" si="15"/>
        <v/>
      </c>
      <c r="J249" s="37">
        <f t="shared" si="18"/>
        <v>-5</v>
      </c>
      <c r="K249" s="37">
        <f t="shared" si="16"/>
        <v>-50</v>
      </c>
      <c r="L249" s="37"/>
      <c r="M249" s="39">
        <f t="shared" si="17"/>
        <v>0</v>
      </c>
    </row>
    <row r="250" spans="1:13">
      <c r="A250" s="58"/>
      <c r="G250" s="15"/>
      <c r="H250" s="37">
        <v>245</v>
      </c>
      <c r="I250" s="38" t="str">
        <f t="shared" si="15"/>
        <v/>
      </c>
      <c r="J250" s="37">
        <f t="shared" si="18"/>
        <v>-5</v>
      </c>
      <c r="K250" s="37">
        <f t="shared" si="16"/>
        <v>-50</v>
      </c>
      <c r="L250" s="37"/>
      <c r="M250" s="39">
        <f t="shared" si="17"/>
        <v>0</v>
      </c>
    </row>
    <row r="251" spans="1:13">
      <c r="A251" s="58"/>
      <c r="G251" s="15"/>
      <c r="H251" s="37">
        <v>246</v>
      </c>
      <c r="I251" s="38" t="str">
        <f t="shared" si="15"/>
        <v/>
      </c>
      <c r="J251" s="37">
        <f t="shared" si="18"/>
        <v>-5</v>
      </c>
      <c r="K251" s="37">
        <f t="shared" si="16"/>
        <v>-50</v>
      </c>
      <c r="L251" s="37"/>
      <c r="M251" s="39">
        <f t="shared" si="17"/>
        <v>0</v>
      </c>
    </row>
    <row r="252" spans="1:13">
      <c r="A252" s="58"/>
      <c r="G252" s="15"/>
      <c r="H252" s="37">
        <v>247</v>
      </c>
      <c r="I252" s="38" t="str">
        <f t="shared" si="15"/>
        <v/>
      </c>
      <c r="J252" s="37">
        <f t="shared" si="18"/>
        <v>-5</v>
      </c>
      <c r="K252" s="37">
        <f t="shared" si="16"/>
        <v>-50</v>
      </c>
      <c r="L252" s="37"/>
      <c r="M252" s="39">
        <f t="shared" si="17"/>
        <v>0</v>
      </c>
    </row>
    <row r="253" spans="1:13">
      <c r="A253" s="58"/>
      <c r="G253" s="15"/>
      <c r="H253" s="37">
        <v>248</v>
      </c>
      <c r="I253" s="38" t="str">
        <f t="shared" si="15"/>
        <v/>
      </c>
      <c r="J253" s="37">
        <f t="shared" si="18"/>
        <v>-5</v>
      </c>
      <c r="K253" s="37">
        <f t="shared" si="16"/>
        <v>-50</v>
      </c>
      <c r="L253" s="37"/>
      <c r="M253" s="39">
        <f t="shared" si="17"/>
        <v>0</v>
      </c>
    </row>
    <row r="254" spans="1:13">
      <c r="A254" s="58"/>
      <c r="G254" s="15"/>
      <c r="H254" s="37">
        <v>249</v>
      </c>
      <c r="I254" s="38" t="str">
        <f t="shared" si="15"/>
        <v/>
      </c>
      <c r="J254" s="37">
        <f t="shared" si="18"/>
        <v>-5</v>
      </c>
      <c r="K254" s="37">
        <f t="shared" si="16"/>
        <v>-50</v>
      </c>
      <c r="L254" s="37"/>
      <c r="M254" s="39">
        <f t="shared" si="17"/>
        <v>0</v>
      </c>
    </row>
    <row r="255" spans="1:13">
      <c r="A255" s="58"/>
      <c r="G255" s="15"/>
      <c r="H255" s="37">
        <v>250</v>
      </c>
      <c r="I255" s="38" t="str">
        <f t="shared" si="15"/>
        <v/>
      </c>
      <c r="J255" s="37">
        <f t="shared" si="18"/>
        <v>-5</v>
      </c>
      <c r="K255" s="37">
        <f t="shared" si="16"/>
        <v>-50</v>
      </c>
      <c r="L255" s="37"/>
      <c r="M255" s="39">
        <f t="shared" si="17"/>
        <v>0</v>
      </c>
    </row>
    <row r="256" spans="1:13">
      <c r="A256" s="58"/>
      <c r="G256" s="15"/>
      <c r="H256" s="37">
        <v>251</v>
      </c>
      <c r="I256" s="38" t="str">
        <f t="shared" si="15"/>
        <v/>
      </c>
      <c r="J256" s="37">
        <f t="shared" si="18"/>
        <v>-5</v>
      </c>
      <c r="K256" s="37">
        <f t="shared" si="16"/>
        <v>-50</v>
      </c>
      <c r="L256" s="37"/>
      <c r="M256" s="39">
        <f t="shared" si="17"/>
        <v>0</v>
      </c>
    </row>
    <row r="257" spans="1:13">
      <c r="A257" s="58"/>
      <c r="G257" s="15"/>
      <c r="H257" s="37">
        <v>252</v>
      </c>
      <c r="I257" s="38" t="str">
        <f t="shared" si="15"/>
        <v/>
      </c>
      <c r="J257" s="37">
        <f t="shared" si="18"/>
        <v>-5</v>
      </c>
      <c r="K257" s="37">
        <f t="shared" si="16"/>
        <v>-50</v>
      </c>
      <c r="L257" s="37"/>
      <c r="M257" s="39">
        <f t="shared" si="17"/>
        <v>0</v>
      </c>
    </row>
    <row r="258" spans="1:13">
      <c r="A258" s="58"/>
      <c r="G258" s="15"/>
      <c r="H258" s="37">
        <v>253</v>
      </c>
      <c r="I258" s="38" t="str">
        <f t="shared" si="15"/>
        <v/>
      </c>
      <c r="J258" s="37">
        <f t="shared" si="18"/>
        <v>-5</v>
      </c>
      <c r="K258" s="37">
        <f t="shared" si="16"/>
        <v>-50</v>
      </c>
      <c r="L258" s="37"/>
      <c r="M258" s="39">
        <f t="shared" si="17"/>
        <v>0</v>
      </c>
    </row>
    <row r="259" spans="1:13">
      <c r="A259" s="58"/>
      <c r="G259" s="15"/>
      <c r="H259" s="37">
        <v>254</v>
      </c>
      <c r="I259" s="38" t="str">
        <f t="shared" si="15"/>
        <v/>
      </c>
      <c r="J259" s="37">
        <f t="shared" si="18"/>
        <v>-5</v>
      </c>
      <c r="K259" s="37">
        <f t="shared" si="16"/>
        <v>-50</v>
      </c>
      <c r="L259" s="37"/>
      <c r="M259" s="39">
        <f t="shared" si="17"/>
        <v>0</v>
      </c>
    </row>
    <row r="260" spans="1:13">
      <c r="A260" s="58"/>
      <c r="G260" s="15"/>
      <c r="H260" s="37">
        <v>255</v>
      </c>
      <c r="I260" s="38" t="str">
        <f t="shared" si="15"/>
        <v/>
      </c>
      <c r="J260" s="37">
        <f t="shared" si="18"/>
        <v>-5</v>
      </c>
      <c r="K260" s="37">
        <f t="shared" si="16"/>
        <v>-50</v>
      </c>
      <c r="L260" s="37"/>
      <c r="M260" s="39">
        <f t="shared" si="17"/>
        <v>0</v>
      </c>
    </row>
    <row r="261" spans="1:13">
      <c r="A261" s="58"/>
      <c r="G261" s="15"/>
      <c r="H261" s="37">
        <v>256</v>
      </c>
      <c r="I261" s="38" t="str">
        <f t="shared" si="15"/>
        <v/>
      </c>
      <c r="J261" s="37">
        <f t="shared" si="18"/>
        <v>-5</v>
      </c>
      <c r="K261" s="37">
        <f t="shared" si="16"/>
        <v>-50</v>
      </c>
      <c r="L261" s="37"/>
      <c r="M261" s="39">
        <f t="shared" si="17"/>
        <v>0</v>
      </c>
    </row>
    <row r="262" spans="1:13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>
        <f t="shared" si="18"/>
        <v>-6</v>
      </c>
      <c r="K262" s="37">
        <f t="shared" ref="K262:K305" si="20">J262*$J$2</f>
        <v>-60</v>
      </c>
      <c r="L262" s="37"/>
      <c r="M262" s="39">
        <f t="shared" ref="M262:M305" si="21">IF(I262&lt;&gt;"",K262+I262+L262,0)</f>
        <v>0</v>
      </c>
    </row>
    <row r="263" spans="1:13">
      <c r="A263" s="58"/>
      <c r="G263" s="15"/>
      <c r="H263" s="37">
        <v>258</v>
      </c>
      <c r="I263" s="38" t="str">
        <f t="shared" si="19"/>
        <v/>
      </c>
      <c r="J263" s="37">
        <f t="shared" ref="J263:J326" si="22">INT(LOG($H$2,2))-ROUNDUP(LOG(H263,2),0)+IF(OR($H$2=1,$H$2=2,$H$2=4,$H$2=8,$H$2=16,$H$2=32,$H$2=64,$H$2=128,$H$2=256),0,1)</f>
        <v>-6</v>
      </c>
      <c r="K263" s="37">
        <f t="shared" si="20"/>
        <v>-60</v>
      </c>
      <c r="L263" s="37"/>
      <c r="M263" s="39">
        <f t="shared" si="21"/>
        <v>0</v>
      </c>
    </row>
    <row r="264" spans="1:13">
      <c r="A264" s="58"/>
      <c r="G264" s="15"/>
      <c r="H264" s="37">
        <v>259</v>
      </c>
      <c r="I264" s="38" t="str">
        <f t="shared" si="19"/>
        <v/>
      </c>
      <c r="J264" s="37">
        <f t="shared" si="22"/>
        <v>-6</v>
      </c>
      <c r="K264" s="37">
        <f t="shared" si="20"/>
        <v>-60</v>
      </c>
      <c r="L264" s="37"/>
      <c r="M264" s="39">
        <f t="shared" si="21"/>
        <v>0</v>
      </c>
    </row>
    <row r="265" spans="1:13">
      <c r="A265" s="58"/>
      <c r="G265" s="15"/>
      <c r="H265" s="37">
        <v>260</v>
      </c>
      <c r="I265" s="38" t="str">
        <f t="shared" si="19"/>
        <v/>
      </c>
      <c r="J265" s="37">
        <f t="shared" si="22"/>
        <v>-6</v>
      </c>
      <c r="K265" s="37">
        <f t="shared" si="20"/>
        <v>-60</v>
      </c>
      <c r="L265" s="37"/>
      <c r="M265" s="39">
        <f t="shared" si="21"/>
        <v>0</v>
      </c>
    </row>
    <row r="266" spans="1:13">
      <c r="A266" s="58"/>
      <c r="G266" s="15"/>
      <c r="H266" s="37">
        <v>261</v>
      </c>
      <c r="I266" s="38" t="str">
        <f t="shared" si="19"/>
        <v/>
      </c>
      <c r="J266" s="37">
        <f t="shared" si="22"/>
        <v>-6</v>
      </c>
      <c r="K266" s="37">
        <f t="shared" si="20"/>
        <v>-60</v>
      </c>
      <c r="L266" s="37"/>
      <c r="M266" s="39">
        <f t="shared" si="21"/>
        <v>0</v>
      </c>
    </row>
    <row r="267" spans="1:13">
      <c r="A267" s="58"/>
      <c r="G267" s="15"/>
      <c r="H267" s="37">
        <v>262</v>
      </c>
      <c r="I267" s="38" t="str">
        <f t="shared" si="19"/>
        <v/>
      </c>
      <c r="J267" s="37">
        <f t="shared" si="22"/>
        <v>-6</v>
      </c>
      <c r="K267" s="37">
        <f t="shared" si="20"/>
        <v>-60</v>
      </c>
      <c r="L267" s="37"/>
      <c r="M267" s="39">
        <f t="shared" si="21"/>
        <v>0</v>
      </c>
    </row>
    <row r="268" spans="1:13">
      <c r="A268" s="58"/>
      <c r="G268" s="15"/>
      <c r="H268" s="37">
        <v>263</v>
      </c>
      <c r="I268" s="38" t="str">
        <f t="shared" si="19"/>
        <v/>
      </c>
      <c r="J268" s="37">
        <f t="shared" si="22"/>
        <v>-6</v>
      </c>
      <c r="K268" s="37">
        <f t="shared" si="20"/>
        <v>-60</v>
      </c>
      <c r="L268" s="37"/>
      <c r="M268" s="39">
        <f t="shared" si="21"/>
        <v>0</v>
      </c>
    </row>
    <row r="269" spans="1:13">
      <c r="A269" s="58"/>
      <c r="G269" s="15"/>
      <c r="H269" s="37">
        <v>264</v>
      </c>
      <c r="I269" s="38" t="str">
        <f t="shared" si="19"/>
        <v/>
      </c>
      <c r="J269" s="37">
        <f t="shared" si="22"/>
        <v>-6</v>
      </c>
      <c r="K269" s="37">
        <f t="shared" si="20"/>
        <v>-60</v>
      </c>
      <c r="L269" s="37"/>
      <c r="M269" s="39">
        <f t="shared" si="21"/>
        <v>0</v>
      </c>
    </row>
    <row r="270" spans="1:13">
      <c r="A270" s="58"/>
      <c r="G270" s="15"/>
      <c r="H270" s="37">
        <v>265</v>
      </c>
      <c r="I270" s="38" t="str">
        <f t="shared" si="19"/>
        <v/>
      </c>
      <c r="J270" s="37">
        <f t="shared" si="22"/>
        <v>-6</v>
      </c>
      <c r="K270" s="37">
        <f t="shared" si="20"/>
        <v>-60</v>
      </c>
      <c r="L270" s="37"/>
      <c r="M270" s="39">
        <f t="shared" si="21"/>
        <v>0</v>
      </c>
    </row>
    <row r="271" spans="1:13">
      <c r="A271" s="58"/>
      <c r="G271" s="15"/>
      <c r="H271" s="37">
        <v>266</v>
      </c>
      <c r="I271" s="38" t="str">
        <f t="shared" si="19"/>
        <v/>
      </c>
      <c r="J271" s="37">
        <f t="shared" si="22"/>
        <v>-6</v>
      </c>
      <c r="K271" s="37">
        <f t="shared" si="20"/>
        <v>-60</v>
      </c>
      <c r="L271" s="37"/>
      <c r="M271" s="39">
        <f t="shared" si="21"/>
        <v>0</v>
      </c>
    </row>
    <row r="272" spans="1:13">
      <c r="A272" s="58"/>
      <c r="G272" s="15"/>
      <c r="H272" s="37">
        <v>267</v>
      </c>
      <c r="I272" s="38" t="str">
        <f t="shared" si="19"/>
        <v/>
      </c>
      <c r="J272" s="37">
        <f t="shared" si="22"/>
        <v>-6</v>
      </c>
      <c r="K272" s="37">
        <f t="shared" si="20"/>
        <v>-60</v>
      </c>
      <c r="L272" s="37"/>
      <c r="M272" s="39">
        <f t="shared" si="21"/>
        <v>0</v>
      </c>
    </row>
    <row r="273" spans="1:13">
      <c r="A273" s="58"/>
      <c r="G273" s="15"/>
      <c r="H273" s="37">
        <v>268</v>
      </c>
      <c r="I273" s="38" t="str">
        <f t="shared" si="19"/>
        <v/>
      </c>
      <c r="J273" s="37">
        <f t="shared" si="22"/>
        <v>-6</v>
      </c>
      <c r="K273" s="37">
        <f t="shared" si="20"/>
        <v>-60</v>
      </c>
      <c r="L273" s="37"/>
      <c r="M273" s="39">
        <f t="shared" si="21"/>
        <v>0</v>
      </c>
    </row>
    <row r="274" spans="1:13">
      <c r="A274" s="58"/>
      <c r="G274" s="15"/>
      <c r="H274" s="37">
        <v>269</v>
      </c>
      <c r="I274" s="38" t="str">
        <f t="shared" si="19"/>
        <v/>
      </c>
      <c r="J274" s="37">
        <f t="shared" si="22"/>
        <v>-6</v>
      </c>
      <c r="K274" s="37">
        <f t="shared" si="20"/>
        <v>-60</v>
      </c>
      <c r="L274" s="37"/>
      <c r="M274" s="39">
        <f t="shared" si="21"/>
        <v>0</v>
      </c>
    </row>
    <row r="275" spans="1:13">
      <c r="A275" s="58"/>
      <c r="G275" s="15"/>
      <c r="H275" s="37">
        <v>270</v>
      </c>
      <c r="I275" s="38" t="str">
        <f t="shared" si="19"/>
        <v/>
      </c>
      <c r="J275" s="37">
        <f t="shared" si="22"/>
        <v>-6</v>
      </c>
      <c r="K275" s="37">
        <f t="shared" si="20"/>
        <v>-60</v>
      </c>
      <c r="L275" s="37"/>
      <c r="M275" s="39">
        <f t="shared" si="21"/>
        <v>0</v>
      </c>
    </row>
    <row r="276" spans="1:13">
      <c r="A276" s="58"/>
      <c r="G276" s="15"/>
      <c r="H276" s="37">
        <v>271</v>
      </c>
      <c r="I276" s="38" t="str">
        <f t="shared" si="19"/>
        <v/>
      </c>
      <c r="J276" s="37">
        <f t="shared" si="22"/>
        <v>-6</v>
      </c>
      <c r="K276" s="37">
        <f t="shared" si="20"/>
        <v>-60</v>
      </c>
      <c r="L276" s="37"/>
      <c r="M276" s="39">
        <f t="shared" si="21"/>
        <v>0</v>
      </c>
    </row>
    <row r="277" spans="1:13">
      <c r="A277" s="58"/>
      <c r="G277" s="15"/>
      <c r="H277" s="37">
        <v>272</v>
      </c>
      <c r="I277" s="38" t="str">
        <f t="shared" si="19"/>
        <v/>
      </c>
      <c r="J277" s="37">
        <f t="shared" si="22"/>
        <v>-6</v>
      </c>
      <c r="K277" s="37">
        <f t="shared" si="20"/>
        <v>-60</v>
      </c>
      <c r="L277" s="37"/>
      <c r="M277" s="39">
        <f t="shared" si="21"/>
        <v>0</v>
      </c>
    </row>
    <row r="278" spans="1:13">
      <c r="A278" s="58"/>
      <c r="G278" s="15"/>
      <c r="H278" s="37">
        <v>273</v>
      </c>
      <c r="I278" s="38" t="str">
        <f t="shared" si="19"/>
        <v/>
      </c>
      <c r="J278" s="37">
        <f t="shared" si="22"/>
        <v>-6</v>
      </c>
      <c r="K278" s="37">
        <f t="shared" si="20"/>
        <v>-60</v>
      </c>
      <c r="L278" s="37"/>
      <c r="M278" s="39">
        <f t="shared" si="21"/>
        <v>0</v>
      </c>
    </row>
    <row r="279" spans="1:13">
      <c r="A279" s="58"/>
      <c r="G279" s="15"/>
      <c r="H279" s="37">
        <v>274</v>
      </c>
      <c r="I279" s="38" t="str">
        <f t="shared" si="19"/>
        <v/>
      </c>
      <c r="J279" s="37">
        <f t="shared" si="22"/>
        <v>-6</v>
      </c>
      <c r="K279" s="37">
        <f t="shared" si="20"/>
        <v>-60</v>
      </c>
      <c r="L279" s="37"/>
      <c r="M279" s="39">
        <f t="shared" si="21"/>
        <v>0</v>
      </c>
    </row>
    <row r="280" spans="1:13">
      <c r="A280" s="58"/>
      <c r="G280" s="15"/>
      <c r="H280" s="37">
        <v>275</v>
      </c>
      <c r="I280" s="38" t="str">
        <f t="shared" si="19"/>
        <v/>
      </c>
      <c r="J280" s="37">
        <f t="shared" si="22"/>
        <v>-6</v>
      </c>
      <c r="K280" s="37">
        <f t="shared" si="20"/>
        <v>-60</v>
      </c>
      <c r="L280" s="37"/>
      <c r="M280" s="39">
        <f t="shared" si="21"/>
        <v>0</v>
      </c>
    </row>
    <row r="281" spans="1:13">
      <c r="A281" s="58"/>
      <c r="G281" s="15"/>
      <c r="H281" s="37">
        <v>276</v>
      </c>
      <c r="I281" s="38" t="str">
        <f t="shared" si="19"/>
        <v/>
      </c>
      <c r="J281" s="37">
        <f t="shared" si="22"/>
        <v>-6</v>
      </c>
      <c r="K281" s="37">
        <f t="shared" si="20"/>
        <v>-60</v>
      </c>
      <c r="L281" s="37"/>
      <c r="M281" s="39">
        <f t="shared" si="21"/>
        <v>0</v>
      </c>
    </row>
    <row r="282" spans="1:13">
      <c r="A282" s="58"/>
      <c r="G282" s="15"/>
      <c r="H282" s="37">
        <v>277</v>
      </c>
      <c r="I282" s="38" t="str">
        <f t="shared" si="19"/>
        <v/>
      </c>
      <c r="J282" s="37">
        <f t="shared" si="22"/>
        <v>-6</v>
      </c>
      <c r="K282" s="37">
        <f t="shared" si="20"/>
        <v>-60</v>
      </c>
      <c r="L282" s="37"/>
      <c r="M282" s="39">
        <f t="shared" si="21"/>
        <v>0</v>
      </c>
    </row>
    <row r="283" spans="1:13">
      <c r="A283" s="58"/>
      <c r="G283" s="15"/>
      <c r="H283" s="37">
        <v>278</v>
      </c>
      <c r="I283" s="38" t="str">
        <f t="shared" si="19"/>
        <v/>
      </c>
      <c r="J283" s="37">
        <f t="shared" si="22"/>
        <v>-6</v>
      </c>
      <c r="K283" s="37">
        <f t="shared" si="20"/>
        <v>-60</v>
      </c>
      <c r="L283" s="37"/>
      <c r="M283" s="39">
        <f t="shared" si="21"/>
        <v>0</v>
      </c>
    </row>
    <row r="284" spans="1:13">
      <c r="A284" s="58"/>
      <c r="G284" s="15"/>
      <c r="H284" s="37">
        <v>279</v>
      </c>
      <c r="I284" s="38" t="str">
        <f t="shared" si="19"/>
        <v/>
      </c>
      <c r="J284" s="37">
        <f t="shared" si="22"/>
        <v>-6</v>
      </c>
      <c r="K284" s="37">
        <f t="shared" si="20"/>
        <v>-60</v>
      </c>
      <c r="L284" s="37"/>
      <c r="M284" s="39">
        <f t="shared" si="21"/>
        <v>0</v>
      </c>
    </row>
    <row r="285" spans="1:13">
      <c r="A285" s="58"/>
      <c r="G285" s="15"/>
      <c r="H285" s="37">
        <v>280</v>
      </c>
      <c r="I285" s="38" t="str">
        <f t="shared" si="19"/>
        <v/>
      </c>
      <c r="J285" s="37">
        <f t="shared" si="22"/>
        <v>-6</v>
      </c>
      <c r="K285" s="37">
        <f t="shared" si="20"/>
        <v>-60</v>
      </c>
      <c r="L285" s="37"/>
      <c r="M285" s="39">
        <f t="shared" si="21"/>
        <v>0</v>
      </c>
    </row>
    <row r="286" spans="1:13">
      <c r="A286" s="58"/>
      <c r="G286" s="15"/>
      <c r="H286" s="37">
        <v>281</v>
      </c>
      <c r="I286" s="38" t="str">
        <f t="shared" si="19"/>
        <v/>
      </c>
      <c r="J286" s="37">
        <f t="shared" si="22"/>
        <v>-6</v>
      </c>
      <c r="K286" s="37">
        <f t="shared" si="20"/>
        <v>-60</v>
      </c>
      <c r="L286" s="37"/>
      <c r="M286" s="39">
        <f t="shared" si="21"/>
        <v>0</v>
      </c>
    </row>
    <row r="287" spans="1:13">
      <c r="A287" s="58"/>
      <c r="G287" s="15"/>
      <c r="H287" s="37">
        <v>282</v>
      </c>
      <c r="I287" s="38" t="str">
        <f t="shared" si="19"/>
        <v/>
      </c>
      <c r="J287" s="37">
        <f t="shared" si="22"/>
        <v>-6</v>
      </c>
      <c r="K287" s="37">
        <f t="shared" si="20"/>
        <v>-60</v>
      </c>
      <c r="L287" s="37"/>
      <c r="M287" s="39">
        <f t="shared" si="21"/>
        <v>0</v>
      </c>
    </row>
    <row r="288" spans="1:13">
      <c r="A288" s="58"/>
      <c r="G288" s="15"/>
      <c r="H288" s="37">
        <v>283</v>
      </c>
      <c r="I288" s="38" t="str">
        <f t="shared" si="19"/>
        <v/>
      </c>
      <c r="J288" s="37">
        <f t="shared" si="22"/>
        <v>-6</v>
      </c>
      <c r="K288" s="37">
        <f t="shared" si="20"/>
        <v>-60</v>
      </c>
      <c r="L288" s="37"/>
      <c r="M288" s="39">
        <f t="shared" si="21"/>
        <v>0</v>
      </c>
    </row>
    <row r="289" spans="1:13">
      <c r="A289" s="58"/>
      <c r="G289" s="15"/>
      <c r="H289" s="37">
        <v>284</v>
      </c>
      <c r="I289" s="38" t="str">
        <f t="shared" si="19"/>
        <v/>
      </c>
      <c r="J289" s="37">
        <f t="shared" si="22"/>
        <v>-6</v>
      </c>
      <c r="K289" s="37">
        <f t="shared" si="20"/>
        <v>-60</v>
      </c>
      <c r="L289" s="37"/>
      <c r="M289" s="39">
        <f t="shared" si="21"/>
        <v>0</v>
      </c>
    </row>
    <row r="290" spans="1:13">
      <c r="A290" s="58"/>
      <c r="G290" s="15"/>
      <c r="H290" s="37">
        <v>285</v>
      </c>
      <c r="I290" s="38" t="str">
        <f t="shared" si="19"/>
        <v/>
      </c>
      <c r="J290" s="37">
        <f t="shared" si="22"/>
        <v>-6</v>
      </c>
      <c r="K290" s="37">
        <f t="shared" si="20"/>
        <v>-60</v>
      </c>
      <c r="L290" s="37"/>
      <c r="M290" s="39">
        <f t="shared" si="21"/>
        <v>0</v>
      </c>
    </row>
    <row r="291" spans="1:13">
      <c r="A291" s="58"/>
      <c r="G291" s="15"/>
      <c r="H291" s="37">
        <v>286</v>
      </c>
      <c r="I291" s="38" t="str">
        <f t="shared" si="19"/>
        <v/>
      </c>
      <c r="J291" s="37">
        <f t="shared" si="22"/>
        <v>-6</v>
      </c>
      <c r="K291" s="37">
        <f t="shared" si="20"/>
        <v>-60</v>
      </c>
      <c r="L291" s="37"/>
      <c r="M291" s="39">
        <f t="shared" si="21"/>
        <v>0</v>
      </c>
    </row>
    <row r="292" spans="1:13">
      <c r="A292" s="58"/>
      <c r="G292" s="15"/>
      <c r="H292" s="37">
        <v>287</v>
      </c>
      <c r="I292" s="38" t="str">
        <f t="shared" si="19"/>
        <v/>
      </c>
      <c r="J292" s="37">
        <f t="shared" si="22"/>
        <v>-6</v>
      </c>
      <c r="K292" s="37">
        <f t="shared" si="20"/>
        <v>-60</v>
      </c>
      <c r="L292" s="37"/>
      <c r="M292" s="39">
        <f t="shared" si="21"/>
        <v>0</v>
      </c>
    </row>
    <row r="293" spans="1:13">
      <c r="A293" s="58"/>
      <c r="G293" s="15"/>
      <c r="H293" s="37">
        <v>288</v>
      </c>
      <c r="I293" s="38" t="str">
        <f t="shared" si="19"/>
        <v/>
      </c>
      <c r="J293" s="37">
        <f t="shared" si="22"/>
        <v>-6</v>
      </c>
      <c r="K293" s="37">
        <f t="shared" si="20"/>
        <v>-60</v>
      </c>
      <c r="L293" s="37"/>
      <c r="M293" s="39">
        <f t="shared" si="21"/>
        <v>0</v>
      </c>
    </row>
    <row r="294" spans="1:13">
      <c r="A294" s="58"/>
      <c r="G294" s="15"/>
      <c r="H294" s="37">
        <v>289</v>
      </c>
      <c r="I294" s="38" t="str">
        <f t="shared" si="19"/>
        <v/>
      </c>
      <c r="J294" s="37">
        <f t="shared" si="22"/>
        <v>-6</v>
      </c>
      <c r="K294" s="37">
        <f t="shared" si="20"/>
        <v>-60</v>
      </c>
      <c r="L294" s="37"/>
      <c r="M294" s="39">
        <f t="shared" si="21"/>
        <v>0</v>
      </c>
    </row>
    <row r="295" spans="1:13">
      <c r="A295" s="58"/>
      <c r="G295" s="15"/>
      <c r="H295" s="37">
        <v>290</v>
      </c>
      <c r="I295" s="38" t="str">
        <f t="shared" si="19"/>
        <v/>
      </c>
      <c r="J295" s="37">
        <f t="shared" si="22"/>
        <v>-6</v>
      </c>
      <c r="K295" s="37">
        <f t="shared" si="20"/>
        <v>-60</v>
      </c>
      <c r="L295" s="37"/>
      <c r="M295" s="39">
        <f t="shared" si="21"/>
        <v>0</v>
      </c>
    </row>
    <row r="296" spans="1:13">
      <c r="A296" s="58"/>
      <c r="G296" s="15"/>
      <c r="H296" s="37">
        <v>291</v>
      </c>
      <c r="I296" s="38" t="str">
        <f t="shared" si="19"/>
        <v/>
      </c>
      <c r="J296" s="37">
        <f t="shared" si="22"/>
        <v>-6</v>
      </c>
      <c r="K296" s="37">
        <f t="shared" si="20"/>
        <v>-60</v>
      </c>
      <c r="L296" s="37"/>
      <c r="M296" s="39">
        <f t="shared" si="21"/>
        <v>0</v>
      </c>
    </row>
    <row r="297" spans="1:13">
      <c r="A297" s="58"/>
      <c r="G297" s="15"/>
      <c r="H297" s="37">
        <v>292</v>
      </c>
      <c r="I297" s="38" t="str">
        <f t="shared" si="19"/>
        <v/>
      </c>
      <c r="J297" s="37">
        <f t="shared" si="22"/>
        <v>-6</v>
      </c>
      <c r="K297" s="37">
        <f t="shared" si="20"/>
        <v>-60</v>
      </c>
      <c r="L297" s="37"/>
      <c r="M297" s="39">
        <f t="shared" si="21"/>
        <v>0</v>
      </c>
    </row>
    <row r="298" spans="1:13">
      <c r="A298" s="58"/>
      <c r="G298" s="15"/>
      <c r="H298" s="37">
        <v>293</v>
      </c>
      <c r="I298" s="38" t="str">
        <f t="shared" si="19"/>
        <v/>
      </c>
      <c r="J298" s="37">
        <f t="shared" si="22"/>
        <v>-6</v>
      </c>
      <c r="K298" s="37">
        <f t="shared" si="20"/>
        <v>-60</v>
      </c>
      <c r="L298" s="37"/>
      <c r="M298" s="39">
        <f t="shared" si="21"/>
        <v>0</v>
      </c>
    </row>
    <row r="299" spans="1:13">
      <c r="A299" s="58"/>
      <c r="G299" s="15"/>
      <c r="H299" s="37">
        <v>294</v>
      </c>
      <c r="I299" s="38" t="str">
        <f t="shared" si="19"/>
        <v/>
      </c>
      <c r="J299" s="37">
        <f t="shared" si="22"/>
        <v>-6</v>
      </c>
      <c r="K299" s="37">
        <f t="shared" si="20"/>
        <v>-60</v>
      </c>
      <c r="L299" s="37"/>
      <c r="M299" s="39">
        <f t="shared" si="21"/>
        <v>0</v>
      </c>
    </row>
    <row r="300" spans="1:13">
      <c r="A300" s="58"/>
      <c r="G300" s="15"/>
      <c r="H300" s="37">
        <v>295</v>
      </c>
      <c r="I300" s="38" t="str">
        <f t="shared" si="19"/>
        <v/>
      </c>
      <c r="J300" s="37">
        <f t="shared" si="22"/>
        <v>-6</v>
      </c>
      <c r="K300" s="37">
        <f t="shared" si="20"/>
        <v>-60</v>
      </c>
      <c r="L300" s="37"/>
      <c r="M300" s="39">
        <f t="shared" si="21"/>
        <v>0</v>
      </c>
    </row>
    <row r="301" spans="1:13">
      <c r="A301" s="58"/>
      <c r="G301" s="15"/>
      <c r="H301" s="37">
        <v>296</v>
      </c>
      <c r="I301" s="38" t="str">
        <f t="shared" si="19"/>
        <v/>
      </c>
      <c r="J301" s="37">
        <f t="shared" si="22"/>
        <v>-6</v>
      </c>
      <c r="K301" s="37">
        <f t="shared" si="20"/>
        <v>-60</v>
      </c>
      <c r="L301" s="37"/>
      <c r="M301" s="39">
        <f t="shared" si="21"/>
        <v>0</v>
      </c>
    </row>
    <row r="302" spans="1:13">
      <c r="A302" s="58"/>
      <c r="G302" s="15"/>
      <c r="H302" s="37">
        <v>297</v>
      </c>
      <c r="I302" s="38" t="str">
        <f t="shared" si="19"/>
        <v/>
      </c>
      <c r="J302" s="37">
        <f t="shared" si="22"/>
        <v>-6</v>
      </c>
      <c r="K302" s="37">
        <f t="shared" si="20"/>
        <v>-60</v>
      </c>
      <c r="L302" s="37"/>
      <c r="M302" s="39">
        <f t="shared" si="21"/>
        <v>0</v>
      </c>
    </row>
    <row r="303" spans="1:13">
      <c r="A303" s="58"/>
      <c r="G303" s="15"/>
      <c r="H303" s="37">
        <v>298</v>
      </c>
      <c r="I303" s="38" t="str">
        <f t="shared" si="19"/>
        <v/>
      </c>
      <c r="J303" s="37">
        <f t="shared" si="22"/>
        <v>-6</v>
      </c>
      <c r="K303" s="37">
        <f t="shared" si="20"/>
        <v>-60</v>
      </c>
      <c r="L303" s="37"/>
      <c r="M303" s="39">
        <f t="shared" si="21"/>
        <v>0</v>
      </c>
    </row>
    <row r="304" spans="1:13">
      <c r="A304" s="58"/>
      <c r="G304" s="15"/>
      <c r="H304" s="37">
        <v>299</v>
      </c>
      <c r="I304" s="38" t="str">
        <f t="shared" si="19"/>
        <v/>
      </c>
      <c r="J304" s="37">
        <f t="shared" si="22"/>
        <v>-6</v>
      </c>
      <c r="K304" s="37">
        <f t="shared" si="20"/>
        <v>-60</v>
      </c>
      <c r="L304" s="37"/>
      <c r="M304" s="39">
        <f t="shared" si="21"/>
        <v>0</v>
      </c>
    </row>
    <row r="305" spans="1:16">
      <c r="A305" s="58"/>
      <c r="G305" s="15"/>
      <c r="H305" s="37">
        <v>300</v>
      </c>
      <c r="I305" s="38" t="str">
        <f t="shared" si="19"/>
        <v/>
      </c>
      <c r="J305" s="37">
        <f t="shared" si="22"/>
        <v>-6</v>
      </c>
      <c r="K305" s="37">
        <f t="shared" si="20"/>
        <v>-60</v>
      </c>
      <c r="L305" s="37"/>
      <c r="M305" s="39">
        <f t="shared" si="21"/>
        <v>0</v>
      </c>
    </row>
    <row r="306" spans="1:16">
      <c r="A306" s="60"/>
      <c r="J306" s="61" t="e">
        <f t="shared" si="22"/>
        <v>#NUM!</v>
      </c>
    </row>
    <row r="307" spans="1:16">
      <c r="J307" s="61" t="e">
        <f t="shared" si="22"/>
        <v>#NUM!</v>
      </c>
    </row>
    <row r="308" spans="1:16">
      <c r="J308" s="61" t="e">
        <f t="shared" si="22"/>
        <v>#NUM!</v>
      </c>
    </row>
    <row r="309" spans="1:16">
      <c r="J309" s="61" t="e">
        <f t="shared" si="22"/>
        <v>#NUM!</v>
      </c>
    </row>
    <row r="310" spans="1:16">
      <c r="J310" s="61" t="e">
        <f t="shared" si="22"/>
        <v>#NUM!</v>
      </c>
    </row>
    <row r="311" spans="1:16">
      <c r="J311" s="61" t="e">
        <f t="shared" si="22"/>
        <v>#NUM!</v>
      </c>
    </row>
    <row r="312" spans="1:16">
      <c r="J312" s="61" t="e">
        <f t="shared" si="22"/>
        <v>#NUM!</v>
      </c>
    </row>
    <row r="313" spans="1:16">
      <c r="J313" s="61" t="e">
        <f t="shared" si="22"/>
        <v>#NUM!</v>
      </c>
    </row>
    <row r="314" spans="1:16">
      <c r="J314" s="61" t="e">
        <f t="shared" si="22"/>
        <v>#NUM!</v>
      </c>
      <c r="L314" s="63"/>
      <c r="P314" s="53"/>
    </row>
    <row r="315" spans="1:16">
      <c r="J315" s="61" t="e">
        <f t="shared" si="22"/>
        <v>#NUM!</v>
      </c>
      <c r="L315" s="63"/>
      <c r="P315" s="53"/>
    </row>
    <row r="316" spans="1:16">
      <c r="J316" s="61" t="e">
        <f t="shared" si="22"/>
        <v>#NUM!</v>
      </c>
      <c r="L316" s="63"/>
      <c r="P316" s="53"/>
    </row>
    <row r="317" spans="1:16">
      <c r="J317" s="61" t="e">
        <f t="shared" si="22"/>
        <v>#NUM!</v>
      </c>
      <c r="L317" s="63"/>
      <c r="P317" s="53"/>
    </row>
    <row r="318" spans="1:16">
      <c r="J318" s="61" t="e">
        <f t="shared" si="22"/>
        <v>#NUM!</v>
      </c>
    </row>
    <row r="319" spans="1:16">
      <c r="J319" s="61" t="e">
        <f t="shared" si="22"/>
        <v>#NUM!</v>
      </c>
    </row>
    <row r="320" spans="1:16">
      <c r="J320" s="61" t="e">
        <f t="shared" si="22"/>
        <v>#NUM!</v>
      </c>
    </row>
    <row r="321" spans="10:10">
      <c r="J321" s="61" t="e">
        <f t="shared" si="22"/>
        <v>#NUM!</v>
      </c>
    </row>
    <row r="322" spans="10:10">
      <c r="J322" s="61" t="e">
        <f t="shared" si="22"/>
        <v>#NUM!</v>
      </c>
    </row>
    <row r="323" spans="10:10">
      <c r="J323" s="61" t="e">
        <f t="shared" si="22"/>
        <v>#NUM!</v>
      </c>
    </row>
    <row r="324" spans="10:10">
      <c r="J324" s="61" t="e">
        <f t="shared" si="22"/>
        <v>#NUM!</v>
      </c>
    </row>
    <row r="325" spans="10:10">
      <c r="J325" s="61" t="e">
        <f t="shared" si="22"/>
        <v>#NUM!</v>
      </c>
    </row>
    <row r="326" spans="10:10">
      <c r="J326" s="61" t="e">
        <f t="shared" si="22"/>
        <v>#NUM!</v>
      </c>
    </row>
    <row r="327" spans="10:10">
      <c r="J327" s="61" t="e">
        <f t="shared" ref="J327:J343" si="23">INT(LOG($H$2,2))-ROUNDUP(LOG(H327,2),0)+IF(OR($H$2=1,$H$2=2,$H$2=4,$H$2=8,$H$2=16,$H$2=32,$H$2=64,$H$2=128,$H$2=256),0,1)</f>
        <v>#NUM!</v>
      </c>
    </row>
    <row r="328" spans="10:10">
      <c r="J328" s="61" t="e">
        <f t="shared" si="23"/>
        <v>#NUM!</v>
      </c>
    </row>
    <row r="329" spans="10:10">
      <c r="J329" s="61" t="e">
        <f t="shared" si="23"/>
        <v>#NUM!</v>
      </c>
    </row>
    <row r="330" spans="10:10">
      <c r="J330" s="61" t="e">
        <f t="shared" si="23"/>
        <v>#NUM!</v>
      </c>
    </row>
    <row r="331" spans="10:10">
      <c r="J331" s="61" t="e">
        <f t="shared" si="23"/>
        <v>#NUM!</v>
      </c>
    </row>
    <row r="332" spans="10:10">
      <c r="J332" s="61" t="e">
        <f t="shared" si="23"/>
        <v>#NUM!</v>
      </c>
    </row>
    <row r="333" spans="10:10">
      <c r="J333" s="61" t="e">
        <f t="shared" si="23"/>
        <v>#NUM!</v>
      </c>
    </row>
    <row r="334" spans="10:10">
      <c r="J334" s="61" t="e">
        <f t="shared" si="23"/>
        <v>#NUM!</v>
      </c>
    </row>
    <row r="335" spans="10:10">
      <c r="J335" s="61" t="e">
        <f t="shared" si="23"/>
        <v>#NUM!</v>
      </c>
    </row>
    <row r="336" spans="10:10">
      <c r="J336" s="61" t="e">
        <f t="shared" si="23"/>
        <v>#NUM!</v>
      </c>
    </row>
    <row r="337" spans="10:10">
      <c r="J337" s="61" t="e">
        <f t="shared" si="23"/>
        <v>#NUM!</v>
      </c>
    </row>
    <row r="338" spans="10:10">
      <c r="J338" s="61" t="e">
        <f t="shared" si="23"/>
        <v>#NUM!</v>
      </c>
    </row>
    <row r="339" spans="10:10">
      <c r="J339" s="61" t="e">
        <f t="shared" si="23"/>
        <v>#NUM!</v>
      </c>
    </row>
    <row r="340" spans="10:10">
      <c r="J340" s="61" t="e">
        <f t="shared" si="23"/>
        <v>#NUM!</v>
      </c>
    </row>
    <row r="341" spans="10:10">
      <c r="J341" s="61" t="e">
        <f t="shared" si="23"/>
        <v>#NUM!</v>
      </c>
    </row>
    <row r="342" spans="10:10">
      <c r="J342" s="61" t="e">
        <f t="shared" si="23"/>
        <v>#NUM!</v>
      </c>
    </row>
    <row r="343" spans="10:10">
      <c r="J343" s="61" t="e">
        <f t="shared" si="23"/>
        <v>#NUM!</v>
      </c>
    </row>
  </sheetData>
  <mergeCells count="2">
    <mergeCell ref="C2:D2"/>
    <mergeCell ref="C3:D3"/>
  </mergeCells>
  <conditionalFormatting sqref="J9:K305">
    <cfRule type="cellIs" dxfId="33" priority="1" operator="lessThanOrEqual">
      <formula>0</formula>
    </cfRule>
  </conditionalFormatting>
  <hyperlinks>
    <hyperlink ref="C2:D2" r:id="rId1" display="PABIANICE" xr:uid="{C5C3CA77-A046-4E60-98DF-D20790A73143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A5770-F426-4552-988E-9D0B169720E3}">
  <sheetPr>
    <tabColor rgb="FF92D050"/>
  </sheetPr>
  <dimension ref="A1:AL317"/>
  <sheetViews>
    <sheetView workbookViewId="0">
      <selection activeCell="C21" sqref="C21"/>
    </sheetView>
  </sheetViews>
  <sheetFormatPr defaultColWidth="8.85546875" defaultRowHeight="14.25"/>
  <cols>
    <col min="1" max="1" width="8" style="59" customWidth="1"/>
    <col min="2" max="2" width="8.28515625" style="59" customWidth="1"/>
    <col min="3" max="3" width="34.7109375" style="59" customWidth="1"/>
    <col min="4" max="4" width="11.28515625" style="59" customWidth="1"/>
    <col min="5" max="6" width="8.85546875" style="59"/>
    <col min="7" max="7" width="0.85546875" style="59" customWidth="1"/>
    <col min="8" max="8" width="8.85546875" style="61"/>
    <col min="9" max="9" width="11" style="61" customWidth="1"/>
    <col min="10" max="10" width="15.28515625" style="61" customWidth="1"/>
    <col min="11" max="11" width="8.7109375" style="61" customWidth="1"/>
    <col min="12" max="12" width="11" style="61" customWidth="1"/>
    <col min="13" max="13" width="12.28515625" style="62" customWidth="1"/>
    <col min="14" max="15" width="13.85546875" style="15" customWidth="1"/>
    <col min="16" max="18" width="8.85546875" style="15"/>
    <col min="19" max="20" width="8.85546875" style="20"/>
    <col min="21" max="21" width="12.140625" style="20" customWidth="1"/>
    <col min="22" max="22" width="27.42578125" style="20" customWidth="1"/>
    <col min="23" max="38" width="8.85546875" style="20"/>
    <col min="39" max="16384" width="8.85546875" style="59"/>
  </cols>
  <sheetData>
    <row r="1" spans="1:36">
      <c r="A1" s="15"/>
      <c r="B1" s="15"/>
      <c r="C1" s="15"/>
      <c r="D1" s="15"/>
      <c r="E1" s="15"/>
      <c r="F1" s="15"/>
      <c r="G1" s="15"/>
      <c r="H1" s="16" t="s">
        <v>34</v>
      </c>
      <c r="I1" s="17" t="s">
        <v>35</v>
      </c>
      <c r="J1" s="17" t="s">
        <v>36</v>
      </c>
      <c r="K1" s="18" t="s">
        <v>37</v>
      </c>
      <c r="L1" s="19"/>
      <c r="M1" s="19"/>
    </row>
    <row r="2" spans="1:36">
      <c r="A2" s="15"/>
      <c r="B2" s="21" t="s">
        <v>38</v>
      </c>
      <c r="C2" s="284" t="s">
        <v>68</v>
      </c>
      <c r="D2" s="284"/>
      <c r="E2" s="22"/>
      <c r="F2" s="22"/>
      <c r="G2" s="22"/>
      <c r="H2" s="23">
        <v>10</v>
      </c>
      <c r="I2" s="24">
        <v>50</v>
      </c>
      <c r="J2" s="24">
        <v>10</v>
      </c>
      <c r="K2" s="25">
        <f>3*H2^(1/3)</f>
        <v>6.463304070095651</v>
      </c>
      <c r="L2" s="19"/>
      <c r="M2" s="19"/>
    </row>
    <row r="3" spans="1:36">
      <c r="A3" s="15"/>
      <c r="B3" s="26" t="s">
        <v>40</v>
      </c>
      <c r="C3" s="285" t="s">
        <v>69</v>
      </c>
      <c r="D3" s="285"/>
      <c r="E3" s="27"/>
      <c r="F3" s="27"/>
      <c r="G3" s="27"/>
      <c r="H3" s="19"/>
      <c r="I3" s="19"/>
      <c r="J3" s="28"/>
      <c r="K3" s="19"/>
      <c r="L3" s="19"/>
      <c r="M3" s="19"/>
    </row>
    <row r="4" spans="1:36" ht="10.15" customHeight="1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700000000000003">
      <c r="A5" s="1" t="s">
        <v>42</v>
      </c>
      <c r="B5" s="30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9"/>
      <c r="H5" s="31" t="s">
        <v>48</v>
      </c>
      <c r="I5" s="32" t="s">
        <v>49</v>
      </c>
      <c r="J5" s="33" t="s">
        <v>50</v>
      </c>
      <c r="K5" s="32" t="s">
        <v>51</v>
      </c>
      <c r="L5" s="32" t="s">
        <v>52</v>
      </c>
      <c r="M5" s="31" t="s">
        <v>53</v>
      </c>
    </row>
    <row r="6" spans="1:36" ht="14.45" customHeight="1">
      <c r="A6" s="34">
        <f>M6</f>
        <v>109.38991221028695</v>
      </c>
      <c r="B6" s="35">
        <v>1</v>
      </c>
      <c r="C6" s="36" t="s">
        <v>23</v>
      </c>
      <c r="D6" s="36" t="s">
        <v>54</v>
      </c>
      <c r="E6" s="36" t="s">
        <v>55</v>
      </c>
      <c r="F6" s="36"/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4</v>
      </c>
      <c r="K6" s="37">
        <f t="shared" ref="K6:K69" si="0">J6*$J$2</f>
        <v>40</v>
      </c>
      <c r="L6" s="39">
        <f>3*K2</f>
        <v>19.389912210286951</v>
      </c>
      <c r="M6" s="39">
        <f t="shared" ref="M6:M69" si="1">IF(I6&lt;&gt;"",K6+I6+L6,0)</f>
        <v>109.38991221028695</v>
      </c>
    </row>
    <row r="7" spans="1:36" ht="14.45" customHeight="1">
      <c r="A7" s="40">
        <f t="shared" ref="A7:A37" si="2">M7</f>
        <v>78.176138352656224</v>
      </c>
      <c r="B7" s="41">
        <v>2</v>
      </c>
      <c r="C7" s="42" t="s">
        <v>22</v>
      </c>
      <c r="D7" s="42" t="s">
        <v>54</v>
      </c>
      <c r="E7" s="42" t="s">
        <v>55</v>
      </c>
      <c r="F7" s="42"/>
      <c r="G7" s="29"/>
      <c r="H7" s="43">
        <v>2</v>
      </c>
      <c r="I7" s="44">
        <f t="shared" ref="I7:I69" si="3">IF(H7&lt;$H$2+1,($I$2-($I$2-1)*(LOG(H7)/LOG($H$2))),"")</f>
        <v>35.249530212464919</v>
      </c>
      <c r="J7" s="43">
        <f t="shared" ref="J7:J70" si="4">INT(LOG($H$2,2))-ROUNDUP(LOG(H7,2),0)+IF(OR($H$2=1,$H$2=2,$H$2=4,$H$2=8,$H$2=16,$H$2=32,$H$2=64,$H$2=128,$H$2=256),0,1)</f>
        <v>3</v>
      </c>
      <c r="K7" s="43">
        <f t="shared" si="0"/>
        <v>30</v>
      </c>
      <c r="L7" s="45">
        <f>2*K2</f>
        <v>12.926608140191302</v>
      </c>
      <c r="M7" s="45">
        <f t="shared" si="1"/>
        <v>78.176138352656224</v>
      </c>
    </row>
    <row r="8" spans="1:36" ht="14.45" customHeight="1">
      <c r="A8" s="34">
        <f t="shared" si="2"/>
        <v>53.084362588832192</v>
      </c>
      <c r="B8" s="35">
        <v>3</v>
      </c>
      <c r="C8" s="36" t="s">
        <v>25</v>
      </c>
      <c r="D8" s="36" t="s">
        <v>59</v>
      </c>
      <c r="E8" s="36" t="s">
        <v>55</v>
      </c>
      <c r="F8" s="36"/>
      <c r="G8" s="29"/>
      <c r="H8" s="37">
        <v>3</v>
      </c>
      <c r="I8" s="38">
        <f t="shared" si="3"/>
        <v>26.62105851873654</v>
      </c>
      <c r="J8" s="37">
        <f t="shared" si="4"/>
        <v>2</v>
      </c>
      <c r="K8" s="37">
        <f t="shared" si="0"/>
        <v>20</v>
      </c>
      <c r="L8" s="39">
        <f>K2</f>
        <v>6.463304070095651</v>
      </c>
      <c r="M8" s="39">
        <f t="shared" si="1"/>
        <v>53.084362588832192</v>
      </c>
    </row>
    <row r="9" spans="1:36" ht="14.45" customHeight="1">
      <c r="A9" s="40">
        <f t="shared" si="2"/>
        <v>40.499060424929844</v>
      </c>
      <c r="B9" s="41">
        <v>4</v>
      </c>
      <c r="C9" s="42" t="s">
        <v>20</v>
      </c>
      <c r="D9" s="42" t="s">
        <v>54</v>
      </c>
      <c r="E9" s="42" t="s">
        <v>55</v>
      </c>
      <c r="F9" s="42"/>
      <c r="G9" s="29"/>
      <c r="H9" s="43">
        <v>4</v>
      </c>
      <c r="I9" s="44">
        <f t="shared" si="3"/>
        <v>20.499060424929844</v>
      </c>
      <c r="J9" s="43">
        <f t="shared" si="4"/>
        <v>2</v>
      </c>
      <c r="K9" s="43">
        <f t="shared" si="0"/>
        <v>20</v>
      </c>
      <c r="L9" s="45"/>
      <c r="M9" s="45">
        <f t="shared" si="1"/>
        <v>40.499060424929844</v>
      </c>
      <c r="V9" s="46"/>
      <c r="Z9" s="47"/>
      <c r="AA9" s="47"/>
      <c r="AG9" s="48"/>
      <c r="AH9" s="20" t="s">
        <v>57</v>
      </c>
      <c r="AI9" s="20">
        <v>23</v>
      </c>
    </row>
    <row r="10" spans="1:36" ht="14.45" customHeight="1">
      <c r="A10" s="34">
        <f t="shared" si="2"/>
        <v>25.750469787535074</v>
      </c>
      <c r="B10" s="35">
        <v>5</v>
      </c>
      <c r="C10" s="36" t="s">
        <v>24</v>
      </c>
      <c r="D10" s="36" t="s">
        <v>56</v>
      </c>
      <c r="E10" s="36" t="s">
        <v>55</v>
      </c>
      <c r="F10" s="36"/>
      <c r="G10" s="29"/>
      <c r="H10" s="37">
        <v>5</v>
      </c>
      <c r="I10" s="38">
        <f t="shared" si="3"/>
        <v>15.750469787535074</v>
      </c>
      <c r="J10" s="37">
        <f t="shared" si="4"/>
        <v>1</v>
      </c>
      <c r="K10" s="37">
        <f t="shared" si="0"/>
        <v>10</v>
      </c>
      <c r="L10" s="37"/>
      <c r="M10" s="39">
        <f t="shared" si="1"/>
        <v>25.750469787535074</v>
      </c>
      <c r="V10" s="46"/>
      <c r="Z10" s="47"/>
      <c r="AA10" s="47"/>
      <c r="AG10" s="48"/>
      <c r="AH10" s="20" t="s">
        <v>58</v>
      </c>
      <c r="AI10" s="20">
        <v>45</v>
      </c>
    </row>
    <row r="11" spans="1:36" ht="14.45" customHeight="1">
      <c r="A11" s="40">
        <f t="shared" si="2"/>
        <v>21.870588731201465</v>
      </c>
      <c r="B11" s="41">
        <v>6</v>
      </c>
      <c r="C11" s="42" t="s">
        <v>26</v>
      </c>
      <c r="D11" s="42" t="s">
        <v>54</v>
      </c>
      <c r="E11" s="42" t="s">
        <v>55</v>
      </c>
      <c r="F11" s="42"/>
      <c r="G11" s="29"/>
      <c r="H11" s="43">
        <v>6</v>
      </c>
      <c r="I11" s="44">
        <f t="shared" si="3"/>
        <v>11.870588731201465</v>
      </c>
      <c r="J11" s="43">
        <f t="shared" si="4"/>
        <v>1</v>
      </c>
      <c r="K11" s="43">
        <f t="shared" si="0"/>
        <v>10</v>
      </c>
      <c r="L11" s="43"/>
      <c r="M11" s="45">
        <f t="shared" si="1"/>
        <v>21.870588731201465</v>
      </c>
      <c r="V11" s="49"/>
      <c r="Z11" s="47"/>
      <c r="AA11" s="47"/>
      <c r="AG11" s="48"/>
      <c r="AH11" s="20" t="s">
        <v>60</v>
      </c>
      <c r="AI11" s="20">
        <v>50</v>
      </c>
    </row>
    <row r="12" spans="1:36" ht="14.45" customHeight="1">
      <c r="A12" s="34">
        <f t="shared" si="2"/>
        <v>18.590196039301418</v>
      </c>
      <c r="B12" s="35">
        <v>7</v>
      </c>
      <c r="C12" s="36" t="s">
        <v>30</v>
      </c>
      <c r="D12" s="36" t="s">
        <v>59</v>
      </c>
      <c r="E12" s="36" t="s">
        <v>55</v>
      </c>
      <c r="F12" s="36"/>
      <c r="G12" s="29"/>
      <c r="H12" s="37">
        <v>7</v>
      </c>
      <c r="I12" s="38">
        <f t="shared" si="3"/>
        <v>8.5901960393014178</v>
      </c>
      <c r="J12" s="37">
        <f t="shared" si="4"/>
        <v>1</v>
      </c>
      <c r="K12" s="37">
        <f t="shared" si="0"/>
        <v>10</v>
      </c>
      <c r="L12" s="37"/>
      <c r="M12" s="39">
        <f t="shared" si="1"/>
        <v>18.590196039301418</v>
      </c>
      <c r="Z12" s="47"/>
      <c r="AA12" s="47"/>
      <c r="AG12" s="48"/>
      <c r="AH12" s="20" t="s">
        <v>61</v>
      </c>
      <c r="AI12" s="20">
        <f>AI11-1</f>
        <v>49</v>
      </c>
    </row>
    <row r="13" spans="1:36" ht="14.45" customHeight="1">
      <c r="A13" s="50">
        <f t="shared" si="2"/>
        <v>15.74859063739477</v>
      </c>
      <c r="B13" s="41">
        <v>8</v>
      </c>
      <c r="C13" s="42" t="s">
        <v>28</v>
      </c>
      <c r="D13" s="42" t="s">
        <v>54</v>
      </c>
      <c r="E13" s="42" t="s">
        <v>55</v>
      </c>
      <c r="F13" s="42"/>
      <c r="G13" s="29"/>
      <c r="H13" s="43">
        <v>8</v>
      </c>
      <c r="I13" s="44">
        <f t="shared" si="3"/>
        <v>5.7485906373947699</v>
      </c>
      <c r="J13" s="43">
        <f t="shared" si="4"/>
        <v>1</v>
      </c>
      <c r="K13" s="43">
        <f t="shared" si="0"/>
        <v>10</v>
      </c>
      <c r="L13" s="43"/>
      <c r="M13" s="45">
        <f t="shared" si="1"/>
        <v>15.74859063739477</v>
      </c>
      <c r="X13" s="46"/>
      <c r="AG13" s="48"/>
      <c r="AH13" s="20" t="s">
        <v>62</v>
      </c>
      <c r="AI13" s="20">
        <f>LOG(AI9)</f>
        <v>1.3617278360175928</v>
      </c>
    </row>
    <row r="14" spans="1:36" ht="38.85">
      <c r="A14" s="51">
        <f t="shared" si="2"/>
        <v>3.2421170374730792</v>
      </c>
      <c r="B14" s="35">
        <v>9</v>
      </c>
      <c r="C14" s="36" t="s">
        <v>70</v>
      </c>
      <c r="D14" s="36" t="s">
        <v>71</v>
      </c>
      <c r="E14" s="36" t="s">
        <v>55</v>
      </c>
      <c r="F14" s="36"/>
      <c r="G14" s="29"/>
      <c r="H14" s="37">
        <v>9</v>
      </c>
      <c r="I14" s="38">
        <f t="shared" si="3"/>
        <v>3.2421170374730792</v>
      </c>
      <c r="J14" s="37">
        <f t="shared" si="4"/>
        <v>0</v>
      </c>
      <c r="K14" s="37">
        <f t="shared" si="0"/>
        <v>0</v>
      </c>
      <c r="L14" s="37"/>
      <c r="M14" s="39">
        <f t="shared" si="1"/>
        <v>3.2421170374730792</v>
      </c>
      <c r="X14" s="52"/>
      <c r="Z14" s="47"/>
      <c r="AA14" s="47"/>
      <c r="AG14" s="48"/>
      <c r="AH14" s="20" t="s">
        <v>64</v>
      </c>
      <c r="AI14" s="20">
        <f>LOG(AI10)</f>
        <v>1.6532125137753437</v>
      </c>
    </row>
    <row r="15" spans="1:36" ht="14.45" customHeight="1">
      <c r="A15" s="50">
        <f t="shared" si="2"/>
        <v>1</v>
      </c>
      <c r="B15" s="41">
        <v>10</v>
      </c>
      <c r="C15" s="42" t="s">
        <v>33</v>
      </c>
      <c r="D15" s="42" t="s">
        <v>59</v>
      </c>
      <c r="E15" s="42"/>
      <c r="F15" s="42"/>
      <c r="G15" s="29"/>
      <c r="H15" s="43">
        <v>10</v>
      </c>
      <c r="I15" s="44">
        <f t="shared" si="3"/>
        <v>1</v>
      </c>
      <c r="J15" s="43">
        <f t="shared" si="4"/>
        <v>0</v>
      </c>
      <c r="K15" s="43">
        <f t="shared" si="0"/>
        <v>0</v>
      </c>
      <c r="L15" s="43"/>
      <c r="M15" s="45">
        <f t="shared" si="1"/>
        <v>1</v>
      </c>
      <c r="X15" s="46"/>
      <c r="AG15" s="48"/>
    </row>
    <row r="16" spans="1:36">
      <c r="A16" s="51">
        <f t="shared" si="2"/>
        <v>0</v>
      </c>
      <c r="B16" s="35"/>
      <c r="C16" s="36"/>
      <c r="D16" s="36"/>
      <c r="E16" s="36"/>
      <c r="F16" s="36"/>
      <c r="G16" s="29"/>
      <c r="H16" s="37">
        <v>11</v>
      </c>
      <c r="I16" s="38" t="str">
        <f t="shared" si="3"/>
        <v/>
      </c>
      <c r="J16" s="37">
        <f t="shared" si="4"/>
        <v>0</v>
      </c>
      <c r="K16" s="37">
        <f t="shared" si="0"/>
        <v>0</v>
      </c>
      <c r="L16" s="37"/>
      <c r="M16" s="39">
        <f t="shared" si="1"/>
        <v>0</v>
      </c>
      <c r="X16" s="52"/>
      <c r="Z16" s="47"/>
      <c r="AA16" s="47"/>
      <c r="AG16" s="48"/>
      <c r="AH16" s="20" t="s">
        <v>66</v>
      </c>
      <c r="AI16" s="20">
        <f>AI11-AI12*AI13/AI14</f>
        <v>9.6393909380186855</v>
      </c>
      <c r="AJ16" s="20" t="s">
        <v>67</v>
      </c>
    </row>
    <row r="17" spans="1:33" ht="14.45" customHeight="1">
      <c r="A17" s="217">
        <v>96.35</v>
      </c>
      <c r="B17" s="264" t="s">
        <v>72</v>
      </c>
      <c r="C17" s="216" t="s">
        <v>19</v>
      </c>
      <c r="D17" s="42"/>
      <c r="E17" s="42"/>
      <c r="F17" s="42"/>
      <c r="G17" s="29"/>
      <c r="H17" s="43">
        <v>12</v>
      </c>
      <c r="I17" s="44" t="str">
        <f t="shared" si="3"/>
        <v/>
      </c>
      <c r="J17" s="43">
        <f t="shared" si="4"/>
        <v>0</v>
      </c>
      <c r="K17" s="43">
        <f t="shared" si="0"/>
        <v>0</v>
      </c>
      <c r="L17" s="43"/>
      <c r="M17" s="45">
        <f t="shared" si="1"/>
        <v>0</v>
      </c>
      <c r="X17" s="46"/>
      <c r="AG17" s="48"/>
    </row>
    <row r="18" spans="1:33">
      <c r="A18" s="51">
        <f t="shared" si="2"/>
        <v>0</v>
      </c>
      <c r="B18" s="35" t="str">
        <f t="shared" ref="B18:B65" si="5">IF(H18&gt;$H$2,"",(ROW()-5))</f>
        <v/>
      </c>
      <c r="C18" s="36"/>
      <c r="D18" s="36"/>
      <c r="E18" s="36"/>
      <c r="F18" s="36"/>
      <c r="G18" s="29"/>
      <c r="H18" s="37">
        <v>13</v>
      </c>
      <c r="I18" s="38" t="str">
        <f t="shared" si="3"/>
        <v/>
      </c>
      <c r="J18" s="37">
        <f t="shared" si="4"/>
        <v>0</v>
      </c>
      <c r="K18" s="37">
        <f t="shared" si="0"/>
        <v>0</v>
      </c>
      <c r="L18" s="37"/>
      <c r="M18" s="39">
        <f t="shared" si="1"/>
        <v>0</v>
      </c>
    </row>
    <row r="19" spans="1:33">
      <c r="A19" s="50">
        <f t="shared" si="2"/>
        <v>0</v>
      </c>
      <c r="B19" s="41" t="str">
        <f t="shared" si="5"/>
        <v/>
      </c>
      <c r="C19" s="42"/>
      <c r="D19" s="42"/>
      <c r="E19" s="42"/>
      <c r="F19" s="42"/>
      <c r="G19" s="29"/>
      <c r="H19" s="43">
        <v>14</v>
      </c>
      <c r="I19" s="44" t="str">
        <f t="shared" si="3"/>
        <v/>
      </c>
      <c r="J19" s="43">
        <f t="shared" si="4"/>
        <v>0</v>
      </c>
      <c r="K19" s="43">
        <f t="shared" si="0"/>
        <v>0</v>
      </c>
      <c r="L19" s="43"/>
      <c r="M19" s="45">
        <f t="shared" si="1"/>
        <v>0</v>
      </c>
    </row>
    <row r="20" spans="1:33">
      <c r="A20" s="51">
        <f t="shared" si="2"/>
        <v>0</v>
      </c>
      <c r="B20" s="35" t="str">
        <f t="shared" si="5"/>
        <v/>
      </c>
      <c r="C20" s="36"/>
      <c r="D20" s="36"/>
      <c r="E20" s="36"/>
      <c r="F20" s="36"/>
      <c r="G20" s="29"/>
      <c r="H20" s="37">
        <v>15</v>
      </c>
      <c r="I20" s="38" t="str">
        <f t="shared" si="3"/>
        <v/>
      </c>
      <c r="J20" s="37">
        <f t="shared" si="4"/>
        <v>0</v>
      </c>
      <c r="K20" s="37">
        <f t="shared" si="0"/>
        <v>0</v>
      </c>
      <c r="L20" s="37"/>
      <c r="M20" s="39">
        <f t="shared" si="1"/>
        <v>0</v>
      </c>
      <c r="R20" s="55"/>
      <c r="S20" s="56"/>
    </row>
    <row r="21" spans="1:33">
      <c r="A21" s="50">
        <f t="shared" si="2"/>
        <v>0</v>
      </c>
      <c r="B21" s="41" t="str">
        <f t="shared" si="5"/>
        <v/>
      </c>
      <c r="C21" s="42"/>
      <c r="D21" s="42"/>
      <c r="E21" s="42"/>
      <c r="F21" s="42"/>
      <c r="G21" s="29"/>
      <c r="H21" s="43">
        <v>16</v>
      </c>
      <c r="I21" s="44" t="str">
        <f t="shared" si="3"/>
        <v/>
      </c>
      <c r="J21" s="43">
        <f t="shared" si="4"/>
        <v>0</v>
      </c>
      <c r="K21" s="43">
        <f t="shared" si="0"/>
        <v>0</v>
      </c>
      <c r="L21" s="43"/>
      <c r="M21" s="45">
        <f t="shared" si="1"/>
        <v>0</v>
      </c>
    </row>
    <row r="22" spans="1:33">
      <c r="A22" s="51">
        <f t="shared" si="2"/>
        <v>0</v>
      </c>
      <c r="B22" s="35" t="str">
        <f t="shared" si="5"/>
        <v/>
      </c>
      <c r="C22" s="36"/>
      <c r="D22" s="36"/>
      <c r="E22" s="36"/>
      <c r="F22" s="36"/>
      <c r="G22" s="29"/>
      <c r="H22" s="37">
        <v>17</v>
      </c>
      <c r="I22" s="38" t="str">
        <f t="shared" si="3"/>
        <v/>
      </c>
      <c r="J22" s="37">
        <f t="shared" si="4"/>
        <v>-1</v>
      </c>
      <c r="K22" s="37">
        <f t="shared" si="0"/>
        <v>-10</v>
      </c>
      <c r="L22" s="37"/>
      <c r="M22" s="39">
        <f t="shared" si="1"/>
        <v>0</v>
      </c>
    </row>
    <row r="23" spans="1:33">
      <c r="A23" s="50">
        <f t="shared" si="2"/>
        <v>0</v>
      </c>
      <c r="B23" s="41" t="str">
        <f t="shared" si="5"/>
        <v/>
      </c>
      <c r="C23" s="42"/>
      <c r="D23" s="42"/>
      <c r="E23" s="42"/>
      <c r="F23" s="42"/>
      <c r="G23" s="29"/>
      <c r="H23" s="43">
        <v>18</v>
      </c>
      <c r="I23" s="44" t="str">
        <f t="shared" si="3"/>
        <v/>
      </c>
      <c r="J23" s="43">
        <f t="shared" si="4"/>
        <v>-1</v>
      </c>
      <c r="K23" s="43">
        <f t="shared" si="0"/>
        <v>-10</v>
      </c>
      <c r="L23" s="43"/>
      <c r="M23" s="45">
        <f t="shared" si="1"/>
        <v>0</v>
      </c>
    </row>
    <row r="24" spans="1:33">
      <c r="A24" s="51">
        <f t="shared" si="2"/>
        <v>0</v>
      </c>
      <c r="B24" s="35" t="str">
        <f t="shared" si="5"/>
        <v/>
      </c>
      <c r="C24" s="36"/>
      <c r="D24" s="36"/>
      <c r="E24" s="36"/>
      <c r="F24" s="36"/>
      <c r="G24" s="29"/>
      <c r="H24" s="37">
        <v>19</v>
      </c>
      <c r="I24" s="38" t="str">
        <f t="shared" si="3"/>
        <v/>
      </c>
      <c r="J24" s="37">
        <f t="shared" si="4"/>
        <v>-1</v>
      </c>
      <c r="K24" s="37">
        <f t="shared" si="0"/>
        <v>-10</v>
      </c>
      <c r="L24" s="37"/>
      <c r="M24" s="39">
        <f t="shared" si="1"/>
        <v>0</v>
      </c>
      <c r="R24" s="55"/>
      <c r="S24" s="56"/>
    </row>
    <row r="25" spans="1:33">
      <c r="A25" s="50">
        <f t="shared" si="2"/>
        <v>0</v>
      </c>
      <c r="B25" s="41" t="str">
        <f t="shared" si="5"/>
        <v/>
      </c>
      <c r="C25" s="42"/>
      <c r="D25" s="42"/>
      <c r="E25" s="42"/>
      <c r="F25" s="42"/>
      <c r="G25" s="29"/>
      <c r="H25" s="43">
        <v>20</v>
      </c>
      <c r="I25" s="44" t="str">
        <f t="shared" si="3"/>
        <v/>
      </c>
      <c r="J25" s="43">
        <f t="shared" si="4"/>
        <v>-1</v>
      </c>
      <c r="K25" s="43">
        <f t="shared" si="0"/>
        <v>-10</v>
      </c>
      <c r="L25" s="43"/>
      <c r="M25" s="45">
        <f t="shared" si="1"/>
        <v>0</v>
      </c>
    </row>
    <row r="26" spans="1:33">
      <c r="A26" s="51">
        <f t="shared" si="2"/>
        <v>0</v>
      </c>
      <c r="B26" s="35" t="str">
        <f t="shared" si="5"/>
        <v/>
      </c>
      <c r="C26" s="36"/>
      <c r="D26" s="36"/>
      <c r="E26" s="36"/>
      <c r="F26" s="36"/>
      <c r="G26" s="29"/>
      <c r="H26" s="37">
        <v>21</v>
      </c>
      <c r="I26" s="38" t="str">
        <f t="shared" si="3"/>
        <v/>
      </c>
      <c r="J26" s="37">
        <f t="shared" si="4"/>
        <v>-1</v>
      </c>
      <c r="K26" s="37">
        <f t="shared" si="0"/>
        <v>-10</v>
      </c>
      <c r="L26" s="37"/>
      <c r="M26" s="39">
        <f t="shared" si="1"/>
        <v>0</v>
      </c>
    </row>
    <row r="27" spans="1:33">
      <c r="A27" s="50">
        <f t="shared" si="2"/>
        <v>0</v>
      </c>
      <c r="B27" s="41" t="str">
        <f t="shared" si="5"/>
        <v/>
      </c>
      <c r="C27" s="42"/>
      <c r="D27" s="42"/>
      <c r="E27" s="42"/>
      <c r="F27" s="42"/>
      <c r="G27" s="29"/>
      <c r="H27" s="43">
        <v>22</v>
      </c>
      <c r="I27" s="44" t="str">
        <f t="shared" si="3"/>
        <v/>
      </c>
      <c r="J27" s="43">
        <f t="shared" si="4"/>
        <v>-1</v>
      </c>
      <c r="K27" s="43">
        <f t="shared" si="0"/>
        <v>-10</v>
      </c>
      <c r="L27" s="43"/>
      <c r="M27" s="45">
        <f t="shared" si="1"/>
        <v>0</v>
      </c>
    </row>
    <row r="28" spans="1:33">
      <c r="A28" s="51">
        <f t="shared" si="2"/>
        <v>0</v>
      </c>
      <c r="B28" s="35" t="str">
        <f t="shared" si="5"/>
        <v/>
      </c>
      <c r="C28" s="36"/>
      <c r="D28" s="36"/>
      <c r="E28" s="36"/>
      <c r="F28" s="36"/>
      <c r="G28" s="29"/>
      <c r="H28" s="37">
        <v>23</v>
      </c>
      <c r="I28" s="38" t="str">
        <f t="shared" si="3"/>
        <v/>
      </c>
      <c r="J28" s="37">
        <f t="shared" si="4"/>
        <v>-1</v>
      </c>
      <c r="K28" s="37">
        <f t="shared" si="0"/>
        <v>-10</v>
      </c>
      <c r="L28" s="37"/>
      <c r="M28" s="39">
        <f t="shared" si="1"/>
        <v>0</v>
      </c>
      <c r="R28" s="55"/>
      <c r="S28" s="56"/>
    </row>
    <row r="29" spans="1:33">
      <c r="A29" s="50">
        <f t="shared" si="2"/>
        <v>0</v>
      </c>
      <c r="B29" s="41" t="str">
        <f t="shared" si="5"/>
        <v/>
      </c>
      <c r="C29" s="42"/>
      <c r="D29" s="42"/>
      <c r="E29" s="42"/>
      <c r="F29" s="42"/>
      <c r="G29" s="15"/>
      <c r="H29" s="43">
        <v>24</v>
      </c>
      <c r="I29" s="44" t="str">
        <f t="shared" si="3"/>
        <v/>
      </c>
      <c r="J29" s="43">
        <f t="shared" si="4"/>
        <v>-1</v>
      </c>
      <c r="K29" s="43">
        <f t="shared" si="0"/>
        <v>-10</v>
      </c>
      <c r="L29" s="43"/>
      <c r="M29" s="45">
        <f t="shared" si="1"/>
        <v>0</v>
      </c>
    </row>
    <row r="30" spans="1:33">
      <c r="A30" s="51">
        <f t="shared" si="2"/>
        <v>0</v>
      </c>
      <c r="B30" s="35" t="str">
        <f t="shared" si="5"/>
        <v/>
      </c>
      <c r="C30" s="36"/>
      <c r="D30" s="36"/>
      <c r="E30" s="36"/>
      <c r="F30" s="36"/>
      <c r="G30" s="15"/>
      <c r="H30" s="37">
        <v>25</v>
      </c>
      <c r="I30" s="38" t="str">
        <f t="shared" si="3"/>
        <v/>
      </c>
      <c r="J30" s="37">
        <f t="shared" si="4"/>
        <v>-1</v>
      </c>
      <c r="K30" s="37">
        <f t="shared" si="0"/>
        <v>-10</v>
      </c>
      <c r="L30" s="37"/>
      <c r="M30" s="39">
        <f t="shared" si="1"/>
        <v>0</v>
      </c>
    </row>
    <row r="31" spans="1:33">
      <c r="A31" s="50">
        <f t="shared" si="2"/>
        <v>0</v>
      </c>
      <c r="B31" s="41" t="str">
        <f t="shared" si="5"/>
        <v/>
      </c>
      <c r="C31" s="42"/>
      <c r="D31" s="42"/>
      <c r="E31" s="42"/>
      <c r="F31" s="42"/>
      <c r="G31" s="15"/>
      <c r="H31" s="43">
        <v>26</v>
      </c>
      <c r="I31" s="44" t="str">
        <f t="shared" si="3"/>
        <v/>
      </c>
      <c r="J31" s="43">
        <f t="shared" si="4"/>
        <v>-1</v>
      </c>
      <c r="K31" s="43">
        <f t="shared" si="0"/>
        <v>-10</v>
      </c>
      <c r="L31" s="43"/>
      <c r="M31" s="45">
        <f t="shared" si="1"/>
        <v>0</v>
      </c>
    </row>
    <row r="32" spans="1:33">
      <c r="A32" s="51">
        <f t="shared" si="2"/>
        <v>0</v>
      </c>
      <c r="B32" s="35" t="str">
        <f t="shared" si="5"/>
        <v/>
      </c>
      <c r="C32" s="36"/>
      <c r="D32" s="36"/>
      <c r="E32" s="36"/>
      <c r="F32" s="36"/>
      <c r="G32" s="15"/>
      <c r="H32" s="37">
        <v>27</v>
      </c>
      <c r="I32" s="38" t="str">
        <f t="shared" si="3"/>
        <v/>
      </c>
      <c r="J32" s="37">
        <f t="shared" si="4"/>
        <v>-1</v>
      </c>
      <c r="K32" s="37">
        <f t="shared" si="0"/>
        <v>-10</v>
      </c>
      <c r="L32" s="37"/>
      <c r="M32" s="39">
        <f t="shared" si="1"/>
        <v>0</v>
      </c>
      <c r="R32" s="55"/>
      <c r="S32" s="56"/>
    </row>
    <row r="33" spans="1:21">
      <c r="A33" s="50">
        <f t="shared" si="2"/>
        <v>0</v>
      </c>
      <c r="B33" s="41" t="str">
        <f t="shared" si="5"/>
        <v/>
      </c>
      <c r="C33" s="42"/>
      <c r="D33" s="42"/>
      <c r="E33" s="42"/>
      <c r="F33" s="42"/>
      <c r="G33" s="15"/>
      <c r="H33" s="43">
        <v>28</v>
      </c>
      <c r="I33" s="44" t="str">
        <f t="shared" si="3"/>
        <v/>
      </c>
      <c r="J33" s="43">
        <f t="shared" si="4"/>
        <v>-1</v>
      </c>
      <c r="K33" s="43">
        <f t="shared" si="0"/>
        <v>-10</v>
      </c>
      <c r="L33" s="43"/>
      <c r="M33" s="45">
        <f t="shared" si="1"/>
        <v>0</v>
      </c>
    </row>
    <row r="34" spans="1:21">
      <c r="A34" s="51">
        <f t="shared" si="2"/>
        <v>0</v>
      </c>
      <c r="B34" s="35" t="str">
        <f t="shared" si="5"/>
        <v/>
      </c>
      <c r="C34" s="36"/>
      <c r="D34" s="36"/>
      <c r="E34" s="36"/>
      <c r="F34" s="36"/>
      <c r="G34" s="15"/>
      <c r="H34" s="37">
        <v>29</v>
      </c>
      <c r="I34" s="38" t="str">
        <f t="shared" si="3"/>
        <v/>
      </c>
      <c r="J34" s="37">
        <f t="shared" si="4"/>
        <v>-1</v>
      </c>
      <c r="K34" s="37">
        <f t="shared" si="0"/>
        <v>-10</v>
      </c>
      <c r="L34" s="37"/>
      <c r="M34" s="39">
        <f t="shared" si="1"/>
        <v>0</v>
      </c>
    </row>
    <row r="35" spans="1:21">
      <c r="A35" s="50">
        <f t="shared" si="2"/>
        <v>0</v>
      </c>
      <c r="B35" s="41" t="str">
        <f t="shared" si="5"/>
        <v/>
      </c>
      <c r="C35" s="42"/>
      <c r="D35" s="42"/>
      <c r="E35" s="42"/>
      <c r="F35" s="42"/>
      <c r="G35" s="15"/>
      <c r="H35" s="43">
        <v>30</v>
      </c>
      <c r="I35" s="44" t="str">
        <f t="shared" si="3"/>
        <v/>
      </c>
      <c r="J35" s="43">
        <f t="shared" si="4"/>
        <v>-1</v>
      </c>
      <c r="K35" s="43">
        <f t="shared" si="0"/>
        <v>-10</v>
      </c>
      <c r="L35" s="43"/>
      <c r="M35" s="45">
        <f t="shared" si="1"/>
        <v>0</v>
      </c>
    </row>
    <row r="36" spans="1:21">
      <c r="A36" s="51">
        <f t="shared" si="2"/>
        <v>0</v>
      </c>
      <c r="B36" s="35" t="str">
        <f t="shared" si="5"/>
        <v/>
      </c>
      <c r="C36" s="36"/>
      <c r="D36" s="36"/>
      <c r="E36" s="36"/>
      <c r="F36" s="36"/>
      <c r="G36" s="15"/>
      <c r="H36" s="37">
        <v>31</v>
      </c>
      <c r="I36" s="38" t="str">
        <f t="shared" si="3"/>
        <v/>
      </c>
      <c r="J36" s="37">
        <f t="shared" si="4"/>
        <v>-1</v>
      </c>
      <c r="K36" s="37">
        <f t="shared" si="0"/>
        <v>-10</v>
      </c>
      <c r="L36" s="37"/>
      <c r="M36" s="39">
        <f t="shared" si="1"/>
        <v>0</v>
      </c>
      <c r="R36" s="55"/>
      <c r="S36" s="56"/>
    </row>
    <row r="37" spans="1:21">
      <c r="A37" s="50">
        <f t="shared" si="2"/>
        <v>0</v>
      </c>
      <c r="B37" s="41" t="str">
        <f t="shared" si="5"/>
        <v/>
      </c>
      <c r="C37" s="42"/>
      <c r="D37" s="42"/>
      <c r="E37" s="42"/>
      <c r="F37" s="42"/>
      <c r="G37" s="15"/>
      <c r="H37" s="43">
        <v>32</v>
      </c>
      <c r="I37" s="44" t="str">
        <f t="shared" si="3"/>
        <v/>
      </c>
      <c r="J37" s="43">
        <f t="shared" si="4"/>
        <v>-1</v>
      </c>
      <c r="K37" s="43">
        <f t="shared" si="0"/>
        <v>-10</v>
      </c>
      <c r="L37" s="43"/>
      <c r="M37" s="45">
        <f t="shared" si="1"/>
        <v>0</v>
      </c>
    </row>
    <row r="38" spans="1:21">
      <c r="A38" s="51"/>
      <c r="B38" s="35" t="str">
        <f t="shared" si="5"/>
        <v/>
      </c>
      <c r="C38" s="36"/>
      <c r="D38" s="36"/>
      <c r="E38" s="36"/>
      <c r="F38" s="36"/>
      <c r="G38" s="15"/>
      <c r="H38" s="37">
        <v>33</v>
      </c>
      <c r="I38" s="38" t="str">
        <f t="shared" si="3"/>
        <v/>
      </c>
      <c r="J38" s="37">
        <f t="shared" si="4"/>
        <v>-2</v>
      </c>
      <c r="K38" s="37">
        <f t="shared" si="0"/>
        <v>-20</v>
      </c>
      <c r="L38" s="37"/>
      <c r="M38" s="39">
        <f t="shared" si="1"/>
        <v>0</v>
      </c>
    </row>
    <row r="39" spans="1:21">
      <c r="A39" s="50"/>
      <c r="B39" s="41" t="str">
        <f t="shared" si="5"/>
        <v/>
      </c>
      <c r="C39" s="42"/>
      <c r="D39" s="42"/>
      <c r="E39" s="42"/>
      <c r="F39" s="42"/>
      <c r="G39" s="15"/>
      <c r="H39" s="43">
        <v>34</v>
      </c>
      <c r="I39" s="44" t="str">
        <f t="shared" si="3"/>
        <v/>
      </c>
      <c r="J39" s="43">
        <f t="shared" si="4"/>
        <v>-2</v>
      </c>
      <c r="K39" s="43">
        <f t="shared" si="0"/>
        <v>-20</v>
      </c>
      <c r="L39" s="43"/>
      <c r="M39" s="45">
        <f t="shared" si="1"/>
        <v>0</v>
      </c>
    </row>
    <row r="40" spans="1:21">
      <c r="A40" s="51"/>
      <c r="B40" s="35" t="str">
        <f t="shared" si="5"/>
        <v/>
      </c>
      <c r="C40" s="36"/>
      <c r="D40" s="36"/>
      <c r="E40" s="36"/>
      <c r="F40" s="36"/>
      <c r="G40" s="15"/>
      <c r="H40" s="37">
        <v>35</v>
      </c>
      <c r="I40" s="38" t="str">
        <f t="shared" si="3"/>
        <v/>
      </c>
      <c r="J40" s="37">
        <f t="shared" si="4"/>
        <v>-2</v>
      </c>
      <c r="K40" s="37">
        <f t="shared" si="0"/>
        <v>-20</v>
      </c>
      <c r="L40" s="37"/>
      <c r="M40" s="39">
        <f t="shared" si="1"/>
        <v>0</v>
      </c>
    </row>
    <row r="41" spans="1:21">
      <c r="A41" s="50"/>
      <c r="B41" s="41" t="str">
        <f t="shared" si="5"/>
        <v/>
      </c>
      <c r="C41" s="42"/>
      <c r="D41" s="42"/>
      <c r="E41" s="42"/>
      <c r="F41" s="42"/>
      <c r="G41" s="15"/>
      <c r="H41" s="43">
        <v>36</v>
      </c>
      <c r="I41" s="44" t="str">
        <f t="shared" si="3"/>
        <v/>
      </c>
      <c r="J41" s="43">
        <f t="shared" si="4"/>
        <v>-2</v>
      </c>
      <c r="K41" s="43">
        <f t="shared" si="0"/>
        <v>-20</v>
      </c>
      <c r="L41" s="43"/>
      <c r="M41" s="45">
        <f t="shared" si="1"/>
        <v>0</v>
      </c>
      <c r="S41" s="57"/>
    </row>
    <row r="42" spans="1:21">
      <c r="A42" s="51"/>
      <c r="B42" s="35" t="str">
        <f t="shared" si="5"/>
        <v/>
      </c>
      <c r="C42" s="36"/>
      <c r="D42" s="36"/>
      <c r="E42" s="36"/>
      <c r="F42" s="36"/>
      <c r="G42" s="15"/>
      <c r="H42" s="37">
        <v>37</v>
      </c>
      <c r="I42" s="38" t="str">
        <f t="shared" si="3"/>
        <v/>
      </c>
      <c r="J42" s="37">
        <f t="shared" si="4"/>
        <v>-2</v>
      </c>
      <c r="K42" s="37">
        <f t="shared" si="0"/>
        <v>-20</v>
      </c>
      <c r="L42" s="37"/>
      <c r="M42" s="39">
        <f t="shared" si="1"/>
        <v>0</v>
      </c>
    </row>
    <row r="43" spans="1:21">
      <c r="A43" s="50"/>
      <c r="B43" s="41" t="str">
        <f t="shared" si="5"/>
        <v/>
      </c>
      <c r="C43" s="42"/>
      <c r="D43" s="42"/>
      <c r="E43" s="42"/>
      <c r="F43" s="42"/>
      <c r="G43" s="15"/>
      <c r="H43" s="43">
        <v>38</v>
      </c>
      <c r="I43" s="44" t="str">
        <f t="shared" si="3"/>
        <v/>
      </c>
      <c r="J43" s="43">
        <f t="shared" si="4"/>
        <v>-2</v>
      </c>
      <c r="K43" s="43">
        <f t="shared" si="0"/>
        <v>-20</v>
      </c>
      <c r="L43" s="43"/>
      <c r="M43" s="45">
        <f t="shared" si="1"/>
        <v>0</v>
      </c>
    </row>
    <row r="44" spans="1:21">
      <c r="A44" s="51"/>
      <c r="B44" s="35" t="str">
        <f t="shared" si="5"/>
        <v/>
      </c>
      <c r="C44" s="36"/>
      <c r="D44" s="36"/>
      <c r="E44" s="36"/>
      <c r="F44" s="36"/>
      <c r="G44" s="15"/>
      <c r="H44" s="37">
        <v>39</v>
      </c>
      <c r="I44" s="38" t="str">
        <f t="shared" si="3"/>
        <v/>
      </c>
      <c r="J44" s="37">
        <f t="shared" si="4"/>
        <v>-2</v>
      </c>
      <c r="K44" s="37">
        <f t="shared" si="0"/>
        <v>-20</v>
      </c>
      <c r="L44" s="37"/>
      <c r="M44" s="39">
        <f t="shared" si="1"/>
        <v>0</v>
      </c>
    </row>
    <row r="45" spans="1:21">
      <c r="A45" s="50"/>
      <c r="B45" s="41" t="str">
        <f t="shared" si="5"/>
        <v/>
      </c>
      <c r="C45" s="42"/>
      <c r="D45" s="42"/>
      <c r="E45" s="42"/>
      <c r="F45" s="42"/>
      <c r="G45" s="15"/>
      <c r="H45" s="43">
        <v>40</v>
      </c>
      <c r="I45" s="44" t="str">
        <f t="shared" si="3"/>
        <v/>
      </c>
      <c r="J45" s="43">
        <f t="shared" si="4"/>
        <v>-2</v>
      </c>
      <c r="K45" s="43">
        <f t="shared" si="0"/>
        <v>-20</v>
      </c>
      <c r="L45" s="43"/>
      <c r="M45" s="45">
        <f t="shared" si="1"/>
        <v>0</v>
      </c>
    </row>
    <row r="46" spans="1:21">
      <c r="A46" s="51"/>
      <c r="B46" s="35" t="str">
        <f t="shared" si="5"/>
        <v/>
      </c>
      <c r="C46" s="36"/>
      <c r="D46" s="36"/>
      <c r="E46" s="36"/>
      <c r="F46" s="36"/>
      <c r="G46" s="15"/>
      <c r="H46" s="37">
        <v>41</v>
      </c>
      <c r="I46" s="38" t="str">
        <f t="shared" si="3"/>
        <v/>
      </c>
      <c r="J46" s="37">
        <f t="shared" si="4"/>
        <v>-2</v>
      </c>
      <c r="K46" s="37">
        <f t="shared" si="0"/>
        <v>-20</v>
      </c>
      <c r="L46" s="37"/>
      <c r="M46" s="39">
        <f t="shared" si="1"/>
        <v>0</v>
      </c>
      <c r="R46" s="15">
        <f>LOG($H$2,2)</f>
        <v>3.3219280948873626</v>
      </c>
      <c r="T46" s="20">
        <f>LOG(H38,2)</f>
        <v>5.0443941193584534</v>
      </c>
      <c r="U46" s="20">
        <f>R46-T46</f>
        <v>-1.7224660244710908</v>
      </c>
    </row>
    <row r="47" spans="1:21">
      <c r="A47" s="50"/>
      <c r="B47" s="41" t="str">
        <f t="shared" si="5"/>
        <v/>
      </c>
      <c r="C47" s="42"/>
      <c r="D47" s="42"/>
      <c r="E47" s="42"/>
      <c r="F47" s="42"/>
      <c r="G47" s="15"/>
      <c r="H47" s="43">
        <v>42</v>
      </c>
      <c r="I47" s="44" t="str">
        <f t="shared" si="3"/>
        <v/>
      </c>
      <c r="J47" s="43">
        <f t="shared" si="4"/>
        <v>-2</v>
      </c>
      <c r="K47" s="43">
        <f t="shared" si="0"/>
        <v>-20</v>
      </c>
      <c r="L47" s="43"/>
      <c r="M47" s="45">
        <f t="shared" si="1"/>
        <v>0</v>
      </c>
    </row>
    <row r="48" spans="1:21">
      <c r="A48" s="51"/>
      <c r="B48" s="35" t="str">
        <f t="shared" si="5"/>
        <v/>
      </c>
      <c r="C48" s="36"/>
      <c r="D48" s="36"/>
      <c r="E48" s="36"/>
      <c r="F48" s="36"/>
      <c r="G48" s="15"/>
      <c r="H48" s="37">
        <v>43</v>
      </c>
      <c r="I48" s="38" t="str">
        <f t="shared" si="3"/>
        <v/>
      </c>
      <c r="J48" s="37">
        <f t="shared" si="4"/>
        <v>-2</v>
      </c>
      <c r="K48" s="37">
        <f t="shared" si="0"/>
        <v>-20</v>
      </c>
      <c r="L48" s="37"/>
      <c r="M48" s="39">
        <f t="shared" si="1"/>
        <v>0</v>
      </c>
    </row>
    <row r="49" spans="1:13">
      <c r="A49" s="50"/>
      <c r="B49" s="41" t="str">
        <f t="shared" si="5"/>
        <v/>
      </c>
      <c r="C49" s="42"/>
      <c r="D49" s="42"/>
      <c r="E49" s="42"/>
      <c r="F49" s="42"/>
      <c r="G49" s="15"/>
      <c r="H49" s="43">
        <v>44</v>
      </c>
      <c r="I49" s="44" t="str">
        <f t="shared" si="3"/>
        <v/>
      </c>
      <c r="J49" s="43">
        <f t="shared" si="4"/>
        <v>-2</v>
      </c>
      <c r="K49" s="43">
        <f t="shared" si="0"/>
        <v>-20</v>
      </c>
      <c r="L49" s="43"/>
      <c r="M49" s="45">
        <f t="shared" si="1"/>
        <v>0</v>
      </c>
    </row>
    <row r="50" spans="1:13">
      <c r="A50" s="51"/>
      <c r="B50" s="35" t="str">
        <f t="shared" si="5"/>
        <v/>
      </c>
      <c r="C50" s="36"/>
      <c r="D50" s="36"/>
      <c r="E50" s="36"/>
      <c r="F50" s="36"/>
      <c r="G50" s="15"/>
      <c r="H50" s="37">
        <v>45</v>
      </c>
      <c r="I50" s="38" t="str">
        <f t="shared" si="3"/>
        <v/>
      </c>
      <c r="J50" s="37">
        <f t="shared" si="4"/>
        <v>-2</v>
      </c>
      <c r="K50" s="37">
        <f t="shared" si="0"/>
        <v>-20</v>
      </c>
      <c r="L50" s="37"/>
      <c r="M50" s="39">
        <f t="shared" si="1"/>
        <v>0</v>
      </c>
    </row>
    <row r="51" spans="1:13">
      <c r="A51" s="50"/>
      <c r="B51" s="41" t="str">
        <f t="shared" si="5"/>
        <v/>
      </c>
      <c r="C51" s="42"/>
      <c r="D51" s="42"/>
      <c r="E51" s="42"/>
      <c r="F51" s="42"/>
      <c r="G51" s="15"/>
      <c r="H51" s="43">
        <v>46</v>
      </c>
      <c r="I51" s="44" t="str">
        <f t="shared" si="3"/>
        <v/>
      </c>
      <c r="J51" s="43">
        <f t="shared" si="4"/>
        <v>-2</v>
      </c>
      <c r="K51" s="43">
        <f t="shared" si="0"/>
        <v>-20</v>
      </c>
      <c r="L51" s="43"/>
      <c r="M51" s="45">
        <f t="shared" si="1"/>
        <v>0</v>
      </c>
    </row>
    <row r="52" spans="1:13">
      <c r="A52" s="51"/>
      <c r="B52" s="35" t="str">
        <f t="shared" si="5"/>
        <v/>
      </c>
      <c r="C52" s="36"/>
      <c r="D52" s="36"/>
      <c r="E52" s="36"/>
      <c r="F52" s="36"/>
      <c r="G52" s="15"/>
      <c r="H52" s="37">
        <v>47</v>
      </c>
      <c r="I52" s="38" t="str">
        <f t="shared" si="3"/>
        <v/>
      </c>
      <c r="J52" s="37">
        <f t="shared" si="4"/>
        <v>-2</v>
      </c>
      <c r="K52" s="37">
        <f t="shared" si="0"/>
        <v>-20</v>
      </c>
      <c r="L52" s="37"/>
      <c r="M52" s="39">
        <f t="shared" si="1"/>
        <v>0</v>
      </c>
    </row>
    <row r="53" spans="1:13">
      <c r="A53" s="50"/>
      <c r="B53" s="41" t="str">
        <f t="shared" si="5"/>
        <v/>
      </c>
      <c r="C53" s="42"/>
      <c r="D53" s="42"/>
      <c r="E53" s="42"/>
      <c r="F53" s="42"/>
      <c r="G53" s="15"/>
      <c r="H53" s="43">
        <v>48</v>
      </c>
      <c r="I53" s="44" t="str">
        <f t="shared" si="3"/>
        <v/>
      </c>
      <c r="J53" s="43">
        <f t="shared" si="4"/>
        <v>-2</v>
      </c>
      <c r="K53" s="43">
        <f t="shared" si="0"/>
        <v>-20</v>
      </c>
      <c r="L53" s="43"/>
      <c r="M53" s="45">
        <f t="shared" si="1"/>
        <v>0</v>
      </c>
    </row>
    <row r="54" spans="1:13">
      <c r="A54" s="51"/>
      <c r="B54" s="35" t="str">
        <f t="shared" si="5"/>
        <v/>
      </c>
      <c r="C54" s="36"/>
      <c r="D54" s="36"/>
      <c r="E54" s="36"/>
      <c r="F54" s="36"/>
      <c r="G54" s="15"/>
      <c r="H54" s="37">
        <v>49</v>
      </c>
      <c r="I54" s="38" t="str">
        <f t="shared" si="3"/>
        <v/>
      </c>
      <c r="J54" s="37">
        <f t="shared" si="4"/>
        <v>-2</v>
      </c>
      <c r="K54" s="37">
        <f t="shared" si="0"/>
        <v>-20</v>
      </c>
      <c r="L54" s="37"/>
      <c r="M54" s="39">
        <f t="shared" si="1"/>
        <v>0</v>
      </c>
    </row>
    <row r="55" spans="1:13">
      <c r="A55" s="50"/>
      <c r="B55" s="41" t="str">
        <f t="shared" si="5"/>
        <v/>
      </c>
      <c r="C55" s="42"/>
      <c r="D55" s="42"/>
      <c r="E55" s="42"/>
      <c r="F55" s="42"/>
      <c r="G55" s="15"/>
      <c r="H55" s="43">
        <v>50</v>
      </c>
      <c r="I55" s="44" t="str">
        <f t="shared" si="3"/>
        <v/>
      </c>
      <c r="J55" s="43">
        <f t="shared" si="4"/>
        <v>-2</v>
      </c>
      <c r="K55" s="43">
        <f t="shared" si="0"/>
        <v>-20</v>
      </c>
      <c r="L55" s="43"/>
      <c r="M55" s="45">
        <f t="shared" si="1"/>
        <v>0</v>
      </c>
    </row>
    <row r="56" spans="1:13">
      <c r="A56" s="51"/>
      <c r="B56" s="35" t="str">
        <f t="shared" si="5"/>
        <v/>
      </c>
      <c r="C56" s="36"/>
      <c r="D56" s="36"/>
      <c r="E56" s="36"/>
      <c r="F56" s="36"/>
      <c r="G56" s="15"/>
      <c r="H56" s="37">
        <v>51</v>
      </c>
      <c r="I56" s="38" t="str">
        <f t="shared" si="3"/>
        <v/>
      </c>
      <c r="J56" s="37">
        <f t="shared" si="4"/>
        <v>-2</v>
      </c>
      <c r="K56" s="37">
        <f t="shared" si="0"/>
        <v>-20</v>
      </c>
      <c r="L56" s="37"/>
      <c r="M56" s="39">
        <f t="shared" si="1"/>
        <v>0</v>
      </c>
    </row>
    <row r="57" spans="1:13">
      <c r="A57" s="50"/>
      <c r="B57" s="41" t="str">
        <f t="shared" si="5"/>
        <v/>
      </c>
      <c r="C57" s="42"/>
      <c r="D57" s="42"/>
      <c r="E57" s="42"/>
      <c r="F57" s="42"/>
      <c r="G57" s="15"/>
      <c r="H57" s="43">
        <v>52</v>
      </c>
      <c r="I57" s="44" t="str">
        <f t="shared" si="3"/>
        <v/>
      </c>
      <c r="J57" s="43">
        <f t="shared" si="4"/>
        <v>-2</v>
      </c>
      <c r="K57" s="43">
        <f t="shared" si="0"/>
        <v>-20</v>
      </c>
      <c r="L57" s="43"/>
      <c r="M57" s="45">
        <f t="shared" si="1"/>
        <v>0</v>
      </c>
    </row>
    <row r="58" spans="1:13">
      <c r="A58" s="51"/>
      <c r="B58" s="35" t="str">
        <f t="shared" si="5"/>
        <v/>
      </c>
      <c r="C58" s="36"/>
      <c r="D58" s="36"/>
      <c r="E58" s="36"/>
      <c r="F58" s="36"/>
      <c r="G58" s="15"/>
      <c r="H58" s="37">
        <v>53</v>
      </c>
      <c r="I58" s="38" t="str">
        <f t="shared" si="3"/>
        <v/>
      </c>
      <c r="J58" s="37">
        <f t="shared" si="4"/>
        <v>-2</v>
      </c>
      <c r="K58" s="37">
        <f t="shared" si="0"/>
        <v>-20</v>
      </c>
      <c r="L58" s="37"/>
      <c r="M58" s="39">
        <f t="shared" si="1"/>
        <v>0</v>
      </c>
    </row>
    <row r="59" spans="1:13">
      <c r="A59" s="50"/>
      <c r="B59" s="41" t="str">
        <f t="shared" si="5"/>
        <v/>
      </c>
      <c r="C59" s="42"/>
      <c r="D59" s="42"/>
      <c r="E59" s="42"/>
      <c r="F59" s="42"/>
      <c r="G59" s="15"/>
      <c r="H59" s="43">
        <v>54</v>
      </c>
      <c r="I59" s="44" t="str">
        <f t="shared" si="3"/>
        <v/>
      </c>
      <c r="J59" s="43">
        <f t="shared" si="4"/>
        <v>-2</v>
      </c>
      <c r="K59" s="43">
        <f t="shared" si="0"/>
        <v>-20</v>
      </c>
      <c r="L59" s="43"/>
      <c r="M59" s="45">
        <f t="shared" si="1"/>
        <v>0</v>
      </c>
    </row>
    <row r="60" spans="1:13">
      <c r="A60" s="51"/>
      <c r="B60" s="35" t="str">
        <f t="shared" si="5"/>
        <v/>
      </c>
      <c r="C60" s="36"/>
      <c r="D60" s="36"/>
      <c r="E60" s="36"/>
      <c r="F60" s="36"/>
      <c r="G60" s="15"/>
      <c r="H60" s="37">
        <v>55</v>
      </c>
      <c r="I60" s="38" t="str">
        <f t="shared" si="3"/>
        <v/>
      </c>
      <c r="J60" s="37">
        <f t="shared" si="4"/>
        <v>-2</v>
      </c>
      <c r="K60" s="37">
        <f t="shared" si="0"/>
        <v>-20</v>
      </c>
      <c r="L60" s="37"/>
      <c r="M60" s="39">
        <f t="shared" si="1"/>
        <v>0</v>
      </c>
    </row>
    <row r="61" spans="1:13">
      <c r="A61" s="50"/>
      <c r="B61" s="41" t="str">
        <f t="shared" si="5"/>
        <v/>
      </c>
      <c r="C61" s="42"/>
      <c r="D61" s="42"/>
      <c r="E61" s="42"/>
      <c r="F61" s="42"/>
      <c r="G61" s="15"/>
      <c r="H61" s="43">
        <v>56</v>
      </c>
      <c r="I61" s="44" t="str">
        <f t="shared" si="3"/>
        <v/>
      </c>
      <c r="J61" s="43">
        <f t="shared" si="4"/>
        <v>-2</v>
      </c>
      <c r="K61" s="43">
        <f t="shared" si="0"/>
        <v>-20</v>
      </c>
      <c r="L61" s="43"/>
      <c r="M61" s="45">
        <f t="shared" si="1"/>
        <v>0</v>
      </c>
    </row>
    <row r="62" spans="1:13">
      <c r="A62" s="51"/>
      <c r="B62" s="35" t="str">
        <f t="shared" si="5"/>
        <v/>
      </c>
      <c r="C62" s="36"/>
      <c r="D62" s="36"/>
      <c r="E62" s="36"/>
      <c r="F62" s="36"/>
      <c r="G62" s="15"/>
      <c r="H62" s="37">
        <v>57</v>
      </c>
      <c r="I62" s="38" t="str">
        <f t="shared" si="3"/>
        <v/>
      </c>
      <c r="J62" s="37">
        <f t="shared" si="4"/>
        <v>-2</v>
      </c>
      <c r="K62" s="37">
        <f t="shared" si="0"/>
        <v>-20</v>
      </c>
      <c r="L62" s="37"/>
      <c r="M62" s="39">
        <f t="shared" si="1"/>
        <v>0</v>
      </c>
    </row>
    <row r="63" spans="1:13">
      <c r="A63" s="50"/>
      <c r="B63" s="41" t="str">
        <f t="shared" si="5"/>
        <v/>
      </c>
      <c r="C63" s="42"/>
      <c r="D63" s="42"/>
      <c r="E63" s="42"/>
      <c r="F63" s="42"/>
      <c r="G63" s="15"/>
      <c r="H63" s="43">
        <v>58</v>
      </c>
      <c r="I63" s="44" t="str">
        <f t="shared" si="3"/>
        <v/>
      </c>
      <c r="J63" s="43">
        <f t="shared" si="4"/>
        <v>-2</v>
      </c>
      <c r="K63" s="43">
        <f t="shared" si="0"/>
        <v>-20</v>
      </c>
      <c r="L63" s="43"/>
      <c r="M63" s="45">
        <f t="shared" si="1"/>
        <v>0</v>
      </c>
    </row>
    <row r="64" spans="1:13">
      <c r="A64" s="51"/>
      <c r="B64" s="35" t="str">
        <f t="shared" si="5"/>
        <v/>
      </c>
      <c r="C64" s="36"/>
      <c r="D64" s="36"/>
      <c r="E64" s="36"/>
      <c r="F64" s="36"/>
      <c r="G64" s="15"/>
      <c r="H64" s="37">
        <v>59</v>
      </c>
      <c r="I64" s="38" t="str">
        <f t="shared" si="3"/>
        <v/>
      </c>
      <c r="J64" s="37">
        <f t="shared" si="4"/>
        <v>-2</v>
      </c>
      <c r="K64" s="37">
        <f t="shared" si="0"/>
        <v>-20</v>
      </c>
      <c r="L64" s="37"/>
      <c r="M64" s="39">
        <f t="shared" si="1"/>
        <v>0</v>
      </c>
    </row>
    <row r="65" spans="1:13">
      <c r="A65" s="50"/>
      <c r="B65" s="41" t="str">
        <f t="shared" si="5"/>
        <v/>
      </c>
      <c r="C65" s="42"/>
      <c r="D65" s="42"/>
      <c r="E65" s="42"/>
      <c r="F65" s="42"/>
      <c r="G65" s="15"/>
      <c r="H65" s="43">
        <v>60</v>
      </c>
      <c r="I65" s="44" t="str">
        <f t="shared" si="3"/>
        <v/>
      </c>
      <c r="J65" s="43">
        <f t="shared" si="4"/>
        <v>-2</v>
      </c>
      <c r="K65" s="43">
        <f t="shared" si="0"/>
        <v>-20</v>
      </c>
      <c r="L65" s="43"/>
      <c r="M65" s="45">
        <f t="shared" si="1"/>
        <v>0</v>
      </c>
    </row>
    <row r="66" spans="1:13">
      <c r="A66" s="58"/>
      <c r="B66" s="35"/>
      <c r="G66" s="15"/>
      <c r="H66" s="37">
        <v>61</v>
      </c>
      <c r="I66" s="38" t="str">
        <f t="shared" si="3"/>
        <v/>
      </c>
      <c r="J66" s="37">
        <f t="shared" si="4"/>
        <v>-2</v>
      </c>
      <c r="K66" s="37">
        <f t="shared" si="0"/>
        <v>-20</v>
      </c>
      <c r="L66" s="37"/>
      <c r="M66" s="39">
        <f t="shared" si="1"/>
        <v>0</v>
      </c>
    </row>
    <row r="67" spans="1:13">
      <c r="A67" s="58"/>
      <c r="B67" s="41"/>
      <c r="G67" s="15"/>
      <c r="H67" s="37">
        <v>62</v>
      </c>
      <c r="I67" s="38" t="str">
        <f t="shared" si="3"/>
        <v/>
      </c>
      <c r="J67" s="37">
        <f t="shared" si="4"/>
        <v>-2</v>
      </c>
      <c r="K67" s="37">
        <f t="shared" si="0"/>
        <v>-20</v>
      </c>
      <c r="L67" s="37"/>
      <c r="M67" s="39">
        <f t="shared" si="1"/>
        <v>0</v>
      </c>
    </row>
    <row r="68" spans="1:13">
      <c r="A68" s="58"/>
      <c r="B68" s="35"/>
      <c r="G68" s="15"/>
      <c r="H68" s="37">
        <v>63</v>
      </c>
      <c r="I68" s="38" t="str">
        <f t="shared" si="3"/>
        <v/>
      </c>
      <c r="J68" s="37">
        <f t="shared" si="4"/>
        <v>-2</v>
      </c>
      <c r="K68" s="37">
        <f t="shared" si="0"/>
        <v>-20</v>
      </c>
      <c r="L68" s="37"/>
      <c r="M68" s="39">
        <f t="shared" si="1"/>
        <v>0</v>
      </c>
    </row>
    <row r="69" spans="1:13">
      <c r="A69" s="58"/>
      <c r="B69" s="41"/>
      <c r="G69" s="15"/>
      <c r="H69" s="37">
        <v>64</v>
      </c>
      <c r="I69" s="38" t="str">
        <f t="shared" si="3"/>
        <v/>
      </c>
      <c r="J69" s="37">
        <f t="shared" si="4"/>
        <v>-2</v>
      </c>
      <c r="K69" s="37">
        <f t="shared" si="0"/>
        <v>-20</v>
      </c>
      <c r="L69" s="37"/>
      <c r="M69" s="39">
        <f t="shared" si="1"/>
        <v>0</v>
      </c>
    </row>
    <row r="70" spans="1:13">
      <c r="A70" s="58"/>
      <c r="G70" s="15"/>
      <c r="H70" s="37">
        <v>65</v>
      </c>
      <c r="I70" s="38" t="str">
        <f t="shared" ref="I70:I133" si="6">IF(H70&lt;$H$2+1,($I$2-($I$2-1)*(LOG(H70)/LOG($H$2))),"")</f>
        <v/>
      </c>
      <c r="J70" s="37">
        <f t="shared" si="4"/>
        <v>-3</v>
      </c>
      <c r="K70" s="37">
        <f t="shared" ref="K70:K133" si="7">J70*$J$2</f>
        <v>-30</v>
      </c>
      <c r="L70" s="37"/>
      <c r="M70" s="39">
        <f t="shared" ref="M70:M133" si="8">IF(I70&lt;&gt;"",K70+I70+L70,0)</f>
        <v>0</v>
      </c>
    </row>
    <row r="71" spans="1:13">
      <c r="A71" s="58"/>
      <c r="G71" s="15"/>
      <c r="H71" s="37">
        <v>66</v>
      </c>
      <c r="I71" s="38" t="str">
        <f t="shared" si="6"/>
        <v/>
      </c>
      <c r="J71" s="37">
        <f t="shared" ref="J71:J134" si="9">INT(LOG($H$2,2))-ROUNDUP(LOG(H71,2),0)+IF(OR($H$2=1,$H$2=2,$H$2=4,$H$2=8,$H$2=16,$H$2=32,$H$2=64,$H$2=128,$H$2=256),0,1)</f>
        <v>-3</v>
      </c>
      <c r="K71" s="37">
        <f t="shared" si="7"/>
        <v>-30</v>
      </c>
      <c r="L71" s="37"/>
      <c r="M71" s="39">
        <f t="shared" si="8"/>
        <v>0</v>
      </c>
    </row>
    <row r="72" spans="1:13">
      <c r="A72" s="58"/>
      <c r="G72" s="15"/>
      <c r="H72" s="37">
        <v>67</v>
      </c>
      <c r="I72" s="38" t="str">
        <f t="shared" si="6"/>
        <v/>
      </c>
      <c r="J72" s="37">
        <f t="shared" si="9"/>
        <v>-3</v>
      </c>
      <c r="K72" s="37">
        <f t="shared" si="7"/>
        <v>-30</v>
      </c>
      <c r="L72" s="37"/>
      <c r="M72" s="39">
        <f t="shared" si="8"/>
        <v>0</v>
      </c>
    </row>
    <row r="73" spans="1:13">
      <c r="A73" s="58"/>
      <c r="G73" s="15"/>
      <c r="H73" s="37">
        <v>68</v>
      </c>
      <c r="I73" s="38" t="str">
        <f t="shared" si="6"/>
        <v/>
      </c>
      <c r="J73" s="37">
        <f t="shared" si="9"/>
        <v>-3</v>
      </c>
      <c r="K73" s="37">
        <f t="shared" si="7"/>
        <v>-30</v>
      </c>
      <c r="L73" s="37"/>
      <c r="M73" s="39">
        <f t="shared" si="8"/>
        <v>0</v>
      </c>
    </row>
    <row r="74" spans="1:13">
      <c r="A74" s="58"/>
      <c r="G74" s="15"/>
      <c r="H74" s="37">
        <v>69</v>
      </c>
      <c r="I74" s="38" t="str">
        <f t="shared" si="6"/>
        <v/>
      </c>
      <c r="J74" s="37">
        <f t="shared" si="9"/>
        <v>-3</v>
      </c>
      <c r="K74" s="37">
        <f t="shared" si="7"/>
        <v>-30</v>
      </c>
      <c r="L74" s="37"/>
      <c r="M74" s="39">
        <f t="shared" si="8"/>
        <v>0</v>
      </c>
    </row>
    <row r="75" spans="1:13">
      <c r="A75" s="58"/>
      <c r="G75" s="15"/>
      <c r="H75" s="37">
        <v>70</v>
      </c>
      <c r="I75" s="38" t="str">
        <f t="shared" si="6"/>
        <v/>
      </c>
      <c r="J75" s="37">
        <f t="shared" si="9"/>
        <v>-3</v>
      </c>
      <c r="K75" s="37">
        <f t="shared" si="7"/>
        <v>-30</v>
      </c>
      <c r="L75" s="37"/>
      <c r="M75" s="39">
        <f t="shared" si="8"/>
        <v>0</v>
      </c>
    </row>
    <row r="76" spans="1:13">
      <c r="A76" s="58"/>
      <c r="G76" s="15"/>
      <c r="H76" s="37">
        <v>71</v>
      </c>
      <c r="I76" s="38" t="str">
        <f t="shared" si="6"/>
        <v/>
      </c>
      <c r="J76" s="37">
        <f t="shared" si="9"/>
        <v>-3</v>
      </c>
      <c r="K76" s="37">
        <f t="shared" si="7"/>
        <v>-30</v>
      </c>
      <c r="L76" s="37"/>
      <c r="M76" s="39">
        <f t="shared" si="8"/>
        <v>0</v>
      </c>
    </row>
    <row r="77" spans="1:13">
      <c r="A77" s="58"/>
      <c r="G77" s="15"/>
      <c r="H77" s="37">
        <v>72</v>
      </c>
      <c r="I77" s="38" t="str">
        <f t="shared" si="6"/>
        <v/>
      </c>
      <c r="J77" s="37">
        <f t="shared" si="9"/>
        <v>-3</v>
      </c>
      <c r="K77" s="37">
        <f t="shared" si="7"/>
        <v>-30</v>
      </c>
      <c r="L77" s="37"/>
      <c r="M77" s="39">
        <f t="shared" si="8"/>
        <v>0</v>
      </c>
    </row>
    <row r="78" spans="1:13">
      <c r="A78" s="58"/>
      <c r="G78" s="15"/>
      <c r="H78" s="37">
        <v>73</v>
      </c>
      <c r="I78" s="38" t="str">
        <f t="shared" si="6"/>
        <v/>
      </c>
      <c r="J78" s="37">
        <f t="shared" si="9"/>
        <v>-3</v>
      </c>
      <c r="K78" s="37">
        <f t="shared" si="7"/>
        <v>-30</v>
      </c>
      <c r="L78" s="37"/>
      <c r="M78" s="39">
        <f t="shared" si="8"/>
        <v>0</v>
      </c>
    </row>
    <row r="79" spans="1:13">
      <c r="A79" s="58"/>
      <c r="G79" s="15"/>
      <c r="H79" s="37">
        <v>74</v>
      </c>
      <c r="I79" s="38" t="str">
        <f t="shared" si="6"/>
        <v/>
      </c>
      <c r="J79" s="37">
        <f t="shared" si="9"/>
        <v>-3</v>
      </c>
      <c r="K79" s="37">
        <f t="shared" si="7"/>
        <v>-30</v>
      </c>
      <c r="L79" s="37"/>
      <c r="M79" s="39">
        <f t="shared" si="8"/>
        <v>0</v>
      </c>
    </row>
    <row r="80" spans="1:13">
      <c r="A80" s="58"/>
      <c r="G80" s="15"/>
      <c r="H80" s="37">
        <v>75</v>
      </c>
      <c r="I80" s="38" t="str">
        <f t="shared" si="6"/>
        <v/>
      </c>
      <c r="J80" s="37">
        <f t="shared" si="9"/>
        <v>-3</v>
      </c>
      <c r="K80" s="37">
        <f t="shared" si="7"/>
        <v>-30</v>
      </c>
      <c r="L80" s="37"/>
      <c r="M80" s="39">
        <f t="shared" si="8"/>
        <v>0</v>
      </c>
    </row>
    <row r="81" spans="1:13">
      <c r="A81" s="58"/>
      <c r="G81" s="15"/>
      <c r="H81" s="37">
        <v>76</v>
      </c>
      <c r="I81" s="38" t="str">
        <f t="shared" si="6"/>
        <v/>
      </c>
      <c r="J81" s="37">
        <f t="shared" si="9"/>
        <v>-3</v>
      </c>
      <c r="K81" s="37">
        <f t="shared" si="7"/>
        <v>-30</v>
      </c>
      <c r="L81" s="37"/>
      <c r="M81" s="39">
        <f t="shared" si="8"/>
        <v>0</v>
      </c>
    </row>
    <row r="82" spans="1:13">
      <c r="A82" s="58"/>
      <c r="G82" s="15"/>
      <c r="H82" s="37">
        <v>77</v>
      </c>
      <c r="I82" s="38" t="str">
        <f t="shared" si="6"/>
        <v/>
      </c>
      <c r="J82" s="37">
        <f t="shared" si="9"/>
        <v>-3</v>
      </c>
      <c r="K82" s="37">
        <f t="shared" si="7"/>
        <v>-30</v>
      </c>
      <c r="L82" s="37"/>
      <c r="M82" s="39">
        <f t="shared" si="8"/>
        <v>0</v>
      </c>
    </row>
    <row r="83" spans="1:13">
      <c r="A83" s="58"/>
      <c r="G83" s="15"/>
      <c r="H83" s="37">
        <v>78</v>
      </c>
      <c r="I83" s="38" t="str">
        <f t="shared" si="6"/>
        <v/>
      </c>
      <c r="J83" s="37">
        <f t="shared" si="9"/>
        <v>-3</v>
      </c>
      <c r="K83" s="37">
        <f t="shared" si="7"/>
        <v>-30</v>
      </c>
      <c r="L83" s="37"/>
      <c r="M83" s="39">
        <f t="shared" si="8"/>
        <v>0</v>
      </c>
    </row>
    <row r="84" spans="1:13">
      <c r="A84" s="58"/>
      <c r="G84" s="15"/>
      <c r="H84" s="37">
        <v>79</v>
      </c>
      <c r="I84" s="38" t="str">
        <f t="shared" si="6"/>
        <v/>
      </c>
      <c r="J84" s="37">
        <f t="shared" si="9"/>
        <v>-3</v>
      </c>
      <c r="K84" s="37">
        <f t="shared" si="7"/>
        <v>-30</v>
      </c>
      <c r="L84" s="37"/>
      <c r="M84" s="39">
        <f t="shared" si="8"/>
        <v>0</v>
      </c>
    </row>
    <row r="85" spans="1:13">
      <c r="A85" s="58"/>
      <c r="G85" s="15"/>
      <c r="H85" s="37">
        <v>80</v>
      </c>
      <c r="I85" s="38" t="str">
        <f t="shared" si="6"/>
        <v/>
      </c>
      <c r="J85" s="37">
        <f t="shared" si="9"/>
        <v>-3</v>
      </c>
      <c r="K85" s="37">
        <f t="shared" si="7"/>
        <v>-30</v>
      </c>
      <c r="L85" s="37"/>
      <c r="M85" s="39">
        <f t="shared" si="8"/>
        <v>0</v>
      </c>
    </row>
    <row r="86" spans="1:13">
      <c r="A86" s="58"/>
      <c r="G86" s="15"/>
      <c r="H86" s="37">
        <v>81</v>
      </c>
      <c r="I86" s="38" t="str">
        <f t="shared" si="6"/>
        <v/>
      </c>
      <c r="J86" s="37">
        <f t="shared" si="9"/>
        <v>-3</v>
      </c>
      <c r="K86" s="37">
        <f t="shared" si="7"/>
        <v>-30</v>
      </c>
      <c r="L86" s="37"/>
      <c r="M86" s="39">
        <f t="shared" si="8"/>
        <v>0</v>
      </c>
    </row>
    <row r="87" spans="1:13">
      <c r="A87" s="58"/>
      <c r="G87" s="15"/>
      <c r="H87" s="37">
        <v>82</v>
      </c>
      <c r="I87" s="38" t="str">
        <f t="shared" si="6"/>
        <v/>
      </c>
      <c r="J87" s="37">
        <f t="shared" si="9"/>
        <v>-3</v>
      </c>
      <c r="K87" s="37">
        <f t="shared" si="7"/>
        <v>-30</v>
      </c>
      <c r="L87" s="37"/>
      <c r="M87" s="39">
        <f t="shared" si="8"/>
        <v>0</v>
      </c>
    </row>
    <row r="88" spans="1:13">
      <c r="A88" s="58"/>
      <c r="G88" s="15"/>
      <c r="H88" s="37">
        <v>83</v>
      </c>
      <c r="I88" s="38" t="str">
        <f t="shared" si="6"/>
        <v/>
      </c>
      <c r="J88" s="37">
        <f t="shared" si="9"/>
        <v>-3</v>
      </c>
      <c r="K88" s="37">
        <f t="shared" si="7"/>
        <v>-30</v>
      </c>
      <c r="L88" s="37"/>
      <c r="M88" s="39">
        <f t="shared" si="8"/>
        <v>0</v>
      </c>
    </row>
    <row r="89" spans="1:13">
      <c r="A89" s="58"/>
      <c r="G89" s="15"/>
      <c r="H89" s="37">
        <v>84</v>
      </c>
      <c r="I89" s="38" t="str">
        <f t="shared" si="6"/>
        <v/>
      </c>
      <c r="J89" s="37">
        <f t="shared" si="9"/>
        <v>-3</v>
      </c>
      <c r="K89" s="37">
        <f t="shared" si="7"/>
        <v>-30</v>
      </c>
      <c r="L89" s="37"/>
      <c r="M89" s="39">
        <f t="shared" si="8"/>
        <v>0</v>
      </c>
    </row>
    <row r="90" spans="1:13">
      <c r="A90" s="58"/>
      <c r="G90" s="15"/>
      <c r="H90" s="37">
        <v>85</v>
      </c>
      <c r="I90" s="38" t="str">
        <f t="shared" si="6"/>
        <v/>
      </c>
      <c r="J90" s="37">
        <f t="shared" si="9"/>
        <v>-3</v>
      </c>
      <c r="K90" s="37">
        <f t="shared" si="7"/>
        <v>-30</v>
      </c>
      <c r="L90" s="37"/>
      <c r="M90" s="39">
        <f t="shared" si="8"/>
        <v>0</v>
      </c>
    </row>
    <row r="91" spans="1:13">
      <c r="A91" s="58"/>
      <c r="G91" s="15"/>
      <c r="H91" s="37">
        <v>86</v>
      </c>
      <c r="I91" s="38" t="str">
        <f t="shared" si="6"/>
        <v/>
      </c>
      <c r="J91" s="37">
        <f t="shared" si="9"/>
        <v>-3</v>
      </c>
      <c r="K91" s="37">
        <f t="shared" si="7"/>
        <v>-30</v>
      </c>
      <c r="L91" s="37"/>
      <c r="M91" s="39">
        <f t="shared" si="8"/>
        <v>0</v>
      </c>
    </row>
    <row r="92" spans="1:13">
      <c r="A92" s="58"/>
      <c r="G92" s="15"/>
      <c r="H92" s="37">
        <v>87</v>
      </c>
      <c r="I92" s="38" t="str">
        <f t="shared" si="6"/>
        <v/>
      </c>
      <c r="J92" s="37">
        <f t="shared" si="9"/>
        <v>-3</v>
      </c>
      <c r="K92" s="37">
        <f t="shared" si="7"/>
        <v>-30</v>
      </c>
      <c r="L92" s="37"/>
      <c r="M92" s="39">
        <f t="shared" si="8"/>
        <v>0</v>
      </c>
    </row>
    <row r="93" spans="1:13">
      <c r="A93" s="58"/>
      <c r="G93" s="15"/>
      <c r="H93" s="37">
        <v>88</v>
      </c>
      <c r="I93" s="38" t="str">
        <f t="shared" si="6"/>
        <v/>
      </c>
      <c r="J93" s="37">
        <f t="shared" si="9"/>
        <v>-3</v>
      </c>
      <c r="K93" s="37">
        <f t="shared" si="7"/>
        <v>-30</v>
      </c>
      <c r="L93" s="37"/>
      <c r="M93" s="39">
        <f t="shared" si="8"/>
        <v>0</v>
      </c>
    </row>
    <row r="94" spans="1:13">
      <c r="A94" s="58"/>
      <c r="G94" s="15"/>
      <c r="H94" s="37">
        <v>89</v>
      </c>
      <c r="I94" s="38" t="str">
        <f t="shared" si="6"/>
        <v/>
      </c>
      <c r="J94" s="37">
        <f t="shared" si="9"/>
        <v>-3</v>
      </c>
      <c r="K94" s="37">
        <f t="shared" si="7"/>
        <v>-30</v>
      </c>
      <c r="L94" s="37"/>
      <c r="M94" s="39">
        <f t="shared" si="8"/>
        <v>0</v>
      </c>
    </row>
    <row r="95" spans="1:13">
      <c r="A95" s="58"/>
      <c r="G95" s="15"/>
      <c r="H95" s="37">
        <v>90</v>
      </c>
      <c r="I95" s="38" t="str">
        <f t="shared" si="6"/>
        <v/>
      </c>
      <c r="J95" s="37">
        <f t="shared" si="9"/>
        <v>-3</v>
      </c>
      <c r="K95" s="37">
        <f t="shared" si="7"/>
        <v>-30</v>
      </c>
      <c r="L95" s="37"/>
      <c r="M95" s="39">
        <f t="shared" si="8"/>
        <v>0</v>
      </c>
    </row>
    <row r="96" spans="1:13">
      <c r="A96" s="58"/>
      <c r="G96" s="15"/>
      <c r="H96" s="37">
        <v>91</v>
      </c>
      <c r="I96" s="38" t="str">
        <f t="shared" si="6"/>
        <v/>
      </c>
      <c r="J96" s="37">
        <f t="shared" si="9"/>
        <v>-3</v>
      </c>
      <c r="K96" s="37">
        <f t="shared" si="7"/>
        <v>-30</v>
      </c>
      <c r="L96" s="37"/>
      <c r="M96" s="39">
        <f t="shared" si="8"/>
        <v>0</v>
      </c>
    </row>
    <row r="97" spans="1:13">
      <c r="A97" s="58"/>
      <c r="G97" s="15"/>
      <c r="H97" s="37">
        <v>92</v>
      </c>
      <c r="I97" s="38" t="str">
        <f t="shared" si="6"/>
        <v/>
      </c>
      <c r="J97" s="37">
        <f t="shared" si="9"/>
        <v>-3</v>
      </c>
      <c r="K97" s="37">
        <f t="shared" si="7"/>
        <v>-30</v>
      </c>
      <c r="L97" s="37"/>
      <c r="M97" s="39">
        <f t="shared" si="8"/>
        <v>0</v>
      </c>
    </row>
    <row r="98" spans="1:13">
      <c r="A98" s="58"/>
      <c r="G98" s="15"/>
      <c r="H98" s="37">
        <v>93</v>
      </c>
      <c r="I98" s="38" t="str">
        <f t="shared" si="6"/>
        <v/>
      </c>
      <c r="J98" s="37">
        <f t="shared" si="9"/>
        <v>-3</v>
      </c>
      <c r="K98" s="37">
        <f t="shared" si="7"/>
        <v>-30</v>
      </c>
      <c r="L98" s="37"/>
      <c r="M98" s="39">
        <f t="shared" si="8"/>
        <v>0</v>
      </c>
    </row>
    <row r="99" spans="1:13">
      <c r="A99" s="58"/>
      <c r="G99" s="15"/>
      <c r="H99" s="37">
        <v>94</v>
      </c>
      <c r="I99" s="38" t="str">
        <f t="shared" si="6"/>
        <v/>
      </c>
      <c r="J99" s="37">
        <f t="shared" si="9"/>
        <v>-3</v>
      </c>
      <c r="K99" s="37">
        <f t="shared" si="7"/>
        <v>-30</v>
      </c>
      <c r="L99" s="37"/>
      <c r="M99" s="39">
        <f t="shared" si="8"/>
        <v>0</v>
      </c>
    </row>
    <row r="100" spans="1:13">
      <c r="A100" s="58"/>
      <c r="G100" s="15"/>
      <c r="H100" s="37">
        <v>95</v>
      </c>
      <c r="I100" s="38" t="str">
        <f t="shared" si="6"/>
        <v/>
      </c>
      <c r="J100" s="37">
        <f t="shared" si="9"/>
        <v>-3</v>
      </c>
      <c r="K100" s="37">
        <f t="shared" si="7"/>
        <v>-30</v>
      </c>
      <c r="L100" s="37"/>
      <c r="M100" s="39">
        <f t="shared" si="8"/>
        <v>0</v>
      </c>
    </row>
    <row r="101" spans="1:13">
      <c r="A101" s="58"/>
      <c r="G101" s="15"/>
      <c r="H101" s="37">
        <v>96</v>
      </c>
      <c r="I101" s="38" t="str">
        <f t="shared" si="6"/>
        <v/>
      </c>
      <c r="J101" s="37">
        <f t="shared" si="9"/>
        <v>-3</v>
      </c>
      <c r="K101" s="37">
        <f t="shared" si="7"/>
        <v>-30</v>
      </c>
      <c r="L101" s="37"/>
      <c r="M101" s="39">
        <f t="shared" si="8"/>
        <v>0</v>
      </c>
    </row>
    <row r="102" spans="1:13">
      <c r="A102" s="58"/>
      <c r="G102" s="15"/>
      <c r="H102" s="37">
        <v>97</v>
      </c>
      <c r="I102" s="38" t="str">
        <f t="shared" si="6"/>
        <v/>
      </c>
      <c r="J102" s="37">
        <f t="shared" si="9"/>
        <v>-3</v>
      </c>
      <c r="K102" s="37">
        <f t="shared" si="7"/>
        <v>-30</v>
      </c>
      <c r="L102" s="37"/>
      <c r="M102" s="39">
        <f t="shared" si="8"/>
        <v>0</v>
      </c>
    </row>
    <row r="103" spans="1:13">
      <c r="A103" s="58"/>
      <c r="G103" s="15"/>
      <c r="H103" s="37">
        <v>98</v>
      </c>
      <c r="I103" s="38" t="str">
        <f t="shared" si="6"/>
        <v/>
      </c>
      <c r="J103" s="37">
        <f t="shared" si="9"/>
        <v>-3</v>
      </c>
      <c r="K103" s="37">
        <f t="shared" si="7"/>
        <v>-30</v>
      </c>
      <c r="L103" s="37"/>
      <c r="M103" s="39">
        <f t="shared" si="8"/>
        <v>0</v>
      </c>
    </row>
    <row r="104" spans="1:13">
      <c r="A104" s="58"/>
      <c r="G104" s="15"/>
      <c r="H104" s="37">
        <v>99</v>
      </c>
      <c r="I104" s="38" t="str">
        <f t="shared" si="6"/>
        <v/>
      </c>
      <c r="J104" s="37">
        <f t="shared" si="9"/>
        <v>-3</v>
      </c>
      <c r="K104" s="37">
        <f t="shared" si="7"/>
        <v>-30</v>
      </c>
      <c r="L104" s="37"/>
      <c r="M104" s="39">
        <f t="shared" si="8"/>
        <v>0</v>
      </c>
    </row>
    <row r="105" spans="1:13">
      <c r="A105" s="58"/>
      <c r="G105" s="15"/>
      <c r="H105" s="37">
        <v>100</v>
      </c>
      <c r="I105" s="38" t="str">
        <f t="shared" si="6"/>
        <v/>
      </c>
      <c r="J105" s="37">
        <f t="shared" si="9"/>
        <v>-3</v>
      </c>
      <c r="K105" s="37">
        <f t="shared" si="7"/>
        <v>-30</v>
      </c>
      <c r="L105" s="37"/>
      <c r="M105" s="39">
        <f t="shared" si="8"/>
        <v>0</v>
      </c>
    </row>
    <row r="106" spans="1:13">
      <c r="A106" s="58"/>
      <c r="G106" s="15"/>
      <c r="H106" s="37">
        <v>101</v>
      </c>
      <c r="I106" s="38" t="str">
        <f t="shared" si="6"/>
        <v/>
      </c>
      <c r="J106" s="37">
        <f t="shared" si="9"/>
        <v>-3</v>
      </c>
      <c r="K106" s="37">
        <f t="shared" si="7"/>
        <v>-30</v>
      </c>
      <c r="L106" s="37"/>
      <c r="M106" s="39">
        <f t="shared" si="8"/>
        <v>0</v>
      </c>
    </row>
    <row r="107" spans="1:13">
      <c r="A107" s="58"/>
      <c r="G107" s="15"/>
      <c r="H107" s="37">
        <v>102</v>
      </c>
      <c r="I107" s="38" t="str">
        <f t="shared" si="6"/>
        <v/>
      </c>
      <c r="J107" s="37">
        <f t="shared" si="9"/>
        <v>-3</v>
      </c>
      <c r="K107" s="37">
        <f t="shared" si="7"/>
        <v>-30</v>
      </c>
      <c r="L107" s="37"/>
      <c r="M107" s="39">
        <f t="shared" si="8"/>
        <v>0</v>
      </c>
    </row>
    <row r="108" spans="1:13">
      <c r="A108" s="58"/>
      <c r="G108" s="15"/>
      <c r="H108" s="37">
        <v>103</v>
      </c>
      <c r="I108" s="38" t="str">
        <f t="shared" si="6"/>
        <v/>
      </c>
      <c r="J108" s="37">
        <f t="shared" si="9"/>
        <v>-3</v>
      </c>
      <c r="K108" s="37">
        <f t="shared" si="7"/>
        <v>-30</v>
      </c>
      <c r="L108" s="37"/>
      <c r="M108" s="39">
        <f t="shared" si="8"/>
        <v>0</v>
      </c>
    </row>
    <row r="109" spans="1:13">
      <c r="A109" s="58"/>
      <c r="G109" s="15"/>
      <c r="H109" s="37">
        <v>104</v>
      </c>
      <c r="I109" s="38" t="str">
        <f t="shared" si="6"/>
        <v/>
      </c>
      <c r="J109" s="37">
        <f t="shared" si="9"/>
        <v>-3</v>
      </c>
      <c r="K109" s="37">
        <f t="shared" si="7"/>
        <v>-30</v>
      </c>
      <c r="L109" s="37"/>
      <c r="M109" s="39">
        <f t="shared" si="8"/>
        <v>0</v>
      </c>
    </row>
    <row r="110" spans="1:13">
      <c r="A110" s="58"/>
      <c r="G110" s="15"/>
      <c r="H110" s="37">
        <v>105</v>
      </c>
      <c r="I110" s="38" t="str">
        <f t="shared" si="6"/>
        <v/>
      </c>
      <c r="J110" s="37">
        <f t="shared" si="9"/>
        <v>-3</v>
      </c>
      <c r="K110" s="37">
        <f t="shared" si="7"/>
        <v>-30</v>
      </c>
      <c r="L110" s="37"/>
      <c r="M110" s="39">
        <f t="shared" si="8"/>
        <v>0</v>
      </c>
    </row>
    <row r="111" spans="1:13">
      <c r="A111" s="58"/>
      <c r="G111" s="15"/>
      <c r="H111" s="37">
        <v>106</v>
      </c>
      <c r="I111" s="38" t="str">
        <f t="shared" si="6"/>
        <v/>
      </c>
      <c r="J111" s="37">
        <f t="shared" si="9"/>
        <v>-3</v>
      </c>
      <c r="K111" s="37">
        <f t="shared" si="7"/>
        <v>-30</v>
      </c>
      <c r="L111" s="37"/>
      <c r="M111" s="39">
        <f t="shared" si="8"/>
        <v>0</v>
      </c>
    </row>
    <row r="112" spans="1:13">
      <c r="A112" s="58"/>
      <c r="G112" s="15"/>
      <c r="H112" s="37">
        <v>107</v>
      </c>
      <c r="I112" s="38" t="str">
        <f t="shared" si="6"/>
        <v/>
      </c>
      <c r="J112" s="37">
        <f t="shared" si="9"/>
        <v>-3</v>
      </c>
      <c r="K112" s="37">
        <f t="shared" si="7"/>
        <v>-30</v>
      </c>
      <c r="L112" s="37"/>
      <c r="M112" s="39">
        <f t="shared" si="8"/>
        <v>0</v>
      </c>
    </row>
    <row r="113" spans="1:13">
      <c r="A113" s="58"/>
      <c r="G113" s="15"/>
      <c r="H113" s="37">
        <v>108</v>
      </c>
      <c r="I113" s="38" t="str">
        <f t="shared" si="6"/>
        <v/>
      </c>
      <c r="J113" s="37">
        <f t="shared" si="9"/>
        <v>-3</v>
      </c>
      <c r="K113" s="37">
        <f t="shared" si="7"/>
        <v>-30</v>
      </c>
      <c r="L113" s="37"/>
      <c r="M113" s="39">
        <f t="shared" si="8"/>
        <v>0</v>
      </c>
    </row>
    <row r="114" spans="1:13">
      <c r="A114" s="58"/>
      <c r="G114" s="15"/>
      <c r="H114" s="37">
        <v>109</v>
      </c>
      <c r="I114" s="38" t="str">
        <f t="shared" si="6"/>
        <v/>
      </c>
      <c r="J114" s="37">
        <f t="shared" si="9"/>
        <v>-3</v>
      </c>
      <c r="K114" s="37">
        <f t="shared" si="7"/>
        <v>-30</v>
      </c>
      <c r="L114" s="37"/>
      <c r="M114" s="39">
        <f t="shared" si="8"/>
        <v>0</v>
      </c>
    </row>
    <row r="115" spans="1:13">
      <c r="A115" s="58"/>
      <c r="G115" s="15"/>
      <c r="H115" s="37">
        <v>110</v>
      </c>
      <c r="I115" s="38" t="str">
        <f t="shared" si="6"/>
        <v/>
      </c>
      <c r="J115" s="37">
        <f t="shared" si="9"/>
        <v>-3</v>
      </c>
      <c r="K115" s="37">
        <f t="shared" si="7"/>
        <v>-30</v>
      </c>
      <c r="L115" s="37"/>
      <c r="M115" s="39">
        <f t="shared" si="8"/>
        <v>0</v>
      </c>
    </row>
    <row r="116" spans="1:13">
      <c r="A116" s="58"/>
      <c r="G116" s="15"/>
      <c r="H116" s="37">
        <v>111</v>
      </c>
      <c r="I116" s="38" t="str">
        <f t="shared" si="6"/>
        <v/>
      </c>
      <c r="J116" s="37">
        <f t="shared" si="9"/>
        <v>-3</v>
      </c>
      <c r="K116" s="37">
        <f t="shared" si="7"/>
        <v>-30</v>
      </c>
      <c r="L116" s="37"/>
      <c r="M116" s="39">
        <f t="shared" si="8"/>
        <v>0</v>
      </c>
    </row>
    <row r="117" spans="1:13">
      <c r="A117" s="58"/>
      <c r="G117" s="15"/>
      <c r="H117" s="37">
        <v>112</v>
      </c>
      <c r="I117" s="38" t="str">
        <f t="shared" si="6"/>
        <v/>
      </c>
      <c r="J117" s="37">
        <f t="shared" si="9"/>
        <v>-3</v>
      </c>
      <c r="K117" s="37">
        <f t="shared" si="7"/>
        <v>-30</v>
      </c>
      <c r="L117" s="37"/>
      <c r="M117" s="39">
        <f t="shared" si="8"/>
        <v>0</v>
      </c>
    </row>
    <row r="118" spans="1:13">
      <c r="A118" s="58"/>
      <c r="G118" s="15"/>
      <c r="H118" s="37">
        <v>113</v>
      </c>
      <c r="I118" s="38" t="str">
        <f t="shared" si="6"/>
        <v/>
      </c>
      <c r="J118" s="37">
        <f t="shared" si="9"/>
        <v>-3</v>
      </c>
      <c r="K118" s="37">
        <f t="shared" si="7"/>
        <v>-30</v>
      </c>
      <c r="L118" s="37"/>
      <c r="M118" s="39">
        <f t="shared" si="8"/>
        <v>0</v>
      </c>
    </row>
    <row r="119" spans="1:13">
      <c r="A119" s="58"/>
      <c r="G119" s="15"/>
      <c r="H119" s="37">
        <v>114</v>
      </c>
      <c r="I119" s="38" t="str">
        <f t="shared" si="6"/>
        <v/>
      </c>
      <c r="J119" s="37">
        <f t="shared" si="9"/>
        <v>-3</v>
      </c>
      <c r="K119" s="37">
        <f t="shared" si="7"/>
        <v>-30</v>
      </c>
      <c r="L119" s="37"/>
      <c r="M119" s="39">
        <f t="shared" si="8"/>
        <v>0</v>
      </c>
    </row>
    <row r="120" spans="1:13">
      <c r="A120" s="58"/>
      <c r="G120" s="15"/>
      <c r="H120" s="37">
        <v>115</v>
      </c>
      <c r="I120" s="38" t="str">
        <f t="shared" si="6"/>
        <v/>
      </c>
      <c r="J120" s="37">
        <f t="shared" si="9"/>
        <v>-3</v>
      </c>
      <c r="K120" s="37">
        <f t="shared" si="7"/>
        <v>-30</v>
      </c>
      <c r="L120" s="37"/>
      <c r="M120" s="39">
        <f t="shared" si="8"/>
        <v>0</v>
      </c>
    </row>
    <row r="121" spans="1:13">
      <c r="A121" s="58"/>
      <c r="G121" s="15"/>
      <c r="H121" s="37">
        <v>116</v>
      </c>
      <c r="I121" s="38" t="str">
        <f t="shared" si="6"/>
        <v/>
      </c>
      <c r="J121" s="37">
        <f t="shared" si="9"/>
        <v>-3</v>
      </c>
      <c r="K121" s="37">
        <f t="shared" si="7"/>
        <v>-30</v>
      </c>
      <c r="L121" s="37"/>
      <c r="M121" s="39">
        <f t="shared" si="8"/>
        <v>0</v>
      </c>
    </row>
    <row r="122" spans="1:13">
      <c r="A122" s="58"/>
      <c r="G122" s="15"/>
      <c r="H122" s="37">
        <v>117</v>
      </c>
      <c r="I122" s="38" t="str">
        <f t="shared" si="6"/>
        <v/>
      </c>
      <c r="J122" s="37">
        <f t="shared" si="9"/>
        <v>-3</v>
      </c>
      <c r="K122" s="37">
        <f t="shared" si="7"/>
        <v>-30</v>
      </c>
      <c r="L122" s="37"/>
      <c r="M122" s="39">
        <f t="shared" si="8"/>
        <v>0</v>
      </c>
    </row>
    <row r="123" spans="1:13">
      <c r="A123" s="58"/>
      <c r="G123" s="15"/>
      <c r="H123" s="37">
        <v>118</v>
      </c>
      <c r="I123" s="38" t="str">
        <f t="shared" si="6"/>
        <v/>
      </c>
      <c r="J123" s="37">
        <f t="shared" si="9"/>
        <v>-3</v>
      </c>
      <c r="K123" s="37">
        <f t="shared" si="7"/>
        <v>-30</v>
      </c>
      <c r="L123" s="37"/>
      <c r="M123" s="39">
        <f t="shared" si="8"/>
        <v>0</v>
      </c>
    </row>
    <row r="124" spans="1:13">
      <c r="A124" s="58"/>
      <c r="G124" s="15"/>
      <c r="H124" s="37">
        <v>119</v>
      </c>
      <c r="I124" s="38" t="str">
        <f t="shared" si="6"/>
        <v/>
      </c>
      <c r="J124" s="37">
        <f t="shared" si="9"/>
        <v>-3</v>
      </c>
      <c r="K124" s="37">
        <f t="shared" si="7"/>
        <v>-30</v>
      </c>
      <c r="L124" s="37"/>
      <c r="M124" s="39">
        <f t="shared" si="8"/>
        <v>0</v>
      </c>
    </row>
    <row r="125" spans="1:13">
      <c r="A125" s="58"/>
      <c r="G125" s="15"/>
      <c r="H125" s="37">
        <v>120</v>
      </c>
      <c r="I125" s="38" t="str">
        <f t="shared" si="6"/>
        <v/>
      </c>
      <c r="J125" s="37">
        <f t="shared" si="9"/>
        <v>-3</v>
      </c>
      <c r="K125" s="37">
        <f t="shared" si="7"/>
        <v>-30</v>
      </c>
      <c r="L125" s="37"/>
      <c r="M125" s="39">
        <f t="shared" si="8"/>
        <v>0</v>
      </c>
    </row>
    <row r="126" spans="1:13">
      <c r="A126" s="58"/>
      <c r="G126" s="15"/>
      <c r="H126" s="37">
        <v>121</v>
      </c>
      <c r="I126" s="38" t="str">
        <f t="shared" si="6"/>
        <v/>
      </c>
      <c r="J126" s="37">
        <f t="shared" si="9"/>
        <v>-3</v>
      </c>
      <c r="K126" s="37">
        <f t="shared" si="7"/>
        <v>-30</v>
      </c>
      <c r="L126" s="37"/>
      <c r="M126" s="39">
        <f t="shared" si="8"/>
        <v>0</v>
      </c>
    </row>
    <row r="127" spans="1:13">
      <c r="A127" s="58"/>
      <c r="G127" s="15"/>
      <c r="H127" s="37">
        <v>122</v>
      </c>
      <c r="I127" s="38" t="str">
        <f t="shared" si="6"/>
        <v/>
      </c>
      <c r="J127" s="37">
        <f t="shared" si="9"/>
        <v>-3</v>
      </c>
      <c r="K127" s="37">
        <f t="shared" si="7"/>
        <v>-30</v>
      </c>
      <c r="L127" s="37"/>
      <c r="M127" s="39">
        <f t="shared" si="8"/>
        <v>0</v>
      </c>
    </row>
    <row r="128" spans="1:13">
      <c r="A128" s="58"/>
      <c r="G128" s="15"/>
      <c r="H128" s="37">
        <v>123</v>
      </c>
      <c r="I128" s="38" t="str">
        <f t="shared" si="6"/>
        <v/>
      </c>
      <c r="J128" s="37">
        <f t="shared" si="9"/>
        <v>-3</v>
      </c>
      <c r="K128" s="37">
        <f t="shared" si="7"/>
        <v>-30</v>
      </c>
      <c r="L128" s="37"/>
      <c r="M128" s="39">
        <f t="shared" si="8"/>
        <v>0</v>
      </c>
    </row>
    <row r="129" spans="1:13">
      <c r="A129" s="58"/>
      <c r="G129" s="15"/>
      <c r="H129" s="37">
        <v>124</v>
      </c>
      <c r="I129" s="38" t="str">
        <f t="shared" si="6"/>
        <v/>
      </c>
      <c r="J129" s="37">
        <f t="shared" si="9"/>
        <v>-3</v>
      </c>
      <c r="K129" s="37">
        <f t="shared" si="7"/>
        <v>-30</v>
      </c>
      <c r="L129" s="37"/>
      <c r="M129" s="39">
        <f t="shared" si="8"/>
        <v>0</v>
      </c>
    </row>
    <row r="130" spans="1:13">
      <c r="A130" s="58"/>
      <c r="G130" s="15"/>
      <c r="H130" s="37">
        <v>125</v>
      </c>
      <c r="I130" s="38" t="str">
        <f t="shared" si="6"/>
        <v/>
      </c>
      <c r="J130" s="37">
        <f t="shared" si="9"/>
        <v>-3</v>
      </c>
      <c r="K130" s="37">
        <f t="shared" si="7"/>
        <v>-30</v>
      </c>
      <c r="L130" s="37"/>
      <c r="M130" s="39">
        <f t="shared" si="8"/>
        <v>0</v>
      </c>
    </row>
    <row r="131" spans="1:13">
      <c r="A131" s="58"/>
      <c r="G131" s="15"/>
      <c r="H131" s="37">
        <v>126</v>
      </c>
      <c r="I131" s="38" t="str">
        <f t="shared" si="6"/>
        <v/>
      </c>
      <c r="J131" s="37">
        <f t="shared" si="9"/>
        <v>-3</v>
      </c>
      <c r="K131" s="37">
        <f t="shared" si="7"/>
        <v>-30</v>
      </c>
      <c r="L131" s="37"/>
      <c r="M131" s="39">
        <f t="shared" si="8"/>
        <v>0</v>
      </c>
    </row>
    <row r="132" spans="1:13">
      <c r="A132" s="58"/>
      <c r="G132" s="15"/>
      <c r="H132" s="37">
        <v>127</v>
      </c>
      <c r="I132" s="38" t="str">
        <f t="shared" si="6"/>
        <v/>
      </c>
      <c r="J132" s="37">
        <f t="shared" si="9"/>
        <v>-3</v>
      </c>
      <c r="K132" s="37">
        <f t="shared" si="7"/>
        <v>-30</v>
      </c>
      <c r="L132" s="37"/>
      <c r="M132" s="39">
        <f t="shared" si="8"/>
        <v>0</v>
      </c>
    </row>
    <row r="133" spans="1:13">
      <c r="A133" s="58"/>
      <c r="G133" s="15"/>
      <c r="H133" s="37">
        <v>128</v>
      </c>
      <c r="I133" s="38" t="str">
        <f t="shared" si="6"/>
        <v/>
      </c>
      <c r="J133" s="37">
        <f t="shared" si="9"/>
        <v>-3</v>
      </c>
      <c r="K133" s="37">
        <f t="shared" si="7"/>
        <v>-30</v>
      </c>
      <c r="L133" s="37"/>
      <c r="M133" s="39">
        <f t="shared" si="8"/>
        <v>0</v>
      </c>
    </row>
    <row r="134" spans="1:13">
      <c r="A134" s="58"/>
      <c r="G134" s="15"/>
      <c r="H134" s="37">
        <v>129</v>
      </c>
      <c r="I134" s="38" t="str">
        <f t="shared" ref="I134:I197" si="10">IF(H134&lt;$H$2+1,($I$2-($I$2-1)*(LOG(H134)/LOG($H$2))),"")</f>
        <v/>
      </c>
      <c r="J134" s="37">
        <f t="shared" si="9"/>
        <v>-4</v>
      </c>
      <c r="K134" s="37">
        <f t="shared" ref="K134:K197" si="11">J134*$J$2</f>
        <v>-40</v>
      </c>
      <c r="L134" s="37"/>
      <c r="M134" s="39">
        <f t="shared" ref="M134:M197" si="12">IF(I134&lt;&gt;"",K134+I134+L134,0)</f>
        <v>0</v>
      </c>
    </row>
    <row r="135" spans="1:13">
      <c r="A135" s="58"/>
      <c r="G135" s="15"/>
      <c r="H135" s="37">
        <v>130</v>
      </c>
      <c r="I135" s="38" t="str">
        <f t="shared" si="10"/>
        <v/>
      </c>
      <c r="J135" s="37">
        <f t="shared" ref="J135:J198" si="13">INT(LOG($H$2,2))-ROUNDUP(LOG(H135,2),0)+IF(OR($H$2=1,$H$2=2,$H$2=4,$H$2=8,$H$2=16,$H$2=32,$H$2=64,$H$2=128,$H$2=256),0,1)</f>
        <v>-4</v>
      </c>
      <c r="K135" s="37">
        <f t="shared" si="11"/>
        <v>-40</v>
      </c>
      <c r="L135" s="37"/>
      <c r="M135" s="39">
        <f t="shared" si="12"/>
        <v>0</v>
      </c>
    </row>
    <row r="136" spans="1:13">
      <c r="A136" s="58"/>
      <c r="G136" s="15"/>
      <c r="H136" s="37">
        <v>131</v>
      </c>
      <c r="I136" s="38" t="str">
        <f t="shared" si="10"/>
        <v/>
      </c>
      <c r="J136" s="37">
        <f t="shared" si="13"/>
        <v>-4</v>
      </c>
      <c r="K136" s="37">
        <f t="shared" si="11"/>
        <v>-40</v>
      </c>
      <c r="L136" s="37"/>
      <c r="M136" s="39">
        <f t="shared" si="12"/>
        <v>0</v>
      </c>
    </row>
    <row r="137" spans="1:13">
      <c r="A137" s="58"/>
      <c r="G137" s="15"/>
      <c r="H137" s="37">
        <v>132</v>
      </c>
      <c r="I137" s="38" t="str">
        <f t="shared" si="10"/>
        <v/>
      </c>
      <c r="J137" s="37">
        <f t="shared" si="13"/>
        <v>-4</v>
      </c>
      <c r="K137" s="37">
        <f t="shared" si="11"/>
        <v>-40</v>
      </c>
      <c r="L137" s="37"/>
      <c r="M137" s="39">
        <f t="shared" si="12"/>
        <v>0</v>
      </c>
    </row>
    <row r="138" spans="1:13">
      <c r="A138" s="58"/>
      <c r="G138" s="15"/>
      <c r="H138" s="37">
        <v>133</v>
      </c>
      <c r="I138" s="38" t="str">
        <f t="shared" si="10"/>
        <v/>
      </c>
      <c r="J138" s="37">
        <f t="shared" si="13"/>
        <v>-4</v>
      </c>
      <c r="K138" s="37">
        <f t="shared" si="11"/>
        <v>-40</v>
      </c>
      <c r="L138" s="37"/>
      <c r="M138" s="39">
        <f t="shared" si="12"/>
        <v>0</v>
      </c>
    </row>
    <row r="139" spans="1:13">
      <c r="A139" s="58"/>
      <c r="G139" s="15"/>
      <c r="H139" s="37">
        <v>134</v>
      </c>
      <c r="I139" s="38" t="str">
        <f t="shared" si="10"/>
        <v/>
      </c>
      <c r="J139" s="37">
        <f t="shared" si="13"/>
        <v>-4</v>
      </c>
      <c r="K139" s="37">
        <f t="shared" si="11"/>
        <v>-40</v>
      </c>
      <c r="L139" s="37"/>
      <c r="M139" s="39">
        <f t="shared" si="12"/>
        <v>0</v>
      </c>
    </row>
    <row r="140" spans="1:13">
      <c r="A140" s="58"/>
      <c r="G140" s="15"/>
      <c r="H140" s="37">
        <v>135</v>
      </c>
      <c r="I140" s="38" t="str">
        <f t="shared" si="10"/>
        <v/>
      </c>
      <c r="J140" s="37">
        <f t="shared" si="13"/>
        <v>-4</v>
      </c>
      <c r="K140" s="37">
        <f t="shared" si="11"/>
        <v>-40</v>
      </c>
      <c r="L140" s="37"/>
      <c r="M140" s="39">
        <f t="shared" si="12"/>
        <v>0</v>
      </c>
    </row>
    <row r="141" spans="1:13">
      <c r="A141" s="58"/>
      <c r="G141" s="15"/>
      <c r="H141" s="37">
        <v>136</v>
      </c>
      <c r="I141" s="38" t="str">
        <f t="shared" si="10"/>
        <v/>
      </c>
      <c r="J141" s="37">
        <f t="shared" si="13"/>
        <v>-4</v>
      </c>
      <c r="K141" s="37">
        <f t="shared" si="11"/>
        <v>-40</v>
      </c>
      <c r="L141" s="37"/>
      <c r="M141" s="39">
        <f t="shared" si="12"/>
        <v>0</v>
      </c>
    </row>
    <row r="142" spans="1:13">
      <c r="A142" s="58"/>
      <c r="G142" s="15"/>
      <c r="H142" s="37">
        <v>137</v>
      </c>
      <c r="I142" s="38" t="str">
        <f t="shared" si="10"/>
        <v/>
      </c>
      <c r="J142" s="37">
        <f t="shared" si="13"/>
        <v>-4</v>
      </c>
      <c r="K142" s="37">
        <f t="shared" si="11"/>
        <v>-40</v>
      </c>
      <c r="L142" s="37"/>
      <c r="M142" s="39">
        <f t="shared" si="12"/>
        <v>0</v>
      </c>
    </row>
    <row r="143" spans="1:13">
      <c r="A143" s="58"/>
      <c r="G143" s="15"/>
      <c r="H143" s="37">
        <v>138</v>
      </c>
      <c r="I143" s="38" t="str">
        <f t="shared" si="10"/>
        <v/>
      </c>
      <c r="J143" s="37">
        <f t="shared" si="13"/>
        <v>-4</v>
      </c>
      <c r="K143" s="37">
        <f t="shared" si="11"/>
        <v>-40</v>
      </c>
      <c r="L143" s="37"/>
      <c r="M143" s="39">
        <f t="shared" si="12"/>
        <v>0</v>
      </c>
    </row>
    <row r="144" spans="1:13">
      <c r="A144" s="58"/>
      <c r="G144" s="15"/>
      <c r="H144" s="37">
        <v>139</v>
      </c>
      <c r="I144" s="38" t="str">
        <f t="shared" si="10"/>
        <v/>
      </c>
      <c r="J144" s="37">
        <f t="shared" si="13"/>
        <v>-4</v>
      </c>
      <c r="K144" s="37">
        <f t="shared" si="11"/>
        <v>-40</v>
      </c>
      <c r="L144" s="37"/>
      <c r="M144" s="39">
        <f t="shared" si="12"/>
        <v>0</v>
      </c>
    </row>
    <row r="145" spans="1:13">
      <c r="A145" s="58"/>
      <c r="G145" s="15"/>
      <c r="H145" s="37">
        <v>140</v>
      </c>
      <c r="I145" s="38" t="str">
        <f t="shared" si="10"/>
        <v/>
      </c>
      <c r="J145" s="37">
        <f t="shared" si="13"/>
        <v>-4</v>
      </c>
      <c r="K145" s="37">
        <f t="shared" si="11"/>
        <v>-40</v>
      </c>
      <c r="L145" s="37"/>
      <c r="M145" s="39">
        <f t="shared" si="12"/>
        <v>0</v>
      </c>
    </row>
    <row r="146" spans="1:13">
      <c r="A146" s="58"/>
      <c r="G146" s="15"/>
      <c r="H146" s="37">
        <v>141</v>
      </c>
      <c r="I146" s="38" t="str">
        <f t="shared" si="10"/>
        <v/>
      </c>
      <c r="J146" s="37">
        <f t="shared" si="13"/>
        <v>-4</v>
      </c>
      <c r="K146" s="37">
        <f t="shared" si="11"/>
        <v>-40</v>
      </c>
      <c r="L146" s="37"/>
      <c r="M146" s="39">
        <f t="shared" si="12"/>
        <v>0</v>
      </c>
    </row>
    <row r="147" spans="1:13">
      <c r="A147" s="58"/>
      <c r="G147" s="15"/>
      <c r="H147" s="37">
        <v>142</v>
      </c>
      <c r="I147" s="38" t="str">
        <f t="shared" si="10"/>
        <v/>
      </c>
      <c r="J147" s="37">
        <f t="shared" si="13"/>
        <v>-4</v>
      </c>
      <c r="K147" s="37">
        <f t="shared" si="11"/>
        <v>-40</v>
      </c>
      <c r="L147" s="37"/>
      <c r="M147" s="39">
        <f t="shared" si="12"/>
        <v>0</v>
      </c>
    </row>
    <row r="148" spans="1:13">
      <c r="A148" s="58"/>
      <c r="G148" s="15"/>
      <c r="H148" s="37">
        <v>143</v>
      </c>
      <c r="I148" s="38" t="str">
        <f t="shared" si="10"/>
        <v/>
      </c>
      <c r="J148" s="37">
        <f t="shared" si="13"/>
        <v>-4</v>
      </c>
      <c r="K148" s="37">
        <f t="shared" si="11"/>
        <v>-40</v>
      </c>
      <c r="L148" s="37"/>
      <c r="M148" s="39">
        <f t="shared" si="12"/>
        <v>0</v>
      </c>
    </row>
    <row r="149" spans="1:13">
      <c r="A149" s="58"/>
      <c r="G149" s="15"/>
      <c r="H149" s="37">
        <v>144</v>
      </c>
      <c r="I149" s="38" t="str">
        <f t="shared" si="10"/>
        <v/>
      </c>
      <c r="J149" s="37">
        <f t="shared" si="13"/>
        <v>-4</v>
      </c>
      <c r="K149" s="37">
        <f t="shared" si="11"/>
        <v>-40</v>
      </c>
      <c r="L149" s="37"/>
      <c r="M149" s="39">
        <f t="shared" si="12"/>
        <v>0</v>
      </c>
    </row>
    <row r="150" spans="1:13">
      <c r="A150" s="58"/>
      <c r="G150" s="15"/>
      <c r="H150" s="37">
        <v>145</v>
      </c>
      <c r="I150" s="38" t="str">
        <f t="shared" si="10"/>
        <v/>
      </c>
      <c r="J150" s="37">
        <f t="shared" si="13"/>
        <v>-4</v>
      </c>
      <c r="K150" s="37">
        <f t="shared" si="11"/>
        <v>-40</v>
      </c>
      <c r="L150" s="37"/>
      <c r="M150" s="39">
        <f t="shared" si="12"/>
        <v>0</v>
      </c>
    </row>
    <row r="151" spans="1:13">
      <c r="A151" s="58"/>
      <c r="G151" s="15"/>
      <c r="H151" s="37">
        <v>146</v>
      </c>
      <c r="I151" s="38" t="str">
        <f t="shared" si="10"/>
        <v/>
      </c>
      <c r="J151" s="37">
        <f t="shared" si="13"/>
        <v>-4</v>
      </c>
      <c r="K151" s="37">
        <f t="shared" si="11"/>
        <v>-40</v>
      </c>
      <c r="L151" s="37"/>
      <c r="M151" s="39">
        <f t="shared" si="12"/>
        <v>0</v>
      </c>
    </row>
    <row r="152" spans="1:13">
      <c r="A152" s="58"/>
      <c r="G152" s="15"/>
      <c r="H152" s="37">
        <v>147</v>
      </c>
      <c r="I152" s="38" t="str">
        <f t="shared" si="10"/>
        <v/>
      </c>
      <c r="J152" s="37">
        <f t="shared" si="13"/>
        <v>-4</v>
      </c>
      <c r="K152" s="37">
        <f t="shared" si="11"/>
        <v>-40</v>
      </c>
      <c r="L152" s="37"/>
      <c r="M152" s="39">
        <f t="shared" si="12"/>
        <v>0</v>
      </c>
    </row>
    <row r="153" spans="1:13">
      <c r="A153" s="58"/>
      <c r="G153" s="15"/>
      <c r="H153" s="37">
        <v>148</v>
      </c>
      <c r="I153" s="38" t="str">
        <f t="shared" si="10"/>
        <v/>
      </c>
      <c r="J153" s="37">
        <f t="shared" si="13"/>
        <v>-4</v>
      </c>
      <c r="K153" s="37">
        <f t="shared" si="11"/>
        <v>-40</v>
      </c>
      <c r="L153" s="37"/>
      <c r="M153" s="39">
        <f t="shared" si="12"/>
        <v>0</v>
      </c>
    </row>
    <row r="154" spans="1:13">
      <c r="A154" s="58"/>
      <c r="G154" s="15"/>
      <c r="H154" s="37">
        <v>149</v>
      </c>
      <c r="I154" s="38" t="str">
        <f t="shared" si="10"/>
        <v/>
      </c>
      <c r="J154" s="37">
        <f t="shared" si="13"/>
        <v>-4</v>
      </c>
      <c r="K154" s="37">
        <f t="shared" si="11"/>
        <v>-40</v>
      </c>
      <c r="L154" s="37"/>
      <c r="M154" s="39">
        <f t="shared" si="12"/>
        <v>0</v>
      </c>
    </row>
    <row r="155" spans="1:13">
      <c r="A155" s="58"/>
      <c r="G155" s="15"/>
      <c r="H155" s="37">
        <v>150</v>
      </c>
      <c r="I155" s="38" t="str">
        <f t="shared" si="10"/>
        <v/>
      </c>
      <c r="J155" s="37">
        <f t="shared" si="13"/>
        <v>-4</v>
      </c>
      <c r="K155" s="37">
        <f t="shared" si="11"/>
        <v>-40</v>
      </c>
      <c r="L155" s="37"/>
      <c r="M155" s="39">
        <f t="shared" si="12"/>
        <v>0</v>
      </c>
    </row>
    <row r="156" spans="1:13">
      <c r="A156" s="58"/>
      <c r="G156" s="15"/>
      <c r="H156" s="37">
        <v>151</v>
      </c>
      <c r="I156" s="38" t="str">
        <f t="shared" si="10"/>
        <v/>
      </c>
      <c r="J156" s="37">
        <f t="shared" si="13"/>
        <v>-4</v>
      </c>
      <c r="K156" s="37">
        <f t="shared" si="11"/>
        <v>-40</v>
      </c>
      <c r="L156" s="37"/>
      <c r="M156" s="39">
        <f t="shared" si="12"/>
        <v>0</v>
      </c>
    </row>
    <row r="157" spans="1:13">
      <c r="A157" s="58"/>
      <c r="G157" s="15"/>
      <c r="H157" s="37">
        <v>152</v>
      </c>
      <c r="I157" s="38" t="str">
        <f t="shared" si="10"/>
        <v/>
      </c>
      <c r="J157" s="37">
        <f t="shared" si="13"/>
        <v>-4</v>
      </c>
      <c r="K157" s="37">
        <f t="shared" si="11"/>
        <v>-40</v>
      </c>
      <c r="L157" s="37"/>
      <c r="M157" s="39">
        <f t="shared" si="12"/>
        <v>0</v>
      </c>
    </row>
    <row r="158" spans="1:13">
      <c r="A158" s="58"/>
      <c r="G158" s="15"/>
      <c r="H158" s="37">
        <v>153</v>
      </c>
      <c r="I158" s="38" t="str">
        <f t="shared" si="10"/>
        <v/>
      </c>
      <c r="J158" s="37">
        <f t="shared" si="13"/>
        <v>-4</v>
      </c>
      <c r="K158" s="37">
        <f t="shared" si="11"/>
        <v>-40</v>
      </c>
      <c r="L158" s="37"/>
      <c r="M158" s="39">
        <f t="shared" si="12"/>
        <v>0</v>
      </c>
    </row>
    <row r="159" spans="1:13">
      <c r="A159" s="58"/>
      <c r="G159" s="15"/>
      <c r="H159" s="37">
        <v>154</v>
      </c>
      <c r="I159" s="38" t="str">
        <f t="shared" si="10"/>
        <v/>
      </c>
      <c r="J159" s="37">
        <f t="shared" si="13"/>
        <v>-4</v>
      </c>
      <c r="K159" s="37">
        <f t="shared" si="11"/>
        <v>-40</v>
      </c>
      <c r="L159" s="37"/>
      <c r="M159" s="39">
        <f t="shared" si="12"/>
        <v>0</v>
      </c>
    </row>
    <row r="160" spans="1:13">
      <c r="A160" s="58"/>
      <c r="G160" s="15"/>
      <c r="H160" s="37">
        <v>155</v>
      </c>
      <c r="I160" s="38" t="str">
        <f t="shared" si="10"/>
        <v/>
      </c>
      <c r="J160" s="37">
        <f t="shared" si="13"/>
        <v>-4</v>
      </c>
      <c r="K160" s="37">
        <f t="shared" si="11"/>
        <v>-40</v>
      </c>
      <c r="L160" s="37"/>
      <c r="M160" s="39">
        <f t="shared" si="12"/>
        <v>0</v>
      </c>
    </row>
    <row r="161" spans="1:13">
      <c r="A161" s="58"/>
      <c r="G161" s="15"/>
      <c r="H161" s="37">
        <v>156</v>
      </c>
      <c r="I161" s="38" t="str">
        <f t="shared" si="10"/>
        <v/>
      </c>
      <c r="J161" s="37">
        <f t="shared" si="13"/>
        <v>-4</v>
      </c>
      <c r="K161" s="37">
        <f t="shared" si="11"/>
        <v>-40</v>
      </c>
      <c r="L161" s="37"/>
      <c r="M161" s="39">
        <f t="shared" si="12"/>
        <v>0</v>
      </c>
    </row>
    <row r="162" spans="1:13">
      <c r="A162" s="58"/>
      <c r="G162" s="15"/>
      <c r="H162" s="37">
        <v>157</v>
      </c>
      <c r="I162" s="38" t="str">
        <f t="shared" si="10"/>
        <v/>
      </c>
      <c r="J162" s="37">
        <f t="shared" si="13"/>
        <v>-4</v>
      </c>
      <c r="K162" s="37">
        <f t="shared" si="11"/>
        <v>-40</v>
      </c>
      <c r="L162" s="37"/>
      <c r="M162" s="39">
        <f t="shared" si="12"/>
        <v>0</v>
      </c>
    </row>
    <row r="163" spans="1:13">
      <c r="A163" s="58"/>
      <c r="G163" s="15"/>
      <c r="H163" s="37">
        <v>158</v>
      </c>
      <c r="I163" s="38" t="str">
        <f t="shared" si="10"/>
        <v/>
      </c>
      <c r="J163" s="37">
        <f t="shared" si="13"/>
        <v>-4</v>
      </c>
      <c r="K163" s="37">
        <f t="shared" si="11"/>
        <v>-40</v>
      </c>
      <c r="L163" s="37"/>
      <c r="M163" s="39">
        <f t="shared" si="12"/>
        <v>0</v>
      </c>
    </row>
    <row r="164" spans="1:13">
      <c r="A164" s="58"/>
      <c r="G164" s="15"/>
      <c r="H164" s="37">
        <v>159</v>
      </c>
      <c r="I164" s="38" t="str">
        <f t="shared" si="10"/>
        <v/>
      </c>
      <c r="J164" s="37">
        <f t="shared" si="13"/>
        <v>-4</v>
      </c>
      <c r="K164" s="37">
        <f t="shared" si="11"/>
        <v>-40</v>
      </c>
      <c r="L164" s="37"/>
      <c r="M164" s="39">
        <f t="shared" si="12"/>
        <v>0</v>
      </c>
    </row>
    <row r="165" spans="1:13">
      <c r="A165" s="58"/>
      <c r="G165" s="15"/>
      <c r="H165" s="37">
        <v>160</v>
      </c>
      <c r="I165" s="38" t="str">
        <f t="shared" si="10"/>
        <v/>
      </c>
      <c r="J165" s="37">
        <f t="shared" si="13"/>
        <v>-4</v>
      </c>
      <c r="K165" s="37">
        <f t="shared" si="11"/>
        <v>-40</v>
      </c>
      <c r="L165" s="37"/>
      <c r="M165" s="39">
        <f t="shared" si="12"/>
        <v>0</v>
      </c>
    </row>
    <row r="166" spans="1:13">
      <c r="A166" s="58"/>
      <c r="G166" s="15"/>
      <c r="H166" s="37">
        <v>161</v>
      </c>
      <c r="I166" s="38" t="str">
        <f t="shared" si="10"/>
        <v/>
      </c>
      <c r="J166" s="37">
        <f t="shared" si="13"/>
        <v>-4</v>
      </c>
      <c r="K166" s="37">
        <f t="shared" si="11"/>
        <v>-40</v>
      </c>
      <c r="L166" s="37"/>
      <c r="M166" s="39">
        <f t="shared" si="12"/>
        <v>0</v>
      </c>
    </row>
    <row r="167" spans="1:13">
      <c r="A167" s="58"/>
      <c r="G167" s="15"/>
      <c r="H167" s="37">
        <v>162</v>
      </c>
      <c r="I167" s="38" t="str">
        <f t="shared" si="10"/>
        <v/>
      </c>
      <c r="J167" s="37">
        <f t="shared" si="13"/>
        <v>-4</v>
      </c>
      <c r="K167" s="37">
        <f t="shared" si="11"/>
        <v>-40</v>
      </c>
      <c r="L167" s="37"/>
      <c r="M167" s="39">
        <f t="shared" si="12"/>
        <v>0</v>
      </c>
    </row>
    <row r="168" spans="1:13">
      <c r="A168" s="58"/>
      <c r="G168" s="15"/>
      <c r="H168" s="37">
        <v>163</v>
      </c>
      <c r="I168" s="38" t="str">
        <f t="shared" si="10"/>
        <v/>
      </c>
      <c r="J168" s="37">
        <f t="shared" si="13"/>
        <v>-4</v>
      </c>
      <c r="K168" s="37">
        <f t="shared" si="11"/>
        <v>-40</v>
      </c>
      <c r="L168" s="37"/>
      <c r="M168" s="39">
        <f t="shared" si="12"/>
        <v>0</v>
      </c>
    </row>
    <row r="169" spans="1:13">
      <c r="A169" s="58"/>
      <c r="G169" s="15"/>
      <c r="H169" s="37">
        <v>164</v>
      </c>
      <c r="I169" s="38" t="str">
        <f t="shared" si="10"/>
        <v/>
      </c>
      <c r="J169" s="37">
        <f t="shared" si="13"/>
        <v>-4</v>
      </c>
      <c r="K169" s="37">
        <f t="shared" si="11"/>
        <v>-40</v>
      </c>
      <c r="L169" s="37"/>
      <c r="M169" s="39">
        <f t="shared" si="12"/>
        <v>0</v>
      </c>
    </row>
    <row r="170" spans="1:13">
      <c r="A170" s="58"/>
      <c r="G170" s="15"/>
      <c r="H170" s="37">
        <v>165</v>
      </c>
      <c r="I170" s="38" t="str">
        <f t="shared" si="10"/>
        <v/>
      </c>
      <c r="J170" s="37">
        <f t="shared" si="13"/>
        <v>-4</v>
      </c>
      <c r="K170" s="37">
        <f t="shared" si="11"/>
        <v>-40</v>
      </c>
      <c r="L170" s="37"/>
      <c r="M170" s="39">
        <f t="shared" si="12"/>
        <v>0</v>
      </c>
    </row>
    <row r="171" spans="1:13">
      <c r="A171" s="58"/>
      <c r="G171" s="15"/>
      <c r="H171" s="37">
        <v>166</v>
      </c>
      <c r="I171" s="38" t="str">
        <f t="shared" si="10"/>
        <v/>
      </c>
      <c r="J171" s="37">
        <f t="shared" si="13"/>
        <v>-4</v>
      </c>
      <c r="K171" s="37">
        <f t="shared" si="11"/>
        <v>-40</v>
      </c>
      <c r="L171" s="37"/>
      <c r="M171" s="39">
        <f t="shared" si="12"/>
        <v>0</v>
      </c>
    </row>
    <row r="172" spans="1:13">
      <c r="A172" s="58"/>
      <c r="G172" s="15"/>
      <c r="H172" s="37">
        <v>167</v>
      </c>
      <c r="I172" s="38" t="str">
        <f t="shared" si="10"/>
        <v/>
      </c>
      <c r="J172" s="37">
        <f t="shared" si="13"/>
        <v>-4</v>
      </c>
      <c r="K172" s="37">
        <f t="shared" si="11"/>
        <v>-40</v>
      </c>
      <c r="L172" s="37"/>
      <c r="M172" s="39">
        <f t="shared" si="12"/>
        <v>0</v>
      </c>
    </row>
    <row r="173" spans="1:13">
      <c r="A173" s="58"/>
      <c r="G173" s="15"/>
      <c r="H173" s="37">
        <v>168</v>
      </c>
      <c r="I173" s="38" t="str">
        <f t="shared" si="10"/>
        <v/>
      </c>
      <c r="J173" s="37">
        <f t="shared" si="13"/>
        <v>-4</v>
      </c>
      <c r="K173" s="37">
        <f t="shared" si="11"/>
        <v>-40</v>
      </c>
      <c r="L173" s="37"/>
      <c r="M173" s="39">
        <f t="shared" si="12"/>
        <v>0</v>
      </c>
    </row>
    <row r="174" spans="1:13">
      <c r="A174" s="58"/>
      <c r="G174" s="15"/>
      <c r="H174" s="37">
        <v>169</v>
      </c>
      <c r="I174" s="38" t="str">
        <f t="shared" si="10"/>
        <v/>
      </c>
      <c r="J174" s="37">
        <f t="shared" si="13"/>
        <v>-4</v>
      </c>
      <c r="K174" s="37">
        <f t="shared" si="11"/>
        <v>-40</v>
      </c>
      <c r="L174" s="37"/>
      <c r="M174" s="39">
        <f t="shared" si="12"/>
        <v>0</v>
      </c>
    </row>
    <row r="175" spans="1:13">
      <c r="A175" s="58"/>
      <c r="G175" s="15"/>
      <c r="H175" s="37">
        <v>170</v>
      </c>
      <c r="I175" s="38" t="str">
        <f t="shared" si="10"/>
        <v/>
      </c>
      <c r="J175" s="37">
        <f t="shared" si="13"/>
        <v>-4</v>
      </c>
      <c r="K175" s="37">
        <f t="shared" si="11"/>
        <v>-40</v>
      </c>
      <c r="L175" s="37"/>
      <c r="M175" s="39">
        <f t="shared" si="12"/>
        <v>0</v>
      </c>
    </row>
    <row r="176" spans="1:13">
      <c r="A176" s="58"/>
      <c r="G176" s="15"/>
      <c r="H176" s="37">
        <v>171</v>
      </c>
      <c r="I176" s="38" t="str">
        <f t="shared" si="10"/>
        <v/>
      </c>
      <c r="J176" s="37">
        <f t="shared" si="13"/>
        <v>-4</v>
      </c>
      <c r="K176" s="37">
        <f t="shared" si="11"/>
        <v>-40</v>
      </c>
      <c r="L176" s="37"/>
      <c r="M176" s="39">
        <f t="shared" si="12"/>
        <v>0</v>
      </c>
    </row>
    <row r="177" spans="1:13">
      <c r="A177" s="58"/>
      <c r="G177" s="15"/>
      <c r="H177" s="37">
        <v>172</v>
      </c>
      <c r="I177" s="38" t="str">
        <f t="shared" si="10"/>
        <v/>
      </c>
      <c r="J177" s="37">
        <f t="shared" si="13"/>
        <v>-4</v>
      </c>
      <c r="K177" s="37">
        <f t="shared" si="11"/>
        <v>-40</v>
      </c>
      <c r="L177" s="37"/>
      <c r="M177" s="39">
        <f t="shared" si="12"/>
        <v>0</v>
      </c>
    </row>
    <row r="178" spans="1:13">
      <c r="A178" s="58"/>
      <c r="G178" s="15"/>
      <c r="H178" s="37">
        <v>173</v>
      </c>
      <c r="I178" s="38" t="str">
        <f t="shared" si="10"/>
        <v/>
      </c>
      <c r="J178" s="37">
        <f t="shared" si="13"/>
        <v>-4</v>
      </c>
      <c r="K178" s="37">
        <f t="shared" si="11"/>
        <v>-40</v>
      </c>
      <c r="L178" s="37"/>
      <c r="M178" s="39">
        <f t="shared" si="12"/>
        <v>0</v>
      </c>
    </row>
    <row r="179" spans="1:13">
      <c r="A179" s="58"/>
      <c r="G179" s="15"/>
      <c r="H179" s="37">
        <v>174</v>
      </c>
      <c r="I179" s="38" t="str">
        <f t="shared" si="10"/>
        <v/>
      </c>
      <c r="J179" s="37">
        <f t="shared" si="13"/>
        <v>-4</v>
      </c>
      <c r="K179" s="37">
        <f t="shared" si="11"/>
        <v>-40</v>
      </c>
      <c r="L179" s="37"/>
      <c r="M179" s="39">
        <f t="shared" si="12"/>
        <v>0</v>
      </c>
    </row>
    <row r="180" spans="1:13">
      <c r="A180" s="58"/>
      <c r="G180" s="15"/>
      <c r="H180" s="37">
        <v>175</v>
      </c>
      <c r="I180" s="38" t="str">
        <f t="shared" si="10"/>
        <v/>
      </c>
      <c r="J180" s="37">
        <f t="shared" si="13"/>
        <v>-4</v>
      </c>
      <c r="K180" s="37">
        <f t="shared" si="11"/>
        <v>-40</v>
      </c>
      <c r="L180" s="37"/>
      <c r="M180" s="39">
        <f t="shared" si="12"/>
        <v>0</v>
      </c>
    </row>
    <row r="181" spans="1:13">
      <c r="A181" s="58"/>
      <c r="G181" s="15"/>
      <c r="H181" s="37">
        <v>176</v>
      </c>
      <c r="I181" s="38" t="str">
        <f t="shared" si="10"/>
        <v/>
      </c>
      <c r="J181" s="37">
        <f t="shared" si="13"/>
        <v>-4</v>
      </c>
      <c r="K181" s="37">
        <f t="shared" si="11"/>
        <v>-40</v>
      </c>
      <c r="L181" s="37"/>
      <c r="M181" s="39">
        <f t="shared" si="12"/>
        <v>0</v>
      </c>
    </row>
    <row r="182" spans="1:13">
      <c r="A182" s="58"/>
      <c r="G182" s="15"/>
      <c r="H182" s="37">
        <v>177</v>
      </c>
      <c r="I182" s="38" t="str">
        <f t="shared" si="10"/>
        <v/>
      </c>
      <c r="J182" s="37">
        <f t="shared" si="13"/>
        <v>-4</v>
      </c>
      <c r="K182" s="37">
        <f t="shared" si="11"/>
        <v>-40</v>
      </c>
      <c r="L182" s="37"/>
      <c r="M182" s="39">
        <f t="shared" si="12"/>
        <v>0</v>
      </c>
    </row>
    <row r="183" spans="1:13">
      <c r="A183" s="58"/>
      <c r="G183" s="15"/>
      <c r="H183" s="37">
        <v>178</v>
      </c>
      <c r="I183" s="38" t="str">
        <f t="shared" si="10"/>
        <v/>
      </c>
      <c r="J183" s="37">
        <f t="shared" si="13"/>
        <v>-4</v>
      </c>
      <c r="K183" s="37">
        <f t="shared" si="11"/>
        <v>-40</v>
      </c>
      <c r="L183" s="37"/>
      <c r="M183" s="39">
        <f t="shared" si="12"/>
        <v>0</v>
      </c>
    </row>
    <row r="184" spans="1:13">
      <c r="A184" s="58"/>
      <c r="G184" s="15"/>
      <c r="H184" s="37">
        <v>179</v>
      </c>
      <c r="I184" s="38" t="str">
        <f t="shared" si="10"/>
        <v/>
      </c>
      <c r="J184" s="37">
        <f t="shared" si="13"/>
        <v>-4</v>
      </c>
      <c r="K184" s="37">
        <f t="shared" si="11"/>
        <v>-40</v>
      </c>
      <c r="L184" s="37"/>
      <c r="M184" s="39">
        <f t="shared" si="12"/>
        <v>0</v>
      </c>
    </row>
    <row r="185" spans="1:13">
      <c r="A185" s="58"/>
      <c r="G185" s="15"/>
      <c r="H185" s="37">
        <v>180</v>
      </c>
      <c r="I185" s="38" t="str">
        <f t="shared" si="10"/>
        <v/>
      </c>
      <c r="J185" s="37">
        <f t="shared" si="13"/>
        <v>-4</v>
      </c>
      <c r="K185" s="37">
        <f t="shared" si="11"/>
        <v>-40</v>
      </c>
      <c r="L185" s="37"/>
      <c r="M185" s="39">
        <f t="shared" si="12"/>
        <v>0</v>
      </c>
    </row>
    <row r="186" spans="1:13">
      <c r="A186" s="58"/>
      <c r="G186" s="15"/>
      <c r="H186" s="37">
        <v>181</v>
      </c>
      <c r="I186" s="38" t="str">
        <f t="shared" si="10"/>
        <v/>
      </c>
      <c r="J186" s="37">
        <f t="shared" si="13"/>
        <v>-4</v>
      </c>
      <c r="K186" s="37">
        <f t="shared" si="11"/>
        <v>-40</v>
      </c>
      <c r="L186" s="37"/>
      <c r="M186" s="39">
        <f t="shared" si="12"/>
        <v>0</v>
      </c>
    </row>
    <row r="187" spans="1:13">
      <c r="A187" s="58"/>
      <c r="G187" s="15"/>
      <c r="H187" s="37">
        <v>182</v>
      </c>
      <c r="I187" s="38" t="str">
        <f t="shared" si="10"/>
        <v/>
      </c>
      <c r="J187" s="37">
        <f t="shared" si="13"/>
        <v>-4</v>
      </c>
      <c r="K187" s="37">
        <f t="shared" si="11"/>
        <v>-40</v>
      </c>
      <c r="L187" s="37"/>
      <c r="M187" s="39">
        <f t="shared" si="12"/>
        <v>0</v>
      </c>
    </row>
    <row r="188" spans="1:13">
      <c r="A188" s="58"/>
      <c r="G188" s="15"/>
      <c r="H188" s="37">
        <v>183</v>
      </c>
      <c r="I188" s="38" t="str">
        <f t="shared" si="10"/>
        <v/>
      </c>
      <c r="J188" s="37">
        <f t="shared" si="13"/>
        <v>-4</v>
      </c>
      <c r="K188" s="37">
        <f t="shared" si="11"/>
        <v>-40</v>
      </c>
      <c r="L188" s="37"/>
      <c r="M188" s="39">
        <f t="shared" si="12"/>
        <v>0</v>
      </c>
    </row>
    <row r="189" spans="1:13">
      <c r="A189" s="58"/>
      <c r="G189" s="15"/>
      <c r="H189" s="37">
        <v>184</v>
      </c>
      <c r="I189" s="38" t="str">
        <f t="shared" si="10"/>
        <v/>
      </c>
      <c r="J189" s="37">
        <f t="shared" si="13"/>
        <v>-4</v>
      </c>
      <c r="K189" s="37">
        <f t="shared" si="11"/>
        <v>-40</v>
      </c>
      <c r="L189" s="37"/>
      <c r="M189" s="39">
        <f t="shared" si="12"/>
        <v>0</v>
      </c>
    </row>
    <row r="190" spans="1:13">
      <c r="A190" s="58"/>
      <c r="G190" s="15"/>
      <c r="H190" s="37">
        <v>185</v>
      </c>
      <c r="I190" s="38" t="str">
        <f t="shared" si="10"/>
        <v/>
      </c>
      <c r="J190" s="37">
        <f t="shared" si="13"/>
        <v>-4</v>
      </c>
      <c r="K190" s="37">
        <f t="shared" si="11"/>
        <v>-40</v>
      </c>
      <c r="L190" s="37"/>
      <c r="M190" s="39">
        <f t="shared" si="12"/>
        <v>0</v>
      </c>
    </row>
    <row r="191" spans="1:13">
      <c r="A191" s="58"/>
      <c r="G191" s="15"/>
      <c r="H191" s="37">
        <v>186</v>
      </c>
      <c r="I191" s="38" t="str">
        <f t="shared" si="10"/>
        <v/>
      </c>
      <c r="J191" s="37">
        <f t="shared" si="13"/>
        <v>-4</v>
      </c>
      <c r="K191" s="37">
        <f t="shared" si="11"/>
        <v>-40</v>
      </c>
      <c r="L191" s="37"/>
      <c r="M191" s="39">
        <f t="shared" si="12"/>
        <v>0</v>
      </c>
    </row>
    <row r="192" spans="1:13">
      <c r="A192" s="58"/>
      <c r="G192" s="15"/>
      <c r="H192" s="37">
        <v>187</v>
      </c>
      <c r="I192" s="38" t="str">
        <f t="shared" si="10"/>
        <v/>
      </c>
      <c r="J192" s="37">
        <f t="shared" si="13"/>
        <v>-4</v>
      </c>
      <c r="K192" s="37">
        <f t="shared" si="11"/>
        <v>-40</v>
      </c>
      <c r="L192" s="37"/>
      <c r="M192" s="39">
        <f t="shared" si="12"/>
        <v>0</v>
      </c>
    </row>
    <row r="193" spans="1:13">
      <c r="A193" s="58"/>
      <c r="G193" s="15"/>
      <c r="H193" s="37">
        <v>188</v>
      </c>
      <c r="I193" s="38" t="str">
        <f t="shared" si="10"/>
        <v/>
      </c>
      <c r="J193" s="37">
        <f t="shared" si="13"/>
        <v>-4</v>
      </c>
      <c r="K193" s="37">
        <f t="shared" si="11"/>
        <v>-40</v>
      </c>
      <c r="L193" s="37"/>
      <c r="M193" s="39">
        <f t="shared" si="12"/>
        <v>0</v>
      </c>
    </row>
    <row r="194" spans="1:13">
      <c r="A194" s="58"/>
      <c r="G194" s="15"/>
      <c r="H194" s="37">
        <v>189</v>
      </c>
      <c r="I194" s="38" t="str">
        <f t="shared" si="10"/>
        <v/>
      </c>
      <c r="J194" s="37">
        <f t="shared" si="13"/>
        <v>-4</v>
      </c>
      <c r="K194" s="37">
        <f t="shared" si="11"/>
        <v>-40</v>
      </c>
      <c r="L194" s="37"/>
      <c r="M194" s="39">
        <f t="shared" si="12"/>
        <v>0</v>
      </c>
    </row>
    <row r="195" spans="1:13">
      <c r="A195" s="58"/>
      <c r="G195" s="15"/>
      <c r="H195" s="37">
        <v>190</v>
      </c>
      <c r="I195" s="38" t="str">
        <f t="shared" si="10"/>
        <v/>
      </c>
      <c r="J195" s="37">
        <f t="shared" si="13"/>
        <v>-4</v>
      </c>
      <c r="K195" s="37">
        <f t="shared" si="11"/>
        <v>-40</v>
      </c>
      <c r="L195" s="37"/>
      <c r="M195" s="39">
        <f t="shared" si="12"/>
        <v>0</v>
      </c>
    </row>
    <row r="196" spans="1:13">
      <c r="A196" s="58"/>
      <c r="G196" s="15"/>
      <c r="H196" s="37">
        <v>191</v>
      </c>
      <c r="I196" s="38" t="str">
        <f t="shared" si="10"/>
        <v/>
      </c>
      <c r="J196" s="37">
        <f t="shared" si="13"/>
        <v>-4</v>
      </c>
      <c r="K196" s="37">
        <f t="shared" si="11"/>
        <v>-40</v>
      </c>
      <c r="L196" s="37"/>
      <c r="M196" s="39">
        <f t="shared" si="12"/>
        <v>0</v>
      </c>
    </row>
    <row r="197" spans="1:13">
      <c r="A197" s="58"/>
      <c r="G197" s="15"/>
      <c r="H197" s="37">
        <v>192</v>
      </c>
      <c r="I197" s="38" t="str">
        <f t="shared" si="10"/>
        <v/>
      </c>
      <c r="J197" s="37">
        <f t="shared" si="13"/>
        <v>-4</v>
      </c>
      <c r="K197" s="37">
        <f t="shared" si="11"/>
        <v>-40</v>
      </c>
      <c r="L197" s="37"/>
      <c r="M197" s="39">
        <f t="shared" si="12"/>
        <v>0</v>
      </c>
    </row>
    <row r="198" spans="1:13">
      <c r="A198" s="58"/>
      <c r="G198" s="15"/>
      <c r="H198" s="37">
        <v>193</v>
      </c>
      <c r="I198" s="38" t="str">
        <f t="shared" ref="I198:I261" si="14">IF(H198&lt;$H$2+1,($I$2-($I$2-1)*(LOG(H198)/LOG($H$2))),"")</f>
        <v/>
      </c>
      <c r="J198" s="37">
        <f t="shared" si="13"/>
        <v>-4</v>
      </c>
      <c r="K198" s="37">
        <f t="shared" ref="K198:K261" si="15">J198*$J$2</f>
        <v>-40</v>
      </c>
      <c r="L198" s="37"/>
      <c r="M198" s="39">
        <f t="shared" ref="M198:M261" si="16">IF(I198&lt;&gt;"",K198+I198+L198,0)</f>
        <v>0</v>
      </c>
    </row>
    <row r="199" spans="1:13">
      <c r="A199" s="58"/>
      <c r="G199" s="15"/>
      <c r="H199" s="37">
        <v>194</v>
      </c>
      <c r="I199" s="38" t="str">
        <f t="shared" si="14"/>
        <v/>
      </c>
      <c r="J199" s="37">
        <f t="shared" ref="J199:J262" si="17">INT(LOG($H$2,2))-ROUNDUP(LOG(H199,2),0)+IF(OR($H$2=1,$H$2=2,$H$2=4,$H$2=8,$H$2=16,$H$2=32,$H$2=64,$H$2=128,$H$2=256),0,1)</f>
        <v>-4</v>
      </c>
      <c r="K199" s="37">
        <f t="shared" si="15"/>
        <v>-40</v>
      </c>
      <c r="L199" s="37"/>
      <c r="M199" s="39">
        <f t="shared" si="16"/>
        <v>0</v>
      </c>
    </row>
    <row r="200" spans="1:13">
      <c r="A200" s="58"/>
      <c r="G200" s="15"/>
      <c r="H200" s="37">
        <v>195</v>
      </c>
      <c r="I200" s="38" t="str">
        <f t="shared" si="14"/>
        <v/>
      </c>
      <c r="J200" s="37">
        <f t="shared" si="17"/>
        <v>-4</v>
      </c>
      <c r="K200" s="37">
        <f t="shared" si="15"/>
        <v>-40</v>
      </c>
      <c r="L200" s="37"/>
      <c r="M200" s="39">
        <f t="shared" si="16"/>
        <v>0</v>
      </c>
    </row>
    <row r="201" spans="1:13">
      <c r="A201" s="58"/>
      <c r="G201" s="15"/>
      <c r="H201" s="37">
        <v>196</v>
      </c>
      <c r="I201" s="38" t="str">
        <f t="shared" si="14"/>
        <v/>
      </c>
      <c r="J201" s="37">
        <f t="shared" si="17"/>
        <v>-4</v>
      </c>
      <c r="K201" s="37">
        <f t="shared" si="15"/>
        <v>-40</v>
      </c>
      <c r="L201" s="37"/>
      <c r="M201" s="39">
        <f t="shared" si="16"/>
        <v>0</v>
      </c>
    </row>
    <row r="202" spans="1:13">
      <c r="A202" s="58"/>
      <c r="G202" s="15"/>
      <c r="H202" s="37">
        <v>197</v>
      </c>
      <c r="I202" s="38" t="str">
        <f t="shared" si="14"/>
        <v/>
      </c>
      <c r="J202" s="37">
        <f t="shared" si="17"/>
        <v>-4</v>
      </c>
      <c r="K202" s="37">
        <f t="shared" si="15"/>
        <v>-40</v>
      </c>
      <c r="L202" s="37"/>
      <c r="M202" s="39">
        <f t="shared" si="16"/>
        <v>0</v>
      </c>
    </row>
    <row r="203" spans="1:13">
      <c r="A203" s="58"/>
      <c r="G203" s="15"/>
      <c r="H203" s="37">
        <v>198</v>
      </c>
      <c r="I203" s="38" t="str">
        <f t="shared" si="14"/>
        <v/>
      </c>
      <c r="J203" s="37">
        <f t="shared" si="17"/>
        <v>-4</v>
      </c>
      <c r="K203" s="37">
        <f t="shared" si="15"/>
        <v>-40</v>
      </c>
      <c r="L203" s="37"/>
      <c r="M203" s="39">
        <f t="shared" si="16"/>
        <v>0</v>
      </c>
    </row>
    <row r="204" spans="1:13">
      <c r="A204" s="58"/>
      <c r="G204" s="15"/>
      <c r="H204" s="37">
        <v>199</v>
      </c>
      <c r="I204" s="38" t="str">
        <f t="shared" si="14"/>
        <v/>
      </c>
      <c r="J204" s="37">
        <f t="shared" si="17"/>
        <v>-4</v>
      </c>
      <c r="K204" s="37">
        <f t="shared" si="15"/>
        <v>-40</v>
      </c>
      <c r="L204" s="37"/>
      <c r="M204" s="39">
        <f t="shared" si="16"/>
        <v>0</v>
      </c>
    </row>
    <row r="205" spans="1:13">
      <c r="A205" s="58"/>
      <c r="G205" s="15"/>
      <c r="H205" s="37">
        <v>200</v>
      </c>
      <c r="I205" s="38" t="str">
        <f t="shared" si="14"/>
        <v/>
      </c>
      <c r="J205" s="37">
        <f t="shared" si="17"/>
        <v>-4</v>
      </c>
      <c r="K205" s="37">
        <f t="shared" si="15"/>
        <v>-40</v>
      </c>
      <c r="L205" s="37"/>
      <c r="M205" s="39">
        <f t="shared" si="16"/>
        <v>0</v>
      </c>
    </row>
    <row r="206" spans="1:13">
      <c r="A206" s="58"/>
      <c r="G206" s="15"/>
      <c r="H206" s="37">
        <v>201</v>
      </c>
      <c r="I206" s="38" t="str">
        <f t="shared" si="14"/>
        <v/>
      </c>
      <c r="J206" s="37">
        <f t="shared" si="17"/>
        <v>-4</v>
      </c>
      <c r="K206" s="37">
        <f t="shared" si="15"/>
        <v>-40</v>
      </c>
      <c r="L206" s="37"/>
      <c r="M206" s="39">
        <f t="shared" si="16"/>
        <v>0</v>
      </c>
    </row>
    <row r="207" spans="1:13">
      <c r="A207" s="58"/>
      <c r="G207" s="15"/>
      <c r="H207" s="37">
        <v>202</v>
      </c>
      <c r="I207" s="38" t="str">
        <f t="shared" si="14"/>
        <v/>
      </c>
      <c r="J207" s="37">
        <f t="shared" si="17"/>
        <v>-4</v>
      </c>
      <c r="K207" s="37">
        <f t="shared" si="15"/>
        <v>-40</v>
      </c>
      <c r="L207" s="37"/>
      <c r="M207" s="39">
        <f t="shared" si="16"/>
        <v>0</v>
      </c>
    </row>
    <row r="208" spans="1:13">
      <c r="A208" s="58"/>
      <c r="G208" s="15"/>
      <c r="H208" s="37">
        <v>203</v>
      </c>
      <c r="I208" s="38" t="str">
        <f t="shared" si="14"/>
        <v/>
      </c>
      <c r="J208" s="37">
        <f t="shared" si="17"/>
        <v>-4</v>
      </c>
      <c r="K208" s="37">
        <f t="shared" si="15"/>
        <v>-40</v>
      </c>
      <c r="L208" s="37"/>
      <c r="M208" s="39">
        <f t="shared" si="16"/>
        <v>0</v>
      </c>
    </row>
    <row r="209" spans="1:13">
      <c r="A209" s="58"/>
      <c r="G209" s="15"/>
      <c r="H209" s="37">
        <v>204</v>
      </c>
      <c r="I209" s="38" t="str">
        <f t="shared" si="14"/>
        <v/>
      </c>
      <c r="J209" s="37">
        <f t="shared" si="17"/>
        <v>-4</v>
      </c>
      <c r="K209" s="37">
        <f t="shared" si="15"/>
        <v>-40</v>
      </c>
      <c r="L209" s="37"/>
      <c r="M209" s="39">
        <f t="shared" si="16"/>
        <v>0</v>
      </c>
    </row>
    <row r="210" spans="1:13">
      <c r="A210" s="58"/>
      <c r="G210" s="15"/>
      <c r="H210" s="37">
        <v>205</v>
      </c>
      <c r="I210" s="38" t="str">
        <f t="shared" si="14"/>
        <v/>
      </c>
      <c r="J210" s="37">
        <f t="shared" si="17"/>
        <v>-4</v>
      </c>
      <c r="K210" s="37">
        <f t="shared" si="15"/>
        <v>-40</v>
      </c>
      <c r="L210" s="37"/>
      <c r="M210" s="39">
        <f t="shared" si="16"/>
        <v>0</v>
      </c>
    </row>
    <row r="211" spans="1:13">
      <c r="A211" s="58"/>
      <c r="G211" s="15"/>
      <c r="H211" s="37">
        <v>206</v>
      </c>
      <c r="I211" s="38" t="str">
        <f t="shared" si="14"/>
        <v/>
      </c>
      <c r="J211" s="37">
        <f t="shared" si="17"/>
        <v>-4</v>
      </c>
      <c r="K211" s="37">
        <f t="shared" si="15"/>
        <v>-40</v>
      </c>
      <c r="L211" s="37"/>
      <c r="M211" s="39">
        <f t="shared" si="16"/>
        <v>0</v>
      </c>
    </row>
    <row r="212" spans="1:13">
      <c r="A212" s="58"/>
      <c r="G212" s="15"/>
      <c r="H212" s="37">
        <v>207</v>
      </c>
      <c r="I212" s="38" t="str">
        <f t="shared" si="14"/>
        <v/>
      </c>
      <c r="J212" s="37">
        <f t="shared" si="17"/>
        <v>-4</v>
      </c>
      <c r="K212" s="37">
        <f t="shared" si="15"/>
        <v>-40</v>
      </c>
      <c r="L212" s="37"/>
      <c r="M212" s="39">
        <f t="shared" si="16"/>
        <v>0</v>
      </c>
    </row>
    <row r="213" spans="1:13">
      <c r="A213" s="58"/>
      <c r="G213" s="15"/>
      <c r="H213" s="37">
        <v>208</v>
      </c>
      <c r="I213" s="38" t="str">
        <f t="shared" si="14"/>
        <v/>
      </c>
      <c r="J213" s="37">
        <f t="shared" si="17"/>
        <v>-4</v>
      </c>
      <c r="K213" s="37">
        <f t="shared" si="15"/>
        <v>-40</v>
      </c>
      <c r="L213" s="37"/>
      <c r="M213" s="39">
        <f t="shared" si="16"/>
        <v>0</v>
      </c>
    </row>
    <row r="214" spans="1:13">
      <c r="A214" s="58"/>
      <c r="G214" s="15"/>
      <c r="H214" s="37">
        <v>209</v>
      </c>
      <c r="I214" s="38" t="str">
        <f t="shared" si="14"/>
        <v/>
      </c>
      <c r="J214" s="37">
        <f t="shared" si="17"/>
        <v>-4</v>
      </c>
      <c r="K214" s="37">
        <f t="shared" si="15"/>
        <v>-40</v>
      </c>
      <c r="L214" s="37"/>
      <c r="M214" s="39">
        <f t="shared" si="16"/>
        <v>0</v>
      </c>
    </row>
    <row r="215" spans="1:13">
      <c r="A215" s="58"/>
      <c r="G215" s="15"/>
      <c r="H215" s="37">
        <v>210</v>
      </c>
      <c r="I215" s="38" t="str">
        <f t="shared" si="14"/>
        <v/>
      </c>
      <c r="J215" s="37">
        <f t="shared" si="17"/>
        <v>-4</v>
      </c>
      <c r="K215" s="37">
        <f t="shared" si="15"/>
        <v>-40</v>
      </c>
      <c r="L215" s="37"/>
      <c r="M215" s="39">
        <f t="shared" si="16"/>
        <v>0</v>
      </c>
    </row>
    <row r="216" spans="1:13">
      <c r="A216" s="58"/>
      <c r="G216" s="15"/>
      <c r="H216" s="37">
        <v>211</v>
      </c>
      <c r="I216" s="38" t="str">
        <f t="shared" si="14"/>
        <v/>
      </c>
      <c r="J216" s="37">
        <f t="shared" si="17"/>
        <v>-4</v>
      </c>
      <c r="K216" s="37">
        <f t="shared" si="15"/>
        <v>-40</v>
      </c>
      <c r="L216" s="37"/>
      <c r="M216" s="39">
        <f t="shared" si="16"/>
        <v>0</v>
      </c>
    </row>
    <row r="217" spans="1:13">
      <c r="A217" s="58"/>
      <c r="G217" s="15"/>
      <c r="H217" s="37">
        <v>212</v>
      </c>
      <c r="I217" s="38" t="str">
        <f t="shared" si="14"/>
        <v/>
      </c>
      <c r="J217" s="37">
        <f t="shared" si="17"/>
        <v>-4</v>
      </c>
      <c r="K217" s="37">
        <f t="shared" si="15"/>
        <v>-40</v>
      </c>
      <c r="L217" s="37"/>
      <c r="M217" s="39">
        <f t="shared" si="16"/>
        <v>0</v>
      </c>
    </row>
    <row r="218" spans="1:13">
      <c r="A218" s="58"/>
      <c r="G218" s="15"/>
      <c r="H218" s="37">
        <v>213</v>
      </c>
      <c r="I218" s="38" t="str">
        <f t="shared" si="14"/>
        <v/>
      </c>
      <c r="J218" s="37">
        <f t="shared" si="17"/>
        <v>-4</v>
      </c>
      <c r="K218" s="37">
        <f t="shared" si="15"/>
        <v>-40</v>
      </c>
      <c r="L218" s="37"/>
      <c r="M218" s="39">
        <f t="shared" si="16"/>
        <v>0</v>
      </c>
    </row>
    <row r="219" spans="1:13">
      <c r="A219" s="58"/>
      <c r="G219" s="15"/>
      <c r="H219" s="37">
        <v>214</v>
      </c>
      <c r="I219" s="38" t="str">
        <f t="shared" si="14"/>
        <v/>
      </c>
      <c r="J219" s="37">
        <f t="shared" si="17"/>
        <v>-4</v>
      </c>
      <c r="K219" s="37">
        <f t="shared" si="15"/>
        <v>-40</v>
      </c>
      <c r="L219" s="37"/>
      <c r="M219" s="39">
        <f t="shared" si="16"/>
        <v>0</v>
      </c>
    </row>
    <row r="220" spans="1:13">
      <c r="A220" s="58"/>
      <c r="G220" s="15"/>
      <c r="H220" s="37">
        <v>215</v>
      </c>
      <c r="I220" s="38" t="str">
        <f t="shared" si="14"/>
        <v/>
      </c>
      <c r="J220" s="37">
        <f t="shared" si="17"/>
        <v>-4</v>
      </c>
      <c r="K220" s="37">
        <f t="shared" si="15"/>
        <v>-40</v>
      </c>
      <c r="L220" s="37"/>
      <c r="M220" s="39">
        <f t="shared" si="16"/>
        <v>0</v>
      </c>
    </row>
    <row r="221" spans="1:13">
      <c r="A221" s="58"/>
      <c r="G221" s="15"/>
      <c r="H221" s="37">
        <v>216</v>
      </c>
      <c r="I221" s="38" t="str">
        <f t="shared" si="14"/>
        <v/>
      </c>
      <c r="J221" s="37">
        <f t="shared" si="17"/>
        <v>-4</v>
      </c>
      <c r="K221" s="37">
        <f t="shared" si="15"/>
        <v>-40</v>
      </c>
      <c r="L221" s="37"/>
      <c r="M221" s="39">
        <f t="shared" si="16"/>
        <v>0</v>
      </c>
    </row>
    <row r="222" spans="1:13">
      <c r="A222" s="58"/>
      <c r="G222" s="15"/>
      <c r="H222" s="37">
        <v>217</v>
      </c>
      <c r="I222" s="38" t="str">
        <f t="shared" si="14"/>
        <v/>
      </c>
      <c r="J222" s="37">
        <f t="shared" si="17"/>
        <v>-4</v>
      </c>
      <c r="K222" s="37">
        <f t="shared" si="15"/>
        <v>-40</v>
      </c>
      <c r="L222" s="37"/>
      <c r="M222" s="39">
        <f t="shared" si="16"/>
        <v>0</v>
      </c>
    </row>
    <row r="223" spans="1:13">
      <c r="A223" s="58"/>
      <c r="G223" s="15"/>
      <c r="H223" s="37">
        <v>218</v>
      </c>
      <c r="I223" s="38" t="str">
        <f t="shared" si="14"/>
        <v/>
      </c>
      <c r="J223" s="37">
        <f t="shared" si="17"/>
        <v>-4</v>
      </c>
      <c r="K223" s="37">
        <f t="shared" si="15"/>
        <v>-40</v>
      </c>
      <c r="L223" s="37"/>
      <c r="M223" s="39">
        <f t="shared" si="16"/>
        <v>0</v>
      </c>
    </row>
    <row r="224" spans="1:13">
      <c r="A224" s="58"/>
      <c r="G224" s="15"/>
      <c r="H224" s="37">
        <v>219</v>
      </c>
      <c r="I224" s="38" t="str">
        <f t="shared" si="14"/>
        <v/>
      </c>
      <c r="J224" s="37">
        <f t="shared" si="17"/>
        <v>-4</v>
      </c>
      <c r="K224" s="37">
        <f t="shared" si="15"/>
        <v>-40</v>
      </c>
      <c r="L224" s="37"/>
      <c r="M224" s="39">
        <f t="shared" si="16"/>
        <v>0</v>
      </c>
    </row>
    <row r="225" spans="1:13">
      <c r="A225" s="58"/>
      <c r="G225" s="15"/>
      <c r="H225" s="37">
        <v>220</v>
      </c>
      <c r="I225" s="38" t="str">
        <f t="shared" si="14"/>
        <v/>
      </c>
      <c r="J225" s="37">
        <f t="shared" si="17"/>
        <v>-4</v>
      </c>
      <c r="K225" s="37">
        <f t="shared" si="15"/>
        <v>-40</v>
      </c>
      <c r="L225" s="37"/>
      <c r="M225" s="39">
        <f t="shared" si="16"/>
        <v>0</v>
      </c>
    </row>
    <row r="226" spans="1:13">
      <c r="A226" s="58"/>
      <c r="G226" s="15"/>
      <c r="H226" s="37">
        <v>221</v>
      </c>
      <c r="I226" s="38" t="str">
        <f t="shared" si="14"/>
        <v/>
      </c>
      <c r="J226" s="37">
        <f t="shared" si="17"/>
        <v>-4</v>
      </c>
      <c r="K226" s="37">
        <f t="shared" si="15"/>
        <v>-40</v>
      </c>
      <c r="L226" s="37"/>
      <c r="M226" s="39">
        <f t="shared" si="16"/>
        <v>0</v>
      </c>
    </row>
    <row r="227" spans="1:13">
      <c r="A227" s="58"/>
      <c r="G227" s="15"/>
      <c r="H227" s="37">
        <v>222</v>
      </c>
      <c r="I227" s="38" t="str">
        <f t="shared" si="14"/>
        <v/>
      </c>
      <c r="J227" s="37">
        <f t="shared" si="17"/>
        <v>-4</v>
      </c>
      <c r="K227" s="37">
        <f t="shared" si="15"/>
        <v>-40</v>
      </c>
      <c r="L227" s="37"/>
      <c r="M227" s="39">
        <f t="shared" si="16"/>
        <v>0</v>
      </c>
    </row>
    <row r="228" spans="1:13">
      <c r="A228" s="58"/>
      <c r="G228" s="15"/>
      <c r="H228" s="37">
        <v>223</v>
      </c>
      <c r="I228" s="38" t="str">
        <f t="shared" si="14"/>
        <v/>
      </c>
      <c r="J228" s="37">
        <f t="shared" si="17"/>
        <v>-4</v>
      </c>
      <c r="K228" s="37">
        <f t="shared" si="15"/>
        <v>-40</v>
      </c>
      <c r="L228" s="37"/>
      <c r="M228" s="39">
        <f t="shared" si="16"/>
        <v>0</v>
      </c>
    </row>
    <row r="229" spans="1:13">
      <c r="A229" s="58"/>
      <c r="G229" s="15"/>
      <c r="H229" s="37">
        <v>224</v>
      </c>
      <c r="I229" s="38" t="str">
        <f t="shared" si="14"/>
        <v/>
      </c>
      <c r="J229" s="37">
        <f t="shared" si="17"/>
        <v>-4</v>
      </c>
      <c r="K229" s="37">
        <f t="shared" si="15"/>
        <v>-40</v>
      </c>
      <c r="L229" s="37"/>
      <c r="M229" s="39">
        <f t="shared" si="16"/>
        <v>0</v>
      </c>
    </row>
    <row r="230" spans="1:13">
      <c r="A230" s="58"/>
      <c r="G230" s="15"/>
      <c r="H230" s="37">
        <v>225</v>
      </c>
      <c r="I230" s="38" t="str">
        <f t="shared" si="14"/>
        <v/>
      </c>
      <c r="J230" s="37">
        <f t="shared" si="17"/>
        <v>-4</v>
      </c>
      <c r="K230" s="37">
        <f t="shared" si="15"/>
        <v>-40</v>
      </c>
      <c r="L230" s="37"/>
      <c r="M230" s="39">
        <f t="shared" si="16"/>
        <v>0</v>
      </c>
    </row>
    <row r="231" spans="1:13">
      <c r="A231" s="58"/>
      <c r="G231" s="15"/>
      <c r="H231" s="37">
        <v>226</v>
      </c>
      <c r="I231" s="38" t="str">
        <f t="shared" si="14"/>
        <v/>
      </c>
      <c r="J231" s="37">
        <f t="shared" si="17"/>
        <v>-4</v>
      </c>
      <c r="K231" s="37">
        <f t="shared" si="15"/>
        <v>-40</v>
      </c>
      <c r="L231" s="37"/>
      <c r="M231" s="39">
        <f t="shared" si="16"/>
        <v>0</v>
      </c>
    </row>
    <row r="232" spans="1:13">
      <c r="A232" s="58"/>
      <c r="G232" s="15"/>
      <c r="H232" s="37">
        <v>227</v>
      </c>
      <c r="I232" s="38" t="str">
        <f t="shared" si="14"/>
        <v/>
      </c>
      <c r="J232" s="37">
        <f t="shared" si="17"/>
        <v>-4</v>
      </c>
      <c r="K232" s="37">
        <f t="shared" si="15"/>
        <v>-40</v>
      </c>
      <c r="L232" s="37"/>
      <c r="M232" s="39">
        <f t="shared" si="16"/>
        <v>0</v>
      </c>
    </row>
    <row r="233" spans="1:13">
      <c r="A233" s="58"/>
      <c r="G233" s="15"/>
      <c r="H233" s="37">
        <v>228</v>
      </c>
      <c r="I233" s="38" t="str">
        <f t="shared" si="14"/>
        <v/>
      </c>
      <c r="J233" s="37">
        <f t="shared" si="17"/>
        <v>-4</v>
      </c>
      <c r="K233" s="37">
        <f t="shared" si="15"/>
        <v>-40</v>
      </c>
      <c r="L233" s="37"/>
      <c r="M233" s="39">
        <f t="shared" si="16"/>
        <v>0</v>
      </c>
    </row>
    <row r="234" spans="1:13">
      <c r="A234" s="58"/>
      <c r="G234" s="15"/>
      <c r="H234" s="37">
        <v>229</v>
      </c>
      <c r="I234" s="38" t="str">
        <f t="shared" si="14"/>
        <v/>
      </c>
      <c r="J234" s="37">
        <f t="shared" si="17"/>
        <v>-4</v>
      </c>
      <c r="K234" s="37">
        <f t="shared" si="15"/>
        <v>-40</v>
      </c>
      <c r="L234" s="37"/>
      <c r="M234" s="39">
        <f t="shared" si="16"/>
        <v>0</v>
      </c>
    </row>
    <row r="235" spans="1:13">
      <c r="A235" s="58"/>
      <c r="G235" s="15"/>
      <c r="H235" s="37">
        <v>230</v>
      </c>
      <c r="I235" s="38" t="str">
        <f t="shared" si="14"/>
        <v/>
      </c>
      <c r="J235" s="37">
        <f t="shared" si="17"/>
        <v>-4</v>
      </c>
      <c r="K235" s="37">
        <f t="shared" si="15"/>
        <v>-40</v>
      </c>
      <c r="L235" s="37"/>
      <c r="M235" s="39">
        <f t="shared" si="16"/>
        <v>0</v>
      </c>
    </row>
    <row r="236" spans="1:13">
      <c r="A236" s="58"/>
      <c r="G236" s="15"/>
      <c r="H236" s="37">
        <v>231</v>
      </c>
      <c r="I236" s="38" t="str">
        <f t="shared" si="14"/>
        <v/>
      </c>
      <c r="J236" s="37">
        <f t="shared" si="17"/>
        <v>-4</v>
      </c>
      <c r="K236" s="37">
        <f t="shared" si="15"/>
        <v>-40</v>
      </c>
      <c r="L236" s="37"/>
      <c r="M236" s="39">
        <f t="shared" si="16"/>
        <v>0</v>
      </c>
    </row>
    <row r="237" spans="1:13">
      <c r="A237" s="58"/>
      <c r="G237" s="15"/>
      <c r="H237" s="37">
        <v>232</v>
      </c>
      <c r="I237" s="38" t="str">
        <f t="shared" si="14"/>
        <v/>
      </c>
      <c r="J237" s="37">
        <f t="shared" si="17"/>
        <v>-4</v>
      </c>
      <c r="K237" s="37">
        <f t="shared" si="15"/>
        <v>-40</v>
      </c>
      <c r="L237" s="37"/>
      <c r="M237" s="39">
        <f t="shared" si="16"/>
        <v>0</v>
      </c>
    </row>
    <row r="238" spans="1:13">
      <c r="A238" s="58"/>
      <c r="G238" s="15"/>
      <c r="H238" s="37">
        <v>233</v>
      </c>
      <c r="I238" s="38" t="str">
        <f t="shared" si="14"/>
        <v/>
      </c>
      <c r="J238" s="37">
        <f t="shared" si="17"/>
        <v>-4</v>
      </c>
      <c r="K238" s="37">
        <f t="shared" si="15"/>
        <v>-40</v>
      </c>
      <c r="L238" s="37"/>
      <c r="M238" s="39">
        <f t="shared" si="16"/>
        <v>0</v>
      </c>
    </row>
    <row r="239" spans="1:13">
      <c r="A239" s="58"/>
      <c r="G239" s="15"/>
      <c r="H239" s="37">
        <v>234</v>
      </c>
      <c r="I239" s="38" t="str">
        <f t="shared" si="14"/>
        <v/>
      </c>
      <c r="J239" s="37">
        <f t="shared" si="17"/>
        <v>-4</v>
      </c>
      <c r="K239" s="37">
        <f t="shared" si="15"/>
        <v>-40</v>
      </c>
      <c r="L239" s="37"/>
      <c r="M239" s="39">
        <f t="shared" si="16"/>
        <v>0</v>
      </c>
    </row>
    <row r="240" spans="1:13">
      <c r="A240" s="58"/>
      <c r="G240" s="15"/>
      <c r="H240" s="37">
        <v>235</v>
      </c>
      <c r="I240" s="38" t="str">
        <f t="shared" si="14"/>
        <v/>
      </c>
      <c r="J240" s="37">
        <f t="shared" si="17"/>
        <v>-4</v>
      </c>
      <c r="K240" s="37">
        <f t="shared" si="15"/>
        <v>-40</v>
      </c>
      <c r="L240" s="37"/>
      <c r="M240" s="39">
        <f t="shared" si="16"/>
        <v>0</v>
      </c>
    </row>
    <row r="241" spans="1:13">
      <c r="A241" s="58"/>
      <c r="G241" s="15"/>
      <c r="H241" s="37">
        <v>236</v>
      </c>
      <c r="I241" s="38" t="str">
        <f t="shared" si="14"/>
        <v/>
      </c>
      <c r="J241" s="37">
        <f t="shared" si="17"/>
        <v>-4</v>
      </c>
      <c r="K241" s="37">
        <f t="shared" si="15"/>
        <v>-40</v>
      </c>
      <c r="L241" s="37"/>
      <c r="M241" s="39">
        <f t="shared" si="16"/>
        <v>0</v>
      </c>
    </row>
    <row r="242" spans="1:13">
      <c r="A242" s="58"/>
      <c r="G242" s="15"/>
      <c r="H242" s="37">
        <v>237</v>
      </c>
      <c r="I242" s="38" t="str">
        <f t="shared" si="14"/>
        <v/>
      </c>
      <c r="J242" s="37">
        <f t="shared" si="17"/>
        <v>-4</v>
      </c>
      <c r="K242" s="37">
        <f t="shared" si="15"/>
        <v>-40</v>
      </c>
      <c r="L242" s="37"/>
      <c r="M242" s="39">
        <f t="shared" si="16"/>
        <v>0</v>
      </c>
    </row>
    <row r="243" spans="1:13">
      <c r="A243" s="58"/>
      <c r="G243" s="15"/>
      <c r="H243" s="37">
        <v>238</v>
      </c>
      <c r="I243" s="38" t="str">
        <f t="shared" si="14"/>
        <v/>
      </c>
      <c r="J243" s="37">
        <f t="shared" si="17"/>
        <v>-4</v>
      </c>
      <c r="K243" s="37">
        <f t="shared" si="15"/>
        <v>-40</v>
      </c>
      <c r="L243" s="37"/>
      <c r="M243" s="39">
        <f t="shared" si="16"/>
        <v>0</v>
      </c>
    </row>
    <row r="244" spans="1:13">
      <c r="A244" s="58"/>
      <c r="G244" s="15"/>
      <c r="H244" s="37">
        <v>239</v>
      </c>
      <c r="I244" s="38" t="str">
        <f t="shared" si="14"/>
        <v/>
      </c>
      <c r="J244" s="37">
        <f t="shared" si="17"/>
        <v>-4</v>
      </c>
      <c r="K244" s="37">
        <f t="shared" si="15"/>
        <v>-40</v>
      </c>
      <c r="L244" s="37"/>
      <c r="M244" s="39">
        <f t="shared" si="16"/>
        <v>0</v>
      </c>
    </row>
    <row r="245" spans="1:13">
      <c r="A245" s="58"/>
      <c r="G245" s="15"/>
      <c r="H245" s="37">
        <v>240</v>
      </c>
      <c r="I245" s="38" t="str">
        <f t="shared" si="14"/>
        <v/>
      </c>
      <c r="J245" s="37">
        <f t="shared" si="17"/>
        <v>-4</v>
      </c>
      <c r="K245" s="37">
        <f t="shared" si="15"/>
        <v>-40</v>
      </c>
      <c r="L245" s="37"/>
      <c r="M245" s="39">
        <f t="shared" si="16"/>
        <v>0</v>
      </c>
    </row>
    <row r="246" spans="1:13">
      <c r="A246" s="58"/>
      <c r="G246" s="15"/>
      <c r="H246" s="37">
        <v>241</v>
      </c>
      <c r="I246" s="38" t="str">
        <f t="shared" si="14"/>
        <v/>
      </c>
      <c r="J246" s="37">
        <f t="shared" si="17"/>
        <v>-4</v>
      </c>
      <c r="K246" s="37">
        <f t="shared" si="15"/>
        <v>-40</v>
      </c>
      <c r="L246" s="37"/>
      <c r="M246" s="39">
        <f t="shared" si="16"/>
        <v>0</v>
      </c>
    </row>
    <row r="247" spans="1:13">
      <c r="A247" s="58"/>
      <c r="G247" s="15"/>
      <c r="H247" s="37">
        <v>242</v>
      </c>
      <c r="I247" s="38" t="str">
        <f t="shared" si="14"/>
        <v/>
      </c>
      <c r="J247" s="37">
        <f t="shared" si="17"/>
        <v>-4</v>
      </c>
      <c r="K247" s="37">
        <f t="shared" si="15"/>
        <v>-40</v>
      </c>
      <c r="L247" s="37"/>
      <c r="M247" s="39">
        <f t="shared" si="16"/>
        <v>0</v>
      </c>
    </row>
    <row r="248" spans="1:13">
      <c r="A248" s="58"/>
      <c r="G248" s="15"/>
      <c r="H248" s="37">
        <v>243</v>
      </c>
      <c r="I248" s="38" t="str">
        <f t="shared" si="14"/>
        <v/>
      </c>
      <c r="J248" s="37">
        <f t="shared" si="17"/>
        <v>-4</v>
      </c>
      <c r="K248" s="37">
        <f t="shared" si="15"/>
        <v>-40</v>
      </c>
      <c r="L248" s="37"/>
      <c r="M248" s="39">
        <f t="shared" si="16"/>
        <v>0</v>
      </c>
    </row>
    <row r="249" spans="1:13">
      <c r="A249" s="58"/>
      <c r="G249" s="15"/>
      <c r="H249" s="37">
        <v>244</v>
      </c>
      <c r="I249" s="38" t="str">
        <f t="shared" si="14"/>
        <v/>
      </c>
      <c r="J249" s="37">
        <f t="shared" si="17"/>
        <v>-4</v>
      </c>
      <c r="K249" s="37">
        <f t="shared" si="15"/>
        <v>-40</v>
      </c>
      <c r="L249" s="37"/>
      <c r="M249" s="39">
        <f t="shared" si="16"/>
        <v>0</v>
      </c>
    </row>
    <row r="250" spans="1:13">
      <c r="A250" s="58"/>
      <c r="G250" s="15"/>
      <c r="H250" s="37">
        <v>245</v>
      </c>
      <c r="I250" s="38" t="str">
        <f t="shared" si="14"/>
        <v/>
      </c>
      <c r="J250" s="37">
        <f t="shared" si="17"/>
        <v>-4</v>
      </c>
      <c r="K250" s="37">
        <f t="shared" si="15"/>
        <v>-40</v>
      </c>
      <c r="L250" s="37"/>
      <c r="M250" s="39">
        <f t="shared" si="16"/>
        <v>0</v>
      </c>
    </row>
    <row r="251" spans="1:13">
      <c r="A251" s="58"/>
      <c r="G251" s="15"/>
      <c r="H251" s="37">
        <v>246</v>
      </c>
      <c r="I251" s="38" t="str">
        <f t="shared" si="14"/>
        <v/>
      </c>
      <c r="J251" s="37">
        <f t="shared" si="17"/>
        <v>-4</v>
      </c>
      <c r="K251" s="37">
        <f t="shared" si="15"/>
        <v>-40</v>
      </c>
      <c r="L251" s="37"/>
      <c r="M251" s="39">
        <f t="shared" si="16"/>
        <v>0</v>
      </c>
    </row>
    <row r="252" spans="1:13">
      <c r="A252" s="58"/>
      <c r="G252" s="15"/>
      <c r="H252" s="37">
        <v>247</v>
      </c>
      <c r="I252" s="38" t="str">
        <f t="shared" si="14"/>
        <v/>
      </c>
      <c r="J252" s="37">
        <f t="shared" si="17"/>
        <v>-4</v>
      </c>
      <c r="K252" s="37">
        <f t="shared" si="15"/>
        <v>-40</v>
      </c>
      <c r="L252" s="37"/>
      <c r="M252" s="39">
        <f t="shared" si="16"/>
        <v>0</v>
      </c>
    </row>
    <row r="253" spans="1:13">
      <c r="A253" s="58"/>
      <c r="G253" s="15"/>
      <c r="H253" s="37">
        <v>248</v>
      </c>
      <c r="I253" s="38" t="str">
        <f t="shared" si="14"/>
        <v/>
      </c>
      <c r="J253" s="37">
        <f t="shared" si="17"/>
        <v>-4</v>
      </c>
      <c r="K253" s="37">
        <f t="shared" si="15"/>
        <v>-40</v>
      </c>
      <c r="L253" s="37"/>
      <c r="M253" s="39">
        <f t="shared" si="16"/>
        <v>0</v>
      </c>
    </row>
    <row r="254" spans="1:13">
      <c r="A254" s="58"/>
      <c r="G254" s="15"/>
      <c r="H254" s="37">
        <v>249</v>
      </c>
      <c r="I254" s="38" t="str">
        <f t="shared" si="14"/>
        <v/>
      </c>
      <c r="J254" s="37">
        <f t="shared" si="17"/>
        <v>-4</v>
      </c>
      <c r="K254" s="37">
        <f t="shared" si="15"/>
        <v>-40</v>
      </c>
      <c r="L254" s="37"/>
      <c r="M254" s="39">
        <f t="shared" si="16"/>
        <v>0</v>
      </c>
    </row>
    <row r="255" spans="1:13">
      <c r="A255" s="58"/>
      <c r="G255" s="15"/>
      <c r="H255" s="37">
        <v>250</v>
      </c>
      <c r="I255" s="38" t="str">
        <f t="shared" si="14"/>
        <v/>
      </c>
      <c r="J255" s="37">
        <f t="shared" si="17"/>
        <v>-4</v>
      </c>
      <c r="K255" s="37">
        <f t="shared" si="15"/>
        <v>-40</v>
      </c>
      <c r="L255" s="37"/>
      <c r="M255" s="39">
        <f t="shared" si="16"/>
        <v>0</v>
      </c>
    </row>
    <row r="256" spans="1:13">
      <c r="A256" s="58"/>
      <c r="G256" s="15"/>
      <c r="H256" s="37">
        <v>251</v>
      </c>
      <c r="I256" s="38" t="str">
        <f t="shared" si="14"/>
        <v/>
      </c>
      <c r="J256" s="37">
        <f t="shared" si="17"/>
        <v>-4</v>
      </c>
      <c r="K256" s="37">
        <f t="shared" si="15"/>
        <v>-40</v>
      </c>
      <c r="L256" s="37"/>
      <c r="M256" s="39">
        <f t="shared" si="16"/>
        <v>0</v>
      </c>
    </row>
    <row r="257" spans="1:13">
      <c r="A257" s="58"/>
      <c r="G257" s="15"/>
      <c r="H257" s="37">
        <v>252</v>
      </c>
      <c r="I257" s="38" t="str">
        <f t="shared" si="14"/>
        <v/>
      </c>
      <c r="J257" s="37">
        <f t="shared" si="17"/>
        <v>-4</v>
      </c>
      <c r="K257" s="37">
        <f t="shared" si="15"/>
        <v>-40</v>
      </c>
      <c r="L257" s="37"/>
      <c r="M257" s="39">
        <f t="shared" si="16"/>
        <v>0</v>
      </c>
    </row>
    <row r="258" spans="1:13">
      <c r="A258" s="58"/>
      <c r="G258" s="15"/>
      <c r="H258" s="37">
        <v>253</v>
      </c>
      <c r="I258" s="38" t="str">
        <f t="shared" si="14"/>
        <v/>
      </c>
      <c r="J258" s="37">
        <f t="shared" si="17"/>
        <v>-4</v>
      </c>
      <c r="K258" s="37">
        <f t="shared" si="15"/>
        <v>-40</v>
      </c>
      <c r="L258" s="37"/>
      <c r="M258" s="39">
        <f t="shared" si="16"/>
        <v>0</v>
      </c>
    </row>
    <row r="259" spans="1:13">
      <c r="A259" s="58"/>
      <c r="G259" s="15"/>
      <c r="H259" s="37">
        <v>254</v>
      </c>
      <c r="I259" s="38" t="str">
        <f t="shared" si="14"/>
        <v/>
      </c>
      <c r="J259" s="37">
        <f t="shared" si="17"/>
        <v>-4</v>
      </c>
      <c r="K259" s="37">
        <f t="shared" si="15"/>
        <v>-40</v>
      </c>
      <c r="L259" s="37"/>
      <c r="M259" s="39">
        <f t="shared" si="16"/>
        <v>0</v>
      </c>
    </row>
    <row r="260" spans="1:13">
      <c r="A260" s="58"/>
      <c r="G260" s="15"/>
      <c r="H260" s="37">
        <v>255</v>
      </c>
      <c r="I260" s="38" t="str">
        <f t="shared" si="14"/>
        <v/>
      </c>
      <c r="J260" s="37">
        <f t="shared" si="17"/>
        <v>-4</v>
      </c>
      <c r="K260" s="37">
        <f t="shared" si="15"/>
        <v>-40</v>
      </c>
      <c r="L260" s="37"/>
      <c r="M260" s="39">
        <f t="shared" si="16"/>
        <v>0</v>
      </c>
    </row>
    <row r="261" spans="1:13">
      <c r="A261" s="58"/>
      <c r="G261" s="15"/>
      <c r="H261" s="37">
        <v>256</v>
      </c>
      <c r="I261" s="38" t="str">
        <f t="shared" si="14"/>
        <v/>
      </c>
      <c r="J261" s="37">
        <f t="shared" si="17"/>
        <v>-4</v>
      </c>
      <c r="K261" s="37">
        <f t="shared" si="15"/>
        <v>-40</v>
      </c>
      <c r="L261" s="37"/>
      <c r="M261" s="39">
        <f t="shared" si="16"/>
        <v>0</v>
      </c>
    </row>
    <row r="262" spans="1:13">
      <c r="A262" s="58"/>
      <c r="G262" s="15"/>
      <c r="H262" s="37">
        <v>257</v>
      </c>
      <c r="I262" s="38" t="str">
        <f t="shared" ref="I262:I305" si="18">IF(H262&lt;$H$2+1,($I$2-($I$2-1)*(LOG(H262)/LOG($H$2))),"")</f>
        <v/>
      </c>
      <c r="J262" s="37">
        <f t="shared" si="17"/>
        <v>-5</v>
      </c>
      <c r="K262" s="37">
        <f t="shared" ref="K262:K305" si="19">J262*$J$2</f>
        <v>-50</v>
      </c>
      <c r="L262" s="37"/>
      <c r="M262" s="39">
        <f t="shared" ref="M262:M305" si="20">IF(I262&lt;&gt;"",K262+I262+L262,0)</f>
        <v>0</v>
      </c>
    </row>
    <row r="263" spans="1:13">
      <c r="A263" s="58"/>
      <c r="G263" s="15"/>
      <c r="H263" s="37">
        <v>258</v>
      </c>
      <c r="I263" s="38" t="str">
        <f t="shared" si="18"/>
        <v/>
      </c>
      <c r="J263" s="37">
        <f t="shared" ref="J263:J305" si="21">INT(LOG($H$2,2))-ROUNDUP(LOG(H263,2),0)+IF(OR($H$2=1,$H$2=2,$H$2=4,$H$2=8,$H$2=16,$H$2=32,$H$2=64,$H$2=128,$H$2=256),0,1)</f>
        <v>-5</v>
      </c>
      <c r="K263" s="37">
        <f t="shared" si="19"/>
        <v>-50</v>
      </c>
      <c r="L263" s="37"/>
      <c r="M263" s="39">
        <f t="shared" si="20"/>
        <v>0</v>
      </c>
    </row>
    <row r="264" spans="1:13">
      <c r="A264" s="58"/>
      <c r="G264" s="15"/>
      <c r="H264" s="37">
        <v>259</v>
      </c>
      <c r="I264" s="38" t="str">
        <f t="shared" si="18"/>
        <v/>
      </c>
      <c r="J264" s="37">
        <f t="shared" si="21"/>
        <v>-5</v>
      </c>
      <c r="K264" s="37">
        <f t="shared" si="19"/>
        <v>-50</v>
      </c>
      <c r="L264" s="37"/>
      <c r="M264" s="39">
        <f t="shared" si="20"/>
        <v>0</v>
      </c>
    </row>
    <row r="265" spans="1:13">
      <c r="A265" s="58"/>
      <c r="G265" s="15"/>
      <c r="H265" s="37">
        <v>260</v>
      </c>
      <c r="I265" s="38" t="str">
        <f t="shared" si="18"/>
        <v/>
      </c>
      <c r="J265" s="37">
        <f t="shared" si="21"/>
        <v>-5</v>
      </c>
      <c r="K265" s="37">
        <f t="shared" si="19"/>
        <v>-50</v>
      </c>
      <c r="L265" s="37"/>
      <c r="M265" s="39">
        <f t="shared" si="20"/>
        <v>0</v>
      </c>
    </row>
    <row r="266" spans="1:13">
      <c r="A266" s="58"/>
      <c r="G266" s="15"/>
      <c r="H266" s="37">
        <v>261</v>
      </c>
      <c r="I266" s="38" t="str">
        <f t="shared" si="18"/>
        <v/>
      </c>
      <c r="J266" s="37">
        <f t="shared" si="21"/>
        <v>-5</v>
      </c>
      <c r="K266" s="37">
        <f t="shared" si="19"/>
        <v>-50</v>
      </c>
      <c r="L266" s="37"/>
      <c r="M266" s="39">
        <f t="shared" si="20"/>
        <v>0</v>
      </c>
    </row>
    <row r="267" spans="1:13">
      <c r="A267" s="58"/>
      <c r="G267" s="15"/>
      <c r="H267" s="37">
        <v>262</v>
      </c>
      <c r="I267" s="38" t="str">
        <f t="shared" si="18"/>
        <v/>
      </c>
      <c r="J267" s="37">
        <f t="shared" si="21"/>
        <v>-5</v>
      </c>
      <c r="K267" s="37">
        <f t="shared" si="19"/>
        <v>-50</v>
      </c>
      <c r="L267" s="37"/>
      <c r="M267" s="39">
        <f t="shared" si="20"/>
        <v>0</v>
      </c>
    </row>
    <row r="268" spans="1:13">
      <c r="A268" s="58"/>
      <c r="G268" s="15"/>
      <c r="H268" s="37">
        <v>263</v>
      </c>
      <c r="I268" s="38" t="str">
        <f t="shared" si="18"/>
        <v/>
      </c>
      <c r="J268" s="37">
        <f t="shared" si="21"/>
        <v>-5</v>
      </c>
      <c r="K268" s="37">
        <f t="shared" si="19"/>
        <v>-50</v>
      </c>
      <c r="L268" s="37"/>
      <c r="M268" s="39">
        <f t="shared" si="20"/>
        <v>0</v>
      </c>
    </row>
    <row r="269" spans="1:13">
      <c r="A269" s="58"/>
      <c r="G269" s="15"/>
      <c r="H269" s="37">
        <v>264</v>
      </c>
      <c r="I269" s="38" t="str">
        <f t="shared" si="18"/>
        <v/>
      </c>
      <c r="J269" s="37">
        <f t="shared" si="21"/>
        <v>-5</v>
      </c>
      <c r="K269" s="37">
        <f t="shared" si="19"/>
        <v>-50</v>
      </c>
      <c r="L269" s="37"/>
      <c r="M269" s="39">
        <f t="shared" si="20"/>
        <v>0</v>
      </c>
    </row>
    <row r="270" spans="1:13">
      <c r="A270" s="58"/>
      <c r="G270" s="15"/>
      <c r="H270" s="37">
        <v>265</v>
      </c>
      <c r="I270" s="38" t="str">
        <f t="shared" si="18"/>
        <v/>
      </c>
      <c r="J270" s="37">
        <f t="shared" si="21"/>
        <v>-5</v>
      </c>
      <c r="K270" s="37">
        <f t="shared" si="19"/>
        <v>-50</v>
      </c>
      <c r="L270" s="37"/>
      <c r="M270" s="39">
        <f t="shared" si="20"/>
        <v>0</v>
      </c>
    </row>
    <row r="271" spans="1:13">
      <c r="A271" s="58"/>
      <c r="G271" s="15"/>
      <c r="H271" s="37">
        <v>266</v>
      </c>
      <c r="I271" s="38" t="str">
        <f t="shared" si="18"/>
        <v/>
      </c>
      <c r="J271" s="37">
        <f t="shared" si="21"/>
        <v>-5</v>
      </c>
      <c r="K271" s="37">
        <f t="shared" si="19"/>
        <v>-50</v>
      </c>
      <c r="L271" s="37"/>
      <c r="M271" s="39">
        <f t="shared" si="20"/>
        <v>0</v>
      </c>
    </row>
    <row r="272" spans="1:13">
      <c r="A272" s="58"/>
      <c r="G272" s="15"/>
      <c r="H272" s="37">
        <v>267</v>
      </c>
      <c r="I272" s="38" t="str">
        <f t="shared" si="18"/>
        <v/>
      </c>
      <c r="J272" s="37">
        <f t="shared" si="21"/>
        <v>-5</v>
      </c>
      <c r="K272" s="37">
        <f t="shared" si="19"/>
        <v>-50</v>
      </c>
      <c r="L272" s="37"/>
      <c r="M272" s="39">
        <f t="shared" si="20"/>
        <v>0</v>
      </c>
    </row>
    <row r="273" spans="1:13">
      <c r="A273" s="58"/>
      <c r="G273" s="15"/>
      <c r="H273" s="37">
        <v>268</v>
      </c>
      <c r="I273" s="38" t="str">
        <f t="shared" si="18"/>
        <v/>
      </c>
      <c r="J273" s="37">
        <f t="shared" si="21"/>
        <v>-5</v>
      </c>
      <c r="K273" s="37">
        <f t="shared" si="19"/>
        <v>-50</v>
      </c>
      <c r="L273" s="37"/>
      <c r="M273" s="39">
        <f t="shared" si="20"/>
        <v>0</v>
      </c>
    </row>
    <row r="274" spans="1:13">
      <c r="A274" s="58"/>
      <c r="G274" s="15"/>
      <c r="H274" s="37">
        <v>269</v>
      </c>
      <c r="I274" s="38" t="str">
        <f t="shared" si="18"/>
        <v/>
      </c>
      <c r="J274" s="37">
        <f t="shared" si="21"/>
        <v>-5</v>
      </c>
      <c r="K274" s="37">
        <f t="shared" si="19"/>
        <v>-50</v>
      </c>
      <c r="L274" s="37"/>
      <c r="M274" s="39">
        <f t="shared" si="20"/>
        <v>0</v>
      </c>
    </row>
    <row r="275" spans="1:13">
      <c r="A275" s="58"/>
      <c r="G275" s="15"/>
      <c r="H275" s="37">
        <v>270</v>
      </c>
      <c r="I275" s="38" t="str">
        <f t="shared" si="18"/>
        <v/>
      </c>
      <c r="J275" s="37">
        <f t="shared" si="21"/>
        <v>-5</v>
      </c>
      <c r="K275" s="37">
        <f t="shared" si="19"/>
        <v>-50</v>
      </c>
      <c r="L275" s="37"/>
      <c r="M275" s="39">
        <f t="shared" si="20"/>
        <v>0</v>
      </c>
    </row>
    <row r="276" spans="1:13">
      <c r="A276" s="58"/>
      <c r="G276" s="15"/>
      <c r="H276" s="37">
        <v>271</v>
      </c>
      <c r="I276" s="38" t="str">
        <f t="shared" si="18"/>
        <v/>
      </c>
      <c r="J276" s="37">
        <f t="shared" si="21"/>
        <v>-5</v>
      </c>
      <c r="K276" s="37">
        <f t="shared" si="19"/>
        <v>-50</v>
      </c>
      <c r="L276" s="37"/>
      <c r="M276" s="39">
        <f t="shared" si="20"/>
        <v>0</v>
      </c>
    </row>
    <row r="277" spans="1:13">
      <c r="A277" s="58"/>
      <c r="G277" s="15"/>
      <c r="H277" s="37">
        <v>272</v>
      </c>
      <c r="I277" s="38" t="str">
        <f t="shared" si="18"/>
        <v/>
      </c>
      <c r="J277" s="37">
        <f t="shared" si="21"/>
        <v>-5</v>
      </c>
      <c r="K277" s="37">
        <f t="shared" si="19"/>
        <v>-50</v>
      </c>
      <c r="L277" s="37"/>
      <c r="M277" s="39">
        <f t="shared" si="20"/>
        <v>0</v>
      </c>
    </row>
    <row r="278" spans="1:13">
      <c r="A278" s="58"/>
      <c r="G278" s="15"/>
      <c r="H278" s="37">
        <v>273</v>
      </c>
      <c r="I278" s="38" t="str">
        <f t="shared" si="18"/>
        <v/>
      </c>
      <c r="J278" s="37">
        <f t="shared" si="21"/>
        <v>-5</v>
      </c>
      <c r="K278" s="37">
        <f t="shared" si="19"/>
        <v>-50</v>
      </c>
      <c r="L278" s="37"/>
      <c r="M278" s="39">
        <f t="shared" si="20"/>
        <v>0</v>
      </c>
    </row>
    <row r="279" spans="1:13">
      <c r="A279" s="58"/>
      <c r="G279" s="15"/>
      <c r="H279" s="37">
        <v>274</v>
      </c>
      <c r="I279" s="38" t="str">
        <f t="shared" si="18"/>
        <v/>
      </c>
      <c r="J279" s="37">
        <f t="shared" si="21"/>
        <v>-5</v>
      </c>
      <c r="K279" s="37">
        <f t="shared" si="19"/>
        <v>-50</v>
      </c>
      <c r="L279" s="37"/>
      <c r="M279" s="39">
        <f t="shared" si="20"/>
        <v>0</v>
      </c>
    </row>
    <row r="280" spans="1:13">
      <c r="A280" s="58"/>
      <c r="G280" s="15"/>
      <c r="H280" s="37">
        <v>275</v>
      </c>
      <c r="I280" s="38" t="str">
        <f t="shared" si="18"/>
        <v/>
      </c>
      <c r="J280" s="37">
        <f t="shared" si="21"/>
        <v>-5</v>
      </c>
      <c r="K280" s="37">
        <f t="shared" si="19"/>
        <v>-50</v>
      </c>
      <c r="L280" s="37"/>
      <c r="M280" s="39">
        <f t="shared" si="20"/>
        <v>0</v>
      </c>
    </row>
    <row r="281" spans="1:13">
      <c r="A281" s="58"/>
      <c r="G281" s="15"/>
      <c r="H281" s="37">
        <v>276</v>
      </c>
      <c r="I281" s="38" t="str">
        <f t="shared" si="18"/>
        <v/>
      </c>
      <c r="J281" s="37">
        <f t="shared" si="21"/>
        <v>-5</v>
      </c>
      <c r="K281" s="37">
        <f t="shared" si="19"/>
        <v>-50</v>
      </c>
      <c r="L281" s="37"/>
      <c r="M281" s="39">
        <f t="shared" si="20"/>
        <v>0</v>
      </c>
    </row>
    <row r="282" spans="1:13">
      <c r="A282" s="58"/>
      <c r="G282" s="15"/>
      <c r="H282" s="37">
        <v>277</v>
      </c>
      <c r="I282" s="38" t="str">
        <f t="shared" si="18"/>
        <v/>
      </c>
      <c r="J282" s="37">
        <f t="shared" si="21"/>
        <v>-5</v>
      </c>
      <c r="K282" s="37">
        <f t="shared" si="19"/>
        <v>-50</v>
      </c>
      <c r="L282" s="37"/>
      <c r="M282" s="39">
        <f t="shared" si="20"/>
        <v>0</v>
      </c>
    </row>
    <row r="283" spans="1:13">
      <c r="A283" s="58"/>
      <c r="G283" s="15"/>
      <c r="H283" s="37">
        <v>278</v>
      </c>
      <c r="I283" s="38" t="str">
        <f t="shared" si="18"/>
        <v/>
      </c>
      <c r="J283" s="37">
        <f t="shared" si="21"/>
        <v>-5</v>
      </c>
      <c r="K283" s="37">
        <f t="shared" si="19"/>
        <v>-50</v>
      </c>
      <c r="L283" s="37"/>
      <c r="M283" s="39">
        <f t="shared" si="20"/>
        <v>0</v>
      </c>
    </row>
    <row r="284" spans="1:13">
      <c r="A284" s="58"/>
      <c r="G284" s="15"/>
      <c r="H284" s="37">
        <v>279</v>
      </c>
      <c r="I284" s="38" t="str">
        <f t="shared" si="18"/>
        <v/>
      </c>
      <c r="J284" s="37">
        <f t="shared" si="21"/>
        <v>-5</v>
      </c>
      <c r="K284" s="37">
        <f t="shared" si="19"/>
        <v>-50</v>
      </c>
      <c r="L284" s="37"/>
      <c r="M284" s="39">
        <f t="shared" si="20"/>
        <v>0</v>
      </c>
    </row>
    <row r="285" spans="1:13">
      <c r="A285" s="58"/>
      <c r="G285" s="15"/>
      <c r="H285" s="37">
        <v>280</v>
      </c>
      <c r="I285" s="38" t="str">
        <f t="shared" si="18"/>
        <v/>
      </c>
      <c r="J285" s="37">
        <f t="shared" si="21"/>
        <v>-5</v>
      </c>
      <c r="K285" s="37">
        <f t="shared" si="19"/>
        <v>-50</v>
      </c>
      <c r="L285" s="37"/>
      <c r="M285" s="39">
        <f t="shared" si="20"/>
        <v>0</v>
      </c>
    </row>
    <row r="286" spans="1:13">
      <c r="A286" s="58"/>
      <c r="G286" s="15"/>
      <c r="H286" s="37">
        <v>281</v>
      </c>
      <c r="I286" s="38" t="str">
        <f t="shared" si="18"/>
        <v/>
      </c>
      <c r="J286" s="37">
        <f t="shared" si="21"/>
        <v>-5</v>
      </c>
      <c r="K286" s="37">
        <f t="shared" si="19"/>
        <v>-50</v>
      </c>
      <c r="L286" s="37"/>
      <c r="M286" s="39">
        <f t="shared" si="20"/>
        <v>0</v>
      </c>
    </row>
    <row r="287" spans="1:13">
      <c r="A287" s="58"/>
      <c r="G287" s="15"/>
      <c r="H287" s="37">
        <v>282</v>
      </c>
      <c r="I287" s="38" t="str">
        <f t="shared" si="18"/>
        <v/>
      </c>
      <c r="J287" s="37">
        <f t="shared" si="21"/>
        <v>-5</v>
      </c>
      <c r="K287" s="37">
        <f t="shared" si="19"/>
        <v>-50</v>
      </c>
      <c r="L287" s="37"/>
      <c r="M287" s="39">
        <f t="shared" si="20"/>
        <v>0</v>
      </c>
    </row>
    <row r="288" spans="1:13">
      <c r="A288" s="58"/>
      <c r="G288" s="15"/>
      <c r="H288" s="37">
        <v>283</v>
      </c>
      <c r="I288" s="38" t="str">
        <f t="shared" si="18"/>
        <v/>
      </c>
      <c r="J288" s="37">
        <f t="shared" si="21"/>
        <v>-5</v>
      </c>
      <c r="K288" s="37">
        <f t="shared" si="19"/>
        <v>-50</v>
      </c>
      <c r="L288" s="37"/>
      <c r="M288" s="39">
        <f t="shared" si="20"/>
        <v>0</v>
      </c>
    </row>
    <row r="289" spans="1:13">
      <c r="A289" s="58"/>
      <c r="G289" s="15"/>
      <c r="H289" s="37">
        <v>284</v>
      </c>
      <c r="I289" s="38" t="str">
        <f t="shared" si="18"/>
        <v/>
      </c>
      <c r="J289" s="37">
        <f t="shared" si="21"/>
        <v>-5</v>
      </c>
      <c r="K289" s="37">
        <f t="shared" si="19"/>
        <v>-50</v>
      </c>
      <c r="L289" s="37"/>
      <c r="M289" s="39">
        <f t="shared" si="20"/>
        <v>0</v>
      </c>
    </row>
    <row r="290" spans="1:13">
      <c r="A290" s="58"/>
      <c r="G290" s="15"/>
      <c r="H290" s="37">
        <v>285</v>
      </c>
      <c r="I290" s="38" t="str">
        <f t="shared" si="18"/>
        <v/>
      </c>
      <c r="J290" s="37">
        <f t="shared" si="21"/>
        <v>-5</v>
      </c>
      <c r="K290" s="37">
        <f t="shared" si="19"/>
        <v>-50</v>
      </c>
      <c r="L290" s="37"/>
      <c r="M290" s="39">
        <f t="shared" si="20"/>
        <v>0</v>
      </c>
    </row>
    <row r="291" spans="1:13">
      <c r="A291" s="58"/>
      <c r="G291" s="15"/>
      <c r="H291" s="37">
        <v>286</v>
      </c>
      <c r="I291" s="38" t="str">
        <f t="shared" si="18"/>
        <v/>
      </c>
      <c r="J291" s="37">
        <f t="shared" si="21"/>
        <v>-5</v>
      </c>
      <c r="K291" s="37">
        <f t="shared" si="19"/>
        <v>-50</v>
      </c>
      <c r="L291" s="37"/>
      <c r="M291" s="39">
        <f t="shared" si="20"/>
        <v>0</v>
      </c>
    </row>
    <row r="292" spans="1:13">
      <c r="A292" s="58"/>
      <c r="G292" s="15"/>
      <c r="H292" s="37">
        <v>287</v>
      </c>
      <c r="I292" s="38" t="str">
        <f t="shared" si="18"/>
        <v/>
      </c>
      <c r="J292" s="37">
        <f t="shared" si="21"/>
        <v>-5</v>
      </c>
      <c r="K292" s="37">
        <f t="shared" si="19"/>
        <v>-50</v>
      </c>
      <c r="L292" s="37"/>
      <c r="M292" s="39">
        <f t="shared" si="20"/>
        <v>0</v>
      </c>
    </row>
    <row r="293" spans="1:13">
      <c r="A293" s="58"/>
      <c r="G293" s="15"/>
      <c r="H293" s="37">
        <v>288</v>
      </c>
      <c r="I293" s="38" t="str">
        <f t="shared" si="18"/>
        <v/>
      </c>
      <c r="J293" s="37">
        <f t="shared" si="21"/>
        <v>-5</v>
      </c>
      <c r="K293" s="37">
        <f t="shared" si="19"/>
        <v>-50</v>
      </c>
      <c r="L293" s="37"/>
      <c r="M293" s="39">
        <f t="shared" si="20"/>
        <v>0</v>
      </c>
    </row>
    <row r="294" spans="1:13">
      <c r="A294" s="58"/>
      <c r="G294" s="15"/>
      <c r="H294" s="37">
        <v>289</v>
      </c>
      <c r="I294" s="38" t="str">
        <f t="shared" si="18"/>
        <v/>
      </c>
      <c r="J294" s="37">
        <f t="shared" si="21"/>
        <v>-5</v>
      </c>
      <c r="K294" s="37">
        <f t="shared" si="19"/>
        <v>-50</v>
      </c>
      <c r="L294" s="37"/>
      <c r="M294" s="39">
        <f t="shared" si="20"/>
        <v>0</v>
      </c>
    </row>
    <row r="295" spans="1:13">
      <c r="A295" s="58"/>
      <c r="G295" s="15"/>
      <c r="H295" s="37">
        <v>290</v>
      </c>
      <c r="I295" s="38" t="str">
        <f t="shared" si="18"/>
        <v/>
      </c>
      <c r="J295" s="37">
        <f t="shared" si="21"/>
        <v>-5</v>
      </c>
      <c r="K295" s="37">
        <f t="shared" si="19"/>
        <v>-50</v>
      </c>
      <c r="L295" s="37"/>
      <c r="M295" s="39">
        <f t="shared" si="20"/>
        <v>0</v>
      </c>
    </row>
    <row r="296" spans="1:13">
      <c r="A296" s="58"/>
      <c r="G296" s="15"/>
      <c r="H296" s="37">
        <v>291</v>
      </c>
      <c r="I296" s="38" t="str">
        <f t="shared" si="18"/>
        <v/>
      </c>
      <c r="J296" s="37">
        <f t="shared" si="21"/>
        <v>-5</v>
      </c>
      <c r="K296" s="37">
        <f t="shared" si="19"/>
        <v>-50</v>
      </c>
      <c r="L296" s="37"/>
      <c r="M296" s="39">
        <f t="shared" si="20"/>
        <v>0</v>
      </c>
    </row>
    <row r="297" spans="1:13">
      <c r="A297" s="58"/>
      <c r="G297" s="15"/>
      <c r="H297" s="37">
        <v>292</v>
      </c>
      <c r="I297" s="38" t="str">
        <f t="shared" si="18"/>
        <v/>
      </c>
      <c r="J297" s="37">
        <f t="shared" si="21"/>
        <v>-5</v>
      </c>
      <c r="K297" s="37">
        <f t="shared" si="19"/>
        <v>-50</v>
      </c>
      <c r="L297" s="37"/>
      <c r="M297" s="39">
        <f t="shared" si="20"/>
        <v>0</v>
      </c>
    </row>
    <row r="298" spans="1:13">
      <c r="A298" s="58"/>
      <c r="G298" s="15"/>
      <c r="H298" s="37">
        <v>293</v>
      </c>
      <c r="I298" s="38" t="str">
        <f t="shared" si="18"/>
        <v/>
      </c>
      <c r="J298" s="37">
        <f t="shared" si="21"/>
        <v>-5</v>
      </c>
      <c r="K298" s="37">
        <f t="shared" si="19"/>
        <v>-50</v>
      </c>
      <c r="L298" s="37"/>
      <c r="M298" s="39">
        <f t="shared" si="20"/>
        <v>0</v>
      </c>
    </row>
    <row r="299" spans="1:13">
      <c r="A299" s="58"/>
      <c r="G299" s="15"/>
      <c r="H299" s="37">
        <v>294</v>
      </c>
      <c r="I299" s="38" t="str">
        <f t="shared" si="18"/>
        <v/>
      </c>
      <c r="J299" s="37">
        <f t="shared" si="21"/>
        <v>-5</v>
      </c>
      <c r="K299" s="37">
        <f t="shared" si="19"/>
        <v>-50</v>
      </c>
      <c r="L299" s="37"/>
      <c r="M299" s="39">
        <f t="shared" si="20"/>
        <v>0</v>
      </c>
    </row>
    <row r="300" spans="1:13">
      <c r="A300" s="58"/>
      <c r="G300" s="15"/>
      <c r="H300" s="37">
        <v>295</v>
      </c>
      <c r="I300" s="38" t="str">
        <f t="shared" si="18"/>
        <v/>
      </c>
      <c r="J300" s="37">
        <f t="shared" si="21"/>
        <v>-5</v>
      </c>
      <c r="K300" s="37">
        <f t="shared" si="19"/>
        <v>-50</v>
      </c>
      <c r="L300" s="37"/>
      <c r="M300" s="39">
        <f t="shared" si="20"/>
        <v>0</v>
      </c>
    </row>
    <row r="301" spans="1:13">
      <c r="A301" s="58"/>
      <c r="G301" s="15"/>
      <c r="H301" s="37">
        <v>296</v>
      </c>
      <c r="I301" s="38" t="str">
        <f t="shared" si="18"/>
        <v/>
      </c>
      <c r="J301" s="37">
        <f t="shared" si="21"/>
        <v>-5</v>
      </c>
      <c r="K301" s="37">
        <f t="shared" si="19"/>
        <v>-50</v>
      </c>
      <c r="L301" s="37"/>
      <c r="M301" s="39">
        <f t="shared" si="20"/>
        <v>0</v>
      </c>
    </row>
    <row r="302" spans="1:13">
      <c r="A302" s="58"/>
      <c r="G302" s="15"/>
      <c r="H302" s="37">
        <v>297</v>
      </c>
      <c r="I302" s="38" t="str">
        <f t="shared" si="18"/>
        <v/>
      </c>
      <c r="J302" s="37">
        <f t="shared" si="21"/>
        <v>-5</v>
      </c>
      <c r="K302" s="37">
        <f t="shared" si="19"/>
        <v>-50</v>
      </c>
      <c r="L302" s="37"/>
      <c r="M302" s="39">
        <f t="shared" si="20"/>
        <v>0</v>
      </c>
    </row>
    <row r="303" spans="1:13">
      <c r="A303" s="58"/>
      <c r="G303" s="15"/>
      <c r="H303" s="37">
        <v>298</v>
      </c>
      <c r="I303" s="38" t="str">
        <f t="shared" si="18"/>
        <v/>
      </c>
      <c r="J303" s="37">
        <f t="shared" si="21"/>
        <v>-5</v>
      </c>
      <c r="K303" s="37">
        <f t="shared" si="19"/>
        <v>-50</v>
      </c>
      <c r="L303" s="37"/>
      <c r="M303" s="39">
        <f t="shared" si="20"/>
        <v>0</v>
      </c>
    </row>
    <row r="304" spans="1:13">
      <c r="A304" s="58"/>
      <c r="G304" s="15"/>
      <c r="H304" s="37">
        <v>299</v>
      </c>
      <c r="I304" s="38" t="str">
        <f t="shared" si="18"/>
        <v/>
      </c>
      <c r="J304" s="37">
        <f t="shared" si="21"/>
        <v>-5</v>
      </c>
      <c r="K304" s="37">
        <f t="shared" si="19"/>
        <v>-50</v>
      </c>
      <c r="L304" s="37"/>
      <c r="M304" s="39">
        <f t="shared" si="20"/>
        <v>0</v>
      </c>
    </row>
    <row r="305" spans="1:16">
      <c r="A305" s="58"/>
      <c r="G305" s="15"/>
      <c r="H305" s="37">
        <v>300</v>
      </c>
      <c r="I305" s="38" t="str">
        <f t="shared" si="18"/>
        <v/>
      </c>
      <c r="J305" s="37">
        <f t="shared" si="21"/>
        <v>-5</v>
      </c>
      <c r="K305" s="37">
        <f t="shared" si="19"/>
        <v>-50</v>
      </c>
      <c r="L305" s="37"/>
      <c r="M305" s="39">
        <f t="shared" si="20"/>
        <v>0</v>
      </c>
    </row>
    <row r="306" spans="1:16">
      <c r="A306" s="60"/>
    </row>
    <row r="314" spans="1:16">
      <c r="L314" s="63"/>
      <c r="P314" s="53"/>
    </row>
    <row r="315" spans="1:16">
      <c r="L315" s="63"/>
      <c r="P315" s="53"/>
    </row>
    <row r="316" spans="1:16">
      <c r="L316" s="63"/>
      <c r="P316" s="53"/>
    </row>
    <row r="317" spans="1:16">
      <c r="L317" s="63"/>
      <c r="P317" s="53"/>
    </row>
  </sheetData>
  <mergeCells count="2">
    <mergeCell ref="C2:D2"/>
    <mergeCell ref="C3:D3"/>
  </mergeCells>
  <conditionalFormatting sqref="J6:K305">
    <cfRule type="cellIs" dxfId="32" priority="1" operator="lessThanOrEqual">
      <formula>0</formula>
    </cfRule>
  </conditionalFormatting>
  <dataValidations count="1">
    <dataValidation type="list" allowBlank="1" showInputMessage="1" showErrorMessage="1" sqref="C38:C69" xr:uid="{B3EBE2E9-18E1-40A6-AC76-8D0F5506EAB4}">
      <formula1>#REF!</formula1>
    </dataValidation>
  </dataValidations>
  <hyperlinks>
    <hyperlink ref="C2:D2" r:id="rId1" display="TORUŃ" xr:uid="{804FA3A7-B3AC-48FA-A801-98A49FFF88FC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D198A-E478-4E68-9419-6108619E14C0}">
  <sheetPr>
    <tabColor rgb="FF92D050"/>
  </sheetPr>
  <dimension ref="A1:AL317"/>
  <sheetViews>
    <sheetView workbookViewId="0">
      <selection activeCell="C3" sqref="C3:D3"/>
    </sheetView>
  </sheetViews>
  <sheetFormatPr defaultColWidth="8.85546875" defaultRowHeight="14.25"/>
  <cols>
    <col min="1" max="1" width="8" style="59" customWidth="1"/>
    <col min="2" max="2" width="8.28515625" style="59" customWidth="1"/>
    <col min="3" max="3" width="34.7109375" style="59" customWidth="1"/>
    <col min="4" max="4" width="11.28515625" style="59" customWidth="1"/>
    <col min="5" max="6" width="8.85546875" style="59"/>
    <col min="7" max="7" width="0.85546875" style="59" customWidth="1"/>
    <col min="8" max="8" width="8.85546875" style="61"/>
    <col min="9" max="9" width="11" style="61" customWidth="1"/>
    <col min="10" max="10" width="15.28515625" style="61" customWidth="1"/>
    <col min="11" max="11" width="8.7109375" style="61" customWidth="1"/>
    <col min="12" max="12" width="11" style="61" customWidth="1"/>
    <col min="13" max="13" width="12.28515625" style="62" customWidth="1"/>
    <col min="14" max="15" width="13.85546875" style="15" customWidth="1"/>
    <col min="16" max="18" width="8.85546875" style="15"/>
    <col min="19" max="20" width="8.85546875" style="20"/>
    <col min="21" max="21" width="12.140625" style="20" customWidth="1"/>
    <col min="22" max="22" width="27.42578125" style="20" customWidth="1"/>
    <col min="23" max="38" width="8.85546875" style="20"/>
    <col min="39" max="16384" width="8.85546875" style="59"/>
  </cols>
  <sheetData>
    <row r="1" spans="1:36">
      <c r="A1" s="15"/>
      <c r="B1" s="15"/>
      <c r="C1" s="15"/>
      <c r="D1" s="15"/>
      <c r="E1" s="15"/>
      <c r="F1" s="15"/>
      <c r="G1" s="15"/>
      <c r="H1" s="16" t="s">
        <v>34</v>
      </c>
      <c r="I1" s="17" t="s">
        <v>35</v>
      </c>
      <c r="J1" s="17" t="s">
        <v>36</v>
      </c>
      <c r="K1" s="18" t="s">
        <v>37</v>
      </c>
      <c r="L1" s="19"/>
      <c r="M1" s="19"/>
    </row>
    <row r="2" spans="1:36">
      <c r="A2" s="15"/>
      <c r="B2" s="21" t="s">
        <v>38</v>
      </c>
      <c r="C2" s="284" t="s">
        <v>73</v>
      </c>
      <c r="D2" s="284"/>
      <c r="E2" s="22"/>
      <c r="F2" s="22"/>
      <c r="G2" s="22"/>
      <c r="H2" s="23">
        <v>7</v>
      </c>
      <c r="I2" s="24">
        <v>50</v>
      </c>
      <c r="J2" s="24">
        <v>10</v>
      </c>
      <c r="K2" s="25">
        <f>3*H2^(1/3)</f>
        <v>5.738793548317167</v>
      </c>
      <c r="L2" s="19"/>
      <c r="M2" s="19"/>
    </row>
    <row r="3" spans="1:36">
      <c r="A3" s="15"/>
      <c r="B3" s="26" t="s">
        <v>40</v>
      </c>
      <c r="C3" s="285" t="s">
        <v>74</v>
      </c>
      <c r="D3" s="285"/>
      <c r="E3" s="27"/>
      <c r="F3" s="27"/>
      <c r="G3" s="27"/>
      <c r="H3" s="19"/>
      <c r="I3" s="19"/>
      <c r="J3" s="28"/>
      <c r="K3" s="19"/>
      <c r="L3" s="19"/>
      <c r="M3" s="19"/>
    </row>
    <row r="4" spans="1:36" ht="10.15" customHeight="1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700000000000003">
      <c r="A5" s="1" t="s">
        <v>42</v>
      </c>
      <c r="B5" s="30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9"/>
      <c r="H5" s="31" t="s">
        <v>48</v>
      </c>
      <c r="I5" s="32" t="s">
        <v>49</v>
      </c>
      <c r="J5" s="33" t="s">
        <v>50</v>
      </c>
      <c r="K5" s="32" t="s">
        <v>51</v>
      </c>
      <c r="L5" s="32" t="s">
        <v>52</v>
      </c>
      <c r="M5" s="31" t="s">
        <v>53</v>
      </c>
    </row>
    <row r="6" spans="1:36" ht="14.45" customHeight="1">
      <c r="A6" s="34">
        <f>M6</f>
        <v>97.216380644951499</v>
      </c>
      <c r="B6" s="35">
        <f t="shared" ref="B6:B14" si="0">IF(H6&gt;$H$2,"",(ROW()-5))</f>
        <v>1</v>
      </c>
      <c r="C6" s="68" t="s">
        <v>20</v>
      </c>
      <c r="D6" s="68"/>
      <c r="E6" s="68"/>
      <c r="F6" s="36"/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3</v>
      </c>
      <c r="K6" s="37">
        <f t="shared" ref="K6:K69" si="1">J6*$J$2</f>
        <v>30</v>
      </c>
      <c r="L6" s="39">
        <f>3*K2</f>
        <v>17.216380644951499</v>
      </c>
      <c r="M6" s="39">
        <f t="shared" ref="M6:M69" si="2">IF(I6&lt;&gt;"",K6+I6+L6,0)</f>
        <v>97.216380644951499</v>
      </c>
    </row>
    <row r="7" spans="1:36" ht="14.45" customHeight="1">
      <c r="A7" s="40">
        <f t="shared" ref="A7:A37" si="3">M7</f>
        <v>64.023434928341246</v>
      </c>
      <c r="B7" s="41">
        <f t="shared" si="0"/>
        <v>2</v>
      </c>
      <c r="C7" s="69" t="s">
        <v>75</v>
      </c>
      <c r="D7" s="69"/>
      <c r="E7" s="69"/>
      <c r="F7" s="42"/>
      <c r="G7" s="29"/>
      <c r="H7" s="43">
        <v>2</v>
      </c>
      <c r="I7" s="44">
        <f t="shared" ref="I7:I69" si="4">IF(H7&lt;$H$2+1,($I$2-($I$2-1)*(LOG(H7)/LOG($H$2))),"")</f>
        <v>32.545847831706908</v>
      </c>
      <c r="J7" s="43">
        <f t="shared" ref="J7:J70" si="5">INT(LOG($H$2,2))-ROUNDUP(LOG(H7,2),0)+IF(OR($H$2=1,$H$2=2,$H$2=4,$H$2=8,$H$2=16,$H$2=32,$H$2=64,$H$2=128,$H$2=256),0,1)</f>
        <v>2</v>
      </c>
      <c r="K7" s="43">
        <f t="shared" si="1"/>
        <v>20</v>
      </c>
      <c r="L7" s="45">
        <f>2*K2</f>
        <v>11.477587096634334</v>
      </c>
      <c r="M7" s="45">
        <f t="shared" si="2"/>
        <v>64.023434928341246</v>
      </c>
    </row>
    <row r="8" spans="1:36" ht="14.45" customHeight="1">
      <c r="A8" s="34">
        <f t="shared" si="3"/>
        <v>38.074616879691767</v>
      </c>
      <c r="B8" s="35">
        <f t="shared" si="0"/>
        <v>3</v>
      </c>
      <c r="C8" s="68" t="s">
        <v>22</v>
      </c>
      <c r="D8" s="68"/>
      <c r="E8" s="68"/>
      <c r="F8" s="36"/>
      <c r="G8" s="29"/>
      <c r="H8" s="37">
        <v>3</v>
      </c>
      <c r="I8" s="38">
        <f t="shared" si="4"/>
        <v>22.335823331374595</v>
      </c>
      <c r="J8" s="37">
        <f t="shared" si="5"/>
        <v>1</v>
      </c>
      <c r="K8" s="37">
        <f t="shared" si="1"/>
        <v>10</v>
      </c>
      <c r="L8" s="39">
        <f>K2</f>
        <v>5.738793548317167</v>
      </c>
      <c r="M8" s="39">
        <f t="shared" si="2"/>
        <v>38.074616879691767</v>
      </c>
    </row>
    <row r="9" spans="1:36" ht="14.45" customHeight="1">
      <c r="A9" s="40">
        <f t="shared" si="3"/>
        <v>25.091695663413823</v>
      </c>
      <c r="B9" s="41">
        <f t="shared" si="0"/>
        <v>4</v>
      </c>
      <c r="C9" s="69" t="s">
        <v>24</v>
      </c>
      <c r="D9" s="69"/>
      <c r="E9" s="69"/>
      <c r="F9" s="42"/>
      <c r="G9" s="29"/>
      <c r="H9" s="43">
        <v>4</v>
      </c>
      <c r="I9" s="44">
        <f t="shared" si="4"/>
        <v>15.091695663413823</v>
      </c>
      <c r="J9" s="43">
        <f t="shared" si="5"/>
        <v>1</v>
      </c>
      <c r="K9" s="43">
        <f t="shared" si="1"/>
        <v>10</v>
      </c>
      <c r="L9" s="45"/>
      <c r="M9" s="45">
        <f t="shared" si="2"/>
        <v>25.091695663413823</v>
      </c>
      <c r="V9" s="46"/>
      <c r="Z9" s="47"/>
      <c r="AA9" s="47"/>
      <c r="AG9" s="48"/>
      <c r="AH9" s="20" t="s">
        <v>57</v>
      </c>
      <c r="AI9" s="20">
        <v>23</v>
      </c>
    </row>
    <row r="10" spans="1:36" ht="14.45" customHeight="1">
      <c r="A10" s="34">
        <f t="shared" si="3"/>
        <v>9.472713708001109</v>
      </c>
      <c r="B10" s="35">
        <f t="shared" si="0"/>
        <v>5</v>
      </c>
      <c r="C10" s="68" t="s">
        <v>26</v>
      </c>
      <c r="D10" s="68"/>
      <c r="E10" s="68"/>
      <c r="F10" s="36"/>
      <c r="G10" s="29"/>
      <c r="H10" s="37">
        <v>5</v>
      </c>
      <c r="I10" s="38">
        <f t="shared" si="4"/>
        <v>9.472713708001109</v>
      </c>
      <c r="J10" s="37">
        <f t="shared" si="5"/>
        <v>0</v>
      </c>
      <c r="K10" s="37">
        <f t="shared" si="1"/>
        <v>0</v>
      </c>
      <c r="L10" s="37"/>
      <c r="M10" s="39">
        <f t="shared" si="2"/>
        <v>9.472713708001109</v>
      </c>
      <c r="V10" s="46"/>
      <c r="Z10" s="47"/>
      <c r="AA10" s="47"/>
      <c r="AG10" s="48"/>
      <c r="AH10" s="20" t="s">
        <v>58</v>
      </c>
      <c r="AI10" s="20">
        <v>45</v>
      </c>
    </row>
    <row r="11" spans="1:36" ht="14.45" customHeight="1">
      <c r="A11" s="40">
        <f t="shared" si="3"/>
        <v>4.8816711630815135</v>
      </c>
      <c r="B11" s="41">
        <f t="shared" si="0"/>
        <v>6</v>
      </c>
      <c r="C11" s="69" t="s">
        <v>29</v>
      </c>
      <c r="D11" s="69"/>
      <c r="E11" s="69"/>
      <c r="F11" s="42"/>
      <c r="G11" s="29"/>
      <c r="H11" s="43">
        <v>6</v>
      </c>
      <c r="I11" s="44">
        <f t="shared" si="4"/>
        <v>4.8816711630815135</v>
      </c>
      <c r="J11" s="43">
        <f t="shared" si="5"/>
        <v>0</v>
      </c>
      <c r="K11" s="43">
        <f t="shared" si="1"/>
        <v>0</v>
      </c>
      <c r="L11" s="43"/>
      <c r="M11" s="45">
        <f t="shared" si="2"/>
        <v>4.8816711630815135</v>
      </c>
      <c r="V11" s="49"/>
      <c r="Z11" s="47"/>
      <c r="AA11" s="47"/>
      <c r="AG11" s="48"/>
      <c r="AH11" s="20" t="s">
        <v>60</v>
      </c>
      <c r="AI11" s="20">
        <v>50</v>
      </c>
    </row>
    <row r="12" spans="1:36" ht="14.45" customHeight="1">
      <c r="A12" s="34">
        <f t="shared" si="3"/>
        <v>1</v>
      </c>
      <c r="B12" s="35">
        <f t="shared" si="0"/>
        <v>7</v>
      </c>
      <c r="C12" s="68" t="s">
        <v>70</v>
      </c>
      <c r="D12" s="68"/>
      <c r="E12" s="68"/>
      <c r="F12" s="36"/>
      <c r="G12" s="29"/>
      <c r="H12" s="37">
        <v>7</v>
      </c>
      <c r="I12" s="38">
        <f t="shared" si="4"/>
        <v>1</v>
      </c>
      <c r="J12" s="37">
        <f t="shared" si="5"/>
        <v>0</v>
      </c>
      <c r="K12" s="37">
        <f t="shared" si="1"/>
        <v>0</v>
      </c>
      <c r="L12" s="37"/>
      <c r="M12" s="39">
        <f t="shared" si="2"/>
        <v>1</v>
      </c>
      <c r="Z12" s="47"/>
      <c r="AA12" s="47"/>
      <c r="AG12" s="48"/>
      <c r="AH12" s="20" t="s">
        <v>61</v>
      </c>
      <c r="AI12" s="20">
        <f>AI11-1</f>
        <v>49</v>
      </c>
    </row>
    <row r="13" spans="1:36" ht="14.45" customHeight="1">
      <c r="A13" s="50">
        <f t="shared" si="3"/>
        <v>0</v>
      </c>
      <c r="B13" s="41" t="str">
        <f t="shared" si="0"/>
        <v/>
      </c>
      <c r="C13" s="69"/>
      <c r="D13" s="69"/>
      <c r="E13" s="69"/>
      <c r="F13" s="42"/>
      <c r="G13" s="29"/>
      <c r="H13" s="43">
        <v>8</v>
      </c>
      <c r="I13" s="44" t="str">
        <f t="shared" si="4"/>
        <v/>
      </c>
      <c r="J13" s="43">
        <f t="shared" si="5"/>
        <v>0</v>
      </c>
      <c r="K13" s="43">
        <f t="shared" si="1"/>
        <v>0</v>
      </c>
      <c r="L13" s="43"/>
      <c r="M13" s="45">
        <f t="shared" si="2"/>
        <v>0</v>
      </c>
      <c r="X13" s="46"/>
      <c r="AG13" s="48"/>
      <c r="AH13" s="20" t="s">
        <v>62</v>
      </c>
      <c r="AI13" s="20">
        <f>LOG(AI9)</f>
        <v>1.3617278360175928</v>
      </c>
    </row>
    <row r="14" spans="1:36">
      <c r="A14" s="51">
        <f>M14</f>
        <v>0</v>
      </c>
      <c r="B14" s="136" t="str">
        <f t="shared" si="0"/>
        <v/>
      </c>
      <c r="C14" s="72"/>
      <c r="D14" s="36"/>
      <c r="E14" s="36"/>
      <c r="F14" s="36"/>
      <c r="G14" s="29"/>
      <c r="H14" s="37">
        <v>9</v>
      </c>
      <c r="I14" s="38" t="str">
        <f t="shared" si="4"/>
        <v/>
      </c>
      <c r="J14" s="37">
        <f t="shared" si="5"/>
        <v>-1</v>
      </c>
      <c r="K14" s="37">
        <f t="shared" si="1"/>
        <v>-10</v>
      </c>
      <c r="L14" s="37"/>
      <c r="M14" s="39">
        <f t="shared" si="2"/>
        <v>0</v>
      </c>
      <c r="X14" s="52"/>
      <c r="Z14" s="47"/>
      <c r="AA14" s="47"/>
      <c r="AG14" s="48"/>
      <c r="AH14" s="20" t="s">
        <v>64</v>
      </c>
      <c r="AI14" s="20">
        <f>LOG(AI10)</f>
        <v>1.6532125137753437</v>
      </c>
    </row>
    <row r="15" spans="1:36">
      <c r="A15" s="217">
        <v>61.95</v>
      </c>
      <c r="B15" s="215" t="s">
        <v>76</v>
      </c>
      <c r="C15" s="216" t="s">
        <v>19</v>
      </c>
      <c r="D15" s="42"/>
      <c r="E15" s="42"/>
      <c r="F15" s="42"/>
      <c r="G15" s="29"/>
      <c r="H15" s="43">
        <v>10</v>
      </c>
      <c r="I15" s="44" t="str">
        <f t="shared" si="4"/>
        <v/>
      </c>
      <c r="J15" s="43">
        <f t="shared" si="5"/>
        <v>-1</v>
      </c>
      <c r="K15" s="43">
        <f t="shared" si="1"/>
        <v>-10</v>
      </c>
      <c r="L15" s="43"/>
      <c r="M15" s="45">
        <f t="shared" si="2"/>
        <v>0</v>
      </c>
      <c r="X15" s="46"/>
      <c r="Z15" s="47"/>
      <c r="AA15" s="47"/>
    </row>
    <row r="16" spans="1:36">
      <c r="A16" s="217">
        <v>35.407149332988958</v>
      </c>
      <c r="B16" s="264" t="s">
        <v>63</v>
      </c>
      <c r="C16" s="216" t="s">
        <v>21</v>
      </c>
      <c r="D16" s="36"/>
      <c r="E16" s="36"/>
      <c r="F16" s="36"/>
      <c r="G16" s="29"/>
      <c r="H16" s="37">
        <v>11</v>
      </c>
      <c r="I16" s="38" t="str">
        <f t="shared" si="4"/>
        <v/>
      </c>
      <c r="J16" s="37">
        <f t="shared" si="5"/>
        <v>-1</v>
      </c>
      <c r="K16" s="37">
        <f t="shared" si="1"/>
        <v>-10</v>
      </c>
      <c r="L16" s="37"/>
      <c r="M16" s="39">
        <f t="shared" si="2"/>
        <v>0</v>
      </c>
      <c r="R16" s="53"/>
      <c r="Z16" s="47"/>
      <c r="AA16" s="47"/>
      <c r="AH16" s="54" t="s">
        <v>66</v>
      </c>
      <c r="AI16" s="20">
        <f>AI11-AI12*AI13/AI14</f>
        <v>9.6393909380186855</v>
      </c>
      <c r="AJ16" s="20" t="s">
        <v>67</v>
      </c>
    </row>
    <row r="17" spans="1:19">
      <c r="A17" s="50">
        <f t="shared" si="3"/>
        <v>0</v>
      </c>
      <c r="B17" s="41" t="str">
        <f t="shared" ref="B17:B65" si="6">IF(H17&gt;$H$2,"",(ROW()-5))</f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>
        <f t="shared" si="5"/>
        <v>-1</v>
      </c>
      <c r="K17" s="43">
        <f t="shared" si="1"/>
        <v>-10</v>
      </c>
      <c r="L17" s="43"/>
      <c r="M17" s="45">
        <f t="shared" si="2"/>
        <v>0</v>
      </c>
    </row>
    <row r="18" spans="1:19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>
        <f t="shared" si="5"/>
        <v>-1</v>
      </c>
      <c r="K18" s="37">
        <f t="shared" si="1"/>
        <v>-10</v>
      </c>
      <c r="L18" s="37"/>
      <c r="M18" s="39">
        <f t="shared" si="2"/>
        <v>0</v>
      </c>
    </row>
    <row r="19" spans="1:19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>
        <f t="shared" si="5"/>
        <v>-1</v>
      </c>
      <c r="K19" s="43">
        <f t="shared" si="1"/>
        <v>-10</v>
      </c>
      <c r="L19" s="43"/>
      <c r="M19" s="45">
        <f t="shared" si="2"/>
        <v>0</v>
      </c>
    </row>
    <row r="20" spans="1:19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>
        <f t="shared" si="5"/>
        <v>-1</v>
      </c>
      <c r="K20" s="37">
        <f t="shared" si="1"/>
        <v>-10</v>
      </c>
      <c r="L20" s="37"/>
      <c r="M20" s="39">
        <f t="shared" si="2"/>
        <v>0</v>
      </c>
      <c r="R20" s="55"/>
      <c r="S20" s="56"/>
    </row>
    <row r="21" spans="1:19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>
        <f t="shared" si="5"/>
        <v>-1</v>
      </c>
      <c r="K21" s="43">
        <f t="shared" si="1"/>
        <v>-10</v>
      </c>
      <c r="L21" s="43"/>
      <c r="M21" s="45">
        <f t="shared" si="2"/>
        <v>0</v>
      </c>
    </row>
    <row r="22" spans="1:19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>
        <f t="shared" si="5"/>
        <v>-2</v>
      </c>
      <c r="K22" s="37">
        <f t="shared" si="1"/>
        <v>-20</v>
      </c>
      <c r="L22" s="37"/>
      <c r="M22" s="39">
        <f t="shared" si="2"/>
        <v>0</v>
      </c>
    </row>
    <row r="23" spans="1:19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>
        <f t="shared" si="5"/>
        <v>-2</v>
      </c>
      <c r="K23" s="43">
        <f t="shared" si="1"/>
        <v>-20</v>
      </c>
      <c r="L23" s="43"/>
      <c r="M23" s="45">
        <f t="shared" si="2"/>
        <v>0</v>
      </c>
    </row>
    <row r="24" spans="1:19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>
        <f t="shared" si="5"/>
        <v>-2</v>
      </c>
      <c r="K24" s="37">
        <f t="shared" si="1"/>
        <v>-20</v>
      </c>
      <c r="L24" s="37"/>
      <c r="M24" s="39">
        <f t="shared" si="2"/>
        <v>0</v>
      </c>
      <c r="R24" s="55"/>
      <c r="S24" s="56"/>
    </row>
    <row r="25" spans="1:19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>
        <f t="shared" si="5"/>
        <v>-2</v>
      </c>
      <c r="K25" s="43">
        <f t="shared" si="1"/>
        <v>-20</v>
      </c>
      <c r="L25" s="43"/>
      <c r="M25" s="45">
        <f t="shared" si="2"/>
        <v>0</v>
      </c>
    </row>
    <row r="26" spans="1:19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>
        <f t="shared" si="5"/>
        <v>-2</v>
      </c>
      <c r="K26" s="37">
        <f t="shared" si="1"/>
        <v>-20</v>
      </c>
      <c r="L26" s="37"/>
      <c r="M26" s="39">
        <f t="shared" si="2"/>
        <v>0</v>
      </c>
    </row>
    <row r="27" spans="1:19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>
        <f t="shared" si="5"/>
        <v>-2</v>
      </c>
      <c r="K27" s="43">
        <f t="shared" si="1"/>
        <v>-20</v>
      </c>
      <c r="L27" s="43"/>
      <c r="M27" s="45">
        <f t="shared" si="2"/>
        <v>0</v>
      </c>
    </row>
    <row r="28" spans="1:19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>
        <f t="shared" si="5"/>
        <v>-2</v>
      </c>
      <c r="K28" s="37">
        <f t="shared" si="1"/>
        <v>-20</v>
      </c>
      <c r="L28" s="37"/>
      <c r="M28" s="39">
        <f t="shared" si="2"/>
        <v>0</v>
      </c>
      <c r="R28" s="55"/>
      <c r="S28" s="56"/>
    </row>
    <row r="29" spans="1:19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>
        <f t="shared" si="5"/>
        <v>-2</v>
      </c>
      <c r="K29" s="43">
        <f t="shared" si="1"/>
        <v>-20</v>
      </c>
      <c r="L29" s="43"/>
      <c r="M29" s="45">
        <f t="shared" si="2"/>
        <v>0</v>
      </c>
    </row>
    <row r="30" spans="1:19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>
        <f t="shared" si="5"/>
        <v>-2</v>
      </c>
      <c r="K30" s="37">
        <f t="shared" si="1"/>
        <v>-20</v>
      </c>
      <c r="L30" s="37"/>
      <c r="M30" s="39">
        <f t="shared" si="2"/>
        <v>0</v>
      </c>
    </row>
    <row r="31" spans="1:19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>
        <f t="shared" si="5"/>
        <v>-2</v>
      </c>
      <c r="K31" s="43">
        <f t="shared" si="1"/>
        <v>-20</v>
      </c>
      <c r="L31" s="43"/>
      <c r="M31" s="45">
        <f t="shared" si="2"/>
        <v>0</v>
      </c>
    </row>
    <row r="32" spans="1:19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>
        <f t="shared" si="5"/>
        <v>-2</v>
      </c>
      <c r="K32" s="37">
        <f t="shared" si="1"/>
        <v>-20</v>
      </c>
      <c r="L32" s="37"/>
      <c r="M32" s="39">
        <f t="shared" si="2"/>
        <v>0</v>
      </c>
      <c r="R32" s="55"/>
      <c r="S32" s="56"/>
    </row>
    <row r="33" spans="1:21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>
        <f t="shared" si="5"/>
        <v>-2</v>
      </c>
      <c r="K33" s="43">
        <f t="shared" si="1"/>
        <v>-20</v>
      </c>
      <c r="L33" s="43"/>
      <c r="M33" s="45">
        <f t="shared" si="2"/>
        <v>0</v>
      </c>
    </row>
    <row r="34" spans="1:21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>
        <f t="shared" si="5"/>
        <v>-2</v>
      </c>
      <c r="K34" s="37">
        <f t="shared" si="1"/>
        <v>-20</v>
      </c>
      <c r="L34" s="37"/>
      <c r="M34" s="39">
        <f t="shared" si="2"/>
        <v>0</v>
      </c>
    </row>
    <row r="35" spans="1:21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>
        <f t="shared" si="5"/>
        <v>-2</v>
      </c>
      <c r="K35" s="43">
        <f t="shared" si="1"/>
        <v>-20</v>
      </c>
      <c r="L35" s="43"/>
      <c r="M35" s="45">
        <f t="shared" si="2"/>
        <v>0</v>
      </c>
    </row>
    <row r="36" spans="1:21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>
        <f t="shared" si="5"/>
        <v>-2</v>
      </c>
      <c r="K36" s="37">
        <f t="shared" si="1"/>
        <v>-20</v>
      </c>
      <c r="L36" s="37"/>
      <c r="M36" s="39">
        <f t="shared" si="2"/>
        <v>0</v>
      </c>
      <c r="R36" s="55"/>
      <c r="S36" s="56"/>
    </row>
    <row r="37" spans="1:21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>
        <f t="shared" si="5"/>
        <v>-2</v>
      </c>
      <c r="K37" s="43">
        <f t="shared" si="1"/>
        <v>-20</v>
      </c>
      <c r="L37" s="43"/>
      <c r="M37" s="45">
        <f t="shared" si="2"/>
        <v>0</v>
      </c>
    </row>
    <row r="38" spans="1:21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>
        <f t="shared" si="5"/>
        <v>-3</v>
      </c>
      <c r="K38" s="37">
        <f t="shared" si="1"/>
        <v>-30</v>
      </c>
      <c r="L38" s="37"/>
      <c r="M38" s="39">
        <f t="shared" si="2"/>
        <v>0</v>
      </c>
    </row>
    <row r="39" spans="1:21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>
        <f t="shared" si="5"/>
        <v>-3</v>
      </c>
      <c r="K39" s="43">
        <f t="shared" si="1"/>
        <v>-30</v>
      </c>
      <c r="L39" s="43"/>
      <c r="M39" s="45">
        <f t="shared" si="2"/>
        <v>0</v>
      </c>
    </row>
    <row r="40" spans="1:21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>
        <f t="shared" si="5"/>
        <v>-3</v>
      </c>
      <c r="K40" s="37">
        <f t="shared" si="1"/>
        <v>-30</v>
      </c>
      <c r="L40" s="37"/>
      <c r="M40" s="39">
        <f t="shared" si="2"/>
        <v>0</v>
      </c>
    </row>
    <row r="41" spans="1:21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>
        <f t="shared" si="5"/>
        <v>-3</v>
      </c>
      <c r="K41" s="43">
        <f t="shared" si="1"/>
        <v>-30</v>
      </c>
      <c r="L41" s="43"/>
      <c r="M41" s="45">
        <f t="shared" si="2"/>
        <v>0</v>
      </c>
      <c r="S41" s="57"/>
    </row>
    <row r="42" spans="1:21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>
        <f t="shared" si="5"/>
        <v>-3</v>
      </c>
      <c r="K42" s="37">
        <f t="shared" si="1"/>
        <v>-30</v>
      </c>
      <c r="L42" s="37"/>
      <c r="M42" s="39">
        <f t="shared" si="2"/>
        <v>0</v>
      </c>
    </row>
    <row r="43" spans="1:21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>
        <f t="shared" si="5"/>
        <v>-3</v>
      </c>
      <c r="K43" s="43">
        <f t="shared" si="1"/>
        <v>-30</v>
      </c>
      <c r="L43" s="43"/>
      <c r="M43" s="45">
        <f t="shared" si="2"/>
        <v>0</v>
      </c>
    </row>
    <row r="44" spans="1:21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>
        <f t="shared" si="5"/>
        <v>-3</v>
      </c>
      <c r="K44" s="37">
        <f t="shared" si="1"/>
        <v>-30</v>
      </c>
      <c r="L44" s="37"/>
      <c r="M44" s="39">
        <f t="shared" si="2"/>
        <v>0</v>
      </c>
    </row>
    <row r="45" spans="1:21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>
        <f t="shared" si="5"/>
        <v>-3</v>
      </c>
      <c r="K45" s="43">
        <f t="shared" si="1"/>
        <v>-30</v>
      </c>
      <c r="L45" s="43"/>
      <c r="M45" s="45">
        <f t="shared" si="2"/>
        <v>0</v>
      </c>
    </row>
    <row r="46" spans="1:21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>
        <f t="shared" si="5"/>
        <v>-3</v>
      </c>
      <c r="K46" s="37">
        <f t="shared" si="1"/>
        <v>-30</v>
      </c>
      <c r="L46" s="37"/>
      <c r="M46" s="39">
        <f t="shared" si="2"/>
        <v>0</v>
      </c>
      <c r="R46" s="15">
        <f>LOG($H$2,2)</f>
        <v>2.8073549220576042</v>
      </c>
      <c r="T46" s="20">
        <f>LOG(H38,2)</f>
        <v>5.0443941193584534</v>
      </c>
      <c r="U46" s="20">
        <f>R46-T46</f>
        <v>-2.2370391973008492</v>
      </c>
    </row>
    <row r="47" spans="1:21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>
        <f t="shared" si="5"/>
        <v>-3</v>
      </c>
      <c r="K47" s="43">
        <f t="shared" si="1"/>
        <v>-30</v>
      </c>
      <c r="L47" s="43"/>
      <c r="M47" s="45">
        <f t="shared" si="2"/>
        <v>0</v>
      </c>
    </row>
    <row r="48" spans="1:21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>
        <f t="shared" si="5"/>
        <v>-3</v>
      </c>
      <c r="K48" s="37">
        <f t="shared" si="1"/>
        <v>-30</v>
      </c>
      <c r="L48" s="37"/>
      <c r="M48" s="39">
        <f t="shared" si="2"/>
        <v>0</v>
      </c>
    </row>
    <row r="49" spans="1:13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>
        <f t="shared" si="5"/>
        <v>-3</v>
      </c>
      <c r="K49" s="43">
        <f t="shared" si="1"/>
        <v>-30</v>
      </c>
      <c r="L49" s="43"/>
      <c r="M49" s="45">
        <f t="shared" si="2"/>
        <v>0</v>
      </c>
    </row>
    <row r="50" spans="1:13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>
        <f t="shared" si="5"/>
        <v>-3</v>
      </c>
      <c r="K50" s="37">
        <f t="shared" si="1"/>
        <v>-30</v>
      </c>
      <c r="L50" s="37"/>
      <c r="M50" s="39">
        <f t="shared" si="2"/>
        <v>0</v>
      </c>
    </row>
    <row r="51" spans="1:13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>
        <f t="shared" si="5"/>
        <v>-3</v>
      </c>
      <c r="K51" s="43">
        <f t="shared" si="1"/>
        <v>-30</v>
      </c>
      <c r="L51" s="43"/>
      <c r="M51" s="45">
        <f t="shared" si="2"/>
        <v>0</v>
      </c>
    </row>
    <row r="52" spans="1:13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>
        <f t="shared" si="5"/>
        <v>-3</v>
      </c>
      <c r="K52" s="37">
        <f t="shared" si="1"/>
        <v>-30</v>
      </c>
      <c r="L52" s="37"/>
      <c r="M52" s="39">
        <f t="shared" si="2"/>
        <v>0</v>
      </c>
    </row>
    <row r="53" spans="1:13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>
        <f t="shared" si="5"/>
        <v>-3</v>
      </c>
      <c r="K53" s="43">
        <f t="shared" si="1"/>
        <v>-30</v>
      </c>
      <c r="L53" s="43"/>
      <c r="M53" s="45">
        <f t="shared" si="2"/>
        <v>0</v>
      </c>
    </row>
    <row r="54" spans="1:13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>
        <f t="shared" si="5"/>
        <v>-3</v>
      </c>
      <c r="K54" s="37">
        <f t="shared" si="1"/>
        <v>-30</v>
      </c>
      <c r="L54" s="37"/>
      <c r="M54" s="39">
        <f t="shared" si="2"/>
        <v>0</v>
      </c>
    </row>
    <row r="55" spans="1:13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>
        <f t="shared" si="5"/>
        <v>-3</v>
      </c>
      <c r="K55" s="43">
        <f t="shared" si="1"/>
        <v>-30</v>
      </c>
      <c r="L55" s="43"/>
      <c r="M55" s="45">
        <f t="shared" si="2"/>
        <v>0</v>
      </c>
    </row>
    <row r="56" spans="1:13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>
        <f t="shared" si="5"/>
        <v>-3</v>
      </c>
      <c r="K56" s="37">
        <f t="shared" si="1"/>
        <v>-30</v>
      </c>
      <c r="L56" s="37"/>
      <c r="M56" s="39">
        <f t="shared" si="2"/>
        <v>0</v>
      </c>
    </row>
    <row r="57" spans="1:13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>
        <f t="shared" si="5"/>
        <v>-3</v>
      </c>
      <c r="K57" s="43">
        <f t="shared" si="1"/>
        <v>-30</v>
      </c>
      <c r="L57" s="43"/>
      <c r="M57" s="45">
        <f t="shared" si="2"/>
        <v>0</v>
      </c>
    </row>
    <row r="58" spans="1:13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>
        <f t="shared" si="5"/>
        <v>-3</v>
      </c>
      <c r="K58" s="37">
        <f t="shared" si="1"/>
        <v>-30</v>
      </c>
      <c r="L58" s="37"/>
      <c r="M58" s="39">
        <f t="shared" si="2"/>
        <v>0</v>
      </c>
    </row>
    <row r="59" spans="1:13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>
        <f t="shared" si="5"/>
        <v>-3</v>
      </c>
      <c r="K59" s="43">
        <f t="shared" si="1"/>
        <v>-30</v>
      </c>
      <c r="L59" s="43"/>
      <c r="M59" s="45">
        <f t="shared" si="2"/>
        <v>0</v>
      </c>
    </row>
    <row r="60" spans="1:13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>
        <f t="shared" si="5"/>
        <v>-3</v>
      </c>
      <c r="K60" s="37">
        <f t="shared" si="1"/>
        <v>-30</v>
      </c>
      <c r="L60" s="37"/>
      <c r="M60" s="39">
        <f t="shared" si="2"/>
        <v>0</v>
      </c>
    </row>
    <row r="61" spans="1:13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>
        <f t="shared" si="5"/>
        <v>-3</v>
      </c>
      <c r="K61" s="43">
        <f t="shared" si="1"/>
        <v>-30</v>
      </c>
      <c r="L61" s="43"/>
      <c r="M61" s="45">
        <f t="shared" si="2"/>
        <v>0</v>
      </c>
    </row>
    <row r="62" spans="1:13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>
        <f t="shared" si="5"/>
        <v>-3</v>
      </c>
      <c r="K62" s="37">
        <f t="shared" si="1"/>
        <v>-30</v>
      </c>
      <c r="L62" s="37"/>
      <c r="M62" s="39">
        <f t="shared" si="2"/>
        <v>0</v>
      </c>
    </row>
    <row r="63" spans="1:13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>
        <f t="shared" si="5"/>
        <v>-3</v>
      </c>
      <c r="K63" s="43">
        <f t="shared" si="1"/>
        <v>-30</v>
      </c>
      <c r="L63" s="43"/>
      <c r="M63" s="45">
        <f t="shared" si="2"/>
        <v>0</v>
      </c>
    </row>
    <row r="64" spans="1:13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>
        <f t="shared" si="5"/>
        <v>-3</v>
      </c>
      <c r="K64" s="37">
        <f t="shared" si="1"/>
        <v>-30</v>
      </c>
      <c r="L64" s="37"/>
      <c r="M64" s="39">
        <f t="shared" si="2"/>
        <v>0</v>
      </c>
    </row>
    <row r="65" spans="1:13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>
        <f t="shared" si="5"/>
        <v>-3</v>
      </c>
      <c r="K65" s="43">
        <f t="shared" si="1"/>
        <v>-30</v>
      </c>
      <c r="L65" s="43"/>
      <c r="M65" s="45">
        <f t="shared" si="2"/>
        <v>0</v>
      </c>
    </row>
    <row r="66" spans="1:13">
      <c r="A66" s="58"/>
      <c r="B66" s="35"/>
      <c r="G66" s="15"/>
      <c r="H66" s="37">
        <v>61</v>
      </c>
      <c r="I66" s="38" t="str">
        <f t="shared" si="4"/>
        <v/>
      </c>
      <c r="J66" s="37">
        <f t="shared" si="5"/>
        <v>-3</v>
      </c>
      <c r="K66" s="37">
        <f t="shared" si="1"/>
        <v>-30</v>
      </c>
      <c r="L66" s="37"/>
      <c r="M66" s="39">
        <f t="shared" si="2"/>
        <v>0</v>
      </c>
    </row>
    <row r="67" spans="1:13">
      <c r="A67" s="58"/>
      <c r="B67" s="41"/>
      <c r="G67" s="15"/>
      <c r="H67" s="37">
        <v>62</v>
      </c>
      <c r="I67" s="38" t="str">
        <f t="shared" si="4"/>
        <v/>
      </c>
      <c r="J67" s="37">
        <f t="shared" si="5"/>
        <v>-3</v>
      </c>
      <c r="K67" s="37">
        <f t="shared" si="1"/>
        <v>-30</v>
      </c>
      <c r="L67" s="37"/>
      <c r="M67" s="39">
        <f t="shared" si="2"/>
        <v>0</v>
      </c>
    </row>
    <row r="68" spans="1:13">
      <c r="A68" s="58"/>
      <c r="B68" s="35"/>
      <c r="G68" s="15"/>
      <c r="H68" s="37">
        <v>63</v>
      </c>
      <c r="I68" s="38" t="str">
        <f t="shared" si="4"/>
        <v/>
      </c>
      <c r="J68" s="37">
        <f t="shared" si="5"/>
        <v>-3</v>
      </c>
      <c r="K68" s="37">
        <f t="shared" si="1"/>
        <v>-30</v>
      </c>
      <c r="L68" s="37"/>
      <c r="M68" s="39">
        <f t="shared" si="2"/>
        <v>0</v>
      </c>
    </row>
    <row r="69" spans="1:13">
      <c r="A69" s="58"/>
      <c r="B69" s="41"/>
      <c r="G69" s="15"/>
      <c r="H69" s="37">
        <v>64</v>
      </c>
      <c r="I69" s="38" t="str">
        <f t="shared" si="4"/>
        <v/>
      </c>
      <c r="J69" s="37">
        <f t="shared" si="5"/>
        <v>-3</v>
      </c>
      <c r="K69" s="37">
        <f t="shared" si="1"/>
        <v>-30</v>
      </c>
      <c r="L69" s="37"/>
      <c r="M69" s="39">
        <f t="shared" si="2"/>
        <v>0</v>
      </c>
    </row>
    <row r="70" spans="1:13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>
        <f t="shared" si="5"/>
        <v>-4</v>
      </c>
      <c r="K70" s="37">
        <f t="shared" ref="K70:K133" si="8">J70*$J$2</f>
        <v>-40</v>
      </c>
      <c r="L70" s="37"/>
      <c r="M70" s="39">
        <f t="shared" ref="M70:M133" si="9">IF(I70&lt;&gt;"",K70+I70+L70,0)</f>
        <v>0</v>
      </c>
    </row>
    <row r="71" spans="1:13">
      <c r="A71" s="58"/>
      <c r="G71" s="15"/>
      <c r="H71" s="37">
        <v>66</v>
      </c>
      <c r="I71" s="38" t="str">
        <f t="shared" si="7"/>
        <v/>
      </c>
      <c r="J71" s="37">
        <f t="shared" ref="J71:J134" si="10">INT(LOG($H$2,2))-ROUNDUP(LOG(H71,2),0)+IF(OR($H$2=1,$H$2=2,$H$2=4,$H$2=8,$H$2=16,$H$2=32,$H$2=64,$H$2=128,$H$2=256),0,1)</f>
        <v>-4</v>
      </c>
      <c r="K71" s="37">
        <f t="shared" si="8"/>
        <v>-40</v>
      </c>
      <c r="L71" s="37"/>
      <c r="M71" s="39">
        <f t="shared" si="9"/>
        <v>0</v>
      </c>
    </row>
    <row r="72" spans="1:13">
      <c r="A72" s="58"/>
      <c r="G72" s="15"/>
      <c r="H72" s="37">
        <v>67</v>
      </c>
      <c r="I72" s="38" t="str">
        <f t="shared" si="7"/>
        <v/>
      </c>
      <c r="J72" s="37">
        <f t="shared" si="10"/>
        <v>-4</v>
      </c>
      <c r="K72" s="37">
        <f t="shared" si="8"/>
        <v>-40</v>
      </c>
      <c r="L72" s="37"/>
      <c r="M72" s="39">
        <f t="shared" si="9"/>
        <v>0</v>
      </c>
    </row>
    <row r="73" spans="1:13">
      <c r="A73" s="58"/>
      <c r="G73" s="15"/>
      <c r="H73" s="37">
        <v>68</v>
      </c>
      <c r="I73" s="38" t="str">
        <f t="shared" si="7"/>
        <v/>
      </c>
      <c r="J73" s="37">
        <f t="shared" si="10"/>
        <v>-4</v>
      </c>
      <c r="K73" s="37">
        <f t="shared" si="8"/>
        <v>-40</v>
      </c>
      <c r="L73" s="37"/>
      <c r="M73" s="39">
        <f t="shared" si="9"/>
        <v>0</v>
      </c>
    </row>
    <row r="74" spans="1:13">
      <c r="A74" s="58"/>
      <c r="G74" s="15"/>
      <c r="H74" s="37">
        <v>69</v>
      </c>
      <c r="I74" s="38" t="str">
        <f t="shared" si="7"/>
        <v/>
      </c>
      <c r="J74" s="37">
        <f t="shared" si="10"/>
        <v>-4</v>
      </c>
      <c r="K74" s="37">
        <f t="shared" si="8"/>
        <v>-40</v>
      </c>
      <c r="L74" s="37"/>
      <c r="M74" s="39">
        <f t="shared" si="9"/>
        <v>0</v>
      </c>
    </row>
    <row r="75" spans="1:13">
      <c r="A75" s="58"/>
      <c r="G75" s="15"/>
      <c r="H75" s="37">
        <v>70</v>
      </c>
      <c r="I75" s="38" t="str">
        <f t="shared" si="7"/>
        <v/>
      </c>
      <c r="J75" s="37">
        <f t="shared" si="10"/>
        <v>-4</v>
      </c>
      <c r="K75" s="37">
        <f t="shared" si="8"/>
        <v>-40</v>
      </c>
      <c r="L75" s="37"/>
      <c r="M75" s="39">
        <f t="shared" si="9"/>
        <v>0</v>
      </c>
    </row>
    <row r="76" spans="1:13">
      <c r="A76" s="58"/>
      <c r="G76" s="15"/>
      <c r="H76" s="37">
        <v>71</v>
      </c>
      <c r="I76" s="38" t="str">
        <f t="shared" si="7"/>
        <v/>
      </c>
      <c r="J76" s="37">
        <f t="shared" si="10"/>
        <v>-4</v>
      </c>
      <c r="K76" s="37">
        <f t="shared" si="8"/>
        <v>-40</v>
      </c>
      <c r="L76" s="37"/>
      <c r="M76" s="39">
        <f t="shared" si="9"/>
        <v>0</v>
      </c>
    </row>
    <row r="77" spans="1:13">
      <c r="A77" s="58"/>
      <c r="G77" s="15"/>
      <c r="H77" s="37">
        <v>72</v>
      </c>
      <c r="I77" s="38" t="str">
        <f t="shared" si="7"/>
        <v/>
      </c>
      <c r="J77" s="37">
        <f t="shared" si="10"/>
        <v>-4</v>
      </c>
      <c r="K77" s="37">
        <f t="shared" si="8"/>
        <v>-40</v>
      </c>
      <c r="L77" s="37"/>
      <c r="M77" s="39">
        <f t="shared" si="9"/>
        <v>0</v>
      </c>
    </row>
    <row r="78" spans="1:13">
      <c r="A78" s="58"/>
      <c r="G78" s="15"/>
      <c r="H78" s="37">
        <v>73</v>
      </c>
      <c r="I78" s="38" t="str">
        <f t="shared" si="7"/>
        <v/>
      </c>
      <c r="J78" s="37">
        <f t="shared" si="10"/>
        <v>-4</v>
      </c>
      <c r="K78" s="37">
        <f t="shared" si="8"/>
        <v>-40</v>
      </c>
      <c r="L78" s="37"/>
      <c r="M78" s="39">
        <f t="shared" si="9"/>
        <v>0</v>
      </c>
    </row>
    <row r="79" spans="1:13">
      <c r="A79" s="58"/>
      <c r="G79" s="15"/>
      <c r="H79" s="37">
        <v>74</v>
      </c>
      <c r="I79" s="38" t="str">
        <f t="shared" si="7"/>
        <v/>
      </c>
      <c r="J79" s="37">
        <f t="shared" si="10"/>
        <v>-4</v>
      </c>
      <c r="K79" s="37">
        <f t="shared" si="8"/>
        <v>-40</v>
      </c>
      <c r="L79" s="37"/>
      <c r="M79" s="39">
        <f t="shared" si="9"/>
        <v>0</v>
      </c>
    </row>
    <row r="80" spans="1:13">
      <c r="A80" s="58"/>
      <c r="G80" s="15"/>
      <c r="H80" s="37">
        <v>75</v>
      </c>
      <c r="I80" s="38" t="str">
        <f t="shared" si="7"/>
        <v/>
      </c>
      <c r="J80" s="37">
        <f t="shared" si="10"/>
        <v>-4</v>
      </c>
      <c r="K80" s="37">
        <f t="shared" si="8"/>
        <v>-40</v>
      </c>
      <c r="L80" s="37"/>
      <c r="M80" s="39">
        <f t="shared" si="9"/>
        <v>0</v>
      </c>
    </row>
    <row r="81" spans="1:13">
      <c r="A81" s="58"/>
      <c r="G81" s="15"/>
      <c r="H81" s="37">
        <v>76</v>
      </c>
      <c r="I81" s="38" t="str">
        <f t="shared" si="7"/>
        <v/>
      </c>
      <c r="J81" s="37">
        <f t="shared" si="10"/>
        <v>-4</v>
      </c>
      <c r="K81" s="37">
        <f t="shared" si="8"/>
        <v>-40</v>
      </c>
      <c r="L81" s="37"/>
      <c r="M81" s="39">
        <f t="shared" si="9"/>
        <v>0</v>
      </c>
    </row>
    <row r="82" spans="1:13">
      <c r="A82" s="58"/>
      <c r="G82" s="15"/>
      <c r="H82" s="37">
        <v>77</v>
      </c>
      <c r="I82" s="38" t="str">
        <f t="shared" si="7"/>
        <v/>
      </c>
      <c r="J82" s="37">
        <f t="shared" si="10"/>
        <v>-4</v>
      </c>
      <c r="K82" s="37">
        <f t="shared" si="8"/>
        <v>-40</v>
      </c>
      <c r="L82" s="37"/>
      <c r="M82" s="39">
        <f t="shared" si="9"/>
        <v>0</v>
      </c>
    </row>
    <row r="83" spans="1:13">
      <c r="A83" s="58"/>
      <c r="G83" s="15"/>
      <c r="H83" s="37">
        <v>78</v>
      </c>
      <c r="I83" s="38" t="str">
        <f t="shared" si="7"/>
        <v/>
      </c>
      <c r="J83" s="37">
        <f t="shared" si="10"/>
        <v>-4</v>
      </c>
      <c r="K83" s="37">
        <f t="shared" si="8"/>
        <v>-40</v>
      </c>
      <c r="L83" s="37"/>
      <c r="M83" s="39">
        <f t="shared" si="9"/>
        <v>0</v>
      </c>
    </row>
    <row r="84" spans="1:13">
      <c r="A84" s="58"/>
      <c r="G84" s="15"/>
      <c r="H84" s="37">
        <v>79</v>
      </c>
      <c r="I84" s="38" t="str">
        <f t="shared" si="7"/>
        <v/>
      </c>
      <c r="J84" s="37">
        <f t="shared" si="10"/>
        <v>-4</v>
      </c>
      <c r="K84" s="37">
        <f t="shared" si="8"/>
        <v>-40</v>
      </c>
      <c r="L84" s="37"/>
      <c r="M84" s="39">
        <f t="shared" si="9"/>
        <v>0</v>
      </c>
    </row>
    <row r="85" spans="1:13">
      <c r="A85" s="58"/>
      <c r="G85" s="15"/>
      <c r="H85" s="37">
        <v>80</v>
      </c>
      <c r="I85" s="38" t="str">
        <f t="shared" si="7"/>
        <v/>
      </c>
      <c r="J85" s="37">
        <f t="shared" si="10"/>
        <v>-4</v>
      </c>
      <c r="K85" s="37">
        <f t="shared" si="8"/>
        <v>-40</v>
      </c>
      <c r="L85" s="37"/>
      <c r="M85" s="39">
        <f t="shared" si="9"/>
        <v>0</v>
      </c>
    </row>
    <row r="86" spans="1:13">
      <c r="A86" s="58"/>
      <c r="G86" s="15"/>
      <c r="H86" s="37">
        <v>81</v>
      </c>
      <c r="I86" s="38" t="str">
        <f t="shared" si="7"/>
        <v/>
      </c>
      <c r="J86" s="37">
        <f t="shared" si="10"/>
        <v>-4</v>
      </c>
      <c r="K86" s="37">
        <f t="shared" si="8"/>
        <v>-40</v>
      </c>
      <c r="L86" s="37"/>
      <c r="M86" s="39">
        <f t="shared" si="9"/>
        <v>0</v>
      </c>
    </row>
    <row r="87" spans="1:13">
      <c r="A87" s="58"/>
      <c r="G87" s="15"/>
      <c r="H87" s="37">
        <v>82</v>
      </c>
      <c r="I87" s="38" t="str">
        <f t="shared" si="7"/>
        <v/>
      </c>
      <c r="J87" s="37">
        <f t="shared" si="10"/>
        <v>-4</v>
      </c>
      <c r="K87" s="37">
        <f t="shared" si="8"/>
        <v>-40</v>
      </c>
      <c r="L87" s="37"/>
      <c r="M87" s="39">
        <f t="shared" si="9"/>
        <v>0</v>
      </c>
    </row>
    <row r="88" spans="1:13">
      <c r="A88" s="58"/>
      <c r="G88" s="15"/>
      <c r="H88" s="37">
        <v>83</v>
      </c>
      <c r="I88" s="38" t="str">
        <f t="shared" si="7"/>
        <v/>
      </c>
      <c r="J88" s="37">
        <f t="shared" si="10"/>
        <v>-4</v>
      </c>
      <c r="K88" s="37">
        <f t="shared" si="8"/>
        <v>-40</v>
      </c>
      <c r="L88" s="37"/>
      <c r="M88" s="39">
        <f t="shared" si="9"/>
        <v>0</v>
      </c>
    </row>
    <row r="89" spans="1:13">
      <c r="A89" s="58"/>
      <c r="G89" s="15"/>
      <c r="H89" s="37">
        <v>84</v>
      </c>
      <c r="I89" s="38" t="str">
        <f t="shared" si="7"/>
        <v/>
      </c>
      <c r="J89" s="37">
        <f t="shared" si="10"/>
        <v>-4</v>
      </c>
      <c r="K89" s="37">
        <f t="shared" si="8"/>
        <v>-40</v>
      </c>
      <c r="L89" s="37"/>
      <c r="M89" s="39">
        <f t="shared" si="9"/>
        <v>0</v>
      </c>
    </row>
    <row r="90" spans="1:13">
      <c r="A90" s="58"/>
      <c r="G90" s="15"/>
      <c r="H90" s="37">
        <v>85</v>
      </c>
      <c r="I90" s="38" t="str">
        <f t="shared" si="7"/>
        <v/>
      </c>
      <c r="J90" s="37">
        <f t="shared" si="10"/>
        <v>-4</v>
      </c>
      <c r="K90" s="37">
        <f t="shared" si="8"/>
        <v>-40</v>
      </c>
      <c r="L90" s="37"/>
      <c r="M90" s="39">
        <f t="shared" si="9"/>
        <v>0</v>
      </c>
    </row>
    <row r="91" spans="1:13">
      <c r="A91" s="58"/>
      <c r="G91" s="15"/>
      <c r="H91" s="37">
        <v>86</v>
      </c>
      <c r="I91" s="38" t="str">
        <f t="shared" si="7"/>
        <v/>
      </c>
      <c r="J91" s="37">
        <f t="shared" si="10"/>
        <v>-4</v>
      </c>
      <c r="K91" s="37">
        <f t="shared" si="8"/>
        <v>-40</v>
      </c>
      <c r="L91" s="37"/>
      <c r="M91" s="39">
        <f t="shared" si="9"/>
        <v>0</v>
      </c>
    </row>
    <row r="92" spans="1:13">
      <c r="A92" s="58"/>
      <c r="G92" s="15"/>
      <c r="H92" s="37">
        <v>87</v>
      </c>
      <c r="I92" s="38" t="str">
        <f t="shared" si="7"/>
        <v/>
      </c>
      <c r="J92" s="37">
        <f t="shared" si="10"/>
        <v>-4</v>
      </c>
      <c r="K92" s="37">
        <f t="shared" si="8"/>
        <v>-40</v>
      </c>
      <c r="L92" s="37"/>
      <c r="M92" s="39">
        <f t="shared" si="9"/>
        <v>0</v>
      </c>
    </row>
    <row r="93" spans="1:13">
      <c r="A93" s="58"/>
      <c r="G93" s="15"/>
      <c r="H93" s="37">
        <v>88</v>
      </c>
      <c r="I93" s="38" t="str">
        <f t="shared" si="7"/>
        <v/>
      </c>
      <c r="J93" s="37">
        <f t="shared" si="10"/>
        <v>-4</v>
      </c>
      <c r="K93" s="37">
        <f t="shared" si="8"/>
        <v>-40</v>
      </c>
      <c r="L93" s="37"/>
      <c r="M93" s="39">
        <f t="shared" si="9"/>
        <v>0</v>
      </c>
    </row>
    <row r="94" spans="1:13">
      <c r="A94" s="58"/>
      <c r="G94" s="15"/>
      <c r="H94" s="37">
        <v>89</v>
      </c>
      <c r="I94" s="38" t="str">
        <f t="shared" si="7"/>
        <v/>
      </c>
      <c r="J94" s="37">
        <f t="shared" si="10"/>
        <v>-4</v>
      </c>
      <c r="K94" s="37">
        <f t="shared" si="8"/>
        <v>-40</v>
      </c>
      <c r="L94" s="37"/>
      <c r="M94" s="39">
        <f t="shared" si="9"/>
        <v>0</v>
      </c>
    </row>
    <row r="95" spans="1:13">
      <c r="A95" s="58"/>
      <c r="G95" s="15"/>
      <c r="H95" s="37">
        <v>90</v>
      </c>
      <c r="I95" s="38" t="str">
        <f t="shared" si="7"/>
        <v/>
      </c>
      <c r="J95" s="37">
        <f t="shared" si="10"/>
        <v>-4</v>
      </c>
      <c r="K95" s="37">
        <f t="shared" si="8"/>
        <v>-40</v>
      </c>
      <c r="L95" s="37"/>
      <c r="M95" s="39">
        <f t="shared" si="9"/>
        <v>0</v>
      </c>
    </row>
    <row r="96" spans="1:13">
      <c r="A96" s="58"/>
      <c r="G96" s="15"/>
      <c r="H96" s="37">
        <v>91</v>
      </c>
      <c r="I96" s="38" t="str">
        <f t="shared" si="7"/>
        <v/>
      </c>
      <c r="J96" s="37">
        <f t="shared" si="10"/>
        <v>-4</v>
      </c>
      <c r="K96" s="37">
        <f t="shared" si="8"/>
        <v>-40</v>
      </c>
      <c r="L96" s="37"/>
      <c r="M96" s="39">
        <f t="shared" si="9"/>
        <v>0</v>
      </c>
    </row>
    <row r="97" spans="1:13">
      <c r="A97" s="58"/>
      <c r="G97" s="15"/>
      <c r="H97" s="37">
        <v>92</v>
      </c>
      <c r="I97" s="38" t="str">
        <f t="shared" si="7"/>
        <v/>
      </c>
      <c r="J97" s="37">
        <f t="shared" si="10"/>
        <v>-4</v>
      </c>
      <c r="K97" s="37">
        <f t="shared" si="8"/>
        <v>-40</v>
      </c>
      <c r="L97" s="37"/>
      <c r="M97" s="39">
        <f t="shared" si="9"/>
        <v>0</v>
      </c>
    </row>
    <row r="98" spans="1:13">
      <c r="A98" s="58"/>
      <c r="G98" s="15"/>
      <c r="H98" s="37">
        <v>93</v>
      </c>
      <c r="I98" s="38" t="str">
        <f t="shared" si="7"/>
        <v/>
      </c>
      <c r="J98" s="37">
        <f t="shared" si="10"/>
        <v>-4</v>
      </c>
      <c r="K98" s="37">
        <f t="shared" si="8"/>
        <v>-40</v>
      </c>
      <c r="L98" s="37"/>
      <c r="M98" s="39">
        <f t="shared" si="9"/>
        <v>0</v>
      </c>
    </row>
    <row r="99" spans="1:13">
      <c r="A99" s="58"/>
      <c r="G99" s="15"/>
      <c r="H99" s="37">
        <v>94</v>
      </c>
      <c r="I99" s="38" t="str">
        <f t="shared" si="7"/>
        <v/>
      </c>
      <c r="J99" s="37">
        <f t="shared" si="10"/>
        <v>-4</v>
      </c>
      <c r="K99" s="37">
        <f t="shared" si="8"/>
        <v>-40</v>
      </c>
      <c r="L99" s="37"/>
      <c r="M99" s="39">
        <f t="shared" si="9"/>
        <v>0</v>
      </c>
    </row>
    <row r="100" spans="1:13">
      <c r="A100" s="58"/>
      <c r="G100" s="15"/>
      <c r="H100" s="37">
        <v>95</v>
      </c>
      <c r="I100" s="38" t="str">
        <f t="shared" si="7"/>
        <v/>
      </c>
      <c r="J100" s="37">
        <f t="shared" si="10"/>
        <v>-4</v>
      </c>
      <c r="K100" s="37">
        <f t="shared" si="8"/>
        <v>-40</v>
      </c>
      <c r="L100" s="37"/>
      <c r="M100" s="39">
        <f t="shared" si="9"/>
        <v>0</v>
      </c>
    </row>
    <row r="101" spans="1:13">
      <c r="A101" s="58"/>
      <c r="G101" s="15"/>
      <c r="H101" s="37">
        <v>96</v>
      </c>
      <c r="I101" s="38" t="str">
        <f t="shared" si="7"/>
        <v/>
      </c>
      <c r="J101" s="37">
        <f t="shared" si="10"/>
        <v>-4</v>
      </c>
      <c r="K101" s="37">
        <f t="shared" si="8"/>
        <v>-40</v>
      </c>
      <c r="L101" s="37"/>
      <c r="M101" s="39">
        <f t="shared" si="9"/>
        <v>0</v>
      </c>
    </row>
    <row r="102" spans="1:13">
      <c r="A102" s="58"/>
      <c r="G102" s="15"/>
      <c r="H102" s="37">
        <v>97</v>
      </c>
      <c r="I102" s="38" t="str">
        <f t="shared" si="7"/>
        <v/>
      </c>
      <c r="J102" s="37">
        <f t="shared" si="10"/>
        <v>-4</v>
      </c>
      <c r="K102" s="37">
        <f t="shared" si="8"/>
        <v>-40</v>
      </c>
      <c r="L102" s="37"/>
      <c r="M102" s="39">
        <f t="shared" si="9"/>
        <v>0</v>
      </c>
    </row>
    <row r="103" spans="1:13">
      <c r="A103" s="58"/>
      <c r="G103" s="15"/>
      <c r="H103" s="37">
        <v>98</v>
      </c>
      <c r="I103" s="38" t="str">
        <f t="shared" si="7"/>
        <v/>
      </c>
      <c r="J103" s="37">
        <f t="shared" si="10"/>
        <v>-4</v>
      </c>
      <c r="K103" s="37">
        <f t="shared" si="8"/>
        <v>-40</v>
      </c>
      <c r="L103" s="37"/>
      <c r="M103" s="39">
        <f t="shared" si="9"/>
        <v>0</v>
      </c>
    </row>
    <row r="104" spans="1:13">
      <c r="A104" s="58"/>
      <c r="G104" s="15"/>
      <c r="H104" s="37">
        <v>99</v>
      </c>
      <c r="I104" s="38" t="str">
        <f t="shared" si="7"/>
        <v/>
      </c>
      <c r="J104" s="37">
        <f t="shared" si="10"/>
        <v>-4</v>
      </c>
      <c r="K104" s="37">
        <f t="shared" si="8"/>
        <v>-40</v>
      </c>
      <c r="L104" s="37"/>
      <c r="M104" s="39">
        <f t="shared" si="9"/>
        <v>0</v>
      </c>
    </row>
    <row r="105" spans="1:13">
      <c r="A105" s="58"/>
      <c r="G105" s="15"/>
      <c r="H105" s="37">
        <v>100</v>
      </c>
      <c r="I105" s="38" t="str">
        <f t="shared" si="7"/>
        <v/>
      </c>
      <c r="J105" s="37">
        <f t="shared" si="10"/>
        <v>-4</v>
      </c>
      <c r="K105" s="37">
        <f t="shared" si="8"/>
        <v>-40</v>
      </c>
      <c r="L105" s="37"/>
      <c r="M105" s="39">
        <f t="shared" si="9"/>
        <v>0</v>
      </c>
    </row>
    <row r="106" spans="1:13">
      <c r="A106" s="58"/>
      <c r="G106" s="15"/>
      <c r="H106" s="37">
        <v>101</v>
      </c>
      <c r="I106" s="38" t="str">
        <f t="shared" si="7"/>
        <v/>
      </c>
      <c r="J106" s="37">
        <f t="shared" si="10"/>
        <v>-4</v>
      </c>
      <c r="K106" s="37">
        <f t="shared" si="8"/>
        <v>-40</v>
      </c>
      <c r="L106" s="37"/>
      <c r="M106" s="39">
        <f t="shared" si="9"/>
        <v>0</v>
      </c>
    </row>
    <row r="107" spans="1:13">
      <c r="A107" s="58"/>
      <c r="G107" s="15"/>
      <c r="H107" s="37">
        <v>102</v>
      </c>
      <c r="I107" s="38" t="str">
        <f t="shared" si="7"/>
        <v/>
      </c>
      <c r="J107" s="37">
        <f t="shared" si="10"/>
        <v>-4</v>
      </c>
      <c r="K107" s="37">
        <f t="shared" si="8"/>
        <v>-40</v>
      </c>
      <c r="L107" s="37"/>
      <c r="M107" s="39">
        <f t="shared" si="9"/>
        <v>0</v>
      </c>
    </row>
    <row r="108" spans="1:13">
      <c r="A108" s="58"/>
      <c r="G108" s="15"/>
      <c r="H108" s="37">
        <v>103</v>
      </c>
      <c r="I108" s="38" t="str">
        <f t="shared" si="7"/>
        <v/>
      </c>
      <c r="J108" s="37">
        <f t="shared" si="10"/>
        <v>-4</v>
      </c>
      <c r="K108" s="37">
        <f t="shared" si="8"/>
        <v>-40</v>
      </c>
      <c r="L108" s="37"/>
      <c r="M108" s="39">
        <f t="shared" si="9"/>
        <v>0</v>
      </c>
    </row>
    <row r="109" spans="1:13">
      <c r="A109" s="58"/>
      <c r="G109" s="15"/>
      <c r="H109" s="37">
        <v>104</v>
      </c>
      <c r="I109" s="38" t="str">
        <f t="shared" si="7"/>
        <v/>
      </c>
      <c r="J109" s="37">
        <f t="shared" si="10"/>
        <v>-4</v>
      </c>
      <c r="K109" s="37">
        <f t="shared" si="8"/>
        <v>-40</v>
      </c>
      <c r="L109" s="37"/>
      <c r="M109" s="39">
        <f t="shared" si="9"/>
        <v>0</v>
      </c>
    </row>
    <row r="110" spans="1:13">
      <c r="A110" s="58"/>
      <c r="G110" s="15"/>
      <c r="H110" s="37">
        <v>105</v>
      </c>
      <c r="I110" s="38" t="str">
        <f t="shared" si="7"/>
        <v/>
      </c>
      <c r="J110" s="37">
        <f t="shared" si="10"/>
        <v>-4</v>
      </c>
      <c r="K110" s="37">
        <f t="shared" si="8"/>
        <v>-40</v>
      </c>
      <c r="L110" s="37"/>
      <c r="M110" s="39">
        <f t="shared" si="9"/>
        <v>0</v>
      </c>
    </row>
    <row r="111" spans="1:13">
      <c r="A111" s="58"/>
      <c r="G111" s="15"/>
      <c r="H111" s="37">
        <v>106</v>
      </c>
      <c r="I111" s="38" t="str">
        <f t="shared" si="7"/>
        <v/>
      </c>
      <c r="J111" s="37">
        <f t="shared" si="10"/>
        <v>-4</v>
      </c>
      <c r="K111" s="37">
        <f t="shared" si="8"/>
        <v>-40</v>
      </c>
      <c r="L111" s="37"/>
      <c r="M111" s="39">
        <f t="shared" si="9"/>
        <v>0</v>
      </c>
    </row>
    <row r="112" spans="1:13">
      <c r="A112" s="58"/>
      <c r="G112" s="15"/>
      <c r="H112" s="37">
        <v>107</v>
      </c>
      <c r="I112" s="38" t="str">
        <f t="shared" si="7"/>
        <v/>
      </c>
      <c r="J112" s="37">
        <f t="shared" si="10"/>
        <v>-4</v>
      </c>
      <c r="K112" s="37">
        <f t="shared" si="8"/>
        <v>-40</v>
      </c>
      <c r="L112" s="37"/>
      <c r="M112" s="39">
        <f t="shared" si="9"/>
        <v>0</v>
      </c>
    </row>
    <row r="113" spans="1:13">
      <c r="A113" s="58"/>
      <c r="G113" s="15"/>
      <c r="H113" s="37">
        <v>108</v>
      </c>
      <c r="I113" s="38" t="str">
        <f t="shared" si="7"/>
        <v/>
      </c>
      <c r="J113" s="37">
        <f t="shared" si="10"/>
        <v>-4</v>
      </c>
      <c r="K113" s="37">
        <f t="shared" si="8"/>
        <v>-40</v>
      </c>
      <c r="L113" s="37"/>
      <c r="M113" s="39">
        <f t="shared" si="9"/>
        <v>0</v>
      </c>
    </row>
    <row r="114" spans="1:13">
      <c r="A114" s="58"/>
      <c r="G114" s="15"/>
      <c r="H114" s="37">
        <v>109</v>
      </c>
      <c r="I114" s="38" t="str">
        <f t="shared" si="7"/>
        <v/>
      </c>
      <c r="J114" s="37">
        <f t="shared" si="10"/>
        <v>-4</v>
      </c>
      <c r="K114" s="37">
        <f t="shared" si="8"/>
        <v>-40</v>
      </c>
      <c r="L114" s="37"/>
      <c r="M114" s="39">
        <f t="shared" si="9"/>
        <v>0</v>
      </c>
    </row>
    <row r="115" spans="1:13">
      <c r="A115" s="58"/>
      <c r="G115" s="15"/>
      <c r="H115" s="37">
        <v>110</v>
      </c>
      <c r="I115" s="38" t="str">
        <f t="shared" si="7"/>
        <v/>
      </c>
      <c r="J115" s="37">
        <f t="shared" si="10"/>
        <v>-4</v>
      </c>
      <c r="K115" s="37">
        <f t="shared" si="8"/>
        <v>-40</v>
      </c>
      <c r="L115" s="37"/>
      <c r="M115" s="39">
        <f t="shared" si="9"/>
        <v>0</v>
      </c>
    </row>
    <row r="116" spans="1:13">
      <c r="A116" s="58"/>
      <c r="G116" s="15"/>
      <c r="H116" s="37">
        <v>111</v>
      </c>
      <c r="I116" s="38" t="str">
        <f t="shared" si="7"/>
        <v/>
      </c>
      <c r="J116" s="37">
        <f t="shared" si="10"/>
        <v>-4</v>
      </c>
      <c r="K116" s="37">
        <f t="shared" si="8"/>
        <v>-40</v>
      </c>
      <c r="L116" s="37"/>
      <c r="M116" s="39">
        <f t="shared" si="9"/>
        <v>0</v>
      </c>
    </row>
    <row r="117" spans="1:13">
      <c r="A117" s="58"/>
      <c r="G117" s="15"/>
      <c r="H117" s="37">
        <v>112</v>
      </c>
      <c r="I117" s="38" t="str">
        <f t="shared" si="7"/>
        <v/>
      </c>
      <c r="J117" s="37">
        <f t="shared" si="10"/>
        <v>-4</v>
      </c>
      <c r="K117" s="37">
        <f t="shared" si="8"/>
        <v>-40</v>
      </c>
      <c r="L117" s="37"/>
      <c r="M117" s="39">
        <f t="shared" si="9"/>
        <v>0</v>
      </c>
    </row>
    <row r="118" spans="1:13">
      <c r="A118" s="58"/>
      <c r="G118" s="15"/>
      <c r="H118" s="37">
        <v>113</v>
      </c>
      <c r="I118" s="38" t="str">
        <f t="shared" si="7"/>
        <v/>
      </c>
      <c r="J118" s="37">
        <f t="shared" si="10"/>
        <v>-4</v>
      </c>
      <c r="K118" s="37">
        <f t="shared" si="8"/>
        <v>-40</v>
      </c>
      <c r="L118" s="37"/>
      <c r="M118" s="39">
        <f t="shared" si="9"/>
        <v>0</v>
      </c>
    </row>
    <row r="119" spans="1:13">
      <c r="A119" s="58"/>
      <c r="G119" s="15"/>
      <c r="H119" s="37">
        <v>114</v>
      </c>
      <c r="I119" s="38" t="str">
        <f t="shared" si="7"/>
        <v/>
      </c>
      <c r="J119" s="37">
        <f t="shared" si="10"/>
        <v>-4</v>
      </c>
      <c r="K119" s="37">
        <f t="shared" si="8"/>
        <v>-40</v>
      </c>
      <c r="L119" s="37"/>
      <c r="M119" s="39">
        <f t="shared" si="9"/>
        <v>0</v>
      </c>
    </row>
    <row r="120" spans="1:13">
      <c r="A120" s="58"/>
      <c r="G120" s="15"/>
      <c r="H120" s="37">
        <v>115</v>
      </c>
      <c r="I120" s="38" t="str">
        <f t="shared" si="7"/>
        <v/>
      </c>
      <c r="J120" s="37">
        <f t="shared" si="10"/>
        <v>-4</v>
      </c>
      <c r="K120" s="37">
        <f t="shared" si="8"/>
        <v>-40</v>
      </c>
      <c r="L120" s="37"/>
      <c r="M120" s="39">
        <f t="shared" si="9"/>
        <v>0</v>
      </c>
    </row>
    <row r="121" spans="1:13">
      <c r="A121" s="58"/>
      <c r="G121" s="15"/>
      <c r="H121" s="37">
        <v>116</v>
      </c>
      <c r="I121" s="38" t="str">
        <f t="shared" si="7"/>
        <v/>
      </c>
      <c r="J121" s="37">
        <f t="shared" si="10"/>
        <v>-4</v>
      </c>
      <c r="K121" s="37">
        <f t="shared" si="8"/>
        <v>-40</v>
      </c>
      <c r="L121" s="37"/>
      <c r="M121" s="39">
        <f t="shared" si="9"/>
        <v>0</v>
      </c>
    </row>
    <row r="122" spans="1:13">
      <c r="A122" s="58"/>
      <c r="G122" s="15"/>
      <c r="H122" s="37">
        <v>117</v>
      </c>
      <c r="I122" s="38" t="str">
        <f t="shared" si="7"/>
        <v/>
      </c>
      <c r="J122" s="37">
        <f t="shared" si="10"/>
        <v>-4</v>
      </c>
      <c r="K122" s="37">
        <f t="shared" si="8"/>
        <v>-40</v>
      </c>
      <c r="L122" s="37"/>
      <c r="M122" s="39">
        <f t="shared" si="9"/>
        <v>0</v>
      </c>
    </row>
    <row r="123" spans="1:13">
      <c r="A123" s="58"/>
      <c r="G123" s="15"/>
      <c r="H123" s="37">
        <v>118</v>
      </c>
      <c r="I123" s="38" t="str">
        <f t="shared" si="7"/>
        <v/>
      </c>
      <c r="J123" s="37">
        <f t="shared" si="10"/>
        <v>-4</v>
      </c>
      <c r="K123" s="37">
        <f t="shared" si="8"/>
        <v>-40</v>
      </c>
      <c r="L123" s="37"/>
      <c r="M123" s="39">
        <f t="shared" si="9"/>
        <v>0</v>
      </c>
    </row>
    <row r="124" spans="1:13">
      <c r="A124" s="58"/>
      <c r="G124" s="15"/>
      <c r="H124" s="37">
        <v>119</v>
      </c>
      <c r="I124" s="38" t="str">
        <f t="shared" si="7"/>
        <v/>
      </c>
      <c r="J124" s="37">
        <f t="shared" si="10"/>
        <v>-4</v>
      </c>
      <c r="K124" s="37">
        <f t="shared" si="8"/>
        <v>-40</v>
      </c>
      <c r="L124" s="37"/>
      <c r="M124" s="39">
        <f t="shared" si="9"/>
        <v>0</v>
      </c>
    </row>
    <row r="125" spans="1:13">
      <c r="A125" s="58"/>
      <c r="G125" s="15"/>
      <c r="H125" s="37">
        <v>120</v>
      </c>
      <c r="I125" s="38" t="str">
        <f t="shared" si="7"/>
        <v/>
      </c>
      <c r="J125" s="37">
        <f t="shared" si="10"/>
        <v>-4</v>
      </c>
      <c r="K125" s="37">
        <f t="shared" si="8"/>
        <v>-40</v>
      </c>
      <c r="L125" s="37"/>
      <c r="M125" s="39">
        <f t="shared" si="9"/>
        <v>0</v>
      </c>
    </row>
    <row r="126" spans="1:13">
      <c r="A126" s="58"/>
      <c r="G126" s="15"/>
      <c r="H126" s="37">
        <v>121</v>
      </c>
      <c r="I126" s="38" t="str">
        <f t="shared" si="7"/>
        <v/>
      </c>
      <c r="J126" s="37">
        <f t="shared" si="10"/>
        <v>-4</v>
      </c>
      <c r="K126" s="37">
        <f t="shared" si="8"/>
        <v>-40</v>
      </c>
      <c r="L126" s="37"/>
      <c r="M126" s="39">
        <f t="shared" si="9"/>
        <v>0</v>
      </c>
    </row>
    <row r="127" spans="1:13">
      <c r="A127" s="58"/>
      <c r="G127" s="15"/>
      <c r="H127" s="37">
        <v>122</v>
      </c>
      <c r="I127" s="38" t="str">
        <f t="shared" si="7"/>
        <v/>
      </c>
      <c r="J127" s="37">
        <f t="shared" si="10"/>
        <v>-4</v>
      </c>
      <c r="K127" s="37">
        <f t="shared" si="8"/>
        <v>-40</v>
      </c>
      <c r="L127" s="37"/>
      <c r="M127" s="39">
        <f t="shared" si="9"/>
        <v>0</v>
      </c>
    </row>
    <row r="128" spans="1:13">
      <c r="A128" s="58"/>
      <c r="G128" s="15"/>
      <c r="H128" s="37">
        <v>123</v>
      </c>
      <c r="I128" s="38" t="str">
        <f t="shared" si="7"/>
        <v/>
      </c>
      <c r="J128" s="37">
        <f t="shared" si="10"/>
        <v>-4</v>
      </c>
      <c r="K128" s="37">
        <f t="shared" si="8"/>
        <v>-40</v>
      </c>
      <c r="L128" s="37"/>
      <c r="M128" s="39">
        <f t="shared" si="9"/>
        <v>0</v>
      </c>
    </row>
    <row r="129" spans="1:13">
      <c r="A129" s="58"/>
      <c r="G129" s="15"/>
      <c r="H129" s="37">
        <v>124</v>
      </c>
      <c r="I129" s="38" t="str">
        <f t="shared" si="7"/>
        <v/>
      </c>
      <c r="J129" s="37">
        <f t="shared" si="10"/>
        <v>-4</v>
      </c>
      <c r="K129" s="37">
        <f t="shared" si="8"/>
        <v>-40</v>
      </c>
      <c r="L129" s="37"/>
      <c r="M129" s="39">
        <f t="shared" si="9"/>
        <v>0</v>
      </c>
    </row>
    <row r="130" spans="1:13">
      <c r="A130" s="58"/>
      <c r="G130" s="15"/>
      <c r="H130" s="37">
        <v>125</v>
      </c>
      <c r="I130" s="38" t="str">
        <f t="shared" si="7"/>
        <v/>
      </c>
      <c r="J130" s="37">
        <f t="shared" si="10"/>
        <v>-4</v>
      </c>
      <c r="K130" s="37">
        <f t="shared" si="8"/>
        <v>-40</v>
      </c>
      <c r="L130" s="37"/>
      <c r="M130" s="39">
        <f t="shared" si="9"/>
        <v>0</v>
      </c>
    </row>
    <row r="131" spans="1:13">
      <c r="A131" s="58"/>
      <c r="G131" s="15"/>
      <c r="H131" s="37">
        <v>126</v>
      </c>
      <c r="I131" s="38" t="str">
        <f t="shared" si="7"/>
        <v/>
      </c>
      <c r="J131" s="37">
        <f t="shared" si="10"/>
        <v>-4</v>
      </c>
      <c r="K131" s="37">
        <f t="shared" si="8"/>
        <v>-40</v>
      </c>
      <c r="L131" s="37"/>
      <c r="M131" s="39">
        <f t="shared" si="9"/>
        <v>0</v>
      </c>
    </row>
    <row r="132" spans="1:13">
      <c r="A132" s="58"/>
      <c r="G132" s="15"/>
      <c r="H132" s="37">
        <v>127</v>
      </c>
      <c r="I132" s="38" t="str">
        <f t="shared" si="7"/>
        <v/>
      </c>
      <c r="J132" s="37">
        <f t="shared" si="10"/>
        <v>-4</v>
      </c>
      <c r="K132" s="37">
        <f t="shared" si="8"/>
        <v>-40</v>
      </c>
      <c r="L132" s="37"/>
      <c r="M132" s="39">
        <f t="shared" si="9"/>
        <v>0</v>
      </c>
    </row>
    <row r="133" spans="1:13">
      <c r="A133" s="58"/>
      <c r="G133" s="15"/>
      <c r="H133" s="37">
        <v>128</v>
      </c>
      <c r="I133" s="38" t="str">
        <f t="shared" si="7"/>
        <v/>
      </c>
      <c r="J133" s="37">
        <f t="shared" si="10"/>
        <v>-4</v>
      </c>
      <c r="K133" s="37">
        <f t="shared" si="8"/>
        <v>-40</v>
      </c>
      <c r="L133" s="37"/>
      <c r="M133" s="39">
        <f t="shared" si="9"/>
        <v>0</v>
      </c>
    </row>
    <row r="134" spans="1:13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>
        <f t="shared" si="10"/>
        <v>-5</v>
      </c>
      <c r="K134" s="37">
        <f t="shared" ref="K134:K197" si="12">J134*$J$2</f>
        <v>-50</v>
      </c>
      <c r="L134" s="37"/>
      <c r="M134" s="39">
        <f t="shared" ref="M134:M197" si="13">IF(I134&lt;&gt;"",K134+I134+L134,0)</f>
        <v>0</v>
      </c>
    </row>
    <row r="135" spans="1:13">
      <c r="A135" s="58"/>
      <c r="G135" s="15"/>
      <c r="H135" s="37">
        <v>130</v>
      </c>
      <c r="I135" s="38" t="str">
        <f t="shared" si="11"/>
        <v/>
      </c>
      <c r="J135" s="37">
        <f t="shared" ref="J135:J198" si="14">INT(LOG($H$2,2))-ROUNDUP(LOG(H135,2),0)+IF(OR($H$2=1,$H$2=2,$H$2=4,$H$2=8,$H$2=16,$H$2=32,$H$2=64,$H$2=128,$H$2=256),0,1)</f>
        <v>-5</v>
      </c>
      <c r="K135" s="37">
        <f t="shared" si="12"/>
        <v>-50</v>
      </c>
      <c r="L135" s="37"/>
      <c r="M135" s="39">
        <f t="shared" si="13"/>
        <v>0</v>
      </c>
    </row>
    <row r="136" spans="1:13">
      <c r="A136" s="58"/>
      <c r="G136" s="15"/>
      <c r="H136" s="37">
        <v>131</v>
      </c>
      <c r="I136" s="38" t="str">
        <f t="shared" si="11"/>
        <v/>
      </c>
      <c r="J136" s="37">
        <f t="shared" si="14"/>
        <v>-5</v>
      </c>
      <c r="K136" s="37">
        <f t="shared" si="12"/>
        <v>-50</v>
      </c>
      <c r="L136" s="37"/>
      <c r="M136" s="39">
        <f t="shared" si="13"/>
        <v>0</v>
      </c>
    </row>
    <row r="137" spans="1:13">
      <c r="A137" s="58"/>
      <c r="G137" s="15"/>
      <c r="H137" s="37">
        <v>132</v>
      </c>
      <c r="I137" s="38" t="str">
        <f t="shared" si="11"/>
        <v/>
      </c>
      <c r="J137" s="37">
        <f t="shared" si="14"/>
        <v>-5</v>
      </c>
      <c r="K137" s="37">
        <f t="shared" si="12"/>
        <v>-50</v>
      </c>
      <c r="L137" s="37"/>
      <c r="M137" s="39">
        <f t="shared" si="13"/>
        <v>0</v>
      </c>
    </row>
    <row r="138" spans="1:13">
      <c r="A138" s="58"/>
      <c r="G138" s="15"/>
      <c r="H138" s="37">
        <v>133</v>
      </c>
      <c r="I138" s="38" t="str">
        <f t="shared" si="11"/>
        <v/>
      </c>
      <c r="J138" s="37">
        <f t="shared" si="14"/>
        <v>-5</v>
      </c>
      <c r="K138" s="37">
        <f t="shared" si="12"/>
        <v>-50</v>
      </c>
      <c r="L138" s="37"/>
      <c r="M138" s="39">
        <f t="shared" si="13"/>
        <v>0</v>
      </c>
    </row>
    <row r="139" spans="1:13">
      <c r="A139" s="58"/>
      <c r="G139" s="15"/>
      <c r="H139" s="37">
        <v>134</v>
      </c>
      <c r="I139" s="38" t="str">
        <f t="shared" si="11"/>
        <v/>
      </c>
      <c r="J139" s="37">
        <f t="shared" si="14"/>
        <v>-5</v>
      </c>
      <c r="K139" s="37">
        <f t="shared" si="12"/>
        <v>-50</v>
      </c>
      <c r="L139" s="37"/>
      <c r="M139" s="39">
        <f t="shared" si="13"/>
        <v>0</v>
      </c>
    </row>
    <row r="140" spans="1:13">
      <c r="A140" s="58"/>
      <c r="G140" s="15"/>
      <c r="H140" s="37">
        <v>135</v>
      </c>
      <c r="I140" s="38" t="str">
        <f t="shared" si="11"/>
        <v/>
      </c>
      <c r="J140" s="37">
        <f t="shared" si="14"/>
        <v>-5</v>
      </c>
      <c r="K140" s="37">
        <f t="shared" si="12"/>
        <v>-50</v>
      </c>
      <c r="L140" s="37"/>
      <c r="M140" s="39">
        <f t="shared" si="13"/>
        <v>0</v>
      </c>
    </row>
    <row r="141" spans="1:13">
      <c r="A141" s="58"/>
      <c r="G141" s="15"/>
      <c r="H141" s="37">
        <v>136</v>
      </c>
      <c r="I141" s="38" t="str">
        <f t="shared" si="11"/>
        <v/>
      </c>
      <c r="J141" s="37">
        <f t="shared" si="14"/>
        <v>-5</v>
      </c>
      <c r="K141" s="37">
        <f t="shared" si="12"/>
        <v>-50</v>
      </c>
      <c r="L141" s="37"/>
      <c r="M141" s="39">
        <f t="shared" si="13"/>
        <v>0</v>
      </c>
    </row>
    <row r="142" spans="1:13">
      <c r="A142" s="58"/>
      <c r="G142" s="15"/>
      <c r="H142" s="37">
        <v>137</v>
      </c>
      <c r="I142" s="38" t="str">
        <f t="shared" si="11"/>
        <v/>
      </c>
      <c r="J142" s="37">
        <f t="shared" si="14"/>
        <v>-5</v>
      </c>
      <c r="K142" s="37">
        <f t="shared" si="12"/>
        <v>-50</v>
      </c>
      <c r="L142" s="37"/>
      <c r="M142" s="39">
        <f t="shared" si="13"/>
        <v>0</v>
      </c>
    </row>
    <row r="143" spans="1:13">
      <c r="A143" s="58"/>
      <c r="G143" s="15"/>
      <c r="H143" s="37">
        <v>138</v>
      </c>
      <c r="I143" s="38" t="str">
        <f t="shared" si="11"/>
        <v/>
      </c>
      <c r="J143" s="37">
        <f t="shared" si="14"/>
        <v>-5</v>
      </c>
      <c r="K143" s="37">
        <f t="shared" si="12"/>
        <v>-50</v>
      </c>
      <c r="L143" s="37"/>
      <c r="M143" s="39">
        <f t="shared" si="13"/>
        <v>0</v>
      </c>
    </row>
    <row r="144" spans="1:13">
      <c r="A144" s="58"/>
      <c r="G144" s="15"/>
      <c r="H144" s="37">
        <v>139</v>
      </c>
      <c r="I144" s="38" t="str">
        <f t="shared" si="11"/>
        <v/>
      </c>
      <c r="J144" s="37">
        <f t="shared" si="14"/>
        <v>-5</v>
      </c>
      <c r="K144" s="37">
        <f t="shared" si="12"/>
        <v>-50</v>
      </c>
      <c r="L144" s="37"/>
      <c r="M144" s="39">
        <f t="shared" si="13"/>
        <v>0</v>
      </c>
    </row>
    <row r="145" spans="1:13">
      <c r="A145" s="58"/>
      <c r="G145" s="15"/>
      <c r="H145" s="37">
        <v>140</v>
      </c>
      <c r="I145" s="38" t="str">
        <f t="shared" si="11"/>
        <v/>
      </c>
      <c r="J145" s="37">
        <f t="shared" si="14"/>
        <v>-5</v>
      </c>
      <c r="K145" s="37">
        <f t="shared" si="12"/>
        <v>-50</v>
      </c>
      <c r="L145" s="37"/>
      <c r="M145" s="39">
        <f t="shared" si="13"/>
        <v>0</v>
      </c>
    </row>
    <row r="146" spans="1:13">
      <c r="A146" s="58"/>
      <c r="G146" s="15"/>
      <c r="H146" s="37">
        <v>141</v>
      </c>
      <c r="I146" s="38" t="str">
        <f t="shared" si="11"/>
        <v/>
      </c>
      <c r="J146" s="37">
        <f t="shared" si="14"/>
        <v>-5</v>
      </c>
      <c r="K146" s="37">
        <f t="shared" si="12"/>
        <v>-50</v>
      </c>
      <c r="L146" s="37"/>
      <c r="M146" s="39">
        <f t="shared" si="13"/>
        <v>0</v>
      </c>
    </row>
    <row r="147" spans="1:13">
      <c r="A147" s="58"/>
      <c r="G147" s="15"/>
      <c r="H147" s="37">
        <v>142</v>
      </c>
      <c r="I147" s="38" t="str">
        <f t="shared" si="11"/>
        <v/>
      </c>
      <c r="J147" s="37">
        <f t="shared" si="14"/>
        <v>-5</v>
      </c>
      <c r="K147" s="37">
        <f t="shared" si="12"/>
        <v>-50</v>
      </c>
      <c r="L147" s="37"/>
      <c r="M147" s="39">
        <f t="shared" si="13"/>
        <v>0</v>
      </c>
    </row>
    <row r="148" spans="1:13">
      <c r="A148" s="58"/>
      <c r="G148" s="15"/>
      <c r="H148" s="37">
        <v>143</v>
      </c>
      <c r="I148" s="38" t="str">
        <f t="shared" si="11"/>
        <v/>
      </c>
      <c r="J148" s="37">
        <f t="shared" si="14"/>
        <v>-5</v>
      </c>
      <c r="K148" s="37">
        <f t="shared" si="12"/>
        <v>-50</v>
      </c>
      <c r="L148" s="37"/>
      <c r="M148" s="39">
        <f t="shared" si="13"/>
        <v>0</v>
      </c>
    </row>
    <row r="149" spans="1:13">
      <c r="A149" s="58"/>
      <c r="G149" s="15"/>
      <c r="H149" s="37">
        <v>144</v>
      </c>
      <c r="I149" s="38" t="str">
        <f t="shared" si="11"/>
        <v/>
      </c>
      <c r="J149" s="37">
        <f t="shared" si="14"/>
        <v>-5</v>
      </c>
      <c r="K149" s="37">
        <f t="shared" si="12"/>
        <v>-50</v>
      </c>
      <c r="L149" s="37"/>
      <c r="M149" s="39">
        <f t="shared" si="13"/>
        <v>0</v>
      </c>
    </row>
    <row r="150" spans="1:13">
      <c r="A150" s="58"/>
      <c r="G150" s="15"/>
      <c r="H150" s="37">
        <v>145</v>
      </c>
      <c r="I150" s="38" t="str">
        <f t="shared" si="11"/>
        <v/>
      </c>
      <c r="J150" s="37">
        <f t="shared" si="14"/>
        <v>-5</v>
      </c>
      <c r="K150" s="37">
        <f t="shared" si="12"/>
        <v>-50</v>
      </c>
      <c r="L150" s="37"/>
      <c r="M150" s="39">
        <f t="shared" si="13"/>
        <v>0</v>
      </c>
    </row>
    <row r="151" spans="1:13">
      <c r="A151" s="58"/>
      <c r="G151" s="15"/>
      <c r="H151" s="37">
        <v>146</v>
      </c>
      <c r="I151" s="38" t="str">
        <f t="shared" si="11"/>
        <v/>
      </c>
      <c r="J151" s="37">
        <f t="shared" si="14"/>
        <v>-5</v>
      </c>
      <c r="K151" s="37">
        <f t="shared" si="12"/>
        <v>-50</v>
      </c>
      <c r="L151" s="37"/>
      <c r="M151" s="39">
        <f t="shared" si="13"/>
        <v>0</v>
      </c>
    </row>
    <row r="152" spans="1:13">
      <c r="A152" s="58"/>
      <c r="G152" s="15"/>
      <c r="H152" s="37">
        <v>147</v>
      </c>
      <c r="I152" s="38" t="str">
        <f t="shared" si="11"/>
        <v/>
      </c>
      <c r="J152" s="37">
        <f t="shared" si="14"/>
        <v>-5</v>
      </c>
      <c r="K152" s="37">
        <f t="shared" si="12"/>
        <v>-50</v>
      </c>
      <c r="L152" s="37"/>
      <c r="M152" s="39">
        <f t="shared" si="13"/>
        <v>0</v>
      </c>
    </row>
    <row r="153" spans="1:13">
      <c r="A153" s="58"/>
      <c r="G153" s="15"/>
      <c r="H153" s="37">
        <v>148</v>
      </c>
      <c r="I153" s="38" t="str">
        <f t="shared" si="11"/>
        <v/>
      </c>
      <c r="J153" s="37">
        <f t="shared" si="14"/>
        <v>-5</v>
      </c>
      <c r="K153" s="37">
        <f t="shared" si="12"/>
        <v>-50</v>
      </c>
      <c r="L153" s="37"/>
      <c r="M153" s="39">
        <f t="shared" si="13"/>
        <v>0</v>
      </c>
    </row>
    <row r="154" spans="1:13">
      <c r="A154" s="58"/>
      <c r="G154" s="15"/>
      <c r="H154" s="37">
        <v>149</v>
      </c>
      <c r="I154" s="38" t="str">
        <f t="shared" si="11"/>
        <v/>
      </c>
      <c r="J154" s="37">
        <f t="shared" si="14"/>
        <v>-5</v>
      </c>
      <c r="K154" s="37">
        <f t="shared" si="12"/>
        <v>-50</v>
      </c>
      <c r="L154" s="37"/>
      <c r="M154" s="39">
        <f t="shared" si="13"/>
        <v>0</v>
      </c>
    </row>
    <row r="155" spans="1:13">
      <c r="A155" s="58"/>
      <c r="G155" s="15"/>
      <c r="H155" s="37">
        <v>150</v>
      </c>
      <c r="I155" s="38" t="str">
        <f t="shared" si="11"/>
        <v/>
      </c>
      <c r="J155" s="37">
        <f t="shared" si="14"/>
        <v>-5</v>
      </c>
      <c r="K155" s="37">
        <f t="shared" si="12"/>
        <v>-50</v>
      </c>
      <c r="L155" s="37"/>
      <c r="M155" s="39">
        <f t="shared" si="13"/>
        <v>0</v>
      </c>
    </row>
    <row r="156" spans="1:13">
      <c r="A156" s="58"/>
      <c r="G156" s="15"/>
      <c r="H156" s="37">
        <v>151</v>
      </c>
      <c r="I156" s="38" t="str">
        <f t="shared" si="11"/>
        <v/>
      </c>
      <c r="J156" s="37">
        <f t="shared" si="14"/>
        <v>-5</v>
      </c>
      <c r="K156" s="37">
        <f t="shared" si="12"/>
        <v>-50</v>
      </c>
      <c r="L156" s="37"/>
      <c r="M156" s="39">
        <f t="shared" si="13"/>
        <v>0</v>
      </c>
    </row>
    <row r="157" spans="1:13">
      <c r="A157" s="58"/>
      <c r="G157" s="15"/>
      <c r="H157" s="37">
        <v>152</v>
      </c>
      <c r="I157" s="38" t="str">
        <f t="shared" si="11"/>
        <v/>
      </c>
      <c r="J157" s="37">
        <f t="shared" si="14"/>
        <v>-5</v>
      </c>
      <c r="K157" s="37">
        <f t="shared" si="12"/>
        <v>-50</v>
      </c>
      <c r="L157" s="37"/>
      <c r="M157" s="39">
        <f t="shared" si="13"/>
        <v>0</v>
      </c>
    </row>
    <row r="158" spans="1:13">
      <c r="A158" s="58"/>
      <c r="G158" s="15"/>
      <c r="H158" s="37">
        <v>153</v>
      </c>
      <c r="I158" s="38" t="str">
        <f t="shared" si="11"/>
        <v/>
      </c>
      <c r="J158" s="37">
        <f t="shared" si="14"/>
        <v>-5</v>
      </c>
      <c r="K158" s="37">
        <f t="shared" si="12"/>
        <v>-50</v>
      </c>
      <c r="L158" s="37"/>
      <c r="M158" s="39">
        <f t="shared" si="13"/>
        <v>0</v>
      </c>
    </row>
    <row r="159" spans="1:13">
      <c r="A159" s="58"/>
      <c r="G159" s="15"/>
      <c r="H159" s="37">
        <v>154</v>
      </c>
      <c r="I159" s="38" t="str">
        <f t="shared" si="11"/>
        <v/>
      </c>
      <c r="J159" s="37">
        <f t="shared" si="14"/>
        <v>-5</v>
      </c>
      <c r="K159" s="37">
        <f t="shared" si="12"/>
        <v>-50</v>
      </c>
      <c r="L159" s="37"/>
      <c r="M159" s="39">
        <f t="shared" si="13"/>
        <v>0</v>
      </c>
    </row>
    <row r="160" spans="1:13">
      <c r="A160" s="58"/>
      <c r="G160" s="15"/>
      <c r="H160" s="37">
        <v>155</v>
      </c>
      <c r="I160" s="38" t="str">
        <f t="shared" si="11"/>
        <v/>
      </c>
      <c r="J160" s="37">
        <f t="shared" si="14"/>
        <v>-5</v>
      </c>
      <c r="K160" s="37">
        <f t="shared" si="12"/>
        <v>-50</v>
      </c>
      <c r="L160" s="37"/>
      <c r="M160" s="39">
        <f t="shared" si="13"/>
        <v>0</v>
      </c>
    </row>
    <row r="161" spans="1:13">
      <c r="A161" s="58"/>
      <c r="G161" s="15"/>
      <c r="H161" s="37">
        <v>156</v>
      </c>
      <c r="I161" s="38" t="str">
        <f t="shared" si="11"/>
        <v/>
      </c>
      <c r="J161" s="37">
        <f t="shared" si="14"/>
        <v>-5</v>
      </c>
      <c r="K161" s="37">
        <f t="shared" si="12"/>
        <v>-50</v>
      </c>
      <c r="L161" s="37"/>
      <c r="M161" s="39">
        <f t="shared" si="13"/>
        <v>0</v>
      </c>
    </row>
    <row r="162" spans="1:13">
      <c r="A162" s="58"/>
      <c r="G162" s="15"/>
      <c r="H162" s="37">
        <v>157</v>
      </c>
      <c r="I162" s="38" t="str">
        <f t="shared" si="11"/>
        <v/>
      </c>
      <c r="J162" s="37">
        <f t="shared" si="14"/>
        <v>-5</v>
      </c>
      <c r="K162" s="37">
        <f t="shared" si="12"/>
        <v>-50</v>
      </c>
      <c r="L162" s="37"/>
      <c r="M162" s="39">
        <f t="shared" si="13"/>
        <v>0</v>
      </c>
    </row>
    <row r="163" spans="1:13">
      <c r="A163" s="58"/>
      <c r="G163" s="15"/>
      <c r="H163" s="37">
        <v>158</v>
      </c>
      <c r="I163" s="38" t="str">
        <f t="shared" si="11"/>
        <v/>
      </c>
      <c r="J163" s="37">
        <f t="shared" si="14"/>
        <v>-5</v>
      </c>
      <c r="K163" s="37">
        <f t="shared" si="12"/>
        <v>-50</v>
      </c>
      <c r="L163" s="37"/>
      <c r="M163" s="39">
        <f t="shared" si="13"/>
        <v>0</v>
      </c>
    </row>
    <row r="164" spans="1:13">
      <c r="A164" s="58"/>
      <c r="G164" s="15"/>
      <c r="H164" s="37">
        <v>159</v>
      </c>
      <c r="I164" s="38" t="str">
        <f t="shared" si="11"/>
        <v/>
      </c>
      <c r="J164" s="37">
        <f t="shared" si="14"/>
        <v>-5</v>
      </c>
      <c r="K164" s="37">
        <f t="shared" si="12"/>
        <v>-50</v>
      </c>
      <c r="L164" s="37"/>
      <c r="M164" s="39">
        <f t="shared" si="13"/>
        <v>0</v>
      </c>
    </row>
    <row r="165" spans="1:13">
      <c r="A165" s="58"/>
      <c r="G165" s="15"/>
      <c r="H165" s="37">
        <v>160</v>
      </c>
      <c r="I165" s="38" t="str">
        <f t="shared" si="11"/>
        <v/>
      </c>
      <c r="J165" s="37">
        <f t="shared" si="14"/>
        <v>-5</v>
      </c>
      <c r="K165" s="37">
        <f t="shared" si="12"/>
        <v>-50</v>
      </c>
      <c r="L165" s="37"/>
      <c r="M165" s="39">
        <f t="shared" si="13"/>
        <v>0</v>
      </c>
    </row>
    <row r="166" spans="1:13">
      <c r="A166" s="58"/>
      <c r="G166" s="15"/>
      <c r="H166" s="37">
        <v>161</v>
      </c>
      <c r="I166" s="38" t="str">
        <f t="shared" si="11"/>
        <v/>
      </c>
      <c r="J166" s="37">
        <f t="shared" si="14"/>
        <v>-5</v>
      </c>
      <c r="K166" s="37">
        <f t="shared" si="12"/>
        <v>-50</v>
      </c>
      <c r="L166" s="37"/>
      <c r="M166" s="39">
        <f t="shared" si="13"/>
        <v>0</v>
      </c>
    </row>
    <row r="167" spans="1:13">
      <c r="A167" s="58"/>
      <c r="G167" s="15"/>
      <c r="H167" s="37">
        <v>162</v>
      </c>
      <c r="I167" s="38" t="str">
        <f t="shared" si="11"/>
        <v/>
      </c>
      <c r="J167" s="37">
        <f t="shared" si="14"/>
        <v>-5</v>
      </c>
      <c r="K167" s="37">
        <f t="shared" si="12"/>
        <v>-50</v>
      </c>
      <c r="L167" s="37"/>
      <c r="M167" s="39">
        <f t="shared" si="13"/>
        <v>0</v>
      </c>
    </row>
    <row r="168" spans="1:13">
      <c r="A168" s="58"/>
      <c r="G168" s="15"/>
      <c r="H168" s="37">
        <v>163</v>
      </c>
      <c r="I168" s="38" t="str">
        <f t="shared" si="11"/>
        <v/>
      </c>
      <c r="J168" s="37">
        <f t="shared" si="14"/>
        <v>-5</v>
      </c>
      <c r="K168" s="37">
        <f t="shared" si="12"/>
        <v>-50</v>
      </c>
      <c r="L168" s="37"/>
      <c r="M168" s="39">
        <f t="shared" si="13"/>
        <v>0</v>
      </c>
    </row>
    <row r="169" spans="1:13">
      <c r="A169" s="58"/>
      <c r="G169" s="15"/>
      <c r="H169" s="37">
        <v>164</v>
      </c>
      <c r="I169" s="38" t="str">
        <f t="shared" si="11"/>
        <v/>
      </c>
      <c r="J169" s="37">
        <f t="shared" si="14"/>
        <v>-5</v>
      </c>
      <c r="K169" s="37">
        <f t="shared" si="12"/>
        <v>-50</v>
      </c>
      <c r="L169" s="37"/>
      <c r="M169" s="39">
        <f t="shared" si="13"/>
        <v>0</v>
      </c>
    </row>
    <row r="170" spans="1:13">
      <c r="A170" s="58"/>
      <c r="G170" s="15"/>
      <c r="H170" s="37">
        <v>165</v>
      </c>
      <c r="I170" s="38" t="str">
        <f t="shared" si="11"/>
        <v/>
      </c>
      <c r="J170" s="37">
        <f t="shared" si="14"/>
        <v>-5</v>
      </c>
      <c r="K170" s="37">
        <f t="shared" si="12"/>
        <v>-50</v>
      </c>
      <c r="L170" s="37"/>
      <c r="M170" s="39">
        <f t="shared" si="13"/>
        <v>0</v>
      </c>
    </row>
    <row r="171" spans="1:13">
      <c r="A171" s="58"/>
      <c r="G171" s="15"/>
      <c r="H171" s="37">
        <v>166</v>
      </c>
      <c r="I171" s="38" t="str">
        <f t="shared" si="11"/>
        <v/>
      </c>
      <c r="J171" s="37">
        <f t="shared" si="14"/>
        <v>-5</v>
      </c>
      <c r="K171" s="37">
        <f t="shared" si="12"/>
        <v>-50</v>
      </c>
      <c r="L171" s="37"/>
      <c r="M171" s="39">
        <f t="shared" si="13"/>
        <v>0</v>
      </c>
    </row>
    <row r="172" spans="1:13">
      <c r="A172" s="58"/>
      <c r="G172" s="15"/>
      <c r="H172" s="37">
        <v>167</v>
      </c>
      <c r="I172" s="38" t="str">
        <f t="shared" si="11"/>
        <v/>
      </c>
      <c r="J172" s="37">
        <f t="shared" si="14"/>
        <v>-5</v>
      </c>
      <c r="K172" s="37">
        <f t="shared" si="12"/>
        <v>-50</v>
      </c>
      <c r="L172" s="37"/>
      <c r="M172" s="39">
        <f t="shared" si="13"/>
        <v>0</v>
      </c>
    </row>
    <row r="173" spans="1:13">
      <c r="A173" s="58"/>
      <c r="G173" s="15"/>
      <c r="H173" s="37">
        <v>168</v>
      </c>
      <c r="I173" s="38" t="str">
        <f t="shared" si="11"/>
        <v/>
      </c>
      <c r="J173" s="37">
        <f t="shared" si="14"/>
        <v>-5</v>
      </c>
      <c r="K173" s="37">
        <f t="shared" si="12"/>
        <v>-50</v>
      </c>
      <c r="L173" s="37"/>
      <c r="M173" s="39">
        <f t="shared" si="13"/>
        <v>0</v>
      </c>
    </row>
    <row r="174" spans="1:13">
      <c r="A174" s="58"/>
      <c r="G174" s="15"/>
      <c r="H174" s="37">
        <v>169</v>
      </c>
      <c r="I174" s="38" t="str">
        <f t="shared" si="11"/>
        <v/>
      </c>
      <c r="J174" s="37">
        <f t="shared" si="14"/>
        <v>-5</v>
      </c>
      <c r="K174" s="37">
        <f t="shared" si="12"/>
        <v>-50</v>
      </c>
      <c r="L174" s="37"/>
      <c r="M174" s="39">
        <f t="shared" si="13"/>
        <v>0</v>
      </c>
    </row>
    <row r="175" spans="1:13">
      <c r="A175" s="58"/>
      <c r="G175" s="15"/>
      <c r="H175" s="37">
        <v>170</v>
      </c>
      <c r="I175" s="38" t="str">
        <f t="shared" si="11"/>
        <v/>
      </c>
      <c r="J175" s="37">
        <f t="shared" si="14"/>
        <v>-5</v>
      </c>
      <c r="K175" s="37">
        <f t="shared" si="12"/>
        <v>-50</v>
      </c>
      <c r="L175" s="37"/>
      <c r="M175" s="39">
        <f t="shared" si="13"/>
        <v>0</v>
      </c>
    </row>
    <row r="176" spans="1:13">
      <c r="A176" s="58"/>
      <c r="G176" s="15"/>
      <c r="H176" s="37">
        <v>171</v>
      </c>
      <c r="I176" s="38" t="str">
        <f t="shared" si="11"/>
        <v/>
      </c>
      <c r="J176" s="37">
        <f t="shared" si="14"/>
        <v>-5</v>
      </c>
      <c r="K176" s="37">
        <f t="shared" si="12"/>
        <v>-50</v>
      </c>
      <c r="L176" s="37"/>
      <c r="M176" s="39">
        <f t="shared" si="13"/>
        <v>0</v>
      </c>
    </row>
    <row r="177" spans="1:13">
      <c r="A177" s="58"/>
      <c r="G177" s="15"/>
      <c r="H177" s="37">
        <v>172</v>
      </c>
      <c r="I177" s="38" t="str">
        <f t="shared" si="11"/>
        <v/>
      </c>
      <c r="J177" s="37">
        <f t="shared" si="14"/>
        <v>-5</v>
      </c>
      <c r="K177" s="37">
        <f t="shared" si="12"/>
        <v>-50</v>
      </c>
      <c r="L177" s="37"/>
      <c r="M177" s="39">
        <f t="shared" si="13"/>
        <v>0</v>
      </c>
    </row>
    <row r="178" spans="1:13">
      <c r="A178" s="58"/>
      <c r="G178" s="15"/>
      <c r="H178" s="37">
        <v>173</v>
      </c>
      <c r="I178" s="38" t="str">
        <f t="shared" si="11"/>
        <v/>
      </c>
      <c r="J178" s="37">
        <f t="shared" si="14"/>
        <v>-5</v>
      </c>
      <c r="K178" s="37">
        <f t="shared" si="12"/>
        <v>-50</v>
      </c>
      <c r="L178" s="37"/>
      <c r="M178" s="39">
        <f t="shared" si="13"/>
        <v>0</v>
      </c>
    </row>
    <row r="179" spans="1:13">
      <c r="A179" s="58"/>
      <c r="G179" s="15"/>
      <c r="H179" s="37">
        <v>174</v>
      </c>
      <c r="I179" s="38" t="str">
        <f t="shared" si="11"/>
        <v/>
      </c>
      <c r="J179" s="37">
        <f t="shared" si="14"/>
        <v>-5</v>
      </c>
      <c r="K179" s="37">
        <f t="shared" si="12"/>
        <v>-50</v>
      </c>
      <c r="L179" s="37"/>
      <c r="M179" s="39">
        <f t="shared" si="13"/>
        <v>0</v>
      </c>
    </row>
    <row r="180" spans="1:13">
      <c r="A180" s="58"/>
      <c r="G180" s="15"/>
      <c r="H180" s="37">
        <v>175</v>
      </c>
      <c r="I180" s="38" t="str">
        <f t="shared" si="11"/>
        <v/>
      </c>
      <c r="J180" s="37">
        <f t="shared" si="14"/>
        <v>-5</v>
      </c>
      <c r="K180" s="37">
        <f t="shared" si="12"/>
        <v>-50</v>
      </c>
      <c r="L180" s="37"/>
      <c r="M180" s="39">
        <f t="shared" si="13"/>
        <v>0</v>
      </c>
    </row>
    <row r="181" spans="1:13">
      <c r="A181" s="58"/>
      <c r="G181" s="15"/>
      <c r="H181" s="37">
        <v>176</v>
      </c>
      <c r="I181" s="38" t="str">
        <f t="shared" si="11"/>
        <v/>
      </c>
      <c r="J181" s="37">
        <f t="shared" si="14"/>
        <v>-5</v>
      </c>
      <c r="K181" s="37">
        <f t="shared" si="12"/>
        <v>-50</v>
      </c>
      <c r="L181" s="37"/>
      <c r="M181" s="39">
        <f t="shared" si="13"/>
        <v>0</v>
      </c>
    </row>
    <row r="182" spans="1:13">
      <c r="A182" s="58"/>
      <c r="G182" s="15"/>
      <c r="H182" s="37">
        <v>177</v>
      </c>
      <c r="I182" s="38" t="str">
        <f t="shared" si="11"/>
        <v/>
      </c>
      <c r="J182" s="37">
        <f t="shared" si="14"/>
        <v>-5</v>
      </c>
      <c r="K182" s="37">
        <f t="shared" si="12"/>
        <v>-50</v>
      </c>
      <c r="L182" s="37"/>
      <c r="M182" s="39">
        <f t="shared" si="13"/>
        <v>0</v>
      </c>
    </row>
    <row r="183" spans="1:13">
      <c r="A183" s="58"/>
      <c r="G183" s="15"/>
      <c r="H183" s="37">
        <v>178</v>
      </c>
      <c r="I183" s="38" t="str">
        <f t="shared" si="11"/>
        <v/>
      </c>
      <c r="J183" s="37">
        <f t="shared" si="14"/>
        <v>-5</v>
      </c>
      <c r="K183" s="37">
        <f t="shared" si="12"/>
        <v>-50</v>
      </c>
      <c r="L183" s="37"/>
      <c r="M183" s="39">
        <f t="shared" si="13"/>
        <v>0</v>
      </c>
    </row>
    <row r="184" spans="1:13">
      <c r="A184" s="58"/>
      <c r="G184" s="15"/>
      <c r="H184" s="37">
        <v>179</v>
      </c>
      <c r="I184" s="38" t="str">
        <f t="shared" si="11"/>
        <v/>
      </c>
      <c r="J184" s="37">
        <f t="shared" si="14"/>
        <v>-5</v>
      </c>
      <c r="K184" s="37">
        <f t="shared" si="12"/>
        <v>-50</v>
      </c>
      <c r="L184" s="37"/>
      <c r="M184" s="39">
        <f t="shared" si="13"/>
        <v>0</v>
      </c>
    </row>
    <row r="185" spans="1:13">
      <c r="A185" s="58"/>
      <c r="G185" s="15"/>
      <c r="H185" s="37">
        <v>180</v>
      </c>
      <c r="I185" s="38" t="str">
        <f t="shared" si="11"/>
        <v/>
      </c>
      <c r="J185" s="37">
        <f t="shared" si="14"/>
        <v>-5</v>
      </c>
      <c r="K185" s="37">
        <f t="shared" si="12"/>
        <v>-50</v>
      </c>
      <c r="L185" s="37"/>
      <c r="M185" s="39">
        <f t="shared" si="13"/>
        <v>0</v>
      </c>
    </row>
    <row r="186" spans="1:13">
      <c r="A186" s="58"/>
      <c r="G186" s="15"/>
      <c r="H186" s="37">
        <v>181</v>
      </c>
      <c r="I186" s="38" t="str">
        <f t="shared" si="11"/>
        <v/>
      </c>
      <c r="J186" s="37">
        <f t="shared" si="14"/>
        <v>-5</v>
      </c>
      <c r="K186" s="37">
        <f t="shared" si="12"/>
        <v>-50</v>
      </c>
      <c r="L186" s="37"/>
      <c r="M186" s="39">
        <f t="shared" si="13"/>
        <v>0</v>
      </c>
    </row>
    <row r="187" spans="1:13">
      <c r="A187" s="58"/>
      <c r="G187" s="15"/>
      <c r="H187" s="37">
        <v>182</v>
      </c>
      <c r="I187" s="38" t="str">
        <f t="shared" si="11"/>
        <v/>
      </c>
      <c r="J187" s="37">
        <f t="shared" si="14"/>
        <v>-5</v>
      </c>
      <c r="K187" s="37">
        <f t="shared" si="12"/>
        <v>-50</v>
      </c>
      <c r="L187" s="37"/>
      <c r="M187" s="39">
        <f t="shared" si="13"/>
        <v>0</v>
      </c>
    </row>
    <row r="188" spans="1:13">
      <c r="A188" s="58"/>
      <c r="G188" s="15"/>
      <c r="H188" s="37">
        <v>183</v>
      </c>
      <c r="I188" s="38" t="str">
        <f t="shared" si="11"/>
        <v/>
      </c>
      <c r="J188" s="37">
        <f t="shared" si="14"/>
        <v>-5</v>
      </c>
      <c r="K188" s="37">
        <f t="shared" si="12"/>
        <v>-50</v>
      </c>
      <c r="L188" s="37"/>
      <c r="M188" s="39">
        <f t="shared" si="13"/>
        <v>0</v>
      </c>
    </row>
    <row r="189" spans="1:13">
      <c r="A189" s="58"/>
      <c r="G189" s="15"/>
      <c r="H189" s="37">
        <v>184</v>
      </c>
      <c r="I189" s="38" t="str">
        <f t="shared" si="11"/>
        <v/>
      </c>
      <c r="J189" s="37">
        <f t="shared" si="14"/>
        <v>-5</v>
      </c>
      <c r="K189" s="37">
        <f t="shared" si="12"/>
        <v>-50</v>
      </c>
      <c r="L189" s="37"/>
      <c r="M189" s="39">
        <f t="shared" si="13"/>
        <v>0</v>
      </c>
    </row>
    <row r="190" spans="1:13">
      <c r="A190" s="58"/>
      <c r="G190" s="15"/>
      <c r="H190" s="37">
        <v>185</v>
      </c>
      <c r="I190" s="38" t="str">
        <f t="shared" si="11"/>
        <v/>
      </c>
      <c r="J190" s="37">
        <f t="shared" si="14"/>
        <v>-5</v>
      </c>
      <c r="K190" s="37">
        <f t="shared" si="12"/>
        <v>-50</v>
      </c>
      <c r="L190" s="37"/>
      <c r="M190" s="39">
        <f t="shared" si="13"/>
        <v>0</v>
      </c>
    </row>
    <row r="191" spans="1:13">
      <c r="A191" s="58"/>
      <c r="G191" s="15"/>
      <c r="H191" s="37">
        <v>186</v>
      </c>
      <c r="I191" s="38" t="str">
        <f t="shared" si="11"/>
        <v/>
      </c>
      <c r="J191" s="37">
        <f t="shared" si="14"/>
        <v>-5</v>
      </c>
      <c r="K191" s="37">
        <f t="shared" si="12"/>
        <v>-50</v>
      </c>
      <c r="L191" s="37"/>
      <c r="M191" s="39">
        <f t="shared" si="13"/>
        <v>0</v>
      </c>
    </row>
    <row r="192" spans="1:13">
      <c r="A192" s="58"/>
      <c r="G192" s="15"/>
      <c r="H192" s="37">
        <v>187</v>
      </c>
      <c r="I192" s="38" t="str">
        <f t="shared" si="11"/>
        <v/>
      </c>
      <c r="J192" s="37">
        <f t="shared" si="14"/>
        <v>-5</v>
      </c>
      <c r="K192" s="37">
        <f t="shared" si="12"/>
        <v>-50</v>
      </c>
      <c r="L192" s="37"/>
      <c r="M192" s="39">
        <f t="shared" si="13"/>
        <v>0</v>
      </c>
    </row>
    <row r="193" spans="1:13">
      <c r="A193" s="58"/>
      <c r="G193" s="15"/>
      <c r="H193" s="37">
        <v>188</v>
      </c>
      <c r="I193" s="38" t="str">
        <f t="shared" si="11"/>
        <v/>
      </c>
      <c r="J193" s="37">
        <f t="shared" si="14"/>
        <v>-5</v>
      </c>
      <c r="K193" s="37">
        <f t="shared" si="12"/>
        <v>-50</v>
      </c>
      <c r="L193" s="37"/>
      <c r="M193" s="39">
        <f t="shared" si="13"/>
        <v>0</v>
      </c>
    </row>
    <row r="194" spans="1:13">
      <c r="A194" s="58"/>
      <c r="G194" s="15"/>
      <c r="H194" s="37">
        <v>189</v>
      </c>
      <c r="I194" s="38" t="str">
        <f t="shared" si="11"/>
        <v/>
      </c>
      <c r="J194" s="37">
        <f t="shared" si="14"/>
        <v>-5</v>
      </c>
      <c r="K194" s="37">
        <f t="shared" si="12"/>
        <v>-50</v>
      </c>
      <c r="L194" s="37"/>
      <c r="M194" s="39">
        <f t="shared" si="13"/>
        <v>0</v>
      </c>
    </row>
    <row r="195" spans="1:13">
      <c r="A195" s="58"/>
      <c r="G195" s="15"/>
      <c r="H195" s="37">
        <v>190</v>
      </c>
      <c r="I195" s="38" t="str">
        <f t="shared" si="11"/>
        <v/>
      </c>
      <c r="J195" s="37">
        <f t="shared" si="14"/>
        <v>-5</v>
      </c>
      <c r="K195" s="37">
        <f t="shared" si="12"/>
        <v>-50</v>
      </c>
      <c r="L195" s="37"/>
      <c r="M195" s="39">
        <f t="shared" si="13"/>
        <v>0</v>
      </c>
    </row>
    <row r="196" spans="1:13">
      <c r="A196" s="58"/>
      <c r="G196" s="15"/>
      <c r="H196" s="37">
        <v>191</v>
      </c>
      <c r="I196" s="38" t="str">
        <f t="shared" si="11"/>
        <v/>
      </c>
      <c r="J196" s="37">
        <f t="shared" si="14"/>
        <v>-5</v>
      </c>
      <c r="K196" s="37">
        <f t="shared" si="12"/>
        <v>-50</v>
      </c>
      <c r="L196" s="37"/>
      <c r="M196" s="39">
        <f t="shared" si="13"/>
        <v>0</v>
      </c>
    </row>
    <row r="197" spans="1:13">
      <c r="A197" s="58"/>
      <c r="G197" s="15"/>
      <c r="H197" s="37">
        <v>192</v>
      </c>
      <c r="I197" s="38" t="str">
        <f t="shared" si="11"/>
        <v/>
      </c>
      <c r="J197" s="37">
        <f t="shared" si="14"/>
        <v>-5</v>
      </c>
      <c r="K197" s="37">
        <f t="shared" si="12"/>
        <v>-50</v>
      </c>
      <c r="L197" s="37"/>
      <c r="M197" s="39">
        <f t="shared" si="13"/>
        <v>0</v>
      </c>
    </row>
    <row r="198" spans="1:13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>
        <f t="shared" si="14"/>
        <v>-5</v>
      </c>
      <c r="K198" s="37">
        <f t="shared" ref="K198:K261" si="16">J198*$J$2</f>
        <v>-50</v>
      </c>
      <c r="L198" s="37"/>
      <c r="M198" s="39">
        <f t="shared" ref="M198:M261" si="17">IF(I198&lt;&gt;"",K198+I198+L198,0)</f>
        <v>0</v>
      </c>
    </row>
    <row r="199" spans="1:13">
      <c r="A199" s="58"/>
      <c r="G199" s="15"/>
      <c r="H199" s="37">
        <v>194</v>
      </c>
      <c r="I199" s="38" t="str">
        <f t="shared" si="15"/>
        <v/>
      </c>
      <c r="J199" s="37">
        <f t="shared" ref="J199:J262" si="18">INT(LOG($H$2,2))-ROUNDUP(LOG(H199,2),0)+IF(OR($H$2=1,$H$2=2,$H$2=4,$H$2=8,$H$2=16,$H$2=32,$H$2=64,$H$2=128,$H$2=256),0,1)</f>
        <v>-5</v>
      </c>
      <c r="K199" s="37">
        <f t="shared" si="16"/>
        <v>-50</v>
      </c>
      <c r="L199" s="37"/>
      <c r="M199" s="39">
        <f t="shared" si="17"/>
        <v>0</v>
      </c>
    </row>
    <row r="200" spans="1:13">
      <c r="A200" s="58"/>
      <c r="G200" s="15"/>
      <c r="H200" s="37">
        <v>195</v>
      </c>
      <c r="I200" s="38" t="str">
        <f t="shared" si="15"/>
        <v/>
      </c>
      <c r="J200" s="37">
        <f t="shared" si="18"/>
        <v>-5</v>
      </c>
      <c r="K200" s="37">
        <f t="shared" si="16"/>
        <v>-50</v>
      </c>
      <c r="L200" s="37"/>
      <c r="M200" s="39">
        <f t="shared" si="17"/>
        <v>0</v>
      </c>
    </row>
    <row r="201" spans="1:13">
      <c r="A201" s="58"/>
      <c r="G201" s="15"/>
      <c r="H201" s="37">
        <v>196</v>
      </c>
      <c r="I201" s="38" t="str">
        <f t="shared" si="15"/>
        <v/>
      </c>
      <c r="J201" s="37">
        <f t="shared" si="18"/>
        <v>-5</v>
      </c>
      <c r="K201" s="37">
        <f t="shared" si="16"/>
        <v>-50</v>
      </c>
      <c r="L201" s="37"/>
      <c r="M201" s="39">
        <f t="shared" si="17"/>
        <v>0</v>
      </c>
    </row>
    <row r="202" spans="1:13">
      <c r="A202" s="58"/>
      <c r="G202" s="15"/>
      <c r="H202" s="37">
        <v>197</v>
      </c>
      <c r="I202" s="38" t="str">
        <f t="shared" si="15"/>
        <v/>
      </c>
      <c r="J202" s="37">
        <f t="shared" si="18"/>
        <v>-5</v>
      </c>
      <c r="K202" s="37">
        <f t="shared" si="16"/>
        <v>-50</v>
      </c>
      <c r="L202" s="37"/>
      <c r="M202" s="39">
        <f t="shared" si="17"/>
        <v>0</v>
      </c>
    </row>
    <row r="203" spans="1:13">
      <c r="A203" s="58"/>
      <c r="G203" s="15"/>
      <c r="H203" s="37">
        <v>198</v>
      </c>
      <c r="I203" s="38" t="str">
        <f t="shared" si="15"/>
        <v/>
      </c>
      <c r="J203" s="37">
        <f t="shared" si="18"/>
        <v>-5</v>
      </c>
      <c r="K203" s="37">
        <f t="shared" si="16"/>
        <v>-50</v>
      </c>
      <c r="L203" s="37"/>
      <c r="M203" s="39">
        <f t="shared" si="17"/>
        <v>0</v>
      </c>
    </row>
    <row r="204" spans="1:13">
      <c r="A204" s="58"/>
      <c r="G204" s="15"/>
      <c r="H204" s="37">
        <v>199</v>
      </c>
      <c r="I204" s="38" t="str">
        <f t="shared" si="15"/>
        <v/>
      </c>
      <c r="J204" s="37">
        <f t="shared" si="18"/>
        <v>-5</v>
      </c>
      <c r="K204" s="37">
        <f t="shared" si="16"/>
        <v>-50</v>
      </c>
      <c r="L204" s="37"/>
      <c r="M204" s="39">
        <f t="shared" si="17"/>
        <v>0</v>
      </c>
    </row>
    <row r="205" spans="1:13">
      <c r="A205" s="58"/>
      <c r="G205" s="15"/>
      <c r="H205" s="37">
        <v>200</v>
      </c>
      <c r="I205" s="38" t="str">
        <f t="shared" si="15"/>
        <v/>
      </c>
      <c r="J205" s="37">
        <f t="shared" si="18"/>
        <v>-5</v>
      </c>
      <c r="K205" s="37">
        <f t="shared" si="16"/>
        <v>-50</v>
      </c>
      <c r="L205" s="37"/>
      <c r="M205" s="39">
        <f t="shared" si="17"/>
        <v>0</v>
      </c>
    </row>
    <row r="206" spans="1:13">
      <c r="A206" s="58"/>
      <c r="G206" s="15"/>
      <c r="H206" s="37">
        <v>201</v>
      </c>
      <c r="I206" s="38" t="str">
        <f t="shared" si="15"/>
        <v/>
      </c>
      <c r="J206" s="37">
        <f t="shared" si="18"/>
        <v>-5</v>
      </c>
      <c r="K206" s="37">
        <f t="shared" si="16"/>
        <v>-50</v>
      </c>
      <c r="L206" s="37"/>
      <c r="M206" s="39">
        <f t="shared" si="17"/>
        <v>0</v>
      </c>
    </row>
    <row r="207" spans="1:13">
      <c r="A207" s="58"/>
      <c r="G207" s="15"/>
      <c r="H207" s="37">
        <v>202</v>
      </c>
      <c r="I207" s="38" t="str">
        <f t="shared" si="15"/>
        <v/>
      </c>
      <c r="J207" s="37">
        <f t="shared" si="18"/>
        <v>-5</v>
      </c>
      <c r="K207" s="37">
        <f t="shared" si="16"/>
        <v>-50</v>
      </c>
      <c r="L207" s="37"/>
      <c r="M207" s="39">
        <f t="shared" si="17"/>
        <v>0</v>
      </c>
    </row>
    <row r="208" spans="1:13">
      <c r="A208" s="58"/>
      <c r="G208" s="15"/>
      <c r="H208" s="37">
        <v>203</v>
      </c>
      <c r="I208" s="38" t="str">
        <f t="shared" si="15"/>
        <v/>
      </c>
      <c r="J208" s="37">
        <f t="shared" si="18"/>
        <v>-5</v>
      </c>
      <c r="K208" s="37">
        <f t="shared" si="16"/>
        <v>-50</v>
      </c>
      <c r="L208" s="37"/>
      <c r="M208" s="39">
        <f t="shared" si="17"/>
        <v>0</v>
      </c>
    </row>
    <row r="209" spans="1:13">
      <c r="A209" s="58"/>
      <c r="G209" s="15"/>
      <c r="H209" s="37">
        <v>204</v>
      </c>
      <c r="I209" s="38" t="str">
        <f t="shared" si="15"/>
        <v/>
      </c>
      <c r="J209" s="37">
        <f t="shared" si="18"/>
        <v>-5</v>
      </c>
      <c r="K209" s="37">
        <f t="shared" si="16"/>
        <v>-50</v>
      </c>
      <c r="L209" s="37"/>
      <c r="M209" s="39">
        <f t="shared" si="17"/>
        <v>0</v>
      </c>
    </row>
    <row r="210" spans="1:13">
      <c r="A210" s="58"/>
      <c r="G210" s="15"/>
      <c r="H210" s="37">
        <v>205</v>
      </c>
      <c r="I210" s="38" t="str">
        <f t="shared" si="15"/>
        <v/>
      </c>
      <c r="J210" s="37">
        <f t="shared" si="18"/>
        <v>-5</v>
      </c>
      <c r="K210" s="37">
        <f t="shared" si="16"/>
        <v>-50</v>
      </c>
      <c r="L210" s="37"/>
      <c r="M210" s="39">
        <f t="shared" si="17"/>
        <v>0</v>
      </c>
    </row>
    <row r="211" spans="1:13">
      <c r="A211" s="58"/>
      <c r="G211" s="15"/>
      <c r="H211" s="37">
        <v>206</v>
      </c>
      <c r="I211" s="38" t="str">
        <f t="shared" si="15"/>
        <v/>
      </c>
      <c r="J211" s="37">
        <f t="shared" si="18"/>
        <v>-5</v>
      </c>
      <c r="K211" s="37">
        <f t="shared" si="16"/>
        <v>-50</v>
      </c>
      <c r="L211" s="37"/>
      <c r="M211" s="39">
        <f t="shared" si="17"/>
        <v>0</v>
      </c>
    </row>
    <row r="212" spans="1:13">
      <c r="A212" s="58"/>
      <c r="G212" s="15"/>
      <c r="H212" s="37">
        <v>207</v>
      </c>
      <c r="I212" s="38" t="str">
        <f t="shared" si="15"/>
        <v/>
      </c>
      <c r="J212" s="37">
        <f t="shared" si="18"/>
        <v>-5</v>
      </c>
      <c r="K212" s="37">
        <f t="shared" si="16"/>
        <v>-50</v>
      </c>
      <c r="L212" s="37"/>
      <c r="M212" s="39">
        <f t="shared" si="17"/>
        <v>0</v>
      </c>
    </row>
    <row r="213" spans="1:13">
      <c r="A213" s="58"/>
      <c r="G213" s="15"/>
      <c r="H213" s="37">
        <v>208</v>
      </c>
      <c r="I213" s="38" t="str">
        <f t="shared" si="15"/>
        <v/>
      </c>
      <c r="J213" s="37">
        <f t="shared" si="18"/>
        <v>-5</v>
      </c>
      <c r="K213" s="37">
        <f t="shared" si="16"/>
        <v>-50</v>
      </c>
      <c r="L213" s="37"/>
      <c r="M213" s="39">
        <f t="shared" si="17"/>
        <v>0</v>
      </c>
    </row>
    <row r="214" spans="1:13">
      <c r="A214" s="58"/>
      <c r="G214" s="15"/>
      <c r="H214" s="37">
        <v>209</v>
      </c>
      <c r="I214" s="38" t="str">
        <f t="shared" si="15"/>
        <v/>
      </c>
      <c r="J214" s="37">
        <f t="shared" si="18"/>
        <v>-5</v>
      </c>
      <c r="K214" s="37">
        <f t="shared" si="16"/>
        <v>-50</v>
      </c>
      <c r="L214" s="37"/>
      <c r="M214" s="39">
        <f t="shared" si="17"/>
        <v>0</v>
      </c>
    </row>
    <row r="215" spans="1:13">
      <c r="A215" s="58"/>
      <c r="G215" s="15"/>
      <c r="H215" s="37">
        <v>210</v>
      </c>
      <c r="I215" s="38" t="str">
        <f t="shared" si="15"/>
        <v/>
      </c>
      <c r="J215" s="37">
        <f t="shared" si="18"/>
        <v>-5</v>
      </c>
      <c r="K215" s="37">
        <f t="shared" si="16"/>
        <v>-50</v>
      </c>
      <c r="L215" s="37"/>
      <c r="M215" s="39">
        <f t="shared" si="17"/>
        <v>0</v>
      </c>
    </row>
    <row r="216" spans="1:13">
      <c r="A216" s="58"/>
      <c r="G216" s="15"/>
      <c r="H216" s="37">
        <v>211</v>
      </c>
      <c r="I216" s="38" t="str">
        <f t="shared" si="15"/>
        <v/>
      </c>
      <c r="J216" s="37">
        <f t="shared" si="18"/>
        <v>-5</v>
      </c>
      <c r="K216" s="37">
        <f t="shared" si="16"/>
        <v>-50</v>
      </c>
      <c r="L216" s="37"/>
      <c r="M216" s="39">
        <f t="shared" si="17"/>
        <v>0</v>
      </c>
    </row>
    <row r="217" spans="1:13">
      <c r="A217" s="58"/>
      <c r="G217" s="15"/>
      <c r="H217" s="37">
        <v>212</v>
      </c>
      <c r="I217" s="38" t="str">
        <f t="shared" si="15"/>
        <v/>
      </c>
      <c r="J217" s="37">
        <f t="shared" si="18"/>
        <v>-5</v>
      </c>
      <c r="K217" s="37">
        <f t="shared" si="16"/>
        <v>-50</v>
      </c>
      <c r="L217" s="37"/>
      <c r="M217" s="39">
        <f t="shared" si="17"/>
        <v>0</v>
      </c>
    </row>
    <row r="218" spans="1:13">
      <c r="A218" s="58"/>
      <c r="G218" s="15"/>
      <c r="H218" s="37">
        <v>213</v>
      </c>
      <c r="I218" s="38" t="str">
        <f t="shared" si="15"/>
        <v/>
      </c>
      <c r="J218" s="37">
        <f t="shared" si="18"/>
        <v>-5</v>
      </c>
      <c r="K218" s="37">
        <f t="shared" si="16"/>
        <v>-50</v>
      </c>
      <c r="L218" s="37"/>
      <c r="M218" s="39">
        <f t="shared" si="17"/>
        <v>0</v>
      </c>
    </row>
    <row r="219" spans="1:13">
      <c r="A219" s="58"/>
      <c r="G219" s="15"/>
      <c r="H219" s="37">
        <v>214</v>
      </c>
      <c r="I219" s="38" t="str">
        <f t="shared" si="15"/>
        <v/>
      </c>
      <c r="J219" s="37">
        <f t="shared" si="18"/>
        <v>-5</v>
      </c>
      <c r="K219" s="37">
        <f t="shared" si="16"/>
        <v>-50</v>
      </c>
      <c r="L219" s="37"/>
      <c r="M219" s="39">
        <f t="shared" si="17"/>
        <v>0</v>
      </c>
    </row>
    <row r="220" spans="1:13">
      <c r="A220" s="58"/>
      <c r="G220" s="15"/>
      <c r="H220" s="37">
        <v>215</v>
      </c>
      <c r="I220" s="38" t="str">
        <f t="shared" si="15"/>
        <v/>
      </c>
      <c r="J220" s="37">
        <f t="shared" si="18"/>
        <v>-5</v>
      </c>
      <c r="K220" s="37">
        <f t="shared" si="16"/>
        <v>-50</v>
      </c>
      <c r="L220" s="37"/>
      <c r="M220" s="39">
        <f t="shared" si="17"/>
        <v>0</v>
      </c>
    </row>
    <row r="221" spans="1:13">
      <c r="A221" s="58"/>
      <c r="G221" s="15"/>
      <c r="H221" s="37">
        <v>216</v>
      </c>
      <c r="I221" s="38" t="str">
        <f t="shared" si="15"/>
        <v/>
      </c>
      <c r="J221" s="37">
        <f t="shared" si="18"/>
        <v>-5</v>
      </c>
      <c r="K221" s="37">
        <f t="shared" si="16"/>
        <v>-50</v>
      </c>
      <c r="L221" s="37"/>
      <c r="M221" s="39">
        <f t="shared" si="17"/>
        <v>0</v>
      </c>
    </row>
    <row r="222" spans="1:13">
      <c r="A222" s="58"/>
      <c r="G222" s="15"/>
      <c r="H222" s="37">
        <v>217</v>
      </c>
      <c r="I222" s="38" t="str">
        <f t="shared" si="15"/>
        <v/>
      </c>
      <c r="J222" s="37">
        <f t="shared" si="18"/>
        <v>-5</v>
      </c>
      <c r="K222" s="37">
        <f t="shared" si="16"/>
        <v>-50</v>
      </c>
      <c r="L222" s="37"/>
      <c r="M222" s="39">
        <f t="shared" si="17"/>
        <v>0</v>
      </c>
    </row>
    <row r="223" spans="1:13">
      <c r="A223" s="58"/>
      <c r="G223" s="15"/>
      <c r="H223" s="37">
        <v>218</v>
      </c>
      <c r="I223" s="38" t="str">
        <f t="shared" si="15"/>
        <v/>
      </c>
      <c r="J223" s="37">
        <f t="shared" si="18"/>
        <v>-5</v>
      </c>
      <c r="K223" s="37">
        <f t="shared" si="16"/>
        <v>-50</v>
      </c>
      <c r="L223" s="37"/>
      <c r="M223" s="39">
        <f t="shared" si="17"/>
        <v>0</v>
      </c>
    </row>
    <row r="224" spans="1:13">
      <c r="A224" s="58"/>
      <c r="G224" s="15"/>
      <c r="H224" s="37">
        <v>219</v>
      </c>
      <c r="I224" s="38" t="str">
        <f t="shared" si="15"/>
        <v/>
      </c>
      <c r="J224" s="37">
        <f t="shared" si="18"/>
        <v>-5</v>
      </c>
      <c r="K224" s="37">
        <f t="shared" si="16"/>
        <v>-50</v>
      </c>
      <c r="L224" s="37"/>
      <c r="M224" s="39">
        <f t="shared" si="17"/>
        <v>0</v>
      </c>
    </row>
    <row r="225" spans="1:13">
      <c r="A225" s="58"/>
      <c r="G225" s="15"/>
      <c r="H225" s="37">
        <v>220</v>
      </c>
      <c r="I225" s="38" t="str">
        <f t="shared" si="15"/>
        <v/>
      </c>
      <c r="J225" s="37">
        <f t="shared" si="18"/>
        <v>-5</v>
      </c>
      <c r="K225" s="37">
        <f t="shared" si="16"/>
        <v>-50</v>
      </c>
      <c r="L225" s="37"/>
      <c r="M225" s="39">
        <f t="shared" si="17"/>
        <v>0</v>
      </c>
    </row>
    <row r="226" spans="1:13">
      <c r="A226" s="58"/>
      <c r="G226" s="15"/>
      <c r="H226" s="37">
        <v>221</v>
      </c>
      <c r="I226" s="38" t="str">
        <f t="shared" si="15"/>
        <v/>
      </c>
      <c r="J226" s="37">
        <f t="shared" si="18"/>
        <v>-5</v>
      </c>
      <c r="K226" s="37">
        <f t="shared" si="16"/>
        <v>-50</v>
      </c>
      <c r="L226" s="37"/>
      <c r="M226" s="39">
        <f t="shared" si="17"/>
        <v>0</v>
      </c>
    </row>
    <row r="227" spans="1:13">
      <c r="A227" s="58"/>
      <c r="G227" s="15"/>
      <c r="H227" s="37">
        <v>222</v>
      </c>
      <c r="I227" s="38" t="str">
        <f t="shared" si="15"/>
        <v/>
      </c>
      <c r="J227" s="37">
        <f t="shared" si="18"/>
        <v>-5</v>
      </c>
      <c r="K227" s="37">
        <f t="shared" si="16"/>
        <v>-50</v>
      </c>
      <c r="L227" s="37"/>
      <c r="M227" s="39">
        <f t="shared" si="17"/>
        <v>0</v>
      </c>
    </row>
    <row r="228" spans="1:13">
      <c r="A228" s="58"/>
      <c r="G228" s="15"/>
      <c r="H228" s="37">
        <v>223</v>
      </c>
      <c r="I228" s="38" t="str">
        <f t="shared" si="15"/>
        <v/>
      </c>
      <c r="J228" s="37">
        <f t="shared" si="18"/>
        <v>-5</v>
      </c>
      <c r="K228" s="37">
        <f t="shared" si="16"/>
        <v>-50</v>
      </c>
      <c r="L228" s="37"/>
      <c r="M228" s="39">
        <f t="shared" si="17"/>
        <v>0</v>
      </c>
    </row>
    <row r="229" spans="1:13">
      <c r="A229" s="58"/>
      <c r="G229" s="15"/>
      <c r="H229" s="37">
        <v>224</v>
      </c>
      <c r="I229" s="38" t="str">
        <f t="shared" si="15"/>
        <v/>
      </c>
      <c r="J229" s="37">
        <f t="shared" si="18"/>
        <v>-5</v>
      </c>
      <c r="K229" s="37">
        <f t="shared" si="16"/>
        <v>-50</v>
      </c>
      <c r="L229" s="37"/>
      <c r="M229" s="39">
        <f t="shared" si="17"/>
        <v>0</v>
      </c>
    </row>
    <row r="230" spans="1:13">
      <c r="A230" s="58"/>
      <c r="G230" s="15"/>
      <c r="H230" s="37">
        <v>225</v>
      </c>
      <c r="I230" s="38" t="str">
        <f t="shared" si="15"/>
        <v/>
      </c>
      <c r="J230" s="37">
        <f t="shared" si="18"/>
        <v>-5</v>
      </c>
      <c r="K230" s="37">
        <f t="shared" si="16"/>
        <v>-50</v>
      </c>
      <c r="L230" s="37"/>
      <c r="M230" s="39">
        <f t="shared" si="17"/>
        <v>0</v>
      </c>
    </row>
    <row r="231" spans="1:13">
      <c r="A231" s="58"/>
      <c r="G231" s="15"/>
      <c r="H231" s="37">
        <v>226</v>
      </c>
      <c r="I231" s="38" t="str">
        <f t="shared" si="15"/>
        <v/>
      </c>
      <c r="J231" s="37">
        <f t="shared" si="18"/>
        <v>-5</v>
      </c>
      <c r="K231" s="37">
        <f t="shared" si="16"/>
        <v>-50</v>
      </c>
      <c r="L231" s="37"/>
      <c r="M231" s="39">
        <f t="shared" si="17"/>
        <v>0</v>
      </c>
    </row>
    <row r="232" spans="1:13">
      <c r="A232" s="58"/>
      <c r="G232" s="15"/>
      <c r="H232" s="37">
        <v>227</v>
      </c>
      <c r="I232" s="38" t="str">
        <f t="shared" si="15"/>
        <v/>
      </c>
      <c r="J232" s="37">
        <f t="shared" si="18"/>
        <v>-5</v>
      </c>
      <c r="K232" s="37">
        <f t="shared" si="16"/>
        <v>-50</v>
      </c>
      <c r="L232" s="37"/>
      <c r="M232" s="39">
        <f t="shared" si="17"/>
        <v>0</v>
      </c>
    </row>
    <row r="233" spans="1:13">
      <c r="A233" s="58"/>
      <c r="G233" s="15"/>
      <c r="H233" s="37">
        <v>228</v>
      </c>
      <c r="I233" s="38" t="str">
        <f t="shared" si="15"/>
        <v/>
      </c>
      <c r="J233" s="37">
        <f t="shared" si="18"/>
        <v>-5</v>
      </c>
      <c r="K233" s="37">
        <f t="shared" si="16"/>
        <v>-50</v>
      </c>
      <c r="L233" s="37"/>
      <c r="M233" s="39">
        <f t="shared" si="17"/>
        <v>0</v>
      </c>
    </row>
    <row r="234" spans="1:13">
      <c r="A234" s="58"/>
      <c r="G234" s="15"/>
      <c r="H234" s="37">
        <v>229</v>
      </c>
      <c r="I234" s="38" t="str">
        <f t="shared" si="15"/>
        <v/>
      </c>
      <c r="J234" s="37">
        <f t="shared" si="18"/>
        <v>-5</v>
      </c>
      <c r="K234" s="37">
        <f t="shared" si="16"/>
        <v>-50</v>
      </c>
      <c r="L234" s="37"/>
      <c r="M234" s="39">
        <f t="shared" si="17"/>
        <v>0</v>
      </c>
    </row>
    <row r="235" spans="1:13">
      <c r="A235" s="58"/>
      <c r="G235" s="15"/>
      <c r="H235" s="37">
        <v>230</v>
      </c>
      <c r="I235" s="38" t="str">
        <f t="shared" si="15"/>
        <v/>
      </c>
      <c r="J235" s="37">
        <f t="shared" si="18"/>
        <v>-5</v>
      </c>
      <c r="K235" s="37">
        <f t="shared" si="16"/>
        <v>-50</v>
      </c>
      <c r="L235" s="37"/>
      <c r="M235" s="39">
        <f t="shared" si="17"/>
        <v>0</v>
      </c>
    </row>
    <row r="236" spans="1:13">
      <c r="A236" s="58"/>
      <c r="G236" s="15"/>
      <c r="H236" s="37">
        <v>231</v>
      </c>
      <c r="I236" s="38" t="str">
        <f t="shared" si="15"/>
        <v/>
      </c>
      <c r="J236" s="37">
        <f t="shared" si="18"/>
        <v>-5</v>
      </c>
      <c r="K236" s="37">
        <f t="shared" si="16"/>
        <v>-50</v>
      </c>
      <c r="L236" s="37"/>
      <c r="M236" s="39">
        <f t="shared" si="17"/>
        <v>0</v>
      </c>
    </row>
    <row r="237" spans="1:13">
      <c r="A237" s="58"/>
      <c r="G237" s="15"/>
      <c r="H237" s="37">
        <v>232</v>
      </c>
      <c r="I237" s="38" t="str">
        <f t="shared" si="15"/>
        <v/>
      </c>
      <c r="J237" s="37">
        <f t="shared" si="18"/>
        <v>-5</v>
      </c>
      <c r="K237" s="37">
        <f t="shared" si="16"/>
        <v>-50</v>
      </c>
      <c r="L237" s="37"/>
      <c r="M237" s="39">
        <f t="shared" si="17"/>
        <v>0</v>
      </c>
    </row>
    <row r="238" spans="1:13">
      <c r="A238" s="58"/>
      <c r="G238" s="15"/>
      <c r="H238" s="37">
        <v>233</v>
      </c>
      <c r="I238" s="38" t="str">
        <f t="shared" si="15"/>
        <v/>
      </c>
      <c r="J238" s="37">
        <f t="shared" si="18"/>
        <v>-5</v>
      </c>
      <c r="K238" s="37">
        <f t="shared" si="16"/>
        <v>-50</v>
      </c>
      <c r="L238" s="37"/>
      <c r="M238" s="39">
        <f t="shared" si="17"/>
        <v>0</v>
      </c>
    </row>
    <row r="239" spans="1:13">
      <c r="A239" s="58"/>
      <c r="G239" s="15"/>
      <c r="H239" s="37">
        <v>234</v>
      </c>
      <c r="I239" s="38" t="str">
        <f t="shared" si="15"/>
        <v/>
      </c>
      <c r="J239" s="37">
        <f t="shared" si="18"/>
        <v>-5</v>
      </c>
      <c r="K239" s="37">
        <f t="shared" si="16"/>
        <v>-50</v>
      </c>
      <c r="L239" s="37"/>
      <c r="M239" s="39">
        <f t="shared" si="17"/>
        <v>0</v>
      </c>
    </row>
    <row r="240" spans="1:13">
      <c r="A240" s="58"/>
      <c r="G240" s="15"/>
      <c r="H240" s="37">
        <v>235</v>
      </c>
      <c r="I240" s="38" t="str">
        <f t="shared" si="15"/>
        <v/>
      </c>
      <c r="J240" s="37">
        <f t="shared" si="18"/>
        <v>-5</v>
      </c>
      <c r="K240" s="37">
        <f t="shared" si="16"/>
        <v>-50</v>
      </c>
      <c r="L240" s="37"/>
      <c r="M240" s="39">
        <f t="shared" si="17"/>
        <v>0</v>
      </c>
    </row>
    <row r="241" spans="1:13">
      <c r="A241" s="58"/>
      <c r="G241" s="15"/>
      <c r="H241" s="37">
        <v>236</v>
      </c>
      <c r="I241" s="38" t="str">
        <f t="shared" si="15"/>
        <v/>
      </c>
      <c r="J241" s="37">
        <f t="shared" si="18"/>
        <v>-5</v>
      </c>
      <c r="K241" s="37">
        <f t="shared" si="16"/>
        <v>-50</v>
      </c>
      <c r="L241" s="37"/>
      <c r="M241" s="39">
        <f t="shared" si="17"/>
        <v>0</v>
      </c>
    </row>
    <row r="242" spans="1:13">
      <c r="A242" s="58"/>
      <c r="G242" s="15"/>
      <c r="H242" s="37">
        <v>237</v>
      </c>
      <c r="I242" s="38" t="str">
        <f t="shared" si="15"/>
        <v/>
      </c>
      <c r="J242" s="37">
        <f t="shared" si="18"/>
        <v>-5</v>
      </c>
      <c r="K242" s="37">
        <f t="shared" si="16"/>
        <v>-50</v>
      </c>
      <c r="L242" s="37"/>
      <c r="M242" s="39">
        <f t="shared" si="17"/>
        <v>0</v>
      </c>
    </row>
    <row r="243" spans="1:13">
      <c r="A243" s="58"/>
      <c r="G243" s="15"/>
      <c r="H243" s="37">
        <v>238</v>
      </c>
      <c r="I243" s="38" t="str">
        <f t="shared" si="15"/>
        <v/>
      </c>
      <c r="J243" s="37">
        <f t="shared" si="18"/>
        <v>-5</v>
      </c>
      <c r="K243" s="37">
        <f t="shared" si="16"/>
        <v>-50</v>
      </c>
      <c r="L243" s="37"/>
      <c r="M243" s="39">
        <f t="shared" si="17"/>
        <v>0</v>
      </c>
    </row>
    <row r="244" spans="1:13">
      <c r="A244" s="58"/>
      <c r="G244" s="15"/>
      <c r="H244" s="37">
        <v>239</v>
      </c>
      <c r="I244" s="38" t="str">
        <f t="shared" si="15"/>
        <v/>
      </c>
      <c r="J244" s="37">
        <f t="shared" si="18"/>
        <v>-5</v>
      </c>
      <c r="K244" s="37">
        <f t="shared" si="16"/>
        <v>-50</v>
      </c>
      <c r="L244" s="37"/>
      <c r="M244" s="39">
        <f t="shared" si="17"/>
        <v>0</v>
      </c>
    </row>
    <row r="245" spans="1:13">
      <c r="A245" s="58"/>
      <c r="G245" s="15"/>
      <c r="H245" s="37">
        <v>240</v>
      </c>
      <c r="I245" s="38" t="str">
        <f t="shared" si="15"/>
        <v/>
      </c>
      <c r="J245" s="37">
        <f t="shared" si="18"/>
        <v>-5</v>
      </c>
      <c r="K245" s="37">
        <f t="shared" si="16"/>
        <v>-50</v>
      </c>
      <c r="L245" s="37"/>
      <c r="M245" s="39">
        <f t="shared" si="17"/>
        <v>0</v>
      </c>
    </row>
    <row r="246" spans="1:13">
      <c r="A246" s="58"/>
      <c r="G246" s="15"/>
      <c r="H246" s="37">
        <v>241</v>
      </c>
      <c r="I246" s="38" t="str">
        <f t="shared" si="15"/>
        <v/>
      </c>
      <c r="J246" s="37">
        <f t="shared" si="18"/>
        <v>-5</v>
      </c>
      <c r="K246" s="37">
        <f t="shared" si="16"/>
        <v>-50</v>
      </c>
      <c r="L246" s="37"/>
      <c r="M246" s="39">
        <f t="shared" si="17"/>
        <v>0</v>
      </c>
    </row>
    <row r="247" spans="1:13">
      <c r="A247" s="58"/>
      <c r="G247" s="15"/>
      <c r="H247" s="37">
        <v>242</v>
      </c>
      <c r="I247" s="38" t="str">
        <f t="shared" si="15"/>
        <v/>
      </c>
      <c r="J247" s="37">
        <f t="shared" si="18"/>
        <v>-5</v>
      </c>
      <c r="K247" s="37">
        <f t="shared" si="16"/>
        <v>-50</v>
      </c>
      <c r="L247" s="37"/>
      <c r="M247" s="39">
        <f t="shared" si="17"/>
        <v>0</v>
      </c>
    </row>
    <row r="248" spans="1:13">
      <c r="A248" s="58"/>
      <c r="G248" s="15"/>
      <c r="H248" s="37">
        <v>243</v>
      </c>
      <c r="I248" s="38" t="str">
        <f t="shared" si="15"/>
        <v/>
      </c>
      <c r="J248" s="37">
        <f t="shared" si="18"/>
        <v>-5</v>
      </c>
      <c r="K248" s="37">
        <f t="shared" si="16"/>
        <v>-50</v>
      </c>
      <c r="L248" s="37"/>
      <c r="M248" s="39">
        <f t="shared" si="17"/>
        <v>0</v>
      </c>
    </row>
    <row r="249" spans="1:13">
      <c r="A249" s="58"/>
      <c r="G249" s="15"/>
      <c r="H249" s="37">
        <v>244</v>
      </c>
      <c r="I249" s="38" t="str">
        <f t="shared" si="15"/>
        <v/>
      </c>
      <c r="J249" s="37">
        <f t="shared" si="18"/>
        <v>-5</v>
      </c>
      <c r="K249" s="37">
        <f t="shared" si="16"/>
        <v>-50</v>
      </c>
      <c r="L249" s="37"/>
      <c r="M249" s="39">
        <f t="shared" si="17"/>
        <v>0</v>
      </c>
    </row>
    <row r="250" spans="1:13">
      <c r="A250" s="58"/>
      <c r="G250" s="15"/>
      <c r="H250" s="37">
        <v>245</v>
      </c>
      <c r="I250" s="38" t="str">
        <f t="shared" si="15"/>
        <v/>
      </c>
      <c r="J250" s="37">
        <f t="shared" si="18"/>
        <v>-5</v>
      </c>
      <c r="K250" s="37">
        <f t="shared" si="16"/>
        <v>-50</v>
      </c>
      <c r="L250" s="37"/>
      <c r="M250" s="39">
        <f t="shared" si="17"/>
        <v>0</v>
      </c>
    </row>
    <row r="251" spans="1:13">
      <c r="A251" s="58"/>
      <c r="G251" s="15"/>
      <c r="H251" s="37">
        <v>246</v>
      </c>
      <c r="I251" s="38" t="str">
        <f t="shared" si="15"/>
        <v/>
      </c>
      <c r="J251" s="37">
        <f t="shared" si="18"/>
        <v>-5</v>
      </c>
      <c r="K251" s="37">
        <f t="shared" si="16"/>
        <v>-50</v>
      </c>
      <c r="L251" s="37"/>
      <c r="M251" s="39">
        <f t="shared" si="17"/>
        <v>0</v>
      </c>
    </row>
    <row r="252" spans="1:13">
      <c r="A252" s="58"/>
      <c r="G252" s="15"/>
      <c r="H252" s="37">
        <v>247</v>
      </c>
      <c r="I252" s="38" t="str">
        <f t="shared" si="15"/>
        <v/>
      </c>
      <c r="J252" s="37">
        <f t="shared" si="18"/>
        <v>-5</v>
      </c>
      <c r="K252" s="37">
        <f t="shared" si="16"/>
        <v>-50</v>
      </c>
      <c r="L252" s="37"/>
      <c r="M252" s="39">
        <f t="shared" si="17"/>
        <v>0</v>
      </c>
    </row>
    <row r="253" spans="1:13">
      <c r="A253" s="58"/>
      <c r="G253" s="15"/>
      <c r="H253" s="37">
        <v>248</v>
      </c>
      <c r="I253" s="38" t="str">
        <f t="shared" si="15"/>
        <v/>
      </c>
      <c r="J253" s="37">
        <f t="shared" si="18"/>
        <v>-5</v>
      </c>
      <c r="K253" s="37">
        <f t="shared" si="16"/>
        <v>-50</v>
      </c>
      <c r="L253" s="37"/>
      <c r="M253" s="39">
        <f t="shared" si="17"/>
        <v>0</v>
      </c>
    </row>
    <row r="254" spans="1:13">
      <c r="A254" s="58"/>
      <c r="G254" s="15"/>
      <c r="H254" s="37">
        <v>249</v>
      </c>
      <c r="I254" s="38" t="str">
        <f t="shared" si="15"/>
        <v/>
      </c>
      <c r="J254" s="37">
        <f t="shared" si="18"/>
        <v>-5</v>
      </c>
      <c r="K254" s="37">
        <f t="shared" si="16"/>
        <v>-50</v>
      </c>
      <c r="L254" s="37"/>
      <c r="M254" s="39">
        <f t="shared" si="17"/>
        <v>0</v>
      </c>
    </row>
    <row r="255" spans="1:13">
      <c r="A255" s="58"/>
      <c r="G255" s="15"/>
      <c r="H255" s="37">
        <v>250</v>
      </c>
      <c r="I255" s="38" t="str">
        <f t="shared" si="15"/>
        <v/>
      </c>
      <c r="J255" s="37">
        <f t="shared" si="18"/>
        <v>-5</v>
      </c>
      <c r="K255" s="37">
        <f t="shared" si="16"/>
        <v>-50</v>
      </c>
      <c r="L255" s="37"/>
      <c r="M255" s="39">
        <f t="shared" si="17"/>
        <v>0</v>
      </c>
    </row>
    <row r="256" spans="1:13">
      <c r="A256" s="58"/>
      <c r="G256" s="15"/>
      <c r="H256" s="37">
        <v>251</v>
      </c>
      <c r="I256" s="38" t="str">
        <f t="shared" si="15"/>
        <v/>
      </c>
      <c r="J256" s="37">
        <f t="shared" si="18"/>
        <v>-5</v>
      </c>
      <c r="K256" s="37">
        <f t="shared" si="16"/>
        <v>-50</v>
      </c>
      <c r="L256" s="37"/>
      <c r="M256" s="39">
        <f t="shared" si="17"/>
        <v>0</v>
      </c>
    </row>
    <row r="257" spans="1:13">
      <c r="A257" s="58"/>
      <c r="G257" s="15"/>
      <c r="H257" s="37">
        <v>252</v>
      </c>
      <c r="I257" s="38" t="str">
        <f t="shared" si="15"/>
        <v/>
      </c>
      <c r="J257" s="37">
        <f t="shared" si="18"/>
        <v>-5</v>
      </c>
      <c r="K257" s="37">
        <f t="shared" si="16"/>
        <v>-50</v>
      </c>
      <c r="L257" s="37"/>
      <c r="M257" s="39">
        <f t="shared" si="17"/>
        <v>0</v>
      </c>
    </row>
    <row r="258" spans="1:13">
      <c r="A258" s="58"/>
      <c r="G258" s="15"/>
      <c r="H258" s="37">
        <v>253</v>
      </c>
      <c r="I258" s="38" t="str">
        <f t="shared" si="15"/>
        <v/>
      </c>
      <c r="J258" s="37">
        <f t="shared" si="18"/>
        <v>-5</v>
      </c>
      <c r="K258" s="37">
        <f t="shared" si="16"/>
        <v>-50</v>
      </c>
      <c r="L258" s="37"/>
      <c r="M258" s="39">
        <f t="shared" si="17"/>
        <v>0</v>
      </c>
    </row>
    <row r="259" spans="1:13">
      <c r="A259" s="58"/>
      <c r="G259" s="15"/>
      <c r="H259" s="37">
        <v>254</v>
      </c>
      <c r="I259" s="38" t="str">
        <f t="shared" si="15"/>
        <v/>
      </c>
      <c r="J259" s="37">
        <f t="shared" si="18"/>
        <v>-5</v>
      </c>
      <c r="K259" s="37">
        <f t="shared" si="16"/>
        <v>-50</v>
      </c>
      <c r="L259" s="37"/>
      <c r="M259" s="39">
        <f t="shared" si="17"/>
        <v>0</v>
      </c>
    </row>
    <row r="260" spans="1:13">
      <c r="A260" s="58"/>
      <c r="G260" s="15"/>
      <c r="H260" s="37">
        <v>255</v>
      </c>
      <c r="I260" s="38" t="str">
        <f t="shared" si="15"/>
        <v/>
      </c>
      <c r="J260" s="37">
        <f t="shared" si="18"/>
        <v>-5</v>
      </c>
      <c r="K260" s="37">
        <f t="shared" si="16"/>
        <v>-50</v>
      </c>
      <c r="L260" s="37"/>
      <c r="M260" s="39">
        <f t="shared" si="17"/>
        <v>0</v>
      </c>
    </row>
    <row r="261" spans="1:13">
      <c r="A261" s="58"/>
      <c r="G261" s="15"/>
      <c r="H261" s="37">
        <v>256</v>
      </c>
      <c r="I261" s="38" t="str">
        <f t="shared" si="15"/>
        <v/>
      </c>
      <c r="J261" s="37">
        <f t="shared" si="18"/>
        <v>-5</v>
      </c>
      <c r="K261" s="37">
        <f t="shared" si="16"/>
        <v>-50</v>
      </c>
      <c r="L261" s="37"/>
      <c r="M261" s="39">
        <f t="shared" si="17"/>
        <v>0</v>
      </c>
    </row>
    <row r="262" spans="1:13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>
        <f t="shared" si="18"/>
        <v>-6</v>
      </c>
      <c r="K262" s="37">
        <f t="shared" ref="K262:K305" si="20">J262*$J$2</f>
        <v>-60</v>
      </c>
      <c r="L262" s="37"/>
      <c r="M262" s="39">
        <f t="shared" ref="M262:M305" si="21">IF(I262&lt;&gt;"",K262+I262+L262,0)</f>
        <v>0</v>
      </c>
    </row>
    <row r="263" spans="1:13">
      <c r="A263" s="58"/>
      <c r="G263" s="15"/>
      <c r="H263" s="37">
        <v>258</v>
      </c>
      <c r="I263" s="38" t="str">
        <f t="shared" si="19"/>
        <v/>
      </c>
      <c r="J263" s="37">
        <f t="shared" ref="J263:J305" si="22">INT(LOG($H$2,2))-ROUNDUP(LOG(H263,2),0)+IF(OR($H$2=1,$H$2=2,$H$2=4,$H$2=8,$H$2=16,$H$2=32,$H$2=64,$H$2=128,$H$2=256),0,1)</f>
        <v>-6</v>
      </c>
      <c r="K263" s="37">
        <f t="shared" si="20"/>
        <v>-60</v>
      </c>
      <c r="L263" s="37"/>
      <c r="M263" s="39">
        <f t="shared" si="21"/>
        <v>0</v>
      </c>
    </row>
    <row r="264" spans="1:13">
      <c r="A264" s="58"/>
      <c r="G264" s="15"/>
      <c r="H264" s="37">
        <v>259</v>
      </c>
      <c r="I264" s="38" t="str">
        <f t="shared" si="19"/>
        <v/>
      </c>
      <c r="J264" s="37">
        <f t="shared" si="22"/>
        <v>-6</v>
      </c>
      <c r="K264" s="37">
        <f t="shared" si="20"/>
        <v>-60</v>
      </c>
      <c r="L264" s="37"/>
      <c r="M264" s="39">
        <f t="shared" si="21"/>
        <v>0</v>
      </c>
    </row>
    <row r="265" spans="1:13">
      <c r="A265" s="58"/>
      <c r="G265" s="15"/>
      <c r="H265" s="37">
        <v>260</v>
      </c>
      <c r="I265" s="38" t="str">
        <f t="shared" si="19"/>
        <v/>
      </c>
      <c r="J265" s="37">
        <f t="shared" si="22"/>
        <v>-6</v>
      </c>
      <c r="K265" s="37">
        <f t="shared" si="20"/>
        <v>-60</v>
      </c>
      <c r="L265" s="37"/>
      <c r="M265" s="39">
        <f t="shared" si="21"/>
        <v>0</v>
      </c>
    </row>
    <row r="266" spans="1:13">
      <c r="A266" s="58"/>
      <c r="G266" s="15"/>
      <c r="H266" s="37">
        <v>261</v>
      </c>
      <c r="I266" s="38" t="str">
        <f t="shared" si="19"/>
        <v/>
      </c>
      <c r="J266" s="37">
        <f t="shared" si="22"/>
        <v>-6</v>
      </c>
      <c r="K266" s="37">
        <f t="shared" si="20"/>
        <v>-60</v>
      </c>
      <c r="L266" s="37"/>
      <c r="M266" s="39">
        <f t="shared" si="21"/>
        <v>0</v>
      </c>
    </row>
    <row r="267" spans="1:13">
      <c r="A267" s="58"/>
      <c r="G267" s="15"/>
      <c r="H267" s="37">
        <v>262</v>
      </c>
      <c r="I267" s="38" t="str">
        <f t="shared" si="19"/>
        <v/>
      </c>
      <c r="J267" s="37">
        <f t="shared" si="22"/>
        <v>-6</v>
      </c>
      <c r="K267" s="37">
        <f t="shared" si="20"/>
        <v>-60</v>
      </c>
      <c r="L267" s="37"/>
      <c r="M267" s="39">
        <f t="shared" si="21"/>
        <v>0</v>
      </c>
    </row>
    <row r="268" spans="1:13">
      <c r="A268" s="58"/>
      <c r="G268" s="15"/>
      <c r="H268" s="37">
        <v>263</v>
      </c>
      <c r="I268" s="38" t="str">
        <f t="shared" si="19"/>
        <v/>
      </c>
      <c r="J268" s="37">
        <f t="shared" si="22"/>
        <v>-6</v>
      </c>
      <c r="K268" s="37">
        <f t="shared" si="20"/>
        <v>-60</v>
      </c>
      <c r="L268" s="37"/>
      <c r="M268" s="39">
        <f t="shared" si="21"/>
        <v>0</v>
      </c>
    </row>
    <row r="269" spans="1:13">
      <c r="A269" s="58"/>
      <c r="G269" s="15"/>
      <c r="H269" s="37">
        <v>264</v>
      </c>
      <c r="I269" s="38" t="str">
        <f t="shared" si="19"/>
        <v/>
      </c>
      <c r="J269" s="37">
        <f t="shared" si="22"/>
        <v>-6</v>
      </c>
      <c r="K269" s="37">
        <f t="shared" si="20"/>
        <v>-60</v>
      </c>
      <c r="L269" s="37"/>
      <c r="M269" s="39">
        <f t="shared" si="21"/>
        <v>0</v>
      </c>
    </row>
    <row r="270" spans="1:13">
      <c r="A270" s="58"/>
      <c r="G270" s="15"/>
      <c r="H270" s="37">
        <v>265</v>
      </c>
      <c r="I270" s="38" t="str">
        <f t="shared" si="19"/>
        <v/>
      </c>
      <c r="J270" s="37">
        <f t="shared" si="22"/>
        <v>-6</v>
      </c>
      <c r="K270" s="37">
        <f t="shared" si="20"/>
        <v>-60</v>
      </c>
      <c r="L270" s="37"/>
      <c r="M270" s="39">
        <f t="shared" si="21"/>
        <v>0</v>
      </c>
    </row>
    <row r="271" spans="1:13">
      <c r="A271" s="58"/>
      <c r="G271" s="15"/>
      <c r="H271" s="37">
        <v>266</v>
      </c>
      <c r="I271" s="38" t="str">
        <f t="shared" si="19"/>
        <v/>
      </c>
      <c r="J271" s="37">
        <f t="shared" si="22"/>
        <v>-6</v>
      </c>
      <c r="K271" s="37">
        <f t="shared" si="20"/>
        <v>-60</v>
      </c>
      <c r="L271" s="37"/>
      <c r="M271" s="39">
        <f t="shared" si="21"/>
        <v>0</v>
      </c>
    </row>
    <row r="272" spans="1:13">
      <c r="A272" s="58"/>
      <c r="G272" s="15"/>
      <c r="H272" s="37">
        <v>267</v>
      </c>
      <c r="I272" s="38" t="str">
        <f t="shared" si="19"/>
        <v/>
      </c>
      <c r="J272" s="37">
        <f t="shared" si="22"/>
        <v>-6</v>
      </c>
      <c r="K272" s="37">
        <f t="shared" si="20"/>
        <v>-60</v>
      </c>
      <c r="L272" s="37"/>
      <c r="M272" s="39">
        <f t="shared" si="21"/>
        <v>0</v>
      </c>
    </row>
    <row r="273" spans="1:13">
      <c r="A273" s="58"/>
      <c r="G273" s="15"/>
      <c r="H273" s="37">
        <v>268</v>
      </c>
      <c r="I273" s="38" t="str">
        <f t="shared" si="19"/>
        <v/>
      </c>
      <c r="J273" s="37">
        <f t="shared" si="22"/>
        <v>-6</v>
      </c>
      <c r="K273" s="37">
        <f t="shared" si="20"/>
        <v>-60</v>
      </c>
      <c r="L273" s="37"/>
      <c r="M273" s="39">
        <f t="shared" si="21"/>
        <v>0</v>
      </c>
    </row>
    <row r="274" spans="1:13">
      <c r="A274" s="58"/>
      <c r="G274" s="15"/>
      <c r="H274" s="37">
        <v>269</v>
      </c>
      <c r="I274" s="38" t="str">
        <f t="shared" si="19"/>
        <v/>
      </c>
      <c r="J274" s="37">
        <f t="shared" si="22"/>
        <v>-6</v>
      </c>
      <c r="K274" s="37">
        <f t="shared" si="20"/>
        <v>-60</v>
      </c>
      <c r="L274" s="37"/>
      <c r="M274" s="39">
        <f t="shared" si="21"/>
        <v>0</v>
      </c>
    </row>
    <row r="275" spans="1:13">
      <c r="A275" s="58"/>
      <c r="G275" s="15"/>
      <c r="H275" s="37">
        <v>270</v>
      </c>
      <c r="I275" s="38" t="str">
        <f t="shared" si="19"/>
        <v/>
      </c>
      <c r="J275" s="37">
        <f t="shared" si="22"/>
        <v>-6</v>
      </c>
      <c r="K275" s="37">
        <f t="shared" si="20"/>
        <v>-60</v>
      </c>
      <c r="L275" s="37"/>
      <c r="M275" s="39">
        <f t="shared" si="21"/>
        <v>0</v>
      </c>
    </row>
    <row r="276" spans="1:13">
      <c r="A276" s="58"/>
      <c r="G276" s="15"/>
      <c r="H276" s="37">
        <v>271</v>
      </c>
      <c r="I276" s="38" t="str">
        <f t="shared" si="19"/>
        <v/>
      </c>
      <c r="J276" s="37">
        <f t="shared" si="22"/>
        <v>-6</v>
      </c>
      <c r="K276" s="37">
        <f t="shared" si="20"/>
        <v>-60</v>
      </c>
      <c r="L276" s="37"/>
      <c r="M276" s="39">
        <f t="shared" si="21"/>
        <v>0</v>
      </c>
    </row>
    <row r="277" spans="1:13">
      <c r="A277" s="58"/>
      <c r="G277" s="15"/>
      <c r="H277" s="37">
        <v>272</v>
      </c>
      <c r="I277" s="38" t="str">
        <f t="shared" si="19"/>
        <v/>
      </c>
      <c r="J277" s="37">
        <f t="shared" si="22"/>
        <v>-6</v>
      </c>
      <c r="K277" s="37">
        <f t="shared" si="20"/>
        <v>-60</v>
      </c>
      <c r="L277" s="37"/>
      <c r="M277" s="39">
        <f t="shared" si="21"/>
        <v>0</v>
      </c>
    </row>
    <row r="278" spans="1:13">
      <c r="A278" s="58"/>
      <c r="G278" s="15"/>
      <c r="H278" s="37">
        <v>273</v>
      </c>
      <c r="I278" s="38" t="str">
        <f t="shared" si="19"/>
        <v/>
      </c>
      <c r="J278" s="37">
        <f t="shared" si="22"/>
        <v>-6</v>
      </c>
      <c r="K278" s="37">
        <f t="shared" si="20"/>
        <v>-60</v>
      </c>
      <c r="L278" s="37"/>
      <c r="M278" s="39">
        <f t="shared" si="21"/>
        <v>0</v>
      </c>
    </row>
    <row r="279" spans="1:13">
      <c r="A279" s="58"/>
      <c r="G279" s="15"/>
      <c r="H279" s="37">
        <v>274</v>
      </c>
      <c r="I279" s="38" t="str">
        <f t="shared" si="19"/>
        <v/>
      </c>
      <c r="J279" s="37">
        <f t="shared" si="22"/>
        <v>-6</v>
      </c>
      <c r="K279" s="37">
        <f t="shared" si="20"/>
        <v>-60</v>
      </c>
      <c r="L279" s="37"/>
      <c r="M279" s="39">
        <f t="shared" si="21"/>
        <v>0</v>
      </c>
    </row>
    <row r="280" spans="1:13">
      <c r="A280" s="58"/>
      <c r="G280" s="15"/>
      <c r="H280" s="37">
        <v>275</v>
      </c>
      <c r="I280" s="38" t="str">
        <f t="shared" si="19"/>
        <v/>
      </c>
      <c r="J280" s="37">
        <f t="shared" si="22"/>
        <v>-6</v>
      </c>
      <c r="K280" s="37">
        <f t="shared" si="20"/>
        <v>-60</v>
      </c>
      <c r="L280" s="37"/>
      <c r="M280" s="39">
        <f t="shared" si="21"/>
        <v>0</v>
      </c>
    </row>
    <row r="281" spans="1:13">
      <c r="A281" s="58"/>
      <c r="G281" s="15"/>
      <c r="H281" s="37">
        <v>276</v>
      </c>
      <c r="I281" s="38" t="str">
        <f t="shared" si="19"/>
        <v/>
      </c>
      <c r="J281" s="37">
        <f t="shared" si="22"/>
        <v>-6</v>
      </c>
      <c r="K281" s="37">
        <f t="shared" si="20"/>
        <v>-60</v>
      </c>
      <c r="L281" s="37"/>
      <c r="M281" s="39">
        <f t="shared" si="21"/>
        <v>0</v>
      </c>
    </row>
    <row r="282" spans="1:13">
      <c r="A282" s="58"/>
      <c r="G282" s="15"/>
      <c r="H282" s="37">
        <v>277</v>
      </c>
      <c r="I282" s="38" t="str">
        <f t="shared" si="19"/>
        <v/>
      </c>
      <c r="J282" s="37">
        <f t="shared" si="22"/>
        <v>-6</v>
      </c>
      <c r="K282" s="37">
        <f t="shared" si="20"/>
        <v>-60</v>
      </c>
      <c r="L282" s="37"/>
      <c r="M282" s="39">
        <f t="shared" si="21"/>
        <v>0</v>
      </c>
    </row>
    <row r="283" spans="1:13">
      <c r="A283" s="58"/>
      <c r="G283" s="15"/>
      <c r="H283" s="37">
        <v>278</v>
      </c>
      <c r="I283" s="38" t="str">
        <f t="shared" si="19"/>
        <v/>
      </c>
      <c r="J283" s="37">
        <f t="shared" si="22"/>
        <v>-6</v>
      </c>
      <c r="K283" s="37">
        <f t="shared" si="20"/>
        <v>-60</v>
      </c>
      <c r="L283" s="37"/>
      <c r="M283" s="39">
        <f t="shared" si="21"/>
        <v>0</v>
      </c>
    </row>
    <row r="284" spans="1:13">
      <c r="A284" s="58"/>
      <c r="G284" s="15"/>
      <c r="H284" s="37">
        <v>279</v>
      </c>
      <c r="I284" s="38" t="str">
        <f t="shared" si="19"/>
        <v/>
      </c>
      <c r="J284" s="37">
        <f t="shared" si="22"/>
        <v>-6</v>
      </c>
      <c r="K284" s="37">
        <f t="shared" si="20"/>
        <v>-60</v>
      </c>
      <c r="L284" s="37"/>
      <c r="M284" s="39">
        <f t="shared" si="21"/>
        <v>0</v>
      </c>
    </row>
    <row r="285" spans="1:13">
      <c r="A285" s="58"/>
      <c r="G285" s="15"/>
      <c r="H285" s="37">
        <v>280</v>
      </c>
      <c r="I285" s="38" t="str">
        <f t="shared" si="19"/>
        <v/>
      </c>
      <c r="J285" s="37">
        <f t="shared" si="22"/>
        <v>-6</v>
      </c>
      <c r="K285" s="37">
        <f t="shared" si="20"/>
        <v>-60</v>
      </c>
      <c r="L285" s="37"/>
      <c r="M285" s="39">
        <f t="shared" si="21"/>
        <v>0</v>
      </c>
    </row>
    <row r="286" spans="1:13">
      <c r="A286" s="58"/>
      <c r="G286" s="15"/>
      <c r="H286" s="37">
        <v>281</v>
      </c>
      <c r="I286" s="38" t="str">
        <f t="shared" si="19"/>
        <v/>
      </c>
      <c r="J286" s="37">
        <f t="shared" si="22"/>
        <v>-6</v>
      </c>
      <c r="K286" s="37">
        <f t="shared" si="20"/>
        <v>-60</v>
      </c>
      <c r="L286" s="37"/>
      <c r="M286" s="39">
        <f t="shared" si="21"/>
        <v>0</v>
      </c>
    </row>
    <row r="287" spans="1:13">
      <c r="A287" s="58"/>
      <c r="G287" s="15"/>
      <c r="H287" s="37">
        <v>282</v>
      </c>
      <c r="I287" s="38" t="str">
        <f t="shared" si="19"/>
        <v/>
      </c>
      <c r="J287" s="37">
        <f t="shared" si="22"/>
        <v>-6</v>
      </c>
      <c r="K287" s="37">
        <f t="shared" si="20"/>
        <v>-60</v>
      </c>
      <c r="L287" s="37"/>
      <c r="M287" s="39">
        <f t="shared" si="21"/>
        <v>0</v>
      </c>
    </row>
    <row r="288" spans="1:13">
      <c r="A288" s="58"/>
      <c r="G288" s="15"/>
      <c r="H288" s="37">
        <v>283</v>
      </c>
      <c r="I288" s="38" t="str">
        <f t="shared" si="19"/>
        <v/>
      </c>
      <c r="J288" s="37">
        <f t="shared" si="22"/>
        <v>-6</v>
      </c>
      <c r="K288" s="37">
        <f t="shared" si="20"/>
        <v>-60</v>
      </c>
      <c r="L288" s="37"/>
      <c r="M288" s="39">
        <f t="shared" si="21"/>
        <v>0</v>
      </c>
    </row>
    <row r="289" spans="1:13">
      <c r="A289" s="58"/>
      <c r="G289" s="15"/>
      <c r="H289" s="37">
        <v>284</v>
      </c>
      <c r="I289" s="38" t="str">
        <f t="shared" si="19"/>
        <v/>
      </c>
      <c r="J289" s="37">
        <f t="shared" si="22"/>
        <v>-6</v>
      </c>
      <c r="K289" s="37">
        <f t="shared" si="20"/>
        <v>-60</v>
      </c>
      <c r="L289" s="37"/>
      <c r="M289" s="39">
        <f t="shared" si="21"/>
        <v>0</v>
      </c>
    </row>
    <row r="290" spans="1:13">
      <c r="A290" s="58"/>
      <c r="G290" s="15"/>
      <c r="H290" s="37">
        <v>285</v>
      </c>
      <c r="I290" s="38" t="str">
        <f t="shared" si="19"/>
        <v/>
      </c>
      <c r="J290" s="37">
        <f t="shared" si="22"/>
        <v>-6</v>
      </c>
      <c r="K290" s="37">
        <f t="shared" si="20"/>
        <v>-60</v>
      </c>
      <c r="L290" s="37"/>
      <c r="M290" s="39">
        <f t="shared" si="21"/>
        <v>0</v>
      </c>
    </row>
    <row r="291" spans="1:13">
      <c r="A291" s="58"/>
      <c r="G291" s="15"/>
      <c r="H291" s="37">
        <v>286</v>
      </c>
      <c r="I291" s="38" t="str">
        <f t="shared" si="19"/>
        <v/>
      </c>
      <c r="J291" s="37">
        <f t="shared" si="22"/>
        <v>-6</v>
      </c>
      <c r="K291" s="37">
        <f t="shared" si="20"/>
        <v>-60</v>
      </c>
      <c r="L291" s="37"/>
      <c r="M291" s="39">
        <f t="shared" si="21"/>
        <v>0</v>
      </c>
    </row>
    <row r="292" spans="1:13">
      <c r="A292" s="58"/>
      <c r="G292" s="15"/>
      <c r="H292" s="37">
        <v>287</v>
      </c>
      <c r="I292" s="38" t="str">
        <f t="shared" si="19"/>
        <v/>
      </c>
      <c r="J292" s="37">
        <f t="shared" si="22"/>
        <v>-6</v>
      </c>
      <c r="K292" s="37">
        <f t="shared" si="20"/>
        <v>-60</v>
      </c>
      <c r="L292" s="37"/>
      <c r="M292" s="39">
        <f t="shared" si="21"/>
        <v>0</v>
      </c>
    </row>
    <row r="293" spans="1:13">
      <c r="A293" s="58"/>
      <c r="G293" s="15"/>
      <c r="H293" s="37">
        <v>288</v>
      </c>
      <c r="I293" s="38" t="str">
        <f t="shared" si="19"/>
        <v/>
      </c>
      <c r="J293" s="37">
        <f t="shared" si="22"/>
        <v>-6</v>
      </c>
      <c r="K293" s="37">
        <f t="shared" si="20"/>
        <v>-60</v>
      </c>
      <c r="L293" s="37"/>
      <c r="M293" s="39">
        <f t="shared" si="21"/>
        <v>0</v>
      </c>
    </row>
    <row r="294" spans="1:13">
      <c r="A294" s="58"/>
      <c r="G294" s="15"/>
      <c r="H294" s="37">
        <v>289</v>
      </c>
      <c r="I294" s="38" t="str">
        <f t="shared" si="19"/>
        <v/>
      </c>
      <c r="J294" s="37">
        <f t="shared" si="22"/>
        <v>-6</v>
      </c>
      <c r="K294" s="37">
        <f t="shared" si="20"/>
        <v>-60</v>
      </c>
      <c r="L294" s="37"/>
      <c r="M294" s="39">
        <f t="shared" si="21"/>
        <v>0</v>
      </c>
    </row>
    <row r="295" spans="1:13">
      <c r="A295" s="58"/>
      <c r="G295" s="15"/>
      <c r="H295" s="37">
        <v>290</v>
      </c>
      <c r="I295" s="38" t="str">
        <f t="shared" si="19"/>
        <v/>
      </c>
      <c r="J295" s="37">
        <f t="shared" si="22"/>
        <v>-6</v>
      </c>
      <c r="K295" s="37">
        <f t="shared" si="20"/>
        <v>-60</v>
      </c>
      <c r="L295" s="37"/>
      <c r="M295" s="39">
        <f t="shared" si="21"/>
        <v>0</v>
      </c>
    </row>
    <row r="296" spans="1:13">
      <c r="A296" s="58"/>
      <c r="G296" s="15"/>
      <c r="H296" s="37">
        <v>291</v>
      </c>
      <c r="I296" s="38" t="str">
        <f t="shared" si="19"/>
        <v/>
      </c>
      <c r="J296" s="37">
        <f t="shared" si="22"/>
        <v>-6</v>
      </c>
      <c r="K296" s="37">
        <f t="shared" si="20"/>
        <v>-60</v>
      </c>
      <c r="L296" s="37"/>
      <c r="M296" s="39">
        <f t="shared" si="21"/>
        <v>0</v>
      </c>
    </row>
    <row r="297" spans="1:13">
      <c r="A297" s="58"/>
      <c r="G297" s="15"/>
      <c r="H297" s="37">
        <v>292</v>
      </c>
      <c r="I297" s="38" t="str">
        <f t="shared" si="19"/>
        <v/>
      </c>
      <c r="J297" s="37">
        <f t="shared" si="22"/>
        <v>-6</v>
      </c>
      <c r="K297" s="37">
        <f t="shared" si="20"/>
        <v>-60</v>
      </c>
      <c r="L297" s="37"/>
      <c r="M297" s="39">
        <f t="shared" si="21"/>
        <v>0</v>
      </c>
    </row>
    <row r="298" spans="1:13">
      <c r="A298" s="58"/>
      <c r="G298" s="15"/>
      <c r="H298" s="37">
        <v>293</v>
      </c>
      <c r="I298" s="38" t="str">
        <f t="shared" si="19"/>
        <v/>
      </c>
      <c r="J298" s="37">
        <f t="shared" si="22"/>
        <v>-6</v>
      </c>
      <c r="K298" s="37">
        <f t="shared" si="20"/>
        <v>-60</v>
      </c>
      <c r="L298" s="37"/>
      <c r="M298" s="39">
        <f t="shared" si="21"/>
        <v>0</v>
      </c>
    </row>
    <row r="299" spans="1:13">
      <c r="A299" s="58"/>
      <c r="G299" s="15"/>
      <c r="H299" s="37">
        <v>294</v>
      </c>
      <c r="I299" s="38" t="str">
        <f t="shared" si="19"/>
        <v/>
      </c>
      <c r="J299" s="37">
        <f t="shared" si="22"/>
        <v>-6</v>
      </c>
      <c r="K299" s="37">
        <f t="shared" si="20"/>
        <v>-60</v>
      </c>
      <c r="L299" s="37"/>
      <c r="M299" s="39">
        <f t="shared" si="21"/>
        <v>0</v>
      </c>
    </row>
    <row r="300" spans="1:13">
      <c r="A300" s="58"/>
      <c r="G300" s="15"/>
      <c r="H300" s="37">
        <v>295</v>
      </c>
      <c r="I300" s="38" t="str">
        <f t="shared" si="19"/>
        <v/>
      </c>
      <c r="J300" s="37">
        <f t="shared" si="22"/>
        <v>-6</v>
      </c>
      <c r="K300" s="37">
        <f t="shared" si="20"/>
        <v>-60</v>
      </c>
      <c r="L300" s="37"/>
      <c r="M300" s="39">
        <f t="shared" si="21"/>
        <v>0</v>
      </c>
    </row>
    <row r="301" spans="1:13">
      <c r="A301" s="58"/>
      <c r="G301" s="15"/>
      <c r="H301" s="37">
        <v>296</v>
      </c>
      <c r="I301" s="38" t="str">
        <f t="shared" si="19"/>
        <v/>
      </c>
      <c r="J301" s="37">
        <f t="shared" si="22"/>
        <v>-6</v>
      </c>
      <c r="K301" s="37">
        <f t="shared" si="20"/>
        <v>-60</v>
      </c>
      <c r="L301" s="37"/>
      <c r="M301" s="39">
        <f t="shared" si="21"/>
        <v>0</v>
      </c>
    </row>
    <row r="302" spans="1:13">
      <c r="A302" s="58"/>
      <c r="G302" s="15"/>
      <c r="H302" s="37">
        <v>297</v>
      </c>
      <c r="I302" s="38" t="str">
        <f t="shared" si="19"/>
        <v/>
      </c>
      <c r="J302" s="37">
        <f t="shared" si="22"/>
        <v>-6</v>
      </c>
      <c r="K302" s="37">
        <f t="shared" si="20"/>
        <v>-60</v>
      </c>
      <c r="L302" s="37"/>
      <c r="M302" s="39">
        <f t="shared" si="21"/>
        <v>0</v>
      </c>
    </row>
    <row r="303" spans="1:13">
      <c r="A303" s="58"/>
      <c r="G303" s="15"/>
      <c r="H303" s="37">
        <v>298</v>
      </c>
      <c r="I303" s="38" t="str">
        <f t="shared" si="19"/>
        <v/>
      </c>
      <c r="J303" s="37">
        <f t="shared" si="22"/>
        <v>-6</v>
      </c>
      <c r="K303" s="37">
        <f t="shared" si="20"/>
        <v>-60</v>
      </c>
      <c r="L303" s="37"/>
      <c r="M303" s="39">
        <f t="shared" si="21"/>
        <v>0</v>
      </c>
    </row>
    <row r="304" spans="1:13">
      <c r="A304" s="58"/>
      <c r="G304" s="15"/>
      <c r="H304" s="37">
        <v>299</v>
      </c>
      <c r="I304" s="38" t="str">
        <f t="shared" si="19"/>
        <v/>
      </c>
      <c r="J304" s="37">
        <f t="shared" si="22"/>
        <v>-6</v>
      </c>
      <c r="K304" s="37">
        <f t="shared" si="20"/>
        <v>-60</v>
      </c>
      <c r="L304" s="37"/>
      <c r="M304" s="39">
        <f t="shared" si="21"/>
        <v>0</v>
      </c>
    </row>
    <row r="305" spans="1:16">
      <c r="A305" s="58"/>
      <c r="G305" s="15"/>
      <c r="H305" s="37">
        <v>300</v>
      </c>
      <c r="I305" s="38" t="str">
        <f t="shared" si="19"/>
        <v/>
      </c>
      <c r="J305" s="37">
        <f t="shared" si="22"/>
        <v>-6</v>
      </c>
      <c r="K305" s="37">
        <f t="shared" si="20"/>
        <v>-60</v>
      </c>
      <c r="L305" s="37"/>
      <c r="M305" s="39">
        <f t="shared" si="21"/>
        <v>0</v>
      </c>
    </row>
    <row r="306" spans="1:16">
      <c r="A306" s="60"/>
    </row>
    <row r="314" spans="1:16">
      <c r="L314" s="63"/>
      <c r="P314" s="53"/>
    </row>
    <row r="315" spans="1:16">
      <c r="L315" s="63"/>
      <c r="P315" s="53"/>
    </row>
    <row r="316" spans="1:16">
      <c r="L316" s="63"/>
      <c r="P316" s="53"/>
    </row>
    <row r="317" spans="1:16">
      <c r="L317" s="63"/>
      <c r="P317" s="53"/>
    </row>
  </sheetData>
  <mergeCells count="2">
    <mergeCell ref="C2:D2"/>
    <mergeCell ref="C3:D3"/>
  </mergeCells>
  <conditionalFormatting sqref="J6:K305">
    <cfRule type="cellIs" dxfId="31" priority="1" operator="lessThanOrEqual">
      <formula>0</formula>
    </cfRule>
  </conditionalFormatting>
  <dataValidations disablePrompts="1" count="1">
    <dataValidation type="list" allowBlank="1" showInputMessage="1" showErrorMessage="1" sqref="C38:C69" xr:uid="{F7F8C94C-F204-4346-A41D-990D32684292}">
      <formula1>#REF!</formula1>
    </dataValidation>
  </dataValidations>
  <hyperlinks>
    <hyperlink ref="C2:D2" r:id="rId1" display="NIEPOŁOMICE" xr:uid="{83841ED0-6A33-4444-9E82-8C870A4F733D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9F18B-8C4E-407D-8C7F-2E4A2A829140}">
  <sheetPr>
    <tabColor rgb="FF92D050"/>
  </sheetPr>
  <dimension ref="A1:AL317"/>
  <sheetViews>
    <sheetView workbookViewId="0">
      <selection activeCell="C2" sqref="C2:D3"/>
    </sheetView>
  </sheetViews>
  <sheetFormatPr defaultColWidth="8.85546875" defaultRowHeight="14.25"/>
  <cols>
    <col min="1" max="1" width="8" style="59" customWidth="1"/>
    <col min="2" max="2" width="8.28515625" style="59" customWidth="1"/>
    <col min="3" max="3" width="26.85546875" style="59" customWidth="1"/>
    <col min="4" max="4" width="19.7109375" style="59" customWidth="1"/>
    <col min="5" max="6" width="8.85546875" style="59"/>
    <col min="7" max="7" width="0.85546875" style="59" customWidth="1"/>
    <col min="8" max="8" width="8.85546875" style="61"/>
    <col min="9" max="9" width="11" style="61" customWidth="1"/>
    <col min="10" max="10" width="15.28515625" style="61" customWidth="1"/>
    <col min="11" max="11" width="8.7109375" style="61" customWidth="1"/>
    <col min="12" max="12" width="11" style="61" customWidth="1"/>
    <col min="13" max="13" width="12.28515625" style="62" customWidth="1"/>
    <col min="14" max="15" width="13.85546875" style="15" customWidth="1"/>
    <col min="16" max="18" width="8.85546875" style="15"/>
    <col min="19" max="20" width="8.85546875" style="20"/>
    <col min="21" max="21" width="12.140625" style="20" customWidth="1"/>
    <col min="22" max="22" width="27.42578125" style="20" customWidth="1"/>
    <col min="23" max="38" width="8.85546875" style="20"/>
    <col min="39" max="16384" width="8.85546875" style="59"/>
  </cols>
  <sheetData>
    <row r="1" spans="1:36">
      <c r="A1" s="15"/>
      <c r="B1" s="15"/>
      <c r="C1" s="15"/>
      <c r="D1" s="15"/>
      <c r="E1" s="15"/>
      <c r="F1" s="15"/>
      <c r="G1" s="15"/>
      <c r="H1" s="16" t="s">
        <v>34</v>
      </c>
      <c r="I1" s="17" t="s">
        <v>35</v>
      </c>
      <c r="J1" s="17" t="s">
        <v>36</v>
      </c>
      <c r="K1" s="18" t="s">
        <v>37</v>
      </c>
      <c r="L1" s="19"/>
      <c r="M1" s="19"/>
    </row>
    <row r="2" spans="1:36" ht="14.45" customHeight="1">
      <c r="A2" s="15"/>
      <c r="B2" s="21" t="s">
        <v>38</v>
      </c>
      <c r="C2" s="284" t="s">
        <v>77</v>
      </c>
      <c r="D2" s="284"/>
      <c r="E2" s="22"/>
      <c r="F2" s="22"/>
      <c r="G2" s="22"/>
      <c r="H2" s="23">
        <v>12</v>
      </c>
      <c r="I2" s="24">
        <v>50</v>
      </c>
      <c r="J2" s="24">
        <v>10</v>
      </c>
      <c r="K2" s="25">
        <f>3*H2^(1/3)</f>
        <v>6.8682854553199917</v>
      </c>
      <c r="L2" s="19"/>
      <c r="M2" s="19"/>
    </row>
    <row r="3" spans="1:36" ht="14.45" customHeight="1">
      <c r="A3" s="15"/>
      <c r="B3" s="26" t="s">
        <v>40</v>
      </c>
      <c r="C3" s="285" t="s">
        <v>78</v>
      </c>
      <c r="D3" s="285"/>
      <c r="E3" s="27"/>
      <c r="F3" s="27"/>
      <c r="G3" s="27"/>
      <c r="H3" s="19"/>
      <c r="I3" s="19"/>
      <c r="J3" s="28"/>
      <c r="K3" s="19"/>
      <c r="L3" s="19"/>
      <c r="M3" s="19"/>
    </row>
    <row r="4" spans="1:36" ht="10.15" customHeight="1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700000000000003">
      <c r="A5" s="1" t="s">
        <v>42</v>
      </c>
      <c r="B5" s="30">
        <f t="shared" ref="B5" si="0">IF(H11&gt;$H$2,"",(ROW()-5))</f>
        <v>0</v>
      </c>
      <c r="C5" s="1" t="s">
        <v>44</v>
      </c>
      <c r="D5" s="1" t="s">
        <v>45</v>
      </c>
      <c r="E5" s="1" t="s">
        <v>46</v>
      </c>
      <c r="F5" s="1" t="s">
        <v>47</v>
      </c>
      <c r="G5" s="29"/>
      <c r="H5" s="31" t="s">
        <v>48</v>
      </c>
      <c r="I5" s="32" t="s">
        <v>49</v>
      </c>
      <c r="J5" s="33" t="s">
        <v>50</v>
      </c>
      <c r="K5" s="32" t="s">
        <v>51</v>
      </c>
      <c r="L5" s="32" t="s">
        <v>52</v>
      </c>
      <c r="M5" s="31" t="s">
        <v>53</v>
      </c>
    </row>
    <row r="6" spans="1:36" ht="14.45" customHeight="1">
      <c r="A6" s="34">
        <f>M6</f>
        <v>110.60485636595998</v>
      </c>
      <c r="B6" s="35">
        <f>IF(H6&gt;$H$2,"",(ROW()-5))</f>
        <v>1</v>
      </c>
      <c r="C6" s="70" t="s">
        <v>23</v>
      </c>
      <c r="D6" s="70" t="s">
        <v>54</v>
      </c>
      <c r="E6" s="70"/>
      <c r="F6" s="70"/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4</v>
      </c>
      <c r="K6" s="37">
        <f t="shared" ref="K6:K69" si="1">J6*$J$2</f>
        <v>40</v>
      </c>
      <c r="L6" s="39">
        <f>3*K2</f>
        <v>20.604856365959975</v>
      </c>
      <c r="M6" s="39">
        <f t="shared" ref="M6:M69" si="2">IF(I6&lt;&gt;"",K6+I6+L6,0)</f>
        <v>110.60485636595998</v>
      </c>
    </row>
    <row r="7" spans="1:36" ht="14.45" customHeight="1">
      <c r="A7" s="40">
        <f t="shared" ref="A7:A26" si="3">M7</f>
        <v>80.068366573734622</v>
      </c>
      <c r="B7" s="41">
        <f t="shared" ref="B7:B46" si="4">IF(H7&gt;$H$2,"",(ROW()-5))</f>
        <v>2</v>
      </c>
      <c r="C7" s="71" t="s">
        <v>19</v>
      </c>
      <c r="D7" s="71" t="s">
        <v>54</v>
      </c>
      <c r="E7" s="71"/>
      <c r="F7" s="71"/>
      <c r="G7" s="29"/>
      <c r="H7" s="43">
        <v>2</v>
      </c>
      <c r="I7" s="44">
        <f t="shared" ref="I7:I69" si="5">IF(H7&lt;$H$2+1,($I$2-($I$2-1)*(LOG(H7)/LOG($H$2))),"")</f>
        <v>36.331795663094638</v>
      </c>
      <c r="J7" s="43">
        <f t="shared" ref="J7:J70" si="6">INT(LOG($H$2,2))-ROUNDUP(LOG(H7,2),0)+IF(OR($H$2=1,$H$2=2,$H$2=4,$H$2=8,$H$2=16,$H$2=32,$H$2=64,$H$2=128,$H$2=256),0,1)</f>
        <v>3</v>
      </c>
      <c r="K7" s="43">
        <f t="shared" si="1"/>
        <v>30</v>
      </c>
      <c r="L7" s="45">
        <f>2*K2</f>
        <v>13.736570910639983</v>
      </c>
      <c r="M7" s="45">
        <f t="shared" si="2"/>
        <v>80.068366573734622</v>
      </c>
    </row>
    <row r="8" spans="1:36" ht="14.45" customHeight="1">
      <c r="A8" s="34">
        <f t="shared" si="3"/>
        <v>55.204694129130715</v>
      </c>
      <c r="B8" s="35">
        <f t="shared" si="4"/>
        <v>3</v>
      </c>
      <c r="C8" s="70" t="s">
        <v>21</v>
      </c>
      <c r="D8" s="70" t="s">
        <v>71</v>
      </c>
      <c r="E8" s="70"/>
      <c r="F8" s="70"/>
      <c r="G8" s="29"/>
      <c r="H8" s="37">
        <v>3</v>
      </c>
      <c r="I8" s="38">
        <f t="shared" si="5"/>
        <v>28.336408673810727</v>
      </c>
      <c r="J8" s="37">
        <f t="shared" si="6"/>
        <v>2</v>
      </c>
      <c r="K8" s="37">
        <f t="shared" si="1"/>
        <v>20</v>
      </c>
      <c r="L8" s="39">
        <f>K2</f>
        <v>6.8682854553199917</v>
      </c>
      <c r="M8" s="39">
        <f t="shared" si="2"/>
        <v>55.204694129130715</v>
      </c>
    </row>
    <row r="9" spans="1:36" ht="14.45" customHeight="1">
      <c r="A9" s="40">
        <f t="shared" si="3"/>
        <v>42.663591326189277</v>
      </c>
      <c r="B9" s="41">
        <f t="shared" si="4"/>
        <v>4</v>
      </c>
      <c r="C9" s="71" t="s">
        <v>25</v>
      </c>
      <c r="D9" s="71" t="s">
        <v>59</v>
      </c>
      <c r="E9" s="71"/>
      <c r="F9" s="71"/>
      <c r="G9" s="29"/>
      <c r="H9" s="43">
        <v>4</v>
      </c>
      <c r="I9" s="44">
        <f t="shared" si="5"/>
        <v>22.663591326189277</v>
      </c>
      <c r="J9" s="43">
        <f t="shared" si="6"/>
        <v>2</v>
      </c>
      <c r="K9" s="43">
        <f t="shared" si="1"/>
        <v>20</v>
      </c>
      <c r="L9" s="45"/>
      <c r="M9" s="45">
        <f t="shared" si="2"/>
        <v>42.663591326189277</v>
      </c>
      <c r="V9" s="46"/>
      <c r="Z9" s="47"/>
      <c r="AA9" s="47"/>
      <c r="AG9" s="48"/>
      <c r="AH9" s="20" t="s">
        <v>57</v>
      </c>
      <c r="AI9" s="20">
        <v>23</v>
      </c>
    </row>
    <row r="10" spans="1:36" ht="14.45" customHeight="1">
      <c r="A10" s="34">
        <f t="shared" si="3"/>
        <v>28.263412343478148</v>
      </c>
      <c r="B10" s="35">
        <f t="shared" si="4"/>
        <v>5</v>
      </c>
      <c r="C10" s="70" t="s">
        <v>22</v>
      </c>
      <c r="D10" s="70" t="s">
        <v>54</v>
      </c>
      <c r="E10" s="70"/>
      <c r="F10" s="70"/>
      <c r="G10" s="29"/>
      <c r="H10" s="37">
        <v>5</v>
      </c>
      <c r="I10" s="38">
        <f t="shared" si="5"/>
        <v>18.263412343478148</v>
      </c>
      <c r="J10" s="37">
        <f t="shared" si="6"/>
        <v>1</v>
      </c>
      <c r="K10" s="37">
        <f t="shared" si="1"/>
        <v>10</v>
      </c>
      <c r="L10" s="37"/>
      <c r="M10" s="39">
        <f t="shared" si="2"/>
        <v>28.263412343478148</v>
      </c>
      <c r="V10" s="46"/>
      <c r="Z10" s="47"/>
      <c r="AA10" s="47"/>
      <c r="AG10" s="48"/>
      <c r="AH10" s="20" t="s">
        <v>58</v>
      </c>
      <c r="AI10" s="20">
        <v>45</v>
      </c>
    </row>
    <row r="11" spans="1:36" ht="14.45" customHeight="1">
      <c r="A11" s="40">
        <f t="shared" si="3"/>
        <v>24.668204336905362</v>
      </c>
      <c r="B11" s="41">
        <f t="shared" si="4"/>
        <v>6</v>
      </c>
      <c r="C11" s="71" t="s">
        <v>20</v>
      </c>
      <c r="D11" s="71" t="s">
        <v>54</v>
      </c>
      <c r="E11" s="71"/>
      <c r="F11" s="71"/>
      <c r="G11" s="29"/>
      <c r="H11" s="43">
        <v>6</v>
      </c>
      <c r="I11" s="44">
        <f t="shared" si="5"/>
        <v>14.668204336905362</v>
      </c>
      <c r="J11" s="43">
        <f t="shared" si="6"/>
        <v>1</v>
      </c>
      <c r="K11" s="43">
        <f t="shared" si="1"/>
        <v>10</v>
      </c>
      <c r="L11" s="43"/>
      <c r="M11" s="45">
        <f t="shared" si="2"/>
        <v>24.668204336905362</v>
      </c>
      <c r="V11" s="49"/>
      <c r="Z11" s="47"/>
      <c r="AA11" s="47"/>
      <c r="AG11" s="48"/>
      <c r="AH11" s="20" t="s">
        <v>60</v>
      </c>
      <c r="AI11" s="20">
        <v>50</v>
      </c>
    </row>
    <row r="12" spans="1:36" ht="14.45" customHeight="1">
      <c r="A12" s="34">
        <f t="shared" si="3"/>
        <v>21.628499279099643</v>
      </c>
      <c r="B12" s="35">
        <f t="shared" si="4"/>
        <v>7</v>
      </c>
      <c r="C12" s="70" t="s">
        <v>24</v>
      </c>
      <c r="D12" s="70" t="s">
        <v>56</v>
      </c>
      <c r="E12" s="70"/>
      <c r="F12" s="70"/>
      <c r="G12" s="29"/>
      <c r="H12" s="37">
        <v>7</v>
      </c>
      <c r="I12" s="38">
        <f t="shared" si="5"/>
        <v>11.628499279099643</v>
      </c>
      <c r="J12" s="37">
        <f t="shared" si="6"/>
        <v>1</v>
      </c>
      <c r="K12" s="37">
        <f t="shared" si="1"/>
        <v>10</v>
      </c>
      <c r="L12" s="37"/>
      <c r="M12" s="39">
        <f t="shared" si="2"/>
        <v>21.628499279099643</v>
      </c>
      <c r="Z12" s="47"/>
      <c r="AA12" s="47"/>
      <c r="AG12" s="48"/>
      <c r="AH12" s="20" t="s">
        <v>61</v>
      </c>
      <c r="AI12" s="20">
        <f>AI11-1</f>
        <v>49</v>
      </c>
    </row>
    <row r="13" spans="1:36" ht="14.45" customHeight="1">
      <c r="A13" s="40">
        <f t="shared" si="3"/>
        <v>18.995386989283922</v>
      </c>
      <c r="B13" s="41">
        <f t="shared" si="4"/>
        <v>8</v>
      </c>
      <c r="C13" s="71" t="s">
        <v>27</v>
      </c>
      <c r="D13" s="71" t="s">
        <v>54</v>
      </c>
      <c r="E13" s="71"/>
      <c r="F13" s="71"/>
      <c r="G13" s="29"/>
      <c r="H13" s="43">
        <v>8</v>
      </c>
      <c r="I13" s="44">
        <f t="shared" si="5"/>
        <v>8.9953869892839222</v>
      </c>
      <c r="J13" s="43">
        <f t="shared" si="6"/>
        <v>1</v>
      </c>
      <c r="K13" s="43">
        <f t="shared" si="1"/>
        <v>10</v>
      </c>
      <c r="L13" s="43"/>
      <c r="M13" s="45">
        <f t="shared" si="2"/>
        <v>18.995386989283922</v>
      </c>
      <c r="X13" s="46"/>
      <c r="AG13" s="48"/>
      <c r="AH13" s="20" t="s">
        <v>62</v>
      </c>
      <c r="AI13" s="20">
        <f>LOG(AI9)</f>
        <v>1.3617278360175928</v>
      </c>
    </row>
    <row r="14" spans="1:36">
      <c r="A14" s="34">
        <f t="shared" si="3"/>
        <v>6.6728173476214536</v>
      </c>
      <c r="B14" s="35">
        <f t="shared" si="4"/>
        <v>9</v>
      </c>
      <c r="C14" s="70" t="s">
        <v>26</v>
      </c>
      <c r="D14" s="70" t="s">
        <v>54</v>
      </c>
      <c r="E14" s="70"/>
      <c r="F14" s="70"/>
      <c r="G14" s="29"/>
      <c r="H14" s="37">
        <v>9</v>
      </c>
      <c r="I14" s="38">
        <f t="shared" si="5"/>
        <v>6.6728173476214536</v>
      </c>
      <c r="J14" s="37">
        <f t="shared" si="6"/>
        <v>0</v>
      </c>
      <c r="K14" s="37">
        <f t="shared" si="1"/>
        <v>0</v>
      </c>
      <c r="L14" s="37"/>
      <c r="M14" s="39">
        <f t="shared" si="2"/>
        <v>6.6728173476214536</v>
      </c>
      <c r="X14" s="52"/>
      <c r="Z14" s="47"/>
      <c r="AA14" s="47"/>
      <c r="AG14" s="48"/>
      <c r="AH14" s="20" t="s">
        <v>64</v>
      </c>
      <c r="AI14" s="20">
        <f>LOG(AI10)</f>
        <v>1.6532125137753437</v>
      </c>
    </row>
    <row r="15" spans="1:36">
      <c r="A15" s="40">
        <f t="shared" si="3"/>
        <v>4.5952080065727898</v>
      </c>
      <c r="B15" s="41">
        <f t="shared" si="4"/>
        <v>10</v>
      </c>
      <c r="C15" s="71" t="s">
        <v>28</v>
      </c>
      <c r="D15" s="71" t="s">
        <v>54</v>
      </c>
      <c r="E15" s="71"/>
      <c r="F15" s="71"/>
      <c r="G15" s="29"/>
      <c r="H15" s="43">
        <v>10</v>
      </c>
      <c r="I15" s="44">
        <f t="shared" si="5"/>
        <v>4.5952080065727898</v>
      </c>
      <c r="J15" s="43">
        <f t="shared" si="6"/>
        <v>0</v>
      </c>
      <c r="K15" s="43">
        <f t="shared" si="1"/>
        <v>0</v>
      </c>
      <c r="L15" s="43"/>
      <c r="M15" s="45">
        <f t="shared" si="2"/>
        <v>4.5952080065727898</v>
      </c>
      <c r="X15" s="46"/>
      <c r="Z15" s="47"/>
      <c r="AA15" s="47"/>
    </row>
    <row r="16" spans="1:36" ht="21.75">
      <c r="A16" s="34">
        <f t="shared" si="3"/>
        <v>2.7157817469141534</v>
      </c>
      <c r="B16" s="35">
        <f t="shared" si="4"/>
        <v>11</v>
      </c>
      <c r="C16" s="70" t="s">
        <v>29</v>
      </c>
      <c r="D16" s="70" t="s">
        <v>79</v>
      </c>
      <c r="E16" s="70"/>
      <c r="F16" s="70"/>
      <c r="G16" s="29"/>
      <c r="H16" s="37">
        <v>11</v>
      </c>
      <c r="I16" s="38">
        <f t="shared" si="5"/>
        <v>2.7157817469141534</v>
      </c>
      <c r="J16" s="37">
        <f t="shared" si="6"/>
        <v>0</v>
      </c>
      <c r="K16" s="37">
        <f t="shared" si="1"/>
        <v>0</v>
      </c>
      <c r="L16" s="37"/>
      <c r="M16" s="39">
        <f t="shared" si="2"/>
        <v>2.7157817469141534</v>
      </c>
      <c r="R16" s="53"/>
      <c r="Z16" s="47"/>
      <c r="AA16" s="47"/>
      <c r="AH16" s="54" t="s">
        <v>66</v>
      </c>
      <c r="AI16" s="20">
        <f>AI11-AI12*AI13/AI14</f>
        <v>9.6393909380186855</v>
      </c>
      <c r="AJ16" s="20" t="s">
        <v>67</v>
      </c>
    </row>
    <row r="17" spans="1:34" ht="21.75">
      <c r="A17" s="40">
        <f t="shared" si="3"/>
        <v>1</v>
      </c>
      <c r="B17" s="41">
        <f t="shared" si="4"/>
        <v>12</v>
      </c>
      <c r="C17" s="71" t="s">
        <v>32</v>
      </c>
      <c r="D17" s="71" t="s">
        <v>80</v>
      </c>
      <c r="E17" s="71"/>
      <c r="F17" s="71"/>
      <c r="G17" s="29"/>
      <c r="H17" s="43">
        <v>12</v>
      </c>
      <c r="I17" s="44">
        <f t="shared" si="5"/>
        <v>1</v>
      </c>
      <c r="J17" s="43">
        <f t="shared" si="6"/>
        <v>0</v>
      </c>
      <c r="K17" s="43">
        <f t="shared" si="1"/>
        <v>0</v>
      </c>
      <c r="L17" s="43"/>
      <c r="M17" s="45">
        <f t="shared" si="2"/>
        <v>1</v>
      </c>
    </row>
    <row r="18" spans="1:34">
      <c r="A18" s="51">
        <f t="shared" si="3"/>
        <v>0</v>
      </c>
      <c r="B18" s="35" t="str">
        <f t="shared" si="4"/>
        <v/>
      </c>
      <c r="C18" s="70"/>
      <c r="D18" s="70"/>
      <c r="E18" s="70"/>
      <c r="F18" s="70"/>
      <c r="G18" s="29"/>
      <c r="H18" s="37">
        <v>13</v>
      </c>
      <c r="I18" s="38" t="str">
        <f t="shared" si="5"/>
        <v/>
      </c>
      <c r="J18" s="37">
        <f t="shared" si="6"/>
        <v>0</v>
      </c>
      <c r="K18" s="37">
        <f t="shared" si="1"/>
        <v>0</v>
      </c>
      <c r="L18" s="37"/>
      <c r="M18" s="39">
        <f t="shared" si="2"/>
        <v>0</v>
      </c>
      <c r="R18" s="53"/>
      <c r="Z18" s="47"/>
      <c r="AA18" s="47"/>
      <c r="AH18" s="54"/>
    </row>
    <row r="19" spans="1:34">
      <c r="A19" s="50">
        <f t="shared" si="3"/>
        <v>0</v>
      </c>
      <c r="B19" s="41" t="str">
        <f t="shared" si="4"/>
        <v/>
      </c>
      <c r="C19" s="71"/>
      <c r="D19" s="71"/>
      <c r="E19" s="71"/>
      <c r="F19" s="71"/>
      <c r="G19" s="29"/>
      <c r="H19" s="43">
        <v>14</v>
      </c>
      <c r="I19" s="44" t="str">
        <f t="shared" si="5"/>
        <v/>
      </c>
      <c r="J19" s="43">
        <f t="shared" si="6"/>
        <v>0</v>
      </c>
      <c r="K19" s="43">
        <f t="shared" si="1"/>
        <v>0</v>
      </c>
      <c r="L19" s="43"/>
      <c r="M19" s="45">
        <f t="shared" si="2"/>
        <v>0</v>
      </c>
    </row>
    <row r="20" spans="1:34">
      <c r="A20" s="51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37">
        <v>15</v>
      </c>
      <c r="I20" s="38" t="str">
        <f t="shared" si="5"/>
        <v/>
      </c>
      <c r="J20" s="37">
        <f t="shared" si="6"/>
        <v>0</v>
      </c>
      <c r="K20" s="37">
        <f t="shared" si="1"/>
        <v>0</v>
      </c>
      <c r="L20" s="37"/>
      <c r="M20" s="39">
        <f t="shared" si="2"/>
        <v>0</v>
      </c>
      <c r="R20" s="55"/>
      <c r="S20" s="56"/>
    </row>
    <row r="21" spans="1:34">
      <c r="A21" s="50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43">
        <v>16</v>
      </c>
      <c r="I21" s="44" t="str">
        <f t="shared" si="5"/>
        <v/>
      </c>
      <c r="J21" s="43">
        <f t="shared" si="6"/>
        <v>0</v>
      </c>
      <c r="K21" s="43">
        <f t="shared" si="1"/>
        <v>0</v>
      </c>
      <c r="L21" s="43"/>
      <c r="M21" s="45">
        <f t="shared" si="2"/>
        <v>0</v>
      </c>
    </row>
    <row r="22" spans="1:34">
      <c r="A22" s="51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37">
        <v>17</v>
      </c>
      <c r="I22" s="38" t="str">
        <f t="shared" si="5"/>
        <v/>
      </c>
      <c r="J22" s="37">
        <f t="shared" si="6"/>
        <v>-1</v>
      </c>
      <c r="K22" s="37">
        <f t="shared" si="1"/>
        <v>-10</v>
      </c>
      <c r="L22" s="37"/>
      <c r="M22" s="39">
        <f t="shared" si="2"/>
        <v>0</v>
      </c>
    </row>
    <row r="23" spans="1:34">
      <c r="A23" s="50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43">
        <v>18</v>
      </c>
      <c r="I23" s="44" t="str">
        <f t="shared" si="5"/>
        <v/>
      </c>
      <c r="J23" s="43">
        <f t="shared" si="6"/>
        <v>-1</v>
      </c>
      <c r="K23" s="43">
        <f t="shared" si="1"/>
        <v>-10</v>
      </c>
      <c r="L23" s="43"/>
      <c r="M23" s="45">
        <f t="shared" si="2"/>
        <v>0</v>
      </c>
    </row>
    <row r="24" spans="1:34">
      <c r="A24" s="51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37">
        <v>19</v>
      </c>
      <c r="I24" s="38" t="str">
        <f t="shared" si="5"/>
        <v/>
      </c>
      <c r="J24" s="37">
        <f t="shared" si="6"/>
        <v>-1</v>
      </c>
      <c r="K24" s="37">
        <f t="shared" si="1"/>
        <v>-10</v>
      </c>
      <c r="L24" s="37"/>
      <c r="M24" s="39">
        <f t="shared" si="2"/>
        <v>0</v>
      </c>
      <c r="R24" s="55"/>
      <c r="S24" s="56"/>
    </row>
    <row r="25" spans="1:34">
      <c r="A25" s="50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43">
        <v>20</v>
      </c>
      <c r="I25" s="44" t="str">
        <f t="shared" si="5"/>
        <v/>
      </c>
      <c r="J25" s="43">
        <f t="shared" si="6"/>
        <v>-1</v>
      </c>
      <c r="K25" s="43">
        <f t="shared" si="1"/>
        <v>-10</v>
      </c>
      <c r="L25" s="43"/>
      <c r="M25" s="45">
        <f t="shared" si="2"/>
        <v>0</v>
      </c>
    </row>
    <row r="26" spans="1:34">
      <c r="A26" s="51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37">
        <v>21</v>
      </c>
      <c r="I26" s="38" t="str">
        <f t="shared" si="5"/>
        <v/>
      </c>
      <c r="J26" s="37">
        <f t="shared" si="6"/>
        <v>-1</v>
      </c>
      <c r="K26" s="37">
        <f t="shared" si="1"/>
        <v>-10</v>
      </c>
      <c r="L26" s="37"/>
      <c r="M26" s="39">
        <f t="shared" si="2"/>
        <v>0</v>
      </c>
    </row>
    <row r="27" spans="1:34">
      <c r="A27" s="50">
        <f t="shared" ref="A27:A37" si="7">M27</f>
        <v>0</v>
      </c>
      <c r="B27" s="41" t="str">
        <f t="shared" si="4"/>
        <v/>
      </c>
      <c r="C27" s="42"/>
      <c r="D27" s="42"/>
      <c r="E27" s="42"/>
      <c r="F27" s="42"/>
      <c r="G27" s="29"/>
      <c r="H27" s="43">
        <v>22</v>
      </c>
      <c r="I27" s="44" t="str">
        <f t="shared" si="5"/>
        <v/>
      </c>
      <c r="J27" s="43">
        <f t="shared" si="6"/>
        <v>-1</v>
      </c>
      <c r="K27" s="43">
        <f t="shared" si="1"/>
        <v>-10</v>
      </c>
      <c r="L27" s="43"/>
      <c r="M27" s="45">
        <f t="shared" si="2"/>
        <v>0</v>
      </c>
    </row>
    <row r="28" spans="1:34">
      <c r="A28" s="51">
        <f t="shared" si="7"/>
        <v>0</v>
      </c>
      <c r="B28" s="35" t="str">
        <f t="shared" si="4"/>
        <v/>
      </c>
      <c r="C28" s="36"/>
      <c r="D28" s="36"/>
      <c r="E28" s="36"/>
      <c r="F28" s="36"/>
      <c r="G28" s="29"/>
      <c r="H28" s="37">
        <v>23</v>
      </c>
      <c r="I28" s="38" t="str">
        <f t="shared" si="5"/>
        <v/>
      </c>
      <c r="J28" s="37">
        <f t="shared" si="6"/>
        <v>-1</v>
      </c>
      <c r="K28" s="37">
        <f t="shared" si="1"/>
        <v>-10</v>
      </c>
      <c r="L28" s="37"/>
      <c r="M28" s="39">
        <f t="shared" si="2"/>
        <v>0</v>
      </c>
      <c r="R28" s="55"/>
      <c r="S28" s="56"/>
    </row>
    <row r="29" spans="1:34">
      <c r="A29" s="50">
        <f t="shared" si="7"/>
        <v>0</v>
      </c>
      <c r="B29" s="41" t="str">
        <f t="shared" si="4"/>
        <v/>
      </c>
      <c r="C29" s="42"/>
      <c r="D29" s="42"/>
      <c r="E29" s="42"/>
      <c r="F29" s="42"/>
      <c r="G29" s="15"/>
      <c r="H29" s="43">
        <v>24</v>
      </c>
      <c r="I29" s="44" t="str">
        <f t="shared" si="5"/>
        <v/>
      </c>
      <c r="J29" s="43">
        <f t="shared" si="6"/>
        <v>-1</v>
      </c>
      <c r="K29" s="43">
        <f t="shared" si="1"/>
        <v>-10</v>
      </c>
      <c r="L29" s="43"/>
      <c r="M29" s="45">
        <f t="shared" si="2"/>
        <v>0</v>
      </c>
    </row>
    <row r="30" spans="1:34">
      <c r="A30" s="51">
        <f t="shared" si="7"/>
        <v>0</v>
      </c>
      <c r="B30" s="35" t="str">
        <f t="shared" si="4"/>
        <v/>
      </c>
      <c r="C30" s="36"/>
      <c r="D30" s="36"/>
      <c r="E30" s="36"/>
      <c r="F30" s="36"/>
      <c r="G30" s="15"/>
      <c r="H30" s="37">
        <v>25</v>
      </c>
      <c r="I30" s="38" t="str">
        <f t="shared" si="5"/>
        <v/>
      </c>
      <c r="J30" s="37">
        <f t="shared" si="6"/>
        <v>-1</v>
      </c>
      <c r="K30" s="37">
        <f t="shared" si="1"/>
        <v>-10</v>
      </c>
      <c r="L30" s="37"/>
      <c r="M30" s="39">
        <f t="shared" si="2"/>
        <v>0</v>
      </c>
    </row>
    <row r="31" spans="1:34">
      <c r="A31" s="50">
        <f t="shared" si="7"/>
        <v>0</v>
      </c>
      <c r="B31" s="41" t="str">
        <f t="shared" si="4"/>
        <v/>
      </c>
      <c r="C31" s="42"/>
      <c r="D31" s="42"/>
      <c r="E31" s="42"/>
      <c r="F31" s="42"/>
      <c r="G31" s="15"/>
      <c r="H31" s="43">
        <v>26</v>
      </c>
      <c r="I31" s="44" t="str">
        <f t="shared" si="5"/>
        <v/>
      </c>
      <c r="J31" s="43">
        <f t="shared" si="6"/>
        <v>-1</v>
      </c>
      <c r="K31" s="43">
        <f t="shared" si="1"/>
        <v>-10</v>
      </c>
      <c r="L31" s="43"/>
      <c r="M31" s="45">
        <f t="shared" si="2"/>
        <v>0</v>
      </c>
    </row>
    <row r="32" spans="1:34">
      <c r="A32" s="51">
        <f t="shared" si="7"/>
        <v>0</v>
      </c>
      <c r="B32" s="35" t="str">
        <f t="shared" si="4"/>
        <v/>
      </c>
      <c r="C32" s="36"/>
      <c r="D32" s="36"/>
      <c r="E32" s="36"/>
      <c r="F32" s="36"/>
      <c r="G32" s="15"/>
      <c r="H32" s="37">
        <v>27</v>
      </c>
      <c r="I32" s="38" t="str">
        <f t="shared" si="5"/>
        <v/>
      </c>
      <c r="J32" s="37">
        <f t="shared" si="6"/>
        <v>-1</v>
      </c>
      <c r="K32" s="37">
        <f t="shared" si="1"/>
        <v>-10</v>
      </c>
      <c r="L32" s="37"/>
      <c r="M32" s="39">
        <f t="shared" si="2"/>
        <v>0</v>
      </c>
      <c r="R32" s="55"/>
      <c r="S32" s="56"/>
    </row>
    <row r="33" spans="1:21">
      <c r="A33" s="50">
        <f t="shared" si="7"/>
        <v>0</v>
      </c>
      <c r="B33" s="41" t="str">
        <f t="shared" si="4"/>
        <v/>
      </c>
      <c r="C33" s="42"/>
      <c r="D33" s="42"/>
      <c r="E33" s="42"/>
      <c r="F33" s="42"/>
      <c r="G33" s="15"/>
      <c r="H33" s="43">
        <v>28</v>
      </c>
      <c r="I33" s="44" t="str">
        <f t="shared" si="5"/>
        <v/>
      </c>
      <c r="J33" s="43">
        <f t="shared" si="6"/>
        <v>-1</v>
      </c>
      <c r="K33" s="43">
        <f t="shared" si="1"/>
        <v>-10</v>
      </c>
      <c r="L33" s="43"/>
      <c r="M33" s="45">
        <f t="shared" si="2"/>
        <v>0</v>
      </c>
    </row>
    <row r="34" spans="1:21">
      <c r="A34" s="51">
        <f t="shared" si="7"/>
        <v>0</v>
      </c>
      <c r="B34" s="35" t="str">
        <f t="shared" si="4"/>
        <v/>
      </c>
      <c r="C34" s="36"/>
      <c r="D34" s="36"/>
      <c r="E34" s="36"/>
      <c r="F34" s="36"/>
      <c r="G34" s="15"/>
      <c r="H34" s="37">
        <v>29</v>
      </c>
      <c r="I34" s="38" t="str">
        <f t="shared" si="5"/>
        <v/>
      </c>
      <c r="J34" s="37">
        <f t="shared" si="6"/>
        <v>-1</v>
      </c>
      <c r="K34" s="37">
        <f t="shared" si="1"/>
        <v>-10</v>
      </c>
      <c r="L34" s="37"/>
      <c r="M34" s="39">
        <f t="shared" si="2"/>
        <v>0</v>
      </c>
    </row>
    <row r="35" spans="1:21">
      <c r="A35" s="50">
        <f t="shared" si="7"/>
        <v>0</v>
      </c>
      <c r="B35" s="41" t="str">
        <f t="shared" si="4"/>
        <v/>
      </c>
      <c r="C35" s="42"/>
      <c r="D35" s="42"/>
      <c r="E35" s="42"/>
      <c r="F35" s="42"/>
      <c r="G35" s="15"/>
      <c r="H35" s="43">
        <v>30</v>
      </c>
      <c r="I35" s="44" t="str">
        <f t="shared" si="5"/>
        <v/>
      </c>
      <c r="J35" s="43">
        <f t="shared" si="6"/>
        <v>-1</v>
      </c>
      <c r="K35" s="43">
        <f t="shared" si="1"/>
        <v>-10</v>
      </c>
      <c r="L35" s="43"/>
      <c r="M35" s="45">
        <f t="shared" si="2"/>
        <v>0</v>
      </c>
    </row>
    <row r="36" spans="1:21">
      <c r="A36" s="51">
        <f t="shared" si="7"/>
        <v>0</v>
      </c>
      <c r="B36" s="35" t="str">
        <f t="shared" si="4"/>
        <v/>
      </c>
      <c r="C36" s="36"/>
      <c r="D36" s="36"/>
      <c r="E36" s="36"/>
      <c r="F36" s="36"/>
      <c r="G36" s="15"/>
      <c r="H36" s="37">
        <v>31</v>
      </c>
      <c r="I36" s="38" t="str">
        <f t="shared" si="5"/>
        <v/>
      </c>
      <c r="J36" s="37">
        <f t="shared" si="6"/>
        <v>-1</v>
      </c>
      <c r="K36" s="37">
        <f t="shared" si="1"/>
        <v>-10</v>
      </c>
      <c r="L36" s="37"/>
      <c r="M36" s="39">
        <f t="shared" si="2"/>
        <v>0</v>
      </c>
      <c r="R36" s="55"/>
      <c r="S36" s="56"/>
    </row>
    <row r="37" spans="1:21">
      <c r="A37" s="50">
        <f t="shared" si="7"/>
        <v>0</v>
      </c>
      <c r="B37" s="41" t="str">
        <f t="shared" si="4"/>
        <v/>
      </c>
      <c r="C37" s="42"/>
      <c r="D37" s="42"/>
      <c r="E37" s="42"/>
      <c r="F37" s="42"/>
      <c r="G37" s="15"/>
      <c r="H37" s="43">
        <v>32</v>
      </c>
      <c r="I37" s="44" t="str">
        <f t="shared" si="5"/>
        <v/>
      </c>
      <c r="J37" s="43">
        <f t="shared" si="6"/>
        <v>-1</v>
      </c>
      <c r="K37" s="43">
        <f t="shared" si="1"/>
        <v>-10</v>
      </c>
      <c r="L37" s="43"/>
      <c r="M37" s="45">
        <f t="shared" si="2"/>
        <v>0</v>
      </c>
    </row>
    <row r="38" spans="1:21">
      <c r="A38" s="51"/>
      <c r="B38" s="35" t="str">
        <f t="shared" si="4"/>
        <v/>
      </c>
      <c r="C38" s="36"/>
      <c r="D38" s="36"/>
      <c r="E38" s="36"/>
      <c r="F38" s="36"/>
      <c r="G38" s="15"/>
      <c r="H38" s="37">
        <v>33</v>
      </c>
      <c r="I38" s="38" t="str">
        <f t="shared" si="5"/>
        <v/>
      </c>
      <c r="J38" s="37">
        <f t="shared" si="6"/>
        <v>-2</v>
      </c>
      <c r="K38" s="37">
        <f t="shared" si="1"/>
        <v>-20</v>
      </c>
      <c r="L38" s="37"/>
      <c r="M38" s="39">
        <f t="shared" si="2"/>
        <v>0</v>
      </c>
    </row>
    <row r="39" spans="1:21">
      <c r="A39" s="50"/>
      <c r="B39" s="41" t="str">
        <f t="shared" si="4"/>
        <v/>
      </c>
      <c r="C39" s="42"/>
      <c r="D39" s="42"/>
      <c r="E39" s="42"/>
      <c r="F39" s="42"/>
      <c r="G39" s="15"/>
      <c r="H39" s="43">
        <v>34</v>
      </c>
      <c r="I39" s="44" t="str">
        <f t="shared" si="5"/>
        <v/>
      </c>
      <c r="J39" s="43">
        <f t="shared" si="6"/>
        <v>-2</v>
      </c>
      <c r="K39" s="43">
        <f t="shared" si="1"/>
        <v>-20</v>
      </c>
      <c r="L39" s="43"/>
      <c r="M39" s="45">
        <f t="shared" si="2"/>
        <v>0</v>
      </c>
    </row>
    <row r="40" spans="1:21">
      <c r="A40" s="51"/>
      <c r="B40" s="35" t="str">
        <f t="shared" si="4"/>
        <v/>
      </c>
      <c r="C40" s="36"/>
      <c r="D40" s="36"/>
      <c r="E40" s="36"/>
      <c r="F40" s="36"/>
      <c r="G40" s="15"/>
      <c r="H40" s="37">
        <v>35</v>
      </c>
      <c r="I40" s="38" t="str">
        <f t="shared" si="5"/>
        <v/>
      </c>
      <c r="J40" s="37">
        <f t="shared" si="6"/>
        <v>-2</v>
      </c>
      <c r="K40" s="37">
        <f t="shared" si="1"/>
        <v>-20</v>
      </c>
      <c r="L40" s="37"/>
      <c r="M40" s="39">
        <f t="shared" si="2"/>
        <v>0</v>
      </c>
    </row>
    <row r="41" spans="1:21">
      <c r="A41" s="50"/>
      <c r="B41" s="41" t="str">
        <f t="shared" si="4"/>
        <v/>
      </c>
      <c r="C41" s="42"/>
      <c r="D41" s="42"/>
      <c r="E41" s="42"/>
      <c r="F41" s="42"/>
      <c r="G41" s="15"/>
      <c r="H41" s="43">
        <v>36</v>
      </c>
      <c r="I41" s="44" t="str">
        <f t="shared" si="5"/>
        <v/>
      </c>
      <c r="J41" s="43">
        <f t="shared" si="6"/>
        <v>-2</v>
      </c>
      <c r="K41" s="43">
        <f t="shared" si="1"/>
        <v>-20</v>
      </c>
      <c r="L41" s="43"/>
      <c r="M41" s="45">
        <f t="shared" si="2"/>
        <v>0</v>
      </c>
      <c r="S41" s="57"/>
    </row>
    <row r="42" spans="1:21">
      <c r="A42" s="51"/>
      <c r="B42" s="35" t="str">
        <f t="shared" si="4"/>
        <v/>
      </c>
      <c r="C42" s="36"/>
      <c r="D42" s="36"/>
      <c r="E42" s="36"/>
      <c r="F42" s="36"/>
      <c r="G42" s="15"/>
      <c r="H42" s="37">
        <v>37</v>
      </c>
      <c r="I42" s="38" t="str">
        <f t="shared" si="5"/>
        <v/>
      </c>
      <c r="J42" s="37">
        <f t="shared" si="6"/>
        <v>-2</v>
      </c>
      <c r="K42" s="37">
        <f t="shared" si="1"/>
        <v>-20</v>
      </c>
      <c r="L42" s="37"/>
      <c r="M42" s="39">
        <f t="shared" si="2"/>
        <v>0</v>
      </c>
    </row>
    <row r="43" spans="1:21">
      <c r="A43" s="50"/>
      <c r="B43" s="41" t="str">
        <f t="shared" si="4"/>
        <v/>
      </c>
      <c r="C43" s="42"/>
      <c r="D43" s="42"/>
      <c r="E43" s="42"/>
      <c r="F43" s="42"/>
      <c r="G43" s="15"/>
      <c r="H43" s="43">
        <v>38</v>
      </c>
      <c r="I43" s="44" t="str">
        <f t="shared" si="5"/>
        <v/>
      </c>
      <c r="J43" s="43">
        <f t="shared" si="6"/>
        <v>-2</v>
      </c>
      <c r="K43" s="43">
        <f t="shared" si="1"/>
        <v>-20</v>
      </c>
      <c r="L43" s="43"/>
      <c r="M43" s="45">
        <f t="shared" si="2"/>
        <v>0</v>
      </c>
    </row>
    <row r="44" spans="1:21">
      <c r="A44" s="51"/>
      <c r="B44" s="35" t="str">
        <f t="shared" si="4"/>
        <v/>
      </c>
      <c r="C44" s="36"/>
      <c r="D44" s="36"/>
      <c r="E44" s="36"/>
      <c r="F44" s="36"/>
      <c r="G44" s="15"/>
      <c r="H44" s="37">
        <v>39</v>
      </c>
      <c r="I44" s="38" t="str">
        <f t="shared" si="5"/>
        <v/>
      </c>
      <c r="J44" s="37">
        <f t="shared" si="6"/>
        <v>-2</v>
      </c>
      <c r="K44" s="37">
        <f t="shared" si="1"/>
        <v>-20</v>
      </c>
      <c r="L44" s="37"/>
      <c r="M44" s="39">
        <f t="shared" si="2"/>
        <v>0</v>
      </c>
    </row>
    <row r="45" spans="1:21">
      <c r="A45" s="50"/>
      <c r="B45" s="41" t="str">
        <f t="shared" si="4"/>
        <v/>
      </c>
      <c r="C45" s="42"/>
      <c r="D45" s="42"/>
      <c r="E45" s="42"/>
      <c r="F45" s="42"/>
      <c r="G45" s="15"/>
      <c r="H45" s="43">
        <v>40</v>
      </c>
      <c r="I45" s="44" t="str">
        <f t="shared" si="5"/>
        <v/>
      </c>
      <c r="J45" s="43">
        <f t="shared" si="6"/>
        <v>-2</v>
      </c>
      <c r="K45" s="43">
        <f t="shared" si="1"/>
        <v>-20</v>
      </c>
      <c r="L45" s="43"/>
      <c r="M45" s="45">
        <f t="shared" si="2"/>
        <v>0</v>
      </c>
    </row>
    <row r="46" spans="1:21">
      <c r="A46" s="51"/>
      <c r="B46" s="35" t="str">
        <f t="shared" si="4"/>
        <v/>
      </c>
      <c r="C46" s="36"/>
      <c r="D46" s="36"/>
      <c r="E46" s="36"/>
      <c r="F46" s="36"/>
      <c r="G46" s="15"/>
      <c r="H46" s="37">
        <v>41</v>
      </c>
      <c r="I46" s="38" t="str">
        <f t="shared" si="5"/>
        <v/>
      </c>
      <c r="J46" s="37">
        <f t="shared" si="6"/>
        <v>-2</v>
      </c>
      <c r="K46" s="37">
        <f t="shared" si="1"/>
        <v>-20</v>
      </c>
      <c r="L46" s="37"/>
      <c r="M46" s="39">
        <f t="shared" si="2"/>
        <v>0</v>
      </c>
      <c r="R46" s="15">
        <f>LOG($H$2,2)</f>
        <v>3.5849625007211565</v>
      </c>
      <c r="T46" s="20">
        <f>LOG(H38,2)</f>
        <v>5.0443941193584534</v>
      </c>
      <c r="U46" s="20">
        <f>R46-T46</f>
        <v>-1.4594316186372969</v>
      </c>
    </row>
    <row r="47" spans="1:21">
      <c r="A47" s="50"/>
      <c r="B47" s="41" t="str">
        <f t="shared" ref="B47:B59" si="8">IF(H53&gt;$H$2,"",(ROW()-5))</f>
        <v/>
      </c>
      <c r="C47" s="42"/>
      <c r="D47" s="42"/>
      <c r="E47" s="42"/>
      <c r="F47" s="42"/>
      <c r="G47" s="15"/>
      <c r="H47" s="43">
        <v>42</v>
      </c>
      <c r="I47" s="44" t="str">
        <f t="shared" si="5"/>
        <v/>
      </c>
      <c r="J47" s="43">
        <f t="shared" si="6"/>
        <v>-2</v>
      </c>
      <c r="K47" s="43">
        <f t="shared" si="1"/>
        <v>-20</v>
      </c>
      <c r="L47" s="43"/>
      <c r="M47" s="45">
        <f t="shared" si="2"/>
        <v>0</v>
      </c>
    </row>
    <row r="48" spans="1:21">
      <c r="A48" s="51"/>
      <c r="B48" s="35" t="str">
        <f t="shared" si="8"/>
        <v/>
      </c>
      <c r="C48" s="36"/>
      <c r="D48" s="36"/>
      <c r="E48" s="36"/>
      <c r="F48" s="36"/>
      <c r="G48" s="15"/>
      <c r="H48" s="37">
        <v>43</v>
      </c>
      <c r="I48" s="38" t="str">
        <f t="shared" si="5"/>
        <v/>
      </c>
      <c r="J48" s="37">
        <f t="shared" si="6"/>
        <v>-2</v>
      </c>
      <c r="K48" s="37">
        <f t="shared" si="1"/>
        <v>-20</v>
      </c>
      <c r="L48" s="37"/>
      <c r="M48" s="39">
        <f t="shared" si="2"/>
        <v>0</v>
      </c>
    </row>
    <row r="49" spans="1:13">
      <c r="A49" s="50"/>
      <c r="B49" s="41" t="str">
        <f t="shared" si="8"/>
        <v/>
      </c>
      <c r="C49" s="42"/>
      <c r="D49" s="42"/>
      <c r="E49" s="42"/>
      <c r="F49" s="42"/>
      <c r="G49" s="15"/>
      <c r="H49" s="43">
        <v>44</v>
      </c>
      <c r="I49" s="44" t="str">
        <f t="shared" si="5"/>
        <v/>
      </c>
      <c r="J49" s="43">
        <f t="shared" si="6"/>
        <v>-2</v>
      </c>
      <c r="K49" s="43">
        <f t="shared" si="1"/>
        <v>-20</v>
      </c>
      <c r="L49" s="43"/>
      <c r="M49" s="45">
        <f t="shared" si="2"/>
        <v>0</v>
      </c>
    </row>
    <row r="50" spans="1:13">
      <c r="A50" s="51"/>
      <c r="B50" s="35" t="str">
        <f t="shared" si="8"/>
        <v/>
      </c>
      <c r="C50" s="36"/>
      <c r="D50" s="36"/>
      <c r="E50" s="36"/>
      <c r="F50" s="36"/>
      <c r="G50" s="15"/>
      <c r="H50" s="37">
        <v>45</v>
      </c>
      <c r="I50" s="38" t="str">
        <f t="shared" si="5"/>
        <v/>
      </c>
      <c r="J50" s="37">
        <f t="shared" si="6"/>
        <v>-2</v>
      </c>
      <c r="K50" s="37">
        <f t="shared" si="1"/>
        <v>-20</v>
      </c>
      <c r="L50" s="37"/>
      <c r="M50" s="39">
        <f t="shared" si="2"/>
        <v>0</v>
      </c>
    </row>
    <row r="51" spans="1:13">
      <c r="A51" s="50"/>
      <c r="B51" s="41" t="str">
        <f t="shared" si="8"/>
        <v/>
      </c>
      <c r="C51" s="42"/>
      <c r="D51" s="42"/>
      <c r="E51" s="42"/>
      <c r="F51" s="42"/>
      <c r="G51" s="15"/>
      <c r="H51" s="43">
        <v>46</v>
      </c>
      <c r="I51" s="44" t="str">
        <f t="shared" si="5"/>
        <v/>
      </c>
      <c r="J51" s="43">
        <f t="shared" si="6"/>
        <v>-2</v>
      </c>
      <c r="K51" s="43">
        <f t="shared" si="1"/>
        <v>-20</v>
      </c>
      <c r="L51" s="43"/>
      <c r="M51" s="45">
        <f t="shared" si="2"/>
        <v>0</v>
      </c>
    </row>
    <row r="52" spans="1:13">
      <c r="A52" s="51"/>
      <c r="B52" s="35" t="str">
        <f t="shared" si="8"/>
        <v/>
      </c>
      <c r="C52" s="36"/>
      <c r="D52" s="36"/>
      <c r="E52" s="36"/>
      <c r="F52" s="36"/>
      <c r="G52" s="15"/>
      <c r="H52" s="37">
        <v>47</v>
      </c>
      <c r="I52" s="38" t="str">
        <f t="shared" si="5"/>
        <v/>
      </c>
      <c r="J52" s="37">
        <f t="shared" si="6"/>
        <v>-2</v>
      </c>
      <c r="K52" s="37">
        <f t="shared" si="1"/>
        <v>-20</v>
      </c>
      <c r="L52" s="37"/>
      <c r="M52" s="39">
        <f t="shared" si="2"/>
        <v>0</v>
      </c>
    </row>
    <row r="53" spans="1:13">
      <c r="A53" s="50"/>
      <c r="B53" s="41" t="str">
        <f t="shared" si="8"/>
        <v/>
      </c>
      <c r="C53" s="42"/>
      <c r="D53" s="42"/>
      <c r="E53" s="42"/>
      <c r="F53" s="42"/>
      <c r="G53" s="15"/>
      <c r="H53" s="43">
        <v>48</v>
      </c>
      <c r="I53" s="44" t="str">
        <f t="shared" si="5"/>
        <v/>
      </c>
      <c r="J53" s="43">
        <f t="shared" si="6"/>
        <v>-2</v>
      </c>
      <c r="K53" s="43">
        <f t="shared" si="1"/>
        <v>-20</v>
      </c>
      <c r="L53" s="43"/>
      <c r="M53" s="45">
        <f t="shared" si="2"/>
        <v>0</v>
      </c>
    </row>
    <row r="54" spans="1:13">
      <c r="A54" s="51"/>
      <c r="B54" s="35" t="str">
        <f t="shared" si="8"/>
        <v/>
      </c>
      <c r="C54" s="36"/>
      <c r="D54" s="36"/>
      <c r="E54" s="36"/>
      <c r="F54" s="36"/>
      <c r="G54" s="15"/>
      <c r="H54" s="37">
        <v>49</v>
      </c>
      <c r="I54" s="38" t="str">
        <f t="shared" si="5"/>
        <v/>
      </c>
      <c r="J54" s="37">
        <f t="shared" si="6"/>
        <v>-2</v>
      </c>
      <c r="K54" s="37">
        <f t="shared" si="1"/>
        <v>-20</v>
      </c>
      <c r="L54" s="37"/>
      <c r="M54" s="39">
        <f t="shared" si="2"/>
        <v>0</v>
      </c>
    </row>
    <row r="55" spans="1:13">
      <c r="A55" s="50"/>
      <c r="B55" s="41" t="str">
        <f t="shared" si="8"/>
        <v/>
      </c>
      <c r="C55" s="42"/>
      <c r="D55" s="42"/>
      <c r="E55" s="42"/>
      <c r="F55" s="42"/>
      <c r="G55" s="15"/>
      <c r="H55" s="43">
        <v>50</v>
      </c>
      <c r="I55" s="44" t="str">
        <f t="shared" si="5"/>
        <v/>
      </c>
      <c r="J55" s="43">
        <f t="shared" si="6"/>
        <v>-2</v>
      </c>
      <c r="K55" s="43">
        <f t="shared" si="1"/>
        <v>-20</v>
      </c>
      <c r="L55" s="43"/>
      <c r="M55" s="45">
        <f t="shared" si="2"/>
        <v>0</v>
      </c>
    </row>
    <row r="56" spans="1:13">
      <c r="A56" s="51"/>
      <c r="B56" s="35" t="str">
        <f t="shared" si="8"/>
        <v/>
      </c>
      <c r="C56" s="36"/>
      <c r="D56" s="36"/>
      <c r="E56" s="36"/>
      <c r="F56" s="36"/>
      <c r="G56" s="15"/>
      <c r="H56" s="37">
        <v>51</v>
      </c>
      <c r="I56" s="38" t="str">
        <f t="shared" si="5"/>
        <v/>
      </c>
      <c r="J56" s="37">
        <f t="shared" si="6"/>
        <v>-2</v>
      </c>
      <c r="K56" s="37">
        <f t="shared" si="1"/>
        <v>-20</v>
      </c>
      <c r="L56" s="37"/>
      <c r="M56" s="39">
        <f t="shared" si="2"/>
        <v>0</v>
      </c>
    </row>
    <row r="57" spans="1:13">
      <c r="A57" s="50"/>
      <c r="B57" s="41" t="str">
        <f t="shared" si="8"/>
        <v/>
      </c>
      <c r="C57" s="42"/>
      <c r="D57" s="42"/>
      <c r="E57" s="42"/>
      <c r="F57" s="42"/>
      <c r="G57" s="15"/>
      <c r="H57" s="43">
        <v>52</v>
      </c>
      <c r="I57" s="44" t="str">
        <f t="shared" si="5"/>
        <v/>
      </c>
      <c r="J57" s="43">
        <f t="shared" si="6"/>
        <v>-2</v>
      </c>
      <c r="K57" s="43">
        <f t="shared" si="1"/>
        <v>-20</v>
      </c>
      <c r="L57" s="43"/>
      <c r="M57" s="45">
        <f t="shared" si="2"/>
        <v>0</v>
      </c>
    </row>
    <row r="58" spans="1:13">
      <c r="A58" s="51"/>
      <c r="B58" s="35" t="str">
        <f t="shared" si="8"/>
        <v/>
      </c>
      <c r="C58" s="36"/>
      <c r="D58" s="36"/>
      <c r="E58" s="36"/>
      <c r="F58" s="36"/>
      <c r="G58" s="15"/>
      <c r="H58" s="37">
        <v>53</v>
      </c>
      <c r="I58" s="38" t="str">
        <f t="shared" si="5"/>
        <v/>
      </c>
      <c r="J58" s="37">
        <f t="shared" si="6"/>
        <v>-2</v>
      </c>
      <c r="K58" s="37">
        <f t="shared" si="1"/>
        <v>-20</v>
      </c>
      <c r="L58" s="37"/>
      <c r="M58" s="39">
        <f t="shared" si="2"/>
        <v>0</v>
      </c>
    </row>
    <row r="59" spans="1:13">
      <c r="A59" s="50"/>
      <c r="B59" s="41" t="str">
        <f t="shared" si="8"/>
        <v/>
      </c>
      <c r="C59" s="42"/>
      <c r="D59" s="42"/>
      <c r="E59" s="42"/>
      <c r="F59" s="42"/>
      <c r="G59" s="15"/>
      <c r="H59" s="43">
        <v>54</v>
      </c>
      <c r="I59" s="44" t="str">
        <f t="shared" si="5"/>
        <v/>
      </c>
      <c r="J59" s="43">
        <f t="shared" si="6"/>
        <v>-2</v>
      </c>
      <c r="K59" s="43">
        <f t="shared" si="1"/>
        <v>-20</v>
      </c>
      <c r="L59" s="43"/>
      <c r="M59" s="45">
        <f t="shared" si="2"/>
        <v>0</v>
      </c>
    </row>
    <row r="60" spans="1:13">
      <c r="A60" s="51"/>
      <c r="B60" s="35"/>
      <c r="G60" s="15"/>
      <c r="H60" s="37">
        <v>55</v>
      </c>
      <c r="I60" s="38" t="str">
        <f t="shared" si="5"/>
        <v/>
      </c>
      <c r="J60" s="37">
        <f t="shared" si="6"/>
        <v>-2</v>
      </c>
      <c r="K60" s="37">
        <f t="shared" si="1"/>
        <v>-20</v>
      </c>
      <c r="L60" s="37"/>
      <c r="M60" s="39">
        <f t="shared" si="2"/>
        <v>0</v>
      </c>
    </row>
    <row r="61" spans="1:13">
      <c r="A61" s="50"/>
      <c r="B61" s="41"/>
      <c r="G61" s="15"/>
      <c r="H61" s="43">
        <v>56</v>
      </c>
      <c r="I61" s="44" t="str">
        <f t="shared" si="5"/>
        <v/>
      </c>
      <c r="J61" s="43">
        <f t="shared" si="6"/>
        <v>-2</v>
      </c>
      <c r="K61" s="43">
        <f t="shared" si="1"/>
        <v>-20</v>
      </c>
      <c r="L61" s="43"/>
      <c r="M61" s="45">
        <f t="shared" si="2"/>
        <v>0</v>
      </c>
    </row>
    <row r="62" spans="1:13">
      <c r="A62" s="51"/>
      <c r="B62" s="35"/>
      <c r="G62" s="15"/>
      <c r="H62" s="37">
        <v>57</v>
      </c>
      <c r="I62" s="38" t="str">
        <f t="shared" si="5"/>
        <v/>
      </c>
      <c r="J62" s="37">
        <f t="shared" si="6"/>
        <v>-2</v>
      </c>
      <c r="K62" s="37">
        <f t="shared" si="1"/>
        <v>-20</v>
      </c>
      <c r="L62" s="37"/>
      <c r="M62" s="39">
        <f t="shared" si="2"/>
        <v>0</v>
      </c>
    </row>
    <row r="63" spans="1:13">
      <c r="A63" s="50"/>
      <c r="B63" s="41"/>
      <c r="G63" s="15"/>
      <c r="H63" s="43">
        <v>58</v>
      </c>
      <c r="I63" s="44" t="str">
        <f t="shared" si="5"/>
        <v/>
      </c>
      <c r="J63" s="43">
        <f t="shared" si="6"/>
        <v>-2</v>
      </c>
      <c r="K63" s="43">
        <f t="shared" si="1"/>
        <v>-20</v>
      </c>
      <c r="L63" s="43"/>
      <c r="M63" s="45">
        <f t="shared" si="2"/>
        <v>0</v>
      </c>
    </row>
    <row r="64" spans="1:13">
      <c r="A64" s="51"/>
      <c r="G64" s="15"/>
      <c r="H64" s="37">
        <v>59</v>
      </c>
      <c r="I64" s="38" t="str">
        <f t="shared" si="5"/>
        <v/>
      </c>
      <c r="J64" s="37">
        <f t="shared" si="6"/>
        <v>-2</v>
      </c>
      <c r="K64" s="37">
        <f t="shared" si="1"/>
        <v>-20</v>
      </c>
      <c r="L64" s="37"/>
      <c r="M64" s="39">
        <f t="shared" si="2"/>
        <v>0</v>
      </c>
    </row>
    <row r="65" spans="1:13">
      <c r="A65" s="50"/>
      <c r="G65" s="15"/>
      <c r="H65" s="43">
        <v>60</v>
      </c>
      <c r="I65" s="44" t="str">
        <f t="shared" si="5"/>
        <v/>
      </c>
      <c r="J65" s="43">
        <f t="shared" si="6"/>
        <v>-2</v>
      </c>
      <c r="K65" s="43">
        <f t="shared" si="1"/>
        <v>-20</v>
      </c>
      <c r="L65" s="43"/>
      <c r="M65" s="45">
        <f t="shared" si="2"/>
        <v>0</v>
      </c>
    </row>
    <row r="66" spans="1:13">
      <c r="A66" s="58"/>
      <c r="G66" s="15"/>
      <c r="H66" s="37">
        <v>61</v>
      </c>
      <c r="I66" s="38" t="str">
        <f t="shared" si="5"/>
        <v/>
      </c>
      <c r="J66" s="37">
        <f t="shared" si="6"/>
        <v>-2</v>
      </c>
      <c r="K66" s="37">
        <f t="shared" si="1"/>
        <v>-20</v>
      </c>
      <c r="L66" s="37"/>
      <c r="M66" s="39">
        <f t="shared" si="2"/>
        <v>0</v>
      </c>
    </row>
    <row r="67" spans="1:13">
      <c r="A67" s="58"/>
      <c r="G67" s="15"/>
      <c r="H67" s="37">
        <v>62</v>
      </c>
      <c r="I67" s="38" t="str">
        <f t="shared" si="5"/>
        <v/>
      </c>
      <c r="J67" s="37">
        <f t="shared" si="6"/>
        <v>-2</v>
      </c>
      <c r="K67" s="37">
        <f t="shared" si="1"/>
        <v>-20</v>
      </c>
      <c r="L67" s="37"/>
      <c r="M67" s="39">
        <f t="shared" si="2"/>
        <v>0</v>
      </c>
    </row>
    <row r="68" spans="1:13">
      <c r="A68" s="58"/>
      <c r="G68" s="15"/>
      <c r="H68" s="37">
        <v>63</v>
      </c>
      <c r="I68" s="38" t="str">
        <f t="shared" si="5"/>
        <v/>
      </c>
      <c r="J68" s="37">
        <f t="shared" si="6"/>
        <v>-2</v>
      </c>
      <c r="K68" s="37">
        <f t="shared" si="1"/>
        <v>-20</v>
      </c>
      <c r="L68" s="37"/>
      <c r="M68" s="39">
        <f t="shared" si="2"/>
        <v>0</v>
      </c>
    </row>
    <row r="69" spans="1:13">
      <c r="A69" s="58"/>
      <c r="G69" s="15"/>
      <c r="H69" s="37">
        <v>64</v>
      </c>
      <c r="I69" s="38" t="str">
        <f t="shared" si="5"/>
        <v/>
      </c>
      <c r="J69" s="37">
        <f t="shared" si="6"/>
        <v>-2</v>
      </c>
      <c r="K69" s="37">
        <f t="shared" si="1"/>
        <v>-20</v>
      </c>
      <c r="L69" s="37"/>
      <c r="M69" s="39">
        <f t="shared" si="2"/>
        <v>0</v>
      </c>
    </row>
    <row r="70" spans="1:13">
      <c r="A70" s="58"/>
      <c r="G70" s="15"/>
      <c r="H70" s="37">
        <v>65</v>
      </c>
      <c r="I70" s="38" t="str">
        <f t="shared" ref="I70:I133" si="9">IF(H70&lt;$H$2+1,($I$2-($I$2-1)*(LOG(H70)/LOG($H$2))),"")</f>
        <v/>
      </c>
      <c r="J70" s="37">
        <f t="shared" si="6"/>
        <v>-3</v>
      </c>
      <c r="K70" s="37">
        <f t="shared" ref="K70:K133" si="10">J70*$J$2</f>
        <v>-30</v>
      </c>
      <c r="L70" s="37"/>
      <c r="M70" s="39">
        <f t="shared" ref="M70:M133" si="11">IF(I70&lt;&gt;"",K70+I70+L70,0)</f>
        <v>0</v>
      </c>
    </row>
    <row r="71" spans="1:13">
      <c r="A71" s="58"/>
      <c r="G71" s="15"/>
      <c r="H71" s="37">
        <v>66</v>
      </c>
      <c r="I71" s="38" t="str">
        <f t="shared" si="9"/>
        <v/>
      </c>
      <c r="J71" s="37">
        <f t="shared" ref="J71:J134" si="12">INT(LOG($H$2,2))-ROUNDUP(LOG(H71,2),0)+IF(OR($H$2=1,$H$2=2,$H$2=4,$H$2=8,$H$2=16,$H$2=32,$H$2=64,$H$2=128,$H$2=256),0,1)</f>
        <v>-3</v>
      </c>
      <c r="K71" s="37">
        <f t="shared" si="10"/>
        <v>-30</v>
      </c>
      <c r="L71" s="37"/>
      <c r="M71" s="39">
        <f t="shared" si="11"/>
        <v>0</v>
      </c>
    </row>
    <row r="72" spans="1:13">
      <c r="A72" s="58"/>
      <c r="G72" s="15"/>
      <c r="H72" s="37">
        <v>67</v>
      </c>
      <c r="I72" s="38" t="str">
        <f t="shared" si="9"/>
        <v/>
      </c>
      <c r="J72" s="37">
        <f t="shared" si="12"/>
        <v>-3</v>
      </c>
      <c r="K72" s="37">
        <f t="shared" si="10"/>
        <v>-30</v>
      </c>
      <c r="L72" s="37"/>
      <c r="M72" s="39">
        <f t="shared" si="11"/>
        <v>0</v>
      </c>
    </row>
    <row r="73" spans="1:13">
      <c r="A73" s="58"/>
      <c r="G73" s="15"/>
      <c r="H73" s="37">
        <v>68</v>
      </c>
      <c r="I73" s="38" t="str">
        <f t="shared" si="9"/>
        <v/>
      </c>
      <c r="J73" s="37">
        <f t="shared" si="12"/>
        <v>-3</v>
      </c>
      <c r="K73" s="37">
        <f t="shared" si="10"/>
        <v>-30</v>
      </c>
      <c r="L73" s="37"/>
      <c r="M73" s="39">
        <f t="shared" si="11"/>
        <v>0</v>
      </c>
    </row>
    <row r="74" spans="1:13">
      <c r="A74" s="58"/>
      <c r="G74" s="15"/>
      <c r="H74" s="37">
        <v>69</v>
      </c>
      <c r="I74" s="38" t="str">
        <f t="shared" si="9"/>
        <v/>
      </c>
      <c r="J74" s="37">
        <f t="shared" si="12"/>
        <v>-3</v>
      </c>
      <c r="K74" s="37">
        <f t="shared" si="10"/>
        <v>-30</v>
      </c>
      <c r="L74" s="37"/>
      <c r="M74" s="39">
        <f t="shared" si="11"/>
        <v>0</v>
      </c>
    </row>
    <row r="75" spans="1:13">
      <c r="A75" s="58"/>
      <c r="G75" s="15"/>
      <c r="H75" s="37">
        <v>70</v>
      </c>
      <c r="I75" s="38" t="str">
        <f t="shared" si="9"/>
        <v/>
      </c>
      <c r="J75" s="37">
        <f t="shared" si="12"/>
        <v>-3</v>
      </c>
      <c r="K75" s="37">
        <f t="shared" si="10"/>
        <v>-30</v>
      </c>
      <c r="L75" s="37"/>
      <c r="M75" s="39">
        <f t="shared" si="11"/>
        <v>0</v>
      </c>
    </row>
    <row r="76" spans="1:13">
      <c r="A76" s="58"/>
      <c r="G76" s="15"/>
      <c r="H76" s="37">
        <v>71</v>
      </c>
      <c r="I76" s="38" t="str">
        <f t="shared" si="9"/>
        <v/>
      </c>
      <c r="J76" s="37">
        <f t="shared" si="12"/>
        <v>-3</v>
      </c>
      <c r="K76" s="37">
        <f t="shared" si="10"/>
        <v>-30</v>
      </c>
      <c r="L76" s="37"/>
      <c r="M76" s="39">
        <f t="shared" si="11"/>
        <v>0</v>
      </c>
    </row>
    <row r="77" spans="1:13">
      <c r="A77" s="58"/>
      <c r="G77" s="15"/>
      <c r="H77" s="37">
        <v>72</v>
      </c>
      <c r="I77" s="38" t="str">
        <f t="shared" si="9"/>
        <v/>
      </c>
      <c r="J77" s="37">
        <f t="shared" si="12"/>
        <v>-3</v>
      </c>
      <c r="K77" s="37">
        <f t="shared" si="10"/>
        <v>-30</v>
      </c>
      <c r="L77" s="37"/>
      <c r="M77" s="39">
        <f t="shared" si="11"/>
        <v>0</v>
      </c>
    </row>
    <row r="78" spans="1:13">
      <c r="A78" s="58"/>
      <c r="G78" s="15"/>
      <c r="H78" s="37">
        <v>73</v>
      </c>
      <c r="I78" s="38" t="str">
        <f t="shared" si="9"/>
        <v/>
      </c>
      <c r="J78" s="37">
        <f t="shared" si="12"/>
        <v>-3</v>
      </c>
      <c r="K78" s="37">
        <f t="shared" si="10"/>
        <v>-30</v>
      </c>
      <c r="L78" s="37"/>
      <c r="M78" s="39">
        <f t="shared" si="11"/>
        <v>0</v>
      </c>
    </row>
    <row r="79" spans="1:13">
      <c r="A79" s="58"/>
      <c r="G79" s="15"/>
      <c r="H79" s="37">
        <v>74</v>
      </c>
      <c r="I79" s="38" t="str">
        <f t="shared" si="9"/>
        <v/>
      </c>
      <c r="J79" s="37">
        <f t="shared" si="12"/>
        <v>-3</v>
      </c>
      <c r="K79" s="37">
        <f t="shared" si="10"/>
        <v>-30</v>
      </c>
      <c r="L79" s="37"/>
      <c r="M79" s="39">
        <f t="shared" si="11"/>
        <v>0</v>
      </c>
    </row>
    <row r="80" spans="1:13">
      <c r="A80" s="58"/>
      <c r="G80" s="15"/>
      <c r="H80" s="37">
        <v>75</v>
      </c>
      <c r="I80" s="38" t="str">
        <f t="shared" si="9"/>
        <v/>
      </c>
      <c r="J80" s="37">
        <f t="shared" si="12"/>
        <v>-3</v>
      </c>
      <c r="K80" s="37">
        <f t="shared" si="10"/>
        <v>-30</v>
      </c>
      <c r="L80" s="37"/>
      <c r="M80" s="39">
        <f t="shared" si="11"/>
        <v>0</v>
      </c>
    </row>
    <row r="81" spans="1:13">
      <c r="A81" s="58"/>
      <c r="G81" s="15"/>
      <c r="H81" s="37">
        <v>76</v>
      </c>
      <c r="I81" s="38" t="str">
        <f t="shared" si="9"/>
        <v/>
      </c>
      <c r="J81" s="37">
        <f t="shared" si="12"/>
        <v>-3</v>
      </c>
      <c r="K81" s="37">
        <f t="shared" si="10"/>
        <v>-30</v>
      </c>
      <c r="L81" s="37"/>
      <c r="M81" s="39">
        <f t="shared" si="11"/>
        <v>0</v>
      </c>
    </row>
    <row r="82" spans="1:13">
      <c r="A82" s="58"/>
      <c r="G82" s="15"/>
      <c r="H82" s="37">
        <v>77</v>
      </c>
      <c r="I82" s="38" t="str">
        <f t="shared" si="9"/>
        <v/>
      </c>
      <c r="J82" s="37">
        <f t="shared" si="12"/>
        <v>-3</v>
      </c>
      <c r="K82" s="37">
        <f t="shared" si="10"/>
        <v>-30</v>
      </c>
      <c r="L82" s="37"/>
      <c r="M82" s="39">
        <f t="shared" si="11"/>
        <v>0</v>
      </c>
    </row>
    <row r="83" spans="1:13">
      <c r="A83" s="58"/>
      <c r="G83" s="15"/>
      <c r="H83" s="37">
        <v>78</v>
      </c>
      <c r="I83" s="38" t="str">
        <f t="shared" si="9"/>
        <v/>
      </c>
      <c r="J83" s="37">
        <f t="shared" si="12"/>
        <v>-3</v>
      </c>
      <c r="K83" s="37">
        <f t="shared" si="10"/>
        <v>-30</v>
      </c>
      <c r="L83" s="37"/>
      <c r="M83" s="39">
        <f t="shared" si="11"/>
        <v>0</v>
      </c>
    </row>
    <row r="84" spans="1:13">
      <c r="A84" s="58"/>
      <c r="G84" s="15"/>
      <c r="H84" s="37">
        <v>79</v>
      </c>
      <c r="I84" s="38" t="str">
        <f t="shared" si="9"/>
        <v/>
      </c>
      <c r="J84" s="37">
        <f t="shared" si="12"/>
        <v>-3</v>
      </c>
      <c r="K84" s="37">
        <f t="shared" si="10"/>
        <v>-30</v>
      </c>
      <c r="L84" s="37"/>
      <c r="M84" s="39">
        <f t="shared" si="11"/>
        <v>0</v>
      </c>
    </row>
    <row r="85" spans="1:13">
      <c r="A85" s="58"/>
      <c r="G85" s="15"/>
      <c r="H85" s="37">
        <v>80</v>
      </c>
      <c r="I85" s="38" t="str">
        <f t="shared" si="9"/>
        <v/>
      </c>
      <c r="J85" s="37">
        <f t="shared" si="12"/>
        <v>-3</v>
      </c>
      <c r="K85" s="37">
        <f t="shared" si="10"/>
        <v>-30</v>
      </c>
      <c r="L85" s="37"/>
      <c r="M85" s="39">
        <f t="shared" si="11"/>
        <v>0</v>
      </c>
    </row>
    <row r="86" spans="1:13">
      <c r="A86" s="58"/>
      <c r="G86" s="15"/>
      <c r="H86" s="37">
        <v>81</v>
      </c>
      <c r="I86" s="38" t="str">
        <f t="shared" si="9"/>
        <v/>
      </c>
      <c r="J86" s="37">
        <f t="shared" si="12"/>
        <v>-3</v>
      </c>
      <c r="K86" s="37">
        <f t="shared" si="10"/>
        <v>-30</v>
      </c>
      <c r="L86" s="37"/>
      <c r="M86" s="39">
        <f t="shared" si="11"/>
        <v>0</v>
      </c>
    </row>
    <row r="87" spans="1:13">
      <c r="A87" s="58"/>
      <c r="G87" s="15"/>
      <c r="H87" s="37">
        <v>82</v>
      </c>
      <c r="I87" s="38" t="str">
        <f t="shared" si="9"/>
        <v/>
      </c>
      <c r="J87" s="37">
        <f t="shared" si="12"/>
        <v>-3</v>
      </c>
      <c r="K87" s="37">
        <f t="shared" si="10"/>
        <v>-30</v>
      </c>
      <c r="L87" s="37"/>
      <c r="M87" s="39">
        <f t="shared" si="11"/>
        <v>0</v>
      </c>
    </row>
    <row r="88" spans="1:13">
      <c r="A88" s="58"/>
      <c r="G88" s="15"/>
      <c r="H88" s="37">
        <v>83</v>
      </c>
      <c r="I88" s="38" t="str">
        <f t="shared" si="9"/>
        <v/>
      </c>
      <c r="J88" s="37">
        <f t="shared" si="12"/>
        <v>-3</v>
      </c>
      <c r="K88" s="37">
        <f t="shared" si="10"/>
        <v>-30</v>
      </c>
      <c r="L88" s="37"/>
      <c r="M88" s="39">
        <f t="shared" si="11"/>
        <v>0</v>
      </c>
    </row>
    <row r="89" spans="1:13">
      <c r="A89" s="58"/>
      <c r="G89" s="15"/>
      <c r="H89" s="37">
        <v>84</v>
      </c>
      <c r="I89" s="38" t="str">
        <f t="shared" si="9"/>
        <v/>
      </c>
      <c r="J89" s="37">
        <f t="shared" si="12"/>
        <v>-3</v>
      </c>
      <c r="K89" s="37">
        <f t="shared" si="10"/>
        <v>-30</v>
      </c>
      <c r="L89" s="37"/>
      <c r="M89" s="39">
        <f t="shared" si="11"/>
        <v>0</v>
      </c>
    </row>
    <row r="90" spans="1:13">
      <c r="A90" s="58"/>
      <c r="G90" s="15"/>
      <c r="H90" s="37">
        <v>85</v>
      </c>
      <c r="I90" s="38" t="str">
        <f t="shared" si="9"/>
        <v/>
      </c>
      <c r="J90" s="37">
        <f t="shared" si="12"/>
        <v>-3</v>
      </c>
      <c r="K90" s="37">
        <f t="shared" si="10"/>
        <v>-30</v>
      </c>
      <c r="L90" s="37"/>
      <c r="M90" s="39">
        <f t="shared" si="11"/>
        <v>0</v>
      </c>
    </row>
    <row r="91" spans="1:13">
      <c r="A91" s="58"/>
      <c r="G91" s="15"/>
      <c r="H91" s="37">
        <v>86</v>
      </c>
      <c r="I91" s="38" t="str">
        <f t="shared" si="9"/>
        <v/>
      </c>
      <c r="J91" s="37">
        <f t="shared" si="12"/>
        <v>-3</v>
      </c>
      <c r="K91" s="37">
        <f t="shared" si="10"/>
        <v>-30</v>
      </c>
      <c r="L91" s="37"/>
      <c r="M91" s="39">
        <f t="shared" si="11"/>
        <v>0</v>
      </c>
    </row>
    <row r="92" spans="1:13">
      <c r="A92" s="58"/>
      <c r="G92" s="15"/>
      <c r="H92" s="37">
        <v>87</v>
      </c>
      <c r="I92" s="38" t="str">
        <f t="shared" si="9"/>
        <v/>
      </c>
      <c r="J92" s="37">
        <f t="shared" si="12"/>
        <v>-3</v>
      </c>
      <c r="K92" s="37">
        <f t="shared" si="10"/>
        <v>-30</v>
      </c>
      <c r="L92" s="37"/>
      <c r="M92" s="39">
        <f t="shared" si="11"/>
        <v>0</v>
      </c>
    </row>
    <row r="93" spans="1:13">
      <c r="A93" s="58"/>
      <c r="G93" s="15"/>
      <c r="H93" s="37">
        <v>88</v>
      </c>
      <c r="I93" s="38" t="str">
        <f t="shared" si="9"/>
        <v/>
      </c>
      <c r="J93" s="37">
        <f t="shared" si="12"/>
        <v>-3</v>
      </c>
      <c r="K93" s="37">
        <f t="shared" si="10"/>
        <v>-30</v>
      </c>
      <c r="L93" s="37"/>
      <c r="M93" s="39">
        <f t="shared" si="11"/>
        <v>0</v>
      </c>
    </row>
    <row r="94" spans="1:13">
      <c r="A94" s="58"/>
      <c r="G94" s="15"/>
      <c r="H94" s="37">
        <v>89</v>
      </c>
      <c r="I94" s="38" t="str">
        <f t="shared" si="9"/>
        <v/>
      </c>
      <c r="J94" s="37">
        <f t="shared" si="12"/>
        <v>-3</v>
      </c>
      <c r="K94" s="37">
        <f t="shared" si="10"/>
        <v>-30</v>
      </c>
      <c r="L94" s="37"/>
      <c r="M94" s="39">
        <f t="shared" si="11"/>
        <v>0</v>
      </c>
    </row>
    <row r="95" spans="1:13">
      <c r="A95" s="58"/>
      <c r="G95" s="15"/>
      <c r="H95" s="37">
        <v>90</v>
      </c>
      <c r="I95" s="38" t="str">
        <f t="shared" si="9"/>
        <v/>
      </c>
      <c r="J95" s="37">
        <f t="shared" si="12"/>
        <v>-3</v>
      </c>
      <c r="K95" s="37">
        <f t="shared" si="10"/>
        <v>-30</v>
      </c>
      <c r="L95" s="37"/>
      <c r="M95" s="39">
        <f t="shared" si="11"/>
        <v>0</v>
      </c>
    </row>
    <row r="96" spans="1:13">
      <c r="A96" s="58"/>
      <c r="G96" s="15"/>
      <c r="H96" s="37">
        <v>91</v>
      </c>
      <c r="I96" s="38" t="str">
        <f t="shared" si="9"/>
        <v/>
      </c>
      <c r="J96" s="37">
        <f t="shared" si="12"/>
        <v>-3</v>
      </c>
      <c r="K96" s="37">
        <f t="shared" si="10"/>
        <v>-30</v>
      </c>
      <c r="L96" s="37"/>
      <c r="M96" s="39">
        <f t="shared" si="11"/>
        <v>0</v>
      </c>
    </row>
    <row r="97" spans="1:13">
      <c r="A97" s="58"/>
      <c r="G97" s="15"/>
      <c r="H97" s="37">
        <v>92</v>
      </c>
      <c r="I97" s="38" t="str">
        <f t="shared" si="9"/>
        <v/>
      </c>
      <c r="J97" s="37">
        <f t="shared" si="12"/>
        <v>-3</v>
      </c>
      <c r="K97" s="37">
        <f t="shared" si="10"/>
        <v>-30</v>
      </c>
      <c r="L97" s="37"/>
      <c r="M97" s="39">
        <f t="shared" si="11"/>
        <v>0</v>
      </c>
    </row>
    <row r="98" spans="1:13">
      <c r="A98" s="58"/>
      <c r="G98" s="15"/>
      <c r="H98" s="37">
        <v>93</v>
      </c>
      <c r="I98" s="38" t="str">
        <f t="shared" si="9"/>
        <v/>
      </c>
      <c r="J98" s="37">
        <f t="shared" si="12"/>
        <v>-3</v>
      </c>
      <c r="K98" s="37">
        <f t="shared" si="10"/>
        <v>-30</v>
      </c>
      <c r="L98" s="37"/>
      <c r="M98" s="39">
        <f t="shared" si="11"/>
        <v>0</v>
      </c>
    </row>
    <row r="99" spans="1:13">
      <c r="A99" s="58"/>
      <c r="G99" s="15"/>
      <c r="H99" s="37">
        <v>94</v>
      </c>
      <c r="I99" s="38" t="str">
        <f t="shared" si="9"/>
        <v/>
      </c>
      <c r="J99" s="37">
        <f t="shared" si="12"/>
        <v>-3</v>
      </c>
      <c r="K99" s="37">
        <f t="shared" si="10"/>
        <v>-30</v>
      </c>
      <c r="L99" s="37"/>
      <c r="M99" s="39">
        <f t="shared" si="11"/>
        <v>0</v>
      </c>
    </row>
    <row r="100" spans="1:13">
      <c r="A100" s="58"/>
      <c r="G100" s="15"/>
      <c r="H100" s="37">
        <v>95</v>
      </c>
      <c r="I100" s="38" t="str">
        <f t="shared" si="9"/>
        <v/>
      </c>
      <c r="J100" s="37">
        <f t="shared" si="12"/>
        <v>-3</v>
      </c>
      <c r="K100" s="37">
        <f t="shared" si="10"/>
        <v>-30</v>
      </c>
      <c r="L100" s="37"/>
      <c r="M100" s="39">
        <f t="shared" si="11"/>
        <v>0</v>
      </c>
    </row>
    <row r="101" spans="1:13">
      <c r="A101" s="58"/>
      <c r="G101" s="15"/>
      <c r="H101" s="37">
        <v>96</v>
      </c>
      <c r="I101" s="38" t="str">
        <f t="shared" si="9"/>
        <v/>
      </c>
      <c r="J101" s="37">
        <f t="shared" si="12"/>
        <v>-3</v>
      </c>
      <c r="K101" s="37">
        <f t="shared" si="10"/>
        <v>-30</v>
      </c>
      <c r="L101" s="37"/>
      <c r="M101" s="39">
        <f t="shared" si="11"/>
        <v>0</v>
      </c>
    </row>
    <row r="102" spans="1:13">
      <c r="A102" s="58"/>
      <c r="G102" s="15"/>
      <c r="H102" s="37">
        <v>97</v>
      </c>
      <c r="I102" s="38" t="str">
        <f t="shared" si="9"/>
        <v/>
      </c>
      <c r="J102" s="37">
        <f t="shared" si="12"/>
        <v>-3</v>
      </c>
      <c r="K102" s="37">
        <f t="shared" si="10"/>
        <v>-30</v>
      </c>
      <c r="L102" s="37"/>
      <c r="M102" s="39">
        <f t="shared" si="11"/>
        <v>0</v>
      </c>
    </row>
    <row r="103" spans="1:13">
      <c r="A103" s="58"/>
      <c r="G103" s="15"/>
      <c r="H103" s="37">
        <v>98</v>
      </c>
      <c r="I103" s="38" t="str">
        <f t="shared" si="9"/>
        <v/>
      </c>
      <c r="J103" s="37">
        <f t="shared" si="12"/>
        <v>-3</v>
      </c>
      <c r="K103" s="37">
        <f t="shared" si="10"/>
        <v>-30</v>
      </c>
      <c r="L103" s="37"/>
      <c r="M103" s="39">
        <f t="shared" si="11"/>
        <v>0</v>
      </c>
    </row>
    <row r="104" spans="1:13">
      <c r="A104" s="58"/>
      <c r="G104" s="15"/>
      <c r="H104" s="37">
        <v>99</v>
      </c>
      <c r="I104" s="38" t="str">
        <f t="shared" si="9"/>
        <v/>
      </c>
      <c r="J104" s="37">
        <f t="shared" si="12"/>
        <v>-3</v>
      </c>
      <c r="K104" s="37">
        <f t="shared" si="10"/>
        <v>-30</v>
      </c>
      <c r="L104" s="37"/>
      <c r="M104" s="39">
        <f t="shared" si="11"/>
        <v>0</v>
      </c>
    </row>
    <row r="105" spans="1:13">
      <c r="A105" s="58"/>
      <c r="G105" s="15"/>
      <c r="H105" s="37">
        <v>100</v>
      </c>
      <c r="I105" s="38" t="str">
        <f t="shared" si="9"/>
        <v/>
      </c>
      <c r="J105" s="37">
        <f t="shared" si="12"/>
        <v>-3</v>
      </c>
      <c r="K105" s="37">
        <f t="shared" si="10"/>
        <v>-30</v>
      </c>
      <c r="L105" s="37"/>
      <c r="M105" s="39">
        <f t="shared" si="11"/>
        <v>0</v>
      </c>
    </row>
    <row r="106" spans="1:13">
      <c r="A106" s="58"/>
      <c r="G106" s="15"/>
      <c r="H106" s="37">
        <v>101</v>
      </c>
      <c r="I106" s="38" t="str">
        <f t="shared" si="9"/>
        <v/>
      </c>
      <c r="J106" s="37">
        <f t="shared" si="12"/>
        <v>-3</v>
      </c>
      <c r="K106" s="37">
        <f t="shared" si="10"/>
        <v>-30</v>
      </c>
      <c r="L106" s="37"/>
      <c r="M106" s="39">
        <f t="shared" si="11"/>
        <v>0</v>
      </c>
    </row>
    <row r="107" spans="1:13">
      <c r="A107" s="58"/>
      <c r="G107" s="15"/>
      <c r="H107" s="37">
        <v>102</v>
      </c>
      <c r="I107" s="38" t="str">
        <f t="shared" si="9"/>
        <v/>
      </c>
      <c r="J107" s="37">
        <f t="shared" si="12"/>
        <v>-3</v>
      </c>
      <c r="K107" s="37">
        <f t="shared" si="10"/>
        <v>-30</v>
      </c>
      <c r="L107" s="37"/>
      <c r="M107" s="39">
        <f t="shared" si="11"/>
        <v>0</v>
      </c>
    </row>
    <row r="108" spans="1:13">
      <c r="A108" s="58"/>
      <c r="G108" s="15"/>
      <c r="H108" s="37">
        <v>103</v>
      </c>
      <c r="I108" s="38" t="str">
        <f t="shared" si="9"/>
        <v/>
      </c>
      <c r="J108" s="37">
        <f t="shared" si="12"/>
        <v>-3</v>
      </c>
      <c r="K108" s="37">
        <f t="shared" si="10"/>
        <v>-30</v>
      </c>
      <c r="L108" s="37"/>
      <c r="M108" s="39">
        <f t="shared" si="11"/>
        <v>0</v>
      </c>
    </row>
    <row r="109" spans="1:13">
      <c r="A109" s="58"/>
      <c r="G109" s="15"/>
      <c r="H109" s="37">
        <v>104</v>
      </c>
      <c r="I109" s="38" t="str">
        <f t="shared" si="9"/>
        <v/>
      </c>
      <c r="J109" s="37">
        <f t="shared" si="12"/>
        <v>-3</v>
      </c>
      <c r="K109" s="37">
        <f t="shared" si="10"/>
        <v>-30</v>
      </c>
      <c r="L109" s="37"/>
      <c r="M109" s="39">
        <f t="shared" si="11"/>
        <v>0</v>
      </c>
    </row>
    <row r="110" spans="1:13">
      <c r="A110" s="58"/>
      <c r="G110" s="15"/>
      <c r="H110" s="37">
        <v>105</v>
      </c>
      <c r="I110" s="38" t="str">
        <f t="shared" si="9"/>
        <v/>
      </c>
      <c r="J110" s="37">
        <f t="shared" si="12"/>
        <v>-3</v>
      </c>
      <c r="K110" s="37">
        <f t="shared" si="10"/>
        <v>-30</v>
      </c>
      <c r="L110" s="37"/>
      <c r="M110" s="39">
        <f t="shared" si="11"/>
        <v>0</v>
      </c>
    </row>
    <row r="111" spans="1:13">
      <c r="A111" s="58"/>
      <c r="G111" s="15"/>
      <c r="H111" s="37">
        <v>106</v>
      </c>
      <c r="I111" s="38" t="str">
        <f t="shared" si="9"/>
        <v/>
      </c>
      <c r="J111" s="37">
        <f t="shared" si="12"/>
        <v>-3</v>
      </c>
      <c r="K111" s="37">
        <f t="shared" si="10"/>
        <v>-30</v>
      </c>
      <c r="L111" s="37"/>
      <c r="M111" s="39">
        <f t="shared" si="11"/>
        <v>0</v>
      </c>
    </row>
    <row r="112" spans="1:13">
      <c r="A112" s="58"/>
      <c r="G112" s="15"/>
      <c r="H112" s="37">
        <v>107</v>
      </c>
      <c r="I112" s="38" t="str">
        <f t="shared" si="9"/>
        <v/>
      </c>
      <c r="J112" s="37">
        <f t="shared" si="12"/>
        <v>-3</v>
      </c>
      <c r="K112" s="37">
        <f t="shared" si="10"/>
        <v>-30</v>
      </c>
      <c r="L112" s="37"/>
      <c r="M112" s="39">
        <f t="shared" si="11"/>
        <v>0</v>
      </c>
    </row>
    <row r="113" spans="1:13">
      <c r="A113" s="58"/>
      <c r="G113" s="15"/>
      <c r="H113" s="37">
        <v>108</v>
      </c>
      <c r="I113" s="38" t="str">
        <f t="shared" si="9"/>
        <v/>
      </c>
      <c r="J113" s="37">
        <f t="shared" si="12"/>
        <v>-3</v>
      </c>
      <c r="K113" s="37">
        <f t="shared" si="10"/>
        <v>-30</v>
      </c>
      <c r="L113" s="37"/>
      <c r="M113" s="39">
        <f t="shared" si="11"/>
        <v>0</v>
      </c>
    </row>
    <row r="114" spans="1:13">
      <c r="A114" s="58"/>
      <c r="G114" s="15"/>
      <c r="H114" s="37">
        <v>109</v>
      </c>
      <c r="I114" s="38" t="str">
        <f t="shared" si="9"/>
        <v/>
      </c>
      <c r="J114" s="37">
        <f t="shared" si="12"/>
        <v>-3</v>
      </c>
      <c r="K114" s="37">
        <f t="shared" si="10"/>
        <v>-30</v>
      </c>
      <c r="L114" s="37"/>
      <c r="M114" s="39">
        <f t="shared" si="11"/>
        <v>0</v>
      </c>
    </row>
    <row r="115" spans="1:13">
      <c r="A115" s="58"/>
      <c r="G115" s="15"/>
      <c r="H115" s="37">
        <v>110</v>
      </c>
      <c r="I115" s="38" t="str">
        <f t="shared" si="9"/>
        <v/>
      </c>
      <c r="J115" s="37">
        <f t="shared" si="12"/>
        <v>-3</v>
      </c>
      <c r="K115" s="37">
        <f t="shared" si="10"/>
        <v>-30</v>
      </c>
      <c r="L115" s="37"/>
      <c r="M115" s="39">
        <f t="shared" si="11"/>
        <v>0</v>
      </c>
    </row>
    <row r="116" spans="1:13">
      <c r="A116" s="58"/>
      <c r="G116" s="15"/>
      <c r="H116" s="37">
        <v>111</v>
      </c>
      <c r="I116" s="38" t="str">
        <f t="shared" si="9"/>
        <v/>
      </c>
      <c r="J116" s="37">
        <f t="shared" si="12"/>
        <v>-3</v>
      </c>
      <c r="K116" s="37">
        <f t="shared" si="10"/>
        <v>-30</v>
      </c>
      <c r="L116" s="37"/>
      <c r="M116" s="39">
        <f t="shared" si="11"/>
        <v>0</v>
      </c>
    </row>
    <row r="117" spans="1:13">
      <c r="A117" s="58"/>
      <c r="G117" s="15"/>
      <c r="H117" s="37">
        <v>112</v>
      </c>
      <c r="I117" s="38" t="str">
        <f t="shared" si="9"/>
        <v/>
      </c>
      <c r="J117" s="37">
        <f t="shared" si="12"/>
        <v>-3</v>
      </c>
      <c r="K117" s="37">
        <f t="shared" si="10"/>
        <v>-30</v>
      </c>
      <c r="L117" s="37"/>
      <c r="M117" s="39">
        <f t="shared" si="11"/>
        <v>0</v>
      </c>
    </row>
    <row r="118" spans="1:13">
      <c r="A118" s="58"/>
      <c r="G118" s="15"/>
      <c r="H118" s="37">
        <v>113</v>
      </c>
      <c r="I118" s="38" t="str">
        <f t="shared" si="9"/>
        <v/>
      </c>
      <c r="J118" s="37">
        <f t="shared" si="12"/>
        <v>-3</v>
      </c>
      <c r="K118" s="37">
        <f t="shared" si="10"/>
        <v>-30</v>
      </c>
      <c r="L118" s="37"/>
      <c r="M118" s="39">
        <f t="shared" si="11"/>
        <v>0</v>
      </c>
    </row>
    <row r="119" spans="1:13">
      <c r="A119" s="58"/>
      <c r="G119" s="15"/>
      <c r="H119" s="37">
        <v>114</v>
      </c>
      <c r="I119" s="38" t="str">
        <f t="shared" si="9"/>
        <v/>
      </c>
      <c r="J119" s="37">
        <f t="shared" si="12"/>
        <v>-3</v>
      </c>
      <c r="K119" s="37">
        <f t="shared" si="10"/>
        <v>-30</v>
      </c>
      <c r="L119" s="37"/>
      <c r="M119" s="39">
        <f t="shared" si="11"/>
        <v>0</v>
      </c>
    </row>
    <row r="120" spans="1:13">
      <c r="A120" s="58"/>
      <c r="G120" s="15"/>
      <c r="H120" s="37">
        <v>115</v>
      </c>
      <c r="I120" s="38" t="str">
        <f t="shared" si="9"/>
        <v/>
      </c>
      <c r="J120" s="37">
        <f t="shared" si="12"/>
        <v>-3</v>
      </c>
      <c r="K120" s="37">
        <f t="shared" si="10"/>
        <v>-30</v>
      </c>
      <c r="L120" s="37"/>
      <c r="M120" s="39">
        <f t="shared" si="11"/>
        <v>0</v>
      </c>
    </row>
    <row r="121" spans="1:13">
      <c r="A121" s="58"/>
      <c r="G121" s="15"/>
      <c r="H121" s="37">
        <v>116</v>
      </c>
      <c r="I121" s="38" t="str">
        <f t="shared" si="9"/>
        <v/>
      </c>
      <c r="J121" s="37">
        <f t="shared" si="12"/>
        <v>-3</v>
      </c>
      <c r="K121" s="37">
        <f t="shared" si="10"/>
        <v>-30</v>
      </c>
      <c r="L121" s="37"/>
      <c r="M121" s="39">
        <f t="shared" si="11"/>
        <v>0</v>
      </c>
    </row>
    <row r="122" spans="1:13">
      <c r="A122" s="58"/>
      <c r="G122" s="15"/>
      <c r="H122" s="37">
        <v>117</v>
      </c>
      <c r="I122" s="38" t="str">
        <f t="shared" si="9"/>
        <v/>
      </c>
      <c r="J122" s="37">
        <f t="shared" si="12"/>
        <v>-3</v>
      </c>
      <c r="K122" s="37">
        <f t="shared" si="10"/>
        <v>-30</v>
      </c>
      <c r="L122" s="37"/>
      <c r="M122" s="39">
        <f t="shared" si="11"/>
        <v>0</v>
      </c>
    </row>
    <row r="123" spans="1:13">
      <c r="A123" s="58"/>
      <c r="G123" s="15"/>
      <c r="H123" s="37">
        <v>118</v>
      </c>
      <c r="I123" s="38" t="str">
        <f t="shared" si="9"/>
        <v/>
      </c>
      <c r="J123" s="37">
        <f t="shared" si="12"/>
        <v>-3</v>
      </c>
      <c r="K123" s="37">
        <f t="shared" si="10"/>
        <v>-30</v>
      </c>
      <c r="L123" s="37"/>
      <c r="M123" s="39">
        <f t="shared" si="11"/>
        <v>0</v>
      </c>
    </row>
    <row r="124" spans="1:13">
      <c r="A124" s="58"/>
      <c r="G124" s="15"/>
      <c r="H124" s="37">
        <v>119</v>
      </c>
      <c r="I124" s="38" t="str">
        <f t="shared" si="9"/>
        <v/>
      </c>
      <c r="J124" s="37">
        <f t="shared" si="12"/>
        <v>-3</v>
      </c>
      <c r="K124" s="37">
        <f t="shared" si="10"/>
        <v>-30</v>
      </c>
      <c r="L124" s="37"/>
      <c r="M124" s="39">
        <f t="shared" si="11"/>
        <v>0</v>
      </c>
    </row>
    <row r="125" spans="1:13">
      <c r="A125" s="58"/>
      <c r="G125" s="15"/>
      <c r="H125" s="37">
        <v>120</v>
      </c>
      <c r="I125" s="38" t="str">
        <f t="shared" si="9"/>
        <v/>
      </c>
      <c r="J125" s="37">
        <f t="shared" si="12"/>
        <v>-3</v>
      </c>
      <c r="K125" s="37">
        <f t="shared" si="10"/>
        <v>-30</v>
      </c>
      <c r="L125" s="37"/>
      <c r="M125" s="39">
        <f t="shared" si="11"/>
        <v>0</v>
      </c>
    </row>
    <row r="126" spans="1:13">
      <c r="A126" s="58"/>
      <c r="G126" s="15"/>
      <c r="H126" s="37">
        <v>121</v>
      </c>
      <c r="I126" s="38" t="str">
        <f t="shared" si="9"/>
        <v/>
      </c>
      <c r="J126" s="37">
        <f t="shared" si="12"/>
        <v>-3</v>
      </c>
      <c r="K126" s="37">
        <f t="shared" si="10"/>
        <v>-30</v>
      </c>
      <c r="L126" s="37"/>
      <c r="M126" s="39">
        <f t="shared" si="11"/>
        <v>0</v>
      </c>
    </row>
    <row r="127" spans="1:13">
      <c r="A127" s="58"/>
      <c r="G127" s="15"/>
      <c r="H127" s="37">
        <v>122</v>
      </c>
      <c r="I127" s="38" t="str">
        <f t="shared" si="9"/>
        <v/>
      </c>
      <c r="J127" s="37">
        <f t="shared" si="12"/>
        <v>-3</v>
      </c>
      <c r="K127" s="37">
        <f t="shared" si="10"/>
        <v>-30</v>
      </c>
      <c r="L127" s="37"/>
      <c r="M127" s="39">
        <f t="shared" si="11"/>
        <v>0</v>
      </c>
    </row>
    <row r="128" spans="1:13">
      <c r="A128" s="58"/>
      <c r="G128" s="15"/>
      <c r="H128" s="37">
        <v>123</v>
      </c>
      <c r="I128" s="38" t="str">
        <f t="shared" si="9"/>
        <v/>
      </c>
      <c r="J128" s="37">
        <f t="shared" si="12"/>
        <v>-3</v>
      </c>
      <c r="K128" s="37">
        <f t="shared" si="10"/>
        <v>-30</v>
      </c>
      <c r="L128" s="37"/>
      <c r="M128" s="39">
        <f t="shared" si="11"/>
        <v>0</v>
      </c>
    </row>
    <row r="129" spans="1:13">
      <c r="A129" s="58"/>
      <c r="G129" s="15"/>
      <c r="H129" s="37">
        <v>124</v>
      </c>
      <c r="I129" s="38" t="str">
        <f t="shared" si="9"/>
        <v/>
      </c>
      <c r="J129" s="37">
        <f t="shared" si="12"/>
        <v>-3</v>
      </c>
      <c r="K129" s="37">
        <f t="shared" si="10"/>
        <v>-30</v>
      </c>
      <c r="L129" s="37"/>
      <c r="M129" s="39">
        <f t="shared" si="11"/>
        <v>0</v>
      </c>
    </row>
    <row r="130" spans="1:13">
      <c r="A130" s="58"/>
      <c r="G130" s="15"/>
      <c r="H130" s="37">
        <v>125</v>
      </c>
      <c r="I130" s="38" t="str">
        <f t="shared" si="9"/>
        <v/>
      </c>
      <c r="J130" s="37">
        <f t="shared" si="12"/>
        <v>-3</v>
      </c>
      <c r="K130" s="37">
        <f t="shared" si="10"/>
        <v>-30</v>
      </c>
      <c r="L130" s="37"/>
      <c r="M130" s="39">
        <f t="shared" si="11"/>
        <v>0</v>
      </c>
    </row>
    <row r="131" spans="1:13">
      <c r="A131" s="58"/>
      <c r="G131" s="15"/>
      <c r="H131" s="37">
        <v>126</v>
      </c>
      <c r="I131" s="38" t="str">
        <f t="shared" si="9"/>
        <v/>
      </c>
      <c r="J131" s="37">
        <f t="shared" si="12"/>
        <v>-3</v>
      </c>
      <c r="K131" s="37">
        <f t="shared" si="10"/>
        <v>-30</v>
      </c>
      <c r="L131" s="37"/>
      <c r="M131" s="39">
        <f t="shared" si="11"/>
        <v>0</v>
      </c>
    </row>
    <row r="132" spans="1:13">
      <c r="A132" s="58"/>
      <c r="G132" s="15"/>
      <c r="H132" s="37">
        <v>127</v>
      </c>
      <c r="I132" s="38" t="str">
        <f t="shared" si="9"/>
        <v/>
      </c>
      <c r="J132" s="37">
        <f t="shared" si="12"/>
        <v>-3</v>
      </c>
      <c r="K132" s="37">
        <f t="shared" si="10"/>
        <v>-30</v>
      </c>
      <c r="L132" s="37"/>
      <c r="M132" s="39">
        <f t="shared" si="11"/>
        <v>0</v>
      </c>
    </row>
    <row r="133" spans="1:13">
      <c r="A133" s="58"/>
      <c r="G133" s="15"/>
      <c r="H133" s="37">
        <v>128</v>
      </c>
      <c r="I133" s="38" t="str">
        <f t="shared" si="9"/>
        <v/>
      </c>
      <c r="J133" s="37">
        <f t="shared" si="12"/>
        <v>-3</v>
      </c>
      <c r="K133" s="37">
        <f t="shared" si="10"/>
        <v>-30</v>
      </c>
      <c r="L133" s="37"/>
      <c r="M133" s="39">
        <f t="shared" si="11"/>
        <v>0</v>
      </c>
    </row>
    <row r="134" spans="1:13">
      <c r="A134" s="58"/>
      <c r="G134" s="15"/>
      <c r="H134" s="37">
        <v>129</v>
      </c>
      <c r="I134" s="38" t="str">
        <f t="shared" ref="I134:I197" si="13">IF(H134&lt;$H$2+1,($I$2-($I$2-1)*(LOG(H134)/LOG($H$2))),"")</f>
        <v/>
      </c>
      <c r="J134" s="37">
        <f t="shared" si="12"/>
        <v>-4</v>
      </c>
      <c r="K134" s="37">
        <f t="shared" ref="K134:K197" si="14">J134*$J$2</f>
        <v>-40</v>
      </c>
      <c r="L134" s="37"/>
      <c r="M134" s="39">
        <f t="shared" ref="M134:M197" si="15">IF(I134&lt;&gt;"",K134+I134+L134,0)</f>
        <v>0</v>
      </c>
    </row>
    <row r="135" spans="1:13">
      <c r="A135" s="58"/>
      <c r="G135" s="15"/>
      <c r="H135" s="37">
        <v>130</v>
      </c>
      <c r="I135" s="38" t="str">
        <f t="shared" si="13"/>
        <v/>
      </c>
      <c r="J135" s="37">
        <f t="shared" ref="J135:J198" si="16">INT(LOG($H$2,2))-ROUNDUP(LOG(H135,2),0)+IF(OR($H$2=1,$H$2=2,$H$2=4,$H$2=8,$H$2=16,$H$2=32,$H$2=64,$H$2=128,$H$2=256),0,1)</f>
        <v>-4</v>
      </c>
      <c r="K135" s="37">
        <f t="shared" si="14"/>
        <v>-40</v>
      </c>
      <c r="L135" s="37"/>
      <c r="M135" s="39">
        <f t="shared" si="15"/>
        <v>0</v>
      </c>
    </row>
    <row r="136" spans="1:13">
      <c r="A136" s="58"/>
      <c r="G136" s="15"/>
      <c r="H136" s="37">
        <v>131</v>
      </c>
      <c r="I136" s="38" t="str">
        <f t="shared" si="13"/>
        <v/>
      </c>
      <c r="J136" s="37">
        <f t="shared" si="16"/>
        <v>-4</v>
      </c>
      <c r="K136" s="37">
        <f t="shared" si="14"/>
        <v>-40</v>
      </c>
      <c r="L136" s="37"/>
      <c r="M136" s="39">
        <f t="shared" si="15"/>
        <v>0</v>
      </c>
    </row>
    <row r="137" spans="1:13">
      <c r="A137" s="58"/>
      <c r="G137" s="15"/>
      <c r="H137" s="37">
        <v>132</v>
      </c>
      <c r="I137" s="38" t="str">
        <f t="shared" si="13"/>
        <v/>
      </c>
      <c r="J137" s="37">
        <f t="shared" si="16"/>
        <v>-4</v>
      </c>
      <c r="K137" s="37">
        <f t="shared" si="14"/>
        <v>-40</v>
      </c>
      <c r="L137" s="37"/>
      <c r="M137" s="39">
        <f t="shared" si="15"/>
        <v>0</v>
      </c>
    </row>
    <row r="138" spans="1:13">
      <c r="A138" s="58"/>
      <c r="G138" s="15"/>
      <c r="H138" s="37">
        <v>133</v>
      </c>
      <c r="I138" s="38" t="str">
        <f t="shared" si="13"/>
        <v/>
      </c>
      <c r="J138" s="37">
        <f t="shared" si="16"/>
        <v>-4</v>
      </c>
      <c r="K138" s="37">
        <f t="shared" si="14"/>
        <v>-40</v>
      </c>
      <c r="L138" s="37"/>
      <c r="M138" s="39">
        <f t="shared" si="15"/>
        <v>0</v>
      </c>
    </row>
    <row r="139" spans="1:13">
      <c r="A139" s="58"/>
      <c r="G139" s="15"/>
      <c r="H139" s="37">
        <v>134</v>
      </c>
      <c r="I139" s="38" t="str">
        <f t="shared" si="13"/>
        <v/>
      </c>
      <c r="J139" s="37">
        <f t="shared" si="16"/>
        <v>-4</v>
      </c>
      <c r="K139" s="37">
        <f t="shared" si="14"/>
        <v>-40</v>
      </c>
      <c r="L139" s="37"/>
      <c r="M139" s="39">
        <f t="shared" si="15"/>
        <v>0</v>
      </c>
    </row>
    <row r="140" spans="1:13">
      <c r="A140" s="58"/>
      <c r="G140" s="15"/>
      <c r="H140" s="37">
        <v>135</v>
      </c>
      <c r="I140" s="38" t="str">
        <f t="shared" si="13"/>
        <v/>
      </c>
      <c r="J140" s="37">
        <f t="shared" si="16"/>
        <v>-4</v>
      </c>
      <c r="K140" s="37">
        <f t="shared" si="14"/>
        <v>-40</v>
      </c>
      <c r="L140" s="37"/>
      <c r="M140" s="39">
        <f t="shared" si="15"/>
        <v>0</v>
      </c>
    </row>
    <row r="141" spans="1:13">
      <c r="A141" s="58"/>
      <c r="G141" s="15"/>
      <c r="H141" s="37">
        <v>136</v>
      </c>
      <c r="I141" s="38" t="str">
        <f t="shared" si="13"/>
        <v/>
      </c>
      <c r="J141" s="37">
        <f t="shared" si="16"/>
        <v>-4</v>
      </c>
      <c r="K141" s="37">
        <f t="shared" si="14"/>
        <v>-40</v>
      </c>
      <c r="L141" s="37"/>
      <c r="M141" s="39">
        <f t="shared" si="15"/>
        <v>0</v>
      </c>
    </row>
    <row r="142" spans="1:13">
      <c r="A142" s="58"/>
      <c r="G142" s="15"/>
      <c r="H142" s="37">
        <v>137</v>
      </c>
      <c r="I142" s="38" t="str">
        <f t="shared" si="13"/>
        <v/>
      </c>
      <c r="J142" s="37">
        <f t="shared" si="16"/>
        <v>-4</v>
      </c>
      <c r="K142" s="37">
        <f t="shared" si="14"/>
        <v>-40</v>
      </c>
      <c r="L142" s="37"/>
      <c r="M142" s="39">
        <f t="shared" si="15"/>
        <v>0</v>
      </c>
    </row>
    <row r="143" spans="1:13">
      <c r="A143" s="58"/>
      <c r="G143" s="15"/>
      <c r="H143" s="37">
        <v>138</v>
      </c>
      <c r="I143" s="38" t="str">
        <f t="shared" si="13"/>
        <v/>
      </c>
      <c r="J143" s="37">
        <f t="shared" si="16"/>
        <v>-4</v>
      </c>
      <c r="K143" s="37">
        <f t="shared" si="14"/>
        <v>-40</v>
      </c>
      <c r="L143" s="37"/>
      <c r="M143" s="39">
        <f t="shared" si="15"/>
        <v>0</v>
      </c>
    </row>
    <row r="144" spans="1:13">
      <c r="A144" s="58"/>
      <c r="G144" s="15"/>
      <c r="H144" s="37">
        <v>139</v>
      </c>
      <c r="I144" s="38" t="str">
        <f t="shared" si="13"/>
        <v/>
      </c>
      <c r="J144" s="37">
        <f t="shared" si="16"/>
        <v>-4</v>
      </c>
      <c r="K144" s="37">
        <f t="shared" si="14"/>
        <v>-40</v>
      </c>
      <c r="L144" s="37"/>
      <c r="M144" s="39">
        <f t="shared" si="15"/>
        <v>0</v>
      </c>
    </row>
    <row r="145" spans="1:13">
      <c r="A145" s="58"/>
      <c r="G145" s="15"/>
      <c r="H145" s="37">
        <v>140</v>
      </c>
      <c r="I145" s="38" t="str">
        <f t="shared" si="13"/>
        <v/>
      </c>
      <c r="J145" s="37">
        <f t="shared" si="16"/>
        <v>-4</v>
      </c>
      <c r="K145" s="37">
        <f t="shared" si="14"/>
        <v>-40</v>
      </c>
      <c r="L145" s="37"/>
      <c r="M145" s="39">
        <f t="shared" si="15"/>
        <v>0</v>
      </c>
    </row>
    <row r="146" spans="1:13">
      <c r="A146" s="58"/>
      <c r="G146" s="15"/>
      <c r="H146" s="37">
        <v>141</v>
      </c>
      <c r="I146" s="38" t="str">
        <f t="shared" si="13"/>
        <v/>
      </c>
      <c r="J146" s="37">
        <f t="shared" si="16"/>
        <v>-4</v>
      </c>
      <c r="K146" s="37">
        <f t="shared" si="14"/>
        <v>-40</v>
      </c>
      <c r="L146" s="37"/>
      <c r="M146" s="39">
        <f t="shared" si="15"/>
        <v>0</v>
      </c>
    </row>
    <row r="147" spans="1:13">
      <c r="A147" s="58"/>
      <c r="G147" s="15"/>
      <c r="H147" s="37">
        <v>142</v>
      </c>
      <c r="I147" s="38" t="str">
        <f t="shared" si="13"/>
        <v/>
      </c>
      <c r="J147" s="37">
        <f t="shared" si="16"/>
        <v>-4</v>
      </c>
      <c r="K147" s="37">
        <f t="shared" si="14"/>
        <v>-40</v>
      </c>
      <c r="L147" s="37"/>
      <c r="M147" s="39">
        <f t="shared" si="15"/>
        <v>0</v>
      </c>
    </row>
    <row r="148" spans="1:13">
      <c r="A148" s="58"/>
      <c r="G148" s="15"/>
      <c r="H148" s="37">
        <v>143</v>
      </c>
      <c r="I148" s="38" t="str">
        <f t="shared" si="13"/>
        <v/>
      </c>
      <c r="J148" s="37">
        <f t="shared" si="16"/>
        <v>-4</v>
      </c>
      <c r="K148" s="37">
        <f t="shared" si="14"/>
        <v>-40</v>
      </c>
      <c r="L148" s="37"/>
      <c r="M148" s="39">
        <f t="shared" si="15"/>
        <v>0</v>
      </c>
    </row>
    <row r="149" spans="1:13">
      <c r="A149" s="58"/>
      <c r="G149" s="15"/>
      <c r="H149" s="37">
        <v>144</v>
      </c>
      <c r="I149" s="38" t="str">
        <f t="shared" si="13"/>
        <v/>
      </c>
      <c r="J149" s="37">
        <f t="shared" si="16"/>
        <v>-4</v>
      </c>
      <c r="K149" s="37">
        <f t="shared" si="14"/>
        <v>-40</v>
      </c>
      <c r="L149" s="37"/>
      <c r="M149" s="39">
        <f t="shared" si="15"/>
        <v>0</v>
      </c>
    </row>
    <row r="150" spans="1:13">
      <c r="A150" s="58"/>
      <c r="G150" s="15"/>
      <c r="H150" s="37">
        <v>145</v>
      </c>
      <c r="I150" s="38" t="str">
        <f t="shared" si="13"/>
        <v/>
      </c>
      <c r="J150" s="37">
        <f t="shared" si="16"/>
        <v>-4</v>
      </c>
      <c r="K150" s="37">
        <f t="shared" si="14"/>
        <v>-40</v>
      </c>
      <c r="L150" s="37"/>
      <c r="M150" s="39">
        <f t="shared" si="15"/>
        <v>0</v>
      </c>
    </row>
    <row r="151" spans="1:13">
      <c r="A151" s="58"/>
      <c r="G151" s="15"/>
      <c r="H151" s="37">
        <v>146</v>
      </c>
      <c r="I151" s="38" t="str">
        <f t="shared" si="13"/>
        <v/>
      </c>
      <c r="J151" s="37">
        <f t="shared" si="16"/>
        <v>-4</v>
      </c>
      <c r="K151" s="37">
        <f t="shared" si="14"/>
        <v>-40</v>
      </c>
      <c r="L151" s="37"/>
      <c r="M151" s="39">
        <f t="shared" si="15"/>
        <v>0</v>
      </c>
    </row>
    <row r="152" spans="1:13">
      <c r="A152" s="58"/>
      <c r="G152" s="15"/>
      <c r="H152" s="37">
        <v>147</v>
      </c>
      <c r="I152" s="38" t="str">
        <f t="shared" si="13"/>
        <v/>
      </c>
      <c r="J152" s="37">
        <f t="shared" si="16"/>
        <v>-4</v>
      </c>
      <c r="K152" s="37">
        <f t="shared" si="14"/>
        <v>-40</v>
      </c>
      <c r="L152" s="37"/>
      <c r="M152" s="39">
        <f t="shared" si="15"/>
        <v>0</v>
      </c>
    </row>
    <row r="153" spans="1:13">
      <c r="A153" s="58"/>
      <c r="G153" s="15"/>
      <c r="H153" s="37">
        <v>148</v>
      </c>
      <c r="I153" s="38" t="str">
        <f t="shared" si="13"/>
        <v/>
      </c>
      <c r="J153" s="37">
        <f t="shared" si="16"/>
        <v>-4</v>
      </c>
      <c r="K153" s="37">
        <f t="shared" si="14"/>
        <v>-40</v>
      </c>
      <c r="L153" s="37"/>
      <c r="M153" s="39">
        <f t="shared" si="15"/>
        <v>0</v>
      </c>
    </row>
    <row r="154" spans="1:13">
      <c r="A154" s="58"/>
      <c r="G154" s="15"/>
      <c r="H154" s="37">
        <v>149</v>
      </c>
      <c r="I154" s="38" t="str">
        <f t="shared" si="13"/>
        <v/>
      </c>
      <c r="J154" s="37">
        <f t="shared" si="16"/>
        <v>-4</v>
      </c>
      <c r="K154" s="37">
        <f t="shared" si="14"/>
        <v>-40</v>
      </c>
      <c r="L154" s="37"/>
      <c r="M154" s="39">
        <f t="shared" si="15"/>
        <v>0</v>
      </c>
    </row>
    <row r="155" spans="1:13">
      <c r="A155" s="58"/>
      <c r="G155" s="15"/>
      <c r="H155" s="37">
        <v>150</v>
      </c>
      <c r="I155" s="38" t="str">
        <f t="shared" si="13"/>
        <v/>
      </c>
      <c r="J155" s="37">
        <f t="shared" si="16"/>
        <v>-4</v>
      </c>
      <c r="K155" s="37">
        <f t="shared" si="14"/>
        <v>-40</v>
      </c>
      <c r="L155" s="37"/>
      <c r="M155" s="39">
        <f t="shared" si="15"/>
        <v>0</v>
      </c>
    </row>
    <row r="156" spans="1:13">
      <c r="A156" s="58"/>
      <c r="G156" s="15"/>
      <c r="H156" s="37">
        <v>151</v>
      </c>
      <c r="I156" s="38" t="str">
        <f t="shared" si="13"/>
        <v/>
      </c>
      <c r="J156" s="37">
        <f t="shared" si="16"/>
        <v>-4</v>
      </c>
      <c r="K156" s="37">
        <f t="shared" si="14"/>
        <v>-40</v>
      </c>
      <c r="L156" s="37"/>
      <c r="M156" s="39">
        <f t="shared" si="15"/>
        <v>0</v>
      </c>
    </row>
    <row r="157" spans="1:13">
      <c r="A157" s="58"/>
      <c r="G157" s="15"/>
      <c r="H157" s="37">
        <v>152</v>
      </c>
      <c r="I157" s="38" t="str">
        <f t="shared" si="13"/>
        <v/>
      </c>
      <c r="J157" s="37">
        <f t="shared" si="16"/>
        <v>-4</v>
      </c>
      <c r="K157" s="37">
        <f t="shared" si="14"/>
        <v>-40</v>
      </c>
      <c r="L157" s="37"/>
      <c r="M157" s="39">
        <f t="shared" si="15"/>
        <v>0</v>
      </c>
    </row>
    <row r="158" spans="1:13">
      <c r="A158" s="58"/>
      <c r="G158" s="15"/>
      <c r="H158" s="37">
        <v>153</v>
      </c>
      <c r="I158" s="38" t="str">
        <f t="shared" si="13"/>
        <v/>
      </c>
      <c r="J158" s="37">
        <f t="shared" si="16"/>
        <v>-4</v>
      </c>
      <c r="K158" s="37">
        <f t="shared" si="14"/>
        <v>-40</v>
      </c>
      <c r="L158" s="37"/>
      <c r="M158" s="39">
        <f t="shared" si="15"/>
        <v>0</v>
      </c>
    </row>
    <row r="159" spans="1:13">
      <c r="A159" s="58"/>
      <c r="G159" s="15"/>
      <c r="H159" s="37">
        <v>154</v>
      </c>
      <c r="I159" s="38" t="str">
        <f t="shared" si="13"/>
        <v/>
      </c>
      <c r="J159" s="37">
        <f t="shared" si="16"/>
        <v>-4</v>
      </c>
      <c r="K159" s="37">
        <f t="shared" si="14"/>
        <v>-40</v>
      </c>
      <c r="L159" s="37"/>
      <c r="M159" s="39">
        <f t="shared" si="15"/>
        <v>0</v>
      </c>
    </row>
    <row r="160" spans="1:13">
      <c r="A160" s="58"/>
      <c r="G160" s="15"/>
      <c r="H160" s="37">
        <v>155</v>
      </c>
      <c r="I160" s="38" t="str">
        <f t="shared" si="13"/>
        <v/>
      </c>
      <c r="J160" s="37">
        <f t="shared" si="16"/>
        <v>-4</v>
      </c>
      <c r="K160" s="37">
        <f t="shared" si="14"/>
        <v>-40</v>
      </c>
      <c r="L160" s="37"/>
      <c r="M160" s="39">
        <f t="shared" si="15"/>
        <v>0</v>
      </c>
    </row>
    <row r="161" spans="1:13">
      <c r="A161" s="58"/>
      <c r="G161" s="15"/>
      <c r="H161" s="37">
        <v>156</v>
      </c>
      <c r="I161" s="38" t="str">
        <f t="shared" si="13"/>
        <v/>
      </c>
      <c r="J161" s="37">
        <f t="shared" si="16"/>
        <v>-4</v>
      </c>
      <c r="K161" s="37">
        <f t="shared" si="14"/>
        <v>-40</v>
      </c>
      <c r="L161" s="37"/>
      <c r="M161" s="39">
        <f t="shared" si="15"/>
        <v>0</v>
      </c>
    </row>
    <row r="162" spans="1:13">
      <c r="A162" s="58"/>
      <c r="G162" s="15"/>
      <c r="H162" s="37">
        <v>157</v>
      </c>
      <c r="I162" s="38" t="str">
        <f t="shared" si="13"/>
        <v/>
      </c>
      <c r="J162" s="37">
        <f t="shared" si="16"/>
        <v>-4</v>
      </c>
      <c r="K162" s="37">
        <f t="shared" si="14"/>
        <v>-40</v>
      </c>
      <c r="L162" s="37"/>
      <c r="M162" s="39">
        <f t="shared" si="15"/>
        <v>0</v>
      </c>
    </row>
    <row r="163" spans="1:13">
      <c r="A163" s="58"/>
      <c r="G163" s="15"/>
      <c r="H163" s="37">
        <v>158</v>
      </c>
      <c r="I163" s="38" t="str">
        <f t="shared" si="13"/>
        <v/>
      </c>
      <c r="J163" s="37">
        <f t="shared" si="16"/>
        <v>-4</v>
      </c>
      <c r="K163" s="37">
        <f t="shared" si="14"/>
        <v>-40</v>
      </c>
      <c r="L163" s="37"/>
      <c r="M163" s="39">
        <f t="shared" si="15"/>
        <v>0</v>
      </c>
    </row>
    <row r="164" spans="1:13">
      <c r="A164" s="58"/>
      <c r="G164" s="15"/>
      <c r="H164" s="37">
        <v>159</v>
      </c>
      <c r="I164" s="38" t="str">
        <f t="shared" si="13"/>
        <v/>
      </c>
      <c r="J164" s="37">
        <f t="shared" si="16"/>
        <v>-4</v>
      </c>
      <c r="K164" s="37">
        <f t="shared" si="14"/>
        <v>-40</v>
      </c>
      <c r="L164" s="37"/>
      <c r="M164" s="39">
        <f t="shared" si="15"/>
        <v>0</v>
      </c>
    </row>
    <row r="165" spans="1:13">
      <c r="A165" s="58"/>
      <c r="G165" s="15"/>
      <c r="H165" s="37">
        <v>160</v>
      </c>
      <c r="I165" s="38" t="str">
        <f t="shared" si="13"/>
        <v/>
      </c>
      <c r="J165" s="37">
        <f t="shared" si="16"/>
        <v>-4</v>
      </c>
      <c r="K165" s="37">
        <f t="shared" si="14"/>
        <v>-40</v>
      </c>
      <c r="L165" s="37"/>
      <c r="M165" s="39">
        <f t="shared" si="15"/>
        <v>0</v>
      </c>
    </row>
    <row r="166" spans="1:13">
      <c r="A166" s="58"/>
      <c r="G166" s="15"/>
      <c r="H166" s="37">
        <v>161</v>
      </c>
      <c r="I166" s="38" t="str">
        <f t="shared" si="13"/>
        <v/>
      </c>
      <c r="J166" s="37">
        <f t="shared" si="16"/>
        <v>-4</v>
      </c>
      <c r="K166" s="37">
        <f t="shared" si="14"/>
        <v>-40</v>
      </c>
      <c r="L166" s="37"/>
      <c r="M166" s="39">
        <f t="shared" si="15"/>
        <v>0</v>
      </c>
    </row>
    <row r="167" spans="1:13">
      <c r="A167" s="58"/>
      <c r="G167" s="15"/>
      <c r="H167" s="37">
        <v>162</v>
      </c>
      <c r="I167" s="38" t="str">
        <f t="shared" si="13"/>
        <v/>
      </c>
      <c r="J167" s="37">
        <f t="shared" si="16"/>
        <v>-4</v>
      </c>
      <c r="K167" s="37">
        <f t="shared" si="14"/>
        <v>-40</v>
      </c>
      <c r="L167" s="37"/>
      <c r="M167" s="39">
        <f t="shared" si="15"/>
        <v>0</v>
      </c>
    </row>
    <row r="168" spans="1:13">
      <c r="A168" s="58"/>
      <c r="G168" s="15"/>
      <c r="H168" s="37">
        <v>163</v>
      </c>
      <c r="I168" s="38" t="str">
        <f t="shared" si="13"/>
        <v/>
      </c>
      <c r="J168" s="37">
        <f t="shared" si="16"/>
        <v>-4</v>
      </c>
      <c r="K168" s="37">
        <f t="shared" si="14"/>
        <v>-40</v>
      </c>
      <c r="L168" s="37"/>
      <c r="M168" s="39">
        <f t="shared" si="15"/>
        <v>0</v>
      </c>
    </row>
    <row r="169" spans="1:13">
      <c r="A169" s="58"/>
      <c r="G169" s="15"/>
      <c r="H169" s="37">
        <v>164</v>
      </c>
      <c r="I169" s="38" t="str">
        <f t="shared" si="13"/>
        <v/>
      </c>
      <c r="J169" s="37">
        <f t="shared" si="16"/>
        <v>-4</v>
      </c>
      <c r="K169" s="37">
        <f t="shared" si="14"/>
        <v>-40</v>
      </c>
      <c r="L169" s="37"/>
      <c r="M169" s="39">
        <f t="shared" si="15"/>
        <v>0</v>
      </c>
    </row>
    <row r="170" spans="1:13">
      <c r="A170" s="58"/>
      <c r="G170" s="15"/>
      <c r="H170" s="37">
        <v>165</v>
      </c>
      <c r="I170" s="38" t="str">
        <f t="shared" si="13"/>
        <v/>
      </c>
      <c r="J170" s="37">
        <f t="shared" si="16"/>
        <v>-4</v>
      </c>
      <c r="K170" s="37">
        <f t="shared" si="14"/>
        <v>-40</v>
      </c>
      <c r="L170" s="37"/>
      <c r="M170" s="39">
        <f t="shared" si="15"/>
        <v>0</v>
      </c>
    </row>
    <row r="171" spans="1:13">
      <c r="A171" s="58"/>
      <c r="G171" s="15"/>
      <c r="H171" s="37">
        <v>166</v>
      </c>
      <c r="I171" s="38" t="str">
        <f t="shared" si="13"/>
        <v/>
      </c>
      <c r="J171" s="37">
        <f t="shared" si="16"/>
        <v>-4</v>
      </c>
      <c r="K171" s="37">
        <f t="shared" si="14"/>
        <v>-40</v>
      </c>
      <c r="L171" s="37"/>
      <c r="M171" s="39">
        <f t="shared" si="15"/>
        <v>0</v>
      </c>
    </row>
    <row r="172" spans="1:13">
      <c r="A172" s="58"/>
      <c r="G172" s="15"/>
      <c r="H172" s="37">
        <v>167</v>
      </c>
      <c r="I172" s="38" t="str">
        <f t="shared" si="13"/>
        <v/>
      </c>
      <c r="J172" s="37">
        <f t="shared" si="16"/>
        <v>-4</v>
      </c>
      <c r="K172" s="37">
        <f t="shared" si="14"/>
        <v>-40</v>
      </c>
      <c r="L172" s="37"/>
      <c r="M172" s="39">
        <f t="shared" si="15"/>
        <v>0</v>
      </c>
    </row>
    <row r="173" spans="1:13">
      <c r="A173" s="58"/>
      <c r="G173" s="15"/>
      <c r="H173" s="37">
        <v>168</v>
      </c>
      <c r="I173" s="38" t="str">
        <f t="shared" si="13"/>
        <v/>
      </c>
      <c r="J173" s="37">
        <f t="shared" si="16"/>
        <v>-4</v>
      </c>
      <c r="K173" s="37">
        <f t="shared" si="14"/>
        <v>-40</v>
      </c>
      <c r="L173" s="37"/>
      <c r="M173" s="39">
        <f t="shared" si="15"/>
        <v>0</v>
      </c>
    </row>
    <row r="174" spans="1:13">
      <c r="A174" s="58"/>
      <c r="G174" s="15"/>
      <c r="H174" s="37">
        <v>169</v>
      </c>
      <c r="I174" s="38" t="str">
        <f t="shared" si="13"/>
        <v/>
      </c>
      <c r="J174" s="37">
        <f t="shared" si="16"/>
        <v>-4</v>
      </c>
      <c r="K174" s="37">
        <f t="shared" si="14"/>
        <v>-40</v>
      </c>
      <c r="L174" s="37"/>
      <c r="M174" s="39">
        <f t="shared" si="15"/>
        <v>0</v>
      </c>
    </row>
    <row r="175" spans="1:13">
      <c r="A175" s="58"/>
      <c r="G175" s="15"/>
      <c r="H175" s="37">
        <v>170</v>
      </c>
      <c r="I175" s="38" t="str">
        <f t="shared" si="13"/>
        <v/>
      </c>
      <c r="J175" s="37">
        <f t="shared" si="16"/>
        <v>-4</v>
      </c>
      <c r="K175" s="37">
        <f t="shared" si="14"/>
        <v>-40</v>
      </c>
      <c r="L175" s="37"/>
      <c r="M175" s="39">
        <f t="shared" si="15"/>
        <v>0</v>
      </c>
    </row>
    <row r="176" spans="1:13">
      <c r="A176" s="58"/>
      <c r="G176" s="15"/>
      <c r="H176" s="37">
        <v>171</v>
      </c>
      <c r="I176" s="38" t="str">
        <f t="shared" si="13"/>
        <v/>
      </c>
      <c r="J176" s="37">
        <f t="shared" si="16"/>
        <v>-4</v>
      </c>
      <c r="K176" s="37">
        <f t="shared" si="14"/>
        <v>-40</v>
      </c>
      <c r="L176" s="37"/>
      <c r="M176" s="39">
        <f t="shared" si="15"/>
        <v>0</v>
      </c>
    </row>
    <row r="177" spans="1:13">
      <c r="A177" s="58"/>
      <c r="G177" s="15"/>
      <c r="H177" s="37">
        <v>172</v>
      </c>
      <c r="I177" s="38" t="str">
        <f t="shared" si="13"/>
        <v/>
      </c>
      <c r="J177" s="37">
        <f t="shared" si="16"/>
        <v>-4</v>
      </c>
      <c r="K177" s="37">
        <f t="shared" si="14"/>
        <v>-40</v>
      </c>
      <c r="L177" s="37"/>
      <c r="M177" s="39">
        <f t="shared" si="15"/>
        <v>0</v>
      </c>
    </row>
    <row r="178" spans="1:13">
      <c r="A178" s="58"/>
      <c r="G178" s="15"/>
      <c r="H178" s="37">
        <v>173</v>
      </c>
      <c r="I178" s="38" t="str">
        <f t="shared" si="13"/>
        <v/>
      </c>
      <c r="J178" s="37">
        <f t="shared" si="16"/>
        <v>-4</v>
      </c>
      <c r="K178" s="37">
        <f t="shared" si="14"/>
        <v>-40</v>
      </c>
      <c r="L178" s="37"/>
      <c r="M178" s="39">
        <f t="shared" si="15"/>
        <v>0</v>
      </c>
    </row>
    <row r="179" spans="1:13">
      <c r="A179" s="58"/>
      <c r="G179" s="15"/>
      <c r="H179" s="37">
        <v>174</v>
      </c>
      <c r="I179" s="38" t="str">
        <f t="shared" si="13"/>
        <v/>
      </c>
      <c r="J179" s="37">
        <f t="shared" si="16"/>
        <v>-4</v>
      </c>
      <c r="K179" s="37">
        <f t="shared" si="14"/>
        <v>-40</v>
      </c>
      <c r="L179" s="37"/>
      <c r="M179" s="39">
        <f t="shared" si="15"/>
        <v>0</v>
      </c>
    </row>
    <row r="180" spans="1:13">
      <c r="A180" s="58"/>
      <c r="G180" s="15"/>
      <c r="H180" s="37">
        <v>175</v>
      </c>
      <c r="I180" s="38" t="str">
        <f t="shared" si="13"/>
        <v/>
      </c>
      <c r="J180" s="37">
        <f t="shared" si="16"/>
        <v>-4</v>
      </c>
      <c r="K180" s="37">
        <f t="shared" si="14"/>
        <v>-40</v>
      </c>
      <c r="L180" s="37"/>
      <c r="M180" s="39">
        <f t="shared" si="15"/>
        <v>0</v>
      </c>
    </row>
    <row r="181" spans="1:13">
      <c r="A181" s="58"/>
      <c r="G181" s="15"/>
      <c r="H181" s="37">
        <v>176</v>
      </c>
      <c r="I181" s="38" t="str">
        <f t="shared" si="13"/>
        <v/>
      </c>
      <c r="J181" s="37">
        <f t="shared" si="16"/>
        <v>-4</v>
      </c>
      <c r="K181" s="37">
        <f t="shared" si="14"/>
        <v>-40</v>
      </c>
      <c r="L181" s="37"/>
      <c r="M181" s="39">
        <f t="shared" si="15"/>
        <v>0</v>
      </c>
    </row>
    <row r="182" spans="1:13">
      <c r="A182" s="58"/>
      <c r="G182" s="15"/>
      <c r="H182" s="37">
        <v>177</v>
      </c>
      <c r="I182" s="38" t="str">
        <f t="shared" si="13"/>
        <v/>
      </c>
      <c r="J182" s="37">
        <f t="shared" si="16"/>
        <v>-4</v>
      </c>
      <c r="K182" s="37">
        <f t="shared" si="14"/>
        <v>-40</v>
      </c>
      <c r="L182" s="37"/>
      <c r="M182" s="39">
        <f t="shared" si="15"/>
        <v>0</v>
      </c>
    </row>
    <row r="183" spans="1:13">
      <c r="A183" s="58"/>
      <c r="G183" s="15"/>
      <c r="H183" s="37">
        <v>178</v>
      </c>
      <c r="I183" s="38" t="str">
        <f t="shared" si="13"/>
        <v/>
      </c>
      <c r="J183" s="37">
        <f t="shared" si="16"/>
        <v>-4</v>
      </c>
      <c r="K183" s="37">
        <f t="shared" si="14"/>
        <v>-40</v>
      </c>
      <c r="L183" s="37"/>
      <c r="M183" s="39">
        <f t="shared" si="15"/>
        <v>0</v>
      </c>
    </row>
    <row r="184" spans="1:13">
      <c r="A184" s="58"/>
      <c r="G184" s="15"/>
      <c r="H184" s="37">
        <v>179</v>
      </c>
      <c r="I184" s="38" t="str">
        <f t="shared" si="13"/>
        <v/>
      </c>
      <c r="J184" s="37">
        <f t="shared" si="16"/>
        <v>-4</v>
      </c>
      <c r="K184" s="37">
        <f t="shared" si="14"/>
        <v>-40</v>
      </c>
      <c r="L184" s="37"/>
      <c r="M184" s="39">
        <f t="shared" si="15"/>
        <v>0</v>
      </c>
    </row>
    <row r="185" spans="1:13">
      <c r="A185" s="58"/>
      <c r="G185" s="15"/>
      <c r="H185" s="37">
        <v>180</v>
      </c>
      <c r="I185" s="38" t="str">
        <f t="shared" si="13"/>
        <v/>
      </c>
      <c r="J185" s="37">
        <f t="shared" si="16"/>
        <v>-4</v>
      </c>
      <c r="K185" s="37">
        <f t="shared" si="14"/>
        <v>-40</v>
      </c>
      <c r="L185" s="37"/>
      <c r="M185" s="39">
        <f t="shared" si="15"/>
        <v>0</v>
      </c>
    </row>
    <row r="186" spans="1:13">
      <c r="A186" s="58"/>
      <c r="G186" s="15"/>
      <c r="H186" s="37">
        <v>181</v>
      </c>
      <c r="I186" s="38" t="str">
        <f t="shared" si="13"/>
        <v/>
      </c>
      <c r="J186" s="37">
        <f t="shared" si="16"/>
        <v>-4</v>
      </c>
      <c r="K186" s="37">
        <f t="shared" si="14"/>
        <v>-40</v>
      </c>
      <c r="L186" s="37"/>
      <c r="M186" s="39">
        <f t="shared" si="15"/>
        <v>0</v>
      </c>
    </row>
    <row r="187" spans="1:13">
      <c r="A187" s="58"/>
      <c r="G187" s="15"/>
      <c r="H187" s="37">
        <v>182</v>
      </c>
      <c r="I187" s="38" t="str">
        <f t="shared" si="13"/>
        <v/>
      </c>
      <c r="J187" s="37">
        <f t="shared" si="16"/>
        <v>-4</v>
      </c>
      <c r="K187" s="37">
        <f t="shared" si="14"/>
        <v>-40</v>
      </c>
      <c r="L187" s="37"/>
      <c r="M187" s="39">
        <f t="shared" si="15"/>
        <v>0</v>
      </c>
    </row>
    <row r="188" spans="1:13">
      <c r="A188" s="58"/>
      <c r="G188" s="15"/>
      <c r="H188" s="37">
        <v>183</v>
      </c>
      <c r="I188" s="38" t="str">
        <f t="shared" si="13"/>
        <v/>
      </c>
      <c r="J188" s="37">
        <f t="shared" si="16"/>
        <v>-4</v>
      </c>
      <c r="K188" s="37">
        <f t="shared" si="14"/>
        <v>-40</v>
      </c>
      <c r="L188" s="37"/>
      <c r="M188" s="39">
        <f t="shared" si="15"/>
        <v>0</v>
      </c>
    </row>
    <row r="189" spans="1:13">
      <c r="A189" s="58"/>
      <c r="G189" s="15"/>
      <c r="H189" s="37">
        <v>184</v>
      </c>
      <c r="I189" s="38" t="str">
        <f t="shared" si="13"/>
        <v/>
      </c>
      <c r="J189" s="37">
        <f t="shared" si="16"/>
        <v>-4</v>
      </c>
      <c r="K189" s="37">
        <f t="shared" si="14"/>
        <v>-40</v>
      </c>
      <c r="L189" s="37"/>
      <c r="M189" s="39">
        <f t="shared" si="15"/>
        <v>0</v>
      </c>
    </row>
    <row r="190" spans="1:13">
      <c r="A190" s="58"/>
      <c r="G190" s="15"/>
      <c r="H190" s="37">
        <v>185</v>
      </c>
      <c r="I190" s="38" t="str">
        <f t="shared" si="13"/>
        <v/>
      </c>
      <c r="J190" s="37">
        <f t="shared" si="16"/>
        <v>-4</v>
      </c>
      <c r="K190" s="37">
        <f t="shared" si="14"/>
        <v>-40</v>
      </c>
      <c r="L190" s="37"/>
      <c r="M190" s="39">
        <f t="shared" si="15"/>
        <v>0</v>
      </c>
    </row>
    <row r="191" spans="1:13">
      <c r="A191" s="58"/>
      <c r="G191" s="15"/>
      <c r="H191" s="37">
        <v>186</v>
      </c>
      <c r="I191" s="38" t="str">
        <f t="shared" si="13"/>
        <v/>
      </c>
      <c r="J191" s="37">
        <f t="shared" si="16"/>
        <v>-4</v>
      </c>
      <c r="K191" s="37">
        <f t="shared" si="14"/>
        <v>-40</v>
      </c>
      <c r="L191" s="37"/>
      <c r="M191" s="39">
        <f t="shared" si="15"/>
        <v>0</v>
      </c>
    </row>
    <row r="192" spans="1:13">
      <c r="A192" s="58"/>
      <c r="G192" s="15"/>
      <c r="H192" s="37">
        <v>187</v>
      </c>
      <c r="I192" s="38" t="str">
        <f t="shared" si="13"/>
        <v/>
      </c>
      <c r="J192" s="37">
        <f t="shared" si="16"/>
        <v>-4</v>
      </c>
      <c r="K192" s="37">
        <f t="shared" si="14"/>
        <v>-40</v>
      </c>
      <c r="L192" s="37"/>
      <c r="M192" s="39">
        <f t="shared" si="15"/>
        <v>0</v>
      </c>
    </row>
    <row r="193" spans="1:13">
      <c r="A193" s="58"/>
      <c r="G193" s="15"/>
      <c r="H193" s="37">
        <v>188</v>
      </c>
      <c r="I193" s="38" t="str">
        <f t="shared" si="13"/>
        <v/>
      </c>
      <c r="J193" s="37">
        <f t="shared" si="16"/>
        <v>-4</v>
      </c>
      <c r="K193" s="37">
        <f t="shared" si="14"/>
        <v>-40</v>
      </c>
      <c r="L193" s="37"/>
      <c r="M193" s="39">
        <f t="shared" si="15"/>
        <v>0</v>
      </c>
    </row>
    <row r="194" spans="1:13">
      <c r="A194" s="58"/>
      <c r="G194" s="15"/>
      <c r="H194" s="37">
        <v>189</v>
      </c>
      <c r="I194" s="38" t="str">
        <f t="shared" si="13"/>
        <v/>
      </c>
      <c r="J194" s="37">
        <f t="shared" si="16"/>
        <v>-4</v>
      </c>
      <c r="K194" s="37">
        <f t="shared" si="14"/>
        <v>-40</v>
      </c>
      <c r="L194" s="37"/>
      <c r="M194" s="39">
        <f t="shared" si="15"/>
        <v>0</v>
      </c>
    </row>
    <row r="195" spans="1:13">
      <c r="A195" s="58"/>
      <c r="G195" s="15"/>
      <c r="H195" s="37">
        <v>190</v>
      </c>
      <c r="I195" s="38" t="str">
        <f t="shared" si="13"/>
        <v/>
      </c>
      <c r="J195" s="37">
        <f t="shared" si="16"/>
        <v>-4</v>
      </c>
      <c r="K195" s="37">
        <f t="shared" si="14"/>
        <v>-40</v>
      </c>
      <c r="L195" s="37"/>
      <c r="M195" s="39">
        <f t="shared" si="15"/>
        <v>0</v>
      </c>
    </row>
    <row r="196" spans="1:13">
      <c r="A196" s="58"/>
      <c r="G196" s="15"/>
      <c r="H196" s="37">
        <v>191</v>
      </c>
      <c r="I196" s="38" t="str">
        <f t="shared" si="13"/>
        <v/>
      </c>
      <c r="J196" s="37">
        <f t="shared" si="16"/>
        <v>-4</v>
      </c>
      <c r="K196" s="37">
        <f t="shared" si="14"/>
        <v>-40</v>
      </c>
      <c r="L196" s="37"/>
      <c r="M196" s="39">
        <f t="shared" si="15"/>
        <v>0</v>
      </c>
    </row>
    <row r="197" spans="1:13">
      <c r="A197" s="58"/>
      <c r="G197" s="15"/>
      <c r="H197" s="37">
        <v>192</v>
      </c>
      <c r="I197" s="38" t="str">
        <f t="shared" si="13"/>
        <v/>
      </c>
      <c r="J197" s="37">
        <f t="shared" si="16"/>
        <v>-4</v>
      </c>
      <c r="K197" s="37">
        <f t="shared" si="14"/>
        <v>-40</v>
      </c>
      <c r="L197" s="37"/>
      <c r="M197" s="39">
        <f t="shared" si="15"/>
        <v>0</v>
      </c>
    </row>
    <row r="198" spans="1:13">
      <c r="A198" s="58"/>
      <c r="G198" s="15"/>
      <c r="H198" s="37">
        <v>193</v>
      </c>
      <c r="I198" s="38" t="str">
        <f t="shared" ref="I198:I261" si="17">IF(H198&lt;$H$2+1,($I$2-($I$2-1)*(LOG(H198)/LOG($H$2))),"")</f>
        <v/>
      </c>
      <c r="J198" s="37">
        <f t="shared" si="16"/>
        <v>-4</v>
      </c>
      <c r="K198" s="37">
        <f t="shared" ref="K198:K261" si="18">J198*$J$2</f>
        <v>-40</v>
      </c>
      <c r="L198" s="37"/>
      <c r="M198" s="39">
        <f t="shared" ref="M198:M261" si="19">IF(I198&lt;&gt;"",K198+I198+L198,0)</f>
        <v>0</v>
      </c>
    </row>
    <row r="199" spans="1:13">
      <c r="A199" s="58"/>
      <c r="G199" s="15"/>
      <c r="H199" s="37">
        <v>194</v>
      </c>
      <c r="I199" s="38" t="str">
        <f t="shared" si="17"/>
        <v/>
      </c>
      <c r="J199" s="37">
        <f t="shared" ref="J199:J262" si="20">INT(LOG($H$2,2))-ROUNDUP(LOG(H199,2),0)+IF(OR($H$2=1,$H$2=2,$H$2=4,$H$2=8,$H$2=16,$H$2=32,$H$2=64,$H$2=128,$H$2=256),0,1)</f>
        <v>-4</v>
      </c>
      <c r="K199" s="37">
        <f t="shared" si="18"/>
        <v>-40</v>
      </c>
      <c r="L199" s="37"/>
      <c r="M199" s="39">
        <f t="shared" si="19"/>
        <v>0</v>
      </c>
    </row>
    <row r="200" spans="1:13">
      <c r="A200" s="58"/>
      <c r="G200" s="15"/>
      <c r="H200" s="37">
        <v>195</v>
      </c>
      <c r="I200" s="38" t="str">
        <f t="shared" si="17"/>
        <v/>
      </c>
      <c r="J200" s="37">
        <f t="shared" si="20"/>
        <v>-4</v>
      </c>
      <c r="K200" s="37">
        <f t="shared" si="18"/>
        <v>-40</v>
      </c>
      <c r="L200" s="37"/>
      <c r="M200" s="39">
        <f t="shared" si="19"/>
        <v>0</v>
      </c>
    </row>
    <row r="201" spans="1:13">
      <c r="A201" s="58"/>
      <c r="G201" s="15"/>
      <c r="H201" s="37">
        <v>196</v>
      </c>
      <c r="I201" s="38" t="str">
        <f t="shared" si="17"/>
        <v/>
      </c>
      <c r="J201" s="37">
        <f t="shared" si="20"/>
        <v>-4</v>
      </c>
      <c r="K201" s="37">
        <f t="shared" si="18"/>
        <v>-40</v>
      </c>
      <c r="L201" s="37"/>
      <c r="M201" s="39">
        <f t="shared" si="19"/>
        <v>0</v>
      </c>
    </row>
    <row r="202" spans="1:13">
      <c r="A202" s="58"/>
      <c r="G202" s="15"/>
      <c r="H202" s="37">
        <v>197</v>
      </c>
      <c r="I202" s="38" t="str">
        <f t="shared" si="17"/>
        <v/>
      </c>
      <c r="J202" s="37">
        <f t="shared" si="20"/>
        <v>-4</v>
      </c>
      <c r="K202" s="37">
        <f t="shared" si="18"/>
        <v>-40</v>
      </c>
      <c r="L202" s="37"/>
      <c r="M202" s="39">
        <f t="shared" si="19"/>
        <v>0</v>
      </c>
    </row>
    <row r="203" spans="1:13">
      <c r="A203" s="58"/>
      <c r="G203" s="15"/>
      <c r="H203" s="37">
        <v>198</v>
      </c>
      <c r="I203" s="38" t="str">
        <f t="shared" si="17"/>
        <v/>
      </c>
      <c r="J203" s="37">
        <f t="shared" si="20"/>
        <v>-4</v>
      </c>
      <c r="K203" s="37">
        <f t="shared" si="18"/>
        <v>-40</v>
      </c>
      <c r="L203" s="37"/>
      <c r="M203" s="39">
        <f t="shared" si="19"/>
        <v>0</v>
      </c>
    </row>
    <row r="204" spans="1:13">
      <c r="A204" s="58"/>
      <c r="G204" s="15"/>
      <c r="H204" s="37">
        <v>199</v>
      </c>
      <c r="I204" s="38" t="str">
        <f t="shared" si="17"/>
        <v/>
      </c>
      <c r="J204" s="37">
        <f t="shared" si="20"/>
        <v>-4</v>
      </c>
      <c r="K204" s="37">
        <f t="shared" si="18"/>
        <v>-40</v>
      </c>
      <c r="L204" s="37"/>
      <c r="M204" s="39">
        <f t="shared" si="19"/>
        <v>0</v>
      </c>
    </row>
    <row r="205" spans="1:13">
      <c r="A205" s="58"/>
      <c r="G205" s="15"/>
      <c r="H205" s="37">
        <v>200</v>
      </c>
      <c r="I205" s="38" t="str">
        <f t="shared" si="17"/>
        <v/>
      </c>
      <c r="J205" s="37">
        <f t="shared" si="20"/>
        <v>-4</v>
      </c>
      <c r="K205" s="37">
        <f t="shared" si="18"/>
        <v>-40</v>
      </c>
      <c r="L205" s="37"/>
      <c r="M205" s="39">
        <f t="shared" si="19"/>
        <v>0</v>
      </c>
    </row>
    <row r="206" spans="1:13">
      <c r="A206" s="58"/>
      <c r="G206" s="15"/>
      <c r="H206" s="37">
        <v>201</v>
      </c>
      <c r="I206" s="38" t="str">
        <f t="shared" si="17"/>
        <v/>
      </c>
      <c r="J206" s="37">
        <f t="shared" si="20"/>
        <v>-4</v>
      </c>
      <c r="K206" s="37">
        <f t="shared" si="18"/>
        <v>-40</v>
      </c>
      <c r="L206" s="37"/>
      <c r="M206" s="39">
        <f t="shared" si="19"/>
        <v>0</v>
      </c>
    </row>
    <row r="207" spans="1:13">
      <c r="A207" s="58"/>
      <c r="G207" s="15"/>
      <c r="H207" s="37">
        <v>202</v>
      </c>
      <c r="I207" s="38" t="str">
        <f t="shared" si="17"/>
        <v/>
      </c>
      <c r="J207" s="37">
        <f t="shared" si="20"/>
        <v>-4</v>
      </c>
      <c r="K207" s="37">
        <f t="shared" si="18"/>
        <v>-40</v>
      </c>
      <c r="L207" s="37"/>
      <c r="M207" s="39">
        <f t="shared" si="19"/>
        <v>0</v>
      </c>
    </row>
    <row r="208" spans="1:13">
      <c r="A208" s="58"/>
      <c r="G208" s="15"/>
      <c r="H208" s="37">
        <v>203</v>
      </c>
      <c r="I208" s="38" t="str">
        <f t="shared" si="17"/>
        <v/>
      </c>
      <c r="J208" s="37">
        <f t="shared" si="20"/>
        <v>-4</v>
      </c>
      <c r="K208" s="37">
        <f t="shared" si="18"/>
        <v>-40</v>
      </c>
      <c r="L208" s="37"/>
      <c r="M208" s="39">
        <f t="shared" si="19"/>
        <v>0</v>
      </c>
    </row>
    <row r="209" spans="1:13">
      <c r="A209" s="58"/>
      <c r="G209" s="15"/>
      <c r="H209" s="37">
        <v>204</v>
      </c>
      <c r="I209" s="38" t="str">
        <f t="shared" si="17"/>
        <v/>
      </c>
      <c r="J209" s="37">
        <f t="shared" si="20"/>
        <v>-4</v>
      </c>
      <c r="K209" s="37">
        <f t="shared" si="18"/>
        <v>-40</v>
      </c>
      <c r="L209" s="37"/>
      <c r="M209" s="39">
        <f t="shared" si="19"/>
        <v>0</v>
      </c>
    </row>
    <row r="210" spans="1:13">
      <c r="A210" s="58"/>
      <c r="G210" s="15"/>
      <c r="H210" s="37">
        <v>205</v>
      </c>
      <c r="I210" s="38" t="str">
        <f t="shared" si="17"/>
        <v/>
      </c>
      <c r="J210" s="37">
        <f t="shared" si="20"/>
        <v>-4</v>
      </c>
      <c r="K210" s="37">
        <f t="shared" si="18"/>
        <v>-40</v>
      </c>
      <c r="L210" s="37"/>
      <c r="M210" s="39">
        <f t="shared" si="19"/>
        <v>0</v>
      </c>
    </row>
    <row r="211" spans="1:13">
      <c r="A211" s="58"/>
      <c r="G211" s="15"/>
      <c r="H211" s="37">
        <v>206</v>
      </c>
      <c r="I211" s="38" t="str">
        <f t="shared" si="17"/>
        <v/>
      </c>
      <c r="J211" s="37">
        <f t="shared" si="20"/>
        <v>-4</v>
      </c>
      <c r="K211" s="37">
        <f t="shared" si="18"/>
        <v>-40</v>
      </c>
      <c r="L211" s="37"/>
      <c r="M211" s="39">
        <f t="shared" si="19"/>
        <v>0</v>
      </c>
    </row>
    <row r="212" spans="1:13">
      <c r="A212" s="58"/>
      <c r="G212" s="15"/>
      <c r="H212" s="37">
        <v>207</v>
      </c>
      <c r="I212" s="38" t="str">
        <f t="shared" si="17"/>
        <v/>
      </c>
      <c r="J212" s="37">
        <f t="shared" si="20"/>
        <v>-4</v>
      </c>
      <c r="K212" s="37">
        <f t="shared" si="18"/>
        <v>-40</v>
      </c>
      <c r="L212" s="37"/>
      <c r="M212" s="39">
        <f t="shared" si="19"/>
        <v>0</v>
      </c>
    </row>
    <row r="213" spans="1:13">
      <c r="A213" s="58"/>
      <c r="G213" s="15"/>
      <c r="H213" s="37">
        <v>208</v>
      </c>
      <c r="I213" s="38" t="str">
        <f t="shared" si="17"/>
        <v/>
      </c>
      <c r="J213" s="37">
        <f t="shared" si="20"/>
        <v>-4</v>
      </c>
      <c r="K213" s="37">
        <f t="shared" si="18"/>
        <v>-40</v>
      </c>
      <c r="L213" s="37"/>
      <c r="M213" s="39">
        <f t="shared" si="19"/>
        <v>0</v>
      </c>
    </row>
    <row r="214" spans="1:13">
      <c r="A214" s="58"/>
      <c r="G214" s="15"/>
      <c r="H214" s="37">
        <v>209</v>
      </c>
      <c r="I214" s="38" t="str">
        <f t="shared" si="17"/>
        <v/>
      </c>
      <c r="J214" s="37">
        <f t="shared" si="20"/>
        <v>-4</v>
      </c>
      <c r="K214" s="37">
        <f t="shared" si="18"/>
        <v>-40</v>
      </c>
      <c r="L214" s="37"/>
      <c r="M214" s="39">
        <f t="shared" si="19"/>
        <v>0</v>
      </c>
    </row>
    <row r="215" spans="1:13">
      <c r="A215" s="58"/>
      <c r="G215" s="15"/>
      <c r="H215" s="37">
        <v>210</v>
      </c>
      <c r="I215" s="38" t="str">
        <f t="shared" si="17"/>
        <v/>
      </c>
      <c r="J215" s="37">
        <f t="shared" si="20"/>
        <v>-4</v>
      </c>
      <c r="K215" s="37">
        <f t="shared" si="18"/>
        <v>-40</v>
      </c>
      <c r="L215" s="37"/>
      <c r="M215" s="39">
        <f t="shared" si="19"/>
        <v>0</v>
      </c>
    </row>
    <row r="216" spans="1:13">
      <c r="A216" s="58"/>
      <c r="G216" s="15"/>
      <c r="H216" s="37">
        <v>211</v>
      </c>
      <c r="I216" s="38" t="str">
        <f t="shared" si="17"/>
        <v/>
      </c>
      <c r="J216" s="37">
        <f t="shared" si="20"/>
        <v>-4</v>
      </c>
      <c r="K216" s="37">
        <f t="shared" si="18"/>
        <v>-40</v>
      </c>
      <c r="L216" s="37"/>
      <c r="M216" s="39">
        <f t="shared" si="19"/>
        <v>0</v>
      </c>
    </row>
    <row r="217" spans="1:13">
      <c r="A217" s="58"/>
      <c r="G217" s="15"/>
      <c r="H217" s="37">
        <v>212</v>
      </c>
      <c r="I217" s="38" t="str">
        <f t="shared" si="17"/>
        <v/>
      </c>
      <c r="J217" s="37">
        <f t="shared" si="20"/>
        <v>-4</v>
      </c>
      <c r="K217" s="37">
        <f t="shared" si="18"/>
        <v>-40</v>
      </c>
      <c r="L217" s="37"/>
      <c r="M217" s="39">
        <f t="shared" si="19"/>
        <v>0</v>
      </c>
    </row>
    <row r="218" spans="1:13">
      <c r="A218" s="58"/>
      <c r="G218" s="15"/>
      <c r="H218" s="37">
        <v>213</v>
      </c>
      <c r="I218" s="38" t="str">
        <f t="shared" si="17"/>
        <v/>
      </c>
      <c r="J218" s="37">
        <f t="shared" si="20"/>
        <v>-4</v>
      </c>
      <c r="K218" s="37">
        <f t="shared" si="18"/>
        <v>-40</v>
      </c>
      <c r="L218" s="37"/>
      <c r="M218" s="39">
        <f t="shared" si="19"/>
        <v>0</v>
      </c>
    </row>
    <row r="219" spans="1:13">
      <c r="A219" s="58"/>
      <c r="G219" s="15"/>
      <c r="H219" s="37">
        <v>214</v>
      </c>
      <c r="I219" s="38" t="str">
        <f t="shared" si="17"/>
        <v/>
      </c>
      <c r="J219" s="37">
        <f t="shared" si="20"/>
        <v>-4</v>
      </c>
      <c r="K219" s="37">
        <f t="shared" si="18"/>
        <v>-40</v>
      </c>
      <c r="L219" s="37"/>
      <c r="M219" s="39">
        <f t="shared" si="19"/>
        <v>0</v>
      </c>
    </row>
    <row r="220" spans="1:13">
      <c r="A220" s="58"/>
      <c r="G220" s="15"/>
      <c r="H220" s="37">
        <v>215</v>
      </c>
      <c r="I220" s="38" t="str">
        <f t="shared" si="17"/>
        <v/>
      </c>
      <c r="J220" s="37">
        <f t="shared" si="20"/>
        <v>-4</v>
      </c>
      <c r="K220" s="37">
        <f t="shared" si="18"/>
        <v>-40</v>
      </c>
      <c r="L220" s="37"/>
      <c r="M220" s="39">
        <f t="shared" si="19"/>
        <v>0</v>
      </c>
    </row>
    <row r="221" spans="1:13">
      <c r="A221" s="58"/>
      <c r="G221" s="15"/>
      <c r="H221" s="37">
        <v>216</v>
      </c>
      <c r="I221" s="38" t="str">
        <f t="shared" si="17"/>
        <v/>
      </c>
      <c r="J221" s="37">
        <f t="shared" si="20"/>
        <v>-4</v>
      </c>
      <c r="K221" s="37">
        <f t="shared" si="18"/>
        <v>-40</v>
      </c>
      <c r="L221" s="37"/>
      <c r="M221" s="39">
        <f t="shared" si="19"/>
        <v>0</v>
      </c>
    </row>
    <row r="222" spans="1:13">
      <c r="A222" s="58"/>
      <c r="G222" s="15"/>
      <c r="H222" s="37">
        <v>217</v>
      </c>
      <c r="I222" s="38" t="str">
        <f t="shared" si="17"/>
        <v/>
      </c>
      <c r="J222" s="37">
        <f t="shared" si="20"/>
        <v>-4</v>
      </c>
      <c r="K222" s="37">
        <f t="shared" si="18"/>
        <v>-40</v>
      </c>
      <c r="L222" s="37"/>
      <c r="M222" s="39">
        <f t="shared" si="19"/>
        <v>0</v>
      </c>
    </row>
    <row r="223" spans="1:13">
      <c r="A223" s="58"/>
      <c r="G223" s="15"/>
      <c r="H223" s="37">
        <v>218</v>
      </c>
      <c r="I223" s="38" t="str">
        <f t="shared" si="17"/>
        <v/>
      </c>
      <c r="J223" s="37">
        <f t="shared" si="20"/>
        <v>-4</v>
      </c>
      <c r="K223" s="37">
        <f t="shared" si="18"/>
        <v>-40</v>
      </c>
      <c r="L223" s="37"/>
      <c r="M223" s="39">
        <f t="shared" si="19"/>
        <v>0</v>
      </c>
    </row>
    <row r="224" spans="1:13">
      <c r="A224" s="58"/>
      <c r="G224" s="15"/>
      <c r="H224" s="37">
        <v>219</v>
      </c>
      <c r="I224" s="38" t="str">
        <f t="shared" si="17"/>
        <v/>
      </c>
      <c r="J224" s="37">
        <f t="shared" si="20"/>
        <v>-4</v>
      </c>
      <c r="K224" s="37">
        <f t="shared" si="18"/>
        <v>-40</v>
      </c>
      <c r="L224" s="37"/>
      <c r="M224" s="39">
        <f t="shared" si="19"/>
        <v>0</v>
      </c>
    </row>
    <row r="225" spans="1:13">
      <c r="A225" s="58"/>
      <c r="G225" s="15"/>
      <c r="H225" s="37">
        <v>220</v>
      </c>
      <c r="I225" s="38" t="str">
        <f t="shared" si="17"/>
        <v/>
      </c>
      <c r="J225" s="37">
        <f t="shared" si="20"/>
        <v>-4</v>
      </c>
      <c r="K225" s="37">
        <f t="shared" si="18"/>
        <v>-40</v>
      </c>
      <c r="L225" s="37"/>
      <c r="M225" s="39">
        <f t="shared" si="19"/>
        <v>0</v>
      </c>
    </row>
    <row r="226" spans="1:13">
      <c r="A226" s="58"/>
      <c r="G226" s="15"/>
      <c r="H226" s="37">
        <v>221</v>
      </c>
      <c r="I226" s="38" t="str">
        <f t="shared" si="17"/>
        <v/>
      </c>
      <c r="J226" s="37">
        <f t="shared" si="20"/>
        <v>-4</v>
      </c>
      <c r="K226" s="37">
        <f t="shared" si="18"/>
        <v>-40</v>
      </c>
      <c r="L226" s="37"/>
      <c r="M226" s="39">
        <f t="shared" si="19"/>
        <v>0</v>
      </c>
    </row>
    <row r="227" spans="1:13">
      <c r="A227" s="58"/>
      <c r="G227" s="15"/>
      <c r="H227" s="37">
        <v>222</v>
      </c>
      <c r="I227" s="38" t="str">
        <f t="shared" si="17"/>
        <v/>
      </c>
      <c r="J227" s="37">
        <f t="shared" si="20"/>
        <v>-4</v>
      </c>
      <c r="K227" s="37">
        <f t="shared" si="18"/>
        <v>-40</v>
      </c>
      <c r="L227" s="37"/>
      <c r="M227" s="39">
        <f t="shared" si="19"/>
        <v>0</v>
      </c>
    </row>
    <row r="228" spans="1:13">
      <c r="A228" s="58"/>
      <c r="G228" s="15"/>
      <c r="H228" s="37">
        <v>223</v>
      </c>
      <c r="I228" s="38" t="str">
        <f t="shared" si="17"/>
        <v/>
      </c>
      <c r="J228" s="37">
        <f t="shared" si="20"/>
        <v>-4</v>
      </c>
      <c r="K228" s="37">
        <f t="shared" si="18"/>
        <v>-40</v>
      </c>
      <c r="L228" s="37"/>
      <c r="M228" s="39">
        <f t="shared" si="19"/>
        <v>0</v>
      </c>
    </row>
    <row r="229" spans="1:13">
      <c r="A229" s="58"/>
      <c r="G229" s="15"/>
      <c r="H229" s="37">
        <v>224</v>
      </c>
      <c r="I229" s="38" t="str">
        <f t="shared" si="17"/>
        <v/>
      </c>
      <c r="J229" s="37">
        <f t="shared" si="20"/>
        <v>-4</v>
      </c>
      <c r="K229" s="37">
        <f t="shared" si="18"/>
        <v>-40</v>
      </c>
      <c r="L229" s="37"/>
      <c r="M229" s="39">
        <f t="shared" si="19"/>
        <v>0</v>
      </c>
    </row>
    <row r="230" spans="1:13">
      <c r="A230" s="58"/>
      <c r="G230" s="15"/>
      <c r="H230" s="37">
        <v>225</v>
      </c>
      <c r="I230" s="38" t="str">
        <f t="shared" si="17"/>
        <v/>
      </c>
      <c r="J230" s="37">
        <f t="shared" si="20"/>
        <v>-4</v>
      </c>
      <c r="K230" s="37">
        <f t="shared" si="18"/>
        <v>-40</v>
      </c>
      <c r="L230" s="37"/>
      <c r="M230" s="39">
        <f t="shared" si="19"/>
        <v>0</v>
      </c>
    </row>
    <row r="231" spans="1:13">
      <c r="A231" s="58"/>
      <c r="G231" s="15"/>
      <c r="H231" s="37">
        <v>226</v>
      </c>
      <c r="I231" s="38" t="str">
        <f t="shared" si="17"/>
        <v/>
      </c>
      <c r="J231" s="37">
        <f t="shared" si="20"/>
        <v>-4</v>
      </c>
      <c r="K231" s="37">
        <f t="shared" si="18"/>
        <v>-40</v>
      </c>
      <c r="L231" s="37"/>
      <c r="M231" s="39">
        <f t="shared" si="19"/>
        <v>0</v>
      </c>
    </row>
    <row r="232" spans="1:13">
      <c r="A232" s="58"/>
      <c r="G232" s="15"/>
      <c r="H232" s="37">
        <v>227</v>
      </c>
      <c r="I232" s="38" t="str">
        <f t="shared" si="17"/>
        <v/>
      </c>
      <c r="J232" s="37">
        <f t="shared" si="20"/>
        <v>-4</v>
      </c>
      <c r="K232" s="37">
        <f t="shared" si="18"/>
        <v>-40</v>
      </c>
      <c r="L232" s="37"/>
      <c r="M232" s="39">
        <f t="shared" si="19"/>
        <v>0</v>
      </c>
    </row>
    <row r="233" spans="1:13">
      <c r="A233" s="58"/>
      <c r="G233" s="15"/>
      <c r="H233" s="37">
        <v>228</v>
      </c>
      <c r="I233" s="38" t="str">
        <f t="shared" si="17"/>
        <v/>
      </c>
      <c r="J233" s="37">
        <f t="shared" si="20"/>
        <v>-4</v>
      </c>
      <c r="K233" s="37">
        <f t="shared" si="18"/>
        <v>-40</v>
      </c>
      <c r="L233" s="37"/>
      <c r="M233" s="39">
        <f t="shared" si="19"/>
        <v>0</v>
      </c>
    </row>
    <row r="234" spans="1:13">
      <c r="A234" s="58"/>
      <c r="G234" s="15"/>
      <c r="H234" s="37">
        <v>229</v>
      </c>
      <c r="I234" s="38" t="str">
        <f t="shared" si="17"/>
        <v/>
      </c>
      <c r="J234" s="37">
        <f t="shared" si="20"/>
        <v>-4</v>
      </c>
      <c r="K234" s="37">
        <f t="shared" si="18"/>
        <v>-40</v>
      </c>
      <c r="L234" s="37"/>
      <c r="M234" s="39">
        <f t="shared" si="19"/>
        <v>0</v>
      </c>
    </row>
    <row r="235" spans="1:13">
      <c r="A235" s="58"/>
      <c r="G235" s="15"/>
      <c r="H235" s="37">
        <v>230</v>
      </c>
      <c r="I235" s="38" t="str">
        <f t="shared" si="17"/>
        <v/>
      </c>
      <c r="J235" s="37">
        <f t="shared" si="20"/>
        <v>-4</v>
      </c>
      <c r="K235" s="37">
        <f t="shared" si="18"/>
        <v>-40</v>
      </c>
      <c r="L235" s="37"/>
      <c r="M235" s="39">
        <f t="shared" si="19"/>
        <v>0</v>
      </c>
    </row>
    <row r="236" spans="1:13">
      <c r="A236" s="58"/>
      <c r="G236" s="15"/>
      <c r="H236" s="37">
        <v>231</v>
      </c>
      <c r="I236" s="38" t="str">
        <f t="shared" si="17"/>
        <v/>
      </c>
      <c r="J236" s="37">
        <f t="shared" si="20"/>
        <v>-4</v>
      </c>
      <c r="K236" s="37">
        <f t="shared" si="18"/>
        <v>-40</v>
      </c>
      <c r="L236" s="37"/>
      <c r="M236" s="39">
        <f t="shared" si="19"/>
        <v>0</v>
      </c>
    </row>
    <row r="237" spans="1:13">
      <c r="A237" s="58"/>
      <c r="G237" s="15"/>
      <c r="H237" s="37">
        <v>232</v>
      </c>
      <c r="I237" s="38" t="str">
        <f t="shared" si="17"/>
        <v/>
      </c>
      <c r="J237" s="37">
        <f t="shared" si="20"/>
        <v>-4</v>
      </c>
      <c r="K237" s="37">
        <f t="shared" si="18"/>
        <v>-40</v>
      </c>
      <c r="L237" s="37"/>
      <c r="M237" s="39">
        <f t="shared" si="19"/>
        <v>0</v>
      </c>
    </row>
    <row r="238" spans="1:13">
      <c r="A238" s="58"/>
      <c r="G238" s="15"/>
      <c r="H238" s="37">
        <v>233</v>
      </c>
      <c r="I238" s="38" t="str">
        <f t="shared" si="17"/>
        <v/>
      </c>
      <c r="J238" s="37">
        <f t="shared" si="20"/>
        <v>-4</v>
      </c>
      <c r="K238" s="37">
        <f t="shared" si="18"/>
        <v>-40</v>
      </c>
      <c r="L238" s="37"/>
      <c r="M238" s="39">
        <f t="shared" si="19"/>
        <v>0</v>
      </c>
    </row>
    <row r="239" spans="1:13">
      <c r="A239" s="58"/>
      <c r="G239" s="15"/>
      <c r="H239" s="37">
        <v>234</v>
      </c>
      <c r="I239" s="38" t="str">
        <f t="shared" si="17"/>
        <v/>
      </c>
      <c r="J239" s="37">
        <f t="shared" si="20"/>
        <v>-4</v>
      </c>
      <c r="K239" s="37">
        <f t="shared" si="18"/>
        <v>-40</v>
      </c>
      <c r="L239" s="37"/>
      <c r="M239" s="39">
        <f t="shared" si="19"/>
        <v>0</v>
      </c>
    </row>
    <row r="240" spans="1:13">
      <c r="A240" s="58"/>
      <c r="G240" s="15"/>
      <c r="H240" s="37">
        <v>235</v>
      </c>
      <c r="I240" s="38" t="str">
        <f t="shared" si="17"/>
        <v/>
      </c>
      <c r="J240" s="37">
        <f t="shared" si="20"/>
        <v>-4</v>
      </c>
      <c r="K240" s="37">
        <f t="shared" si="18"/>
        <v>-40</v>
      </c>
      <c r="L240" s="37"/>
      <c r="M240" s="39">
        <f t="shared" si="19"/>
        <v>0</v>
      </c>
    </row>
    <row r="241" spans="1:13">
      <c r="A241" s="58"/>
      <c r="G241" s="15"/>
      <c r="H241" s="37">
        <v>236</v>
      </c>
      <c r="I241" s="38" t="str">
        <f t="shared" si="17"/>
        <v/>
      </c>
      <c r="J241" s="37">
        <f t="shared" si="20"/>
        <v>-4</v>
      </c>
      <c r="K241" s="37">
        <f t="shared" si="18"/>
        <v>-40</v>
      </c>
      <c r="L241" s="37"/>
      <c r="M241" s="39">
        <f t="shared" si="19"/>
        <v>0</v>
      </c>
    </row>
    <row r="242" spans="1:13">
      <c r="A242" s="58"/>
      <c r="G242" s="15"/>
      <c r="H242" s="37">
        <v>237</v>
      </c>
      <c r="I242" s="38" t="str">
        <f t="shared" si="17"/>
        <v/>
      </c>
      <c r="J242" s="37">
        <f t="shared" si="20"/>
        <v>-4</v>
      </c>
      <c r="K242" s="37">
        <f t="shared" si="18"/>
        <v>-40</v>
      </c>
      <c r="L242" s="37"/>
      <c r="M242" s="39">
        <f t="shared" si="19"/>
        <v>0</v>
      </c>
    </row>
    <row r="243" spans="1:13">
      <c r="A243" s="58"/>
      <c r="G243" s="15"/>
      <c r="H243" s="37">
        <v>238</v>
      </c>
      <c r="I243" s="38" t="str">
        <f t="shared" si="17"/>
        <v/>
      </c>
      <c r="J243" s="37">
        <f t="shared" si="20"/>
        <v>-4</v>
      </c>
      <c r="K243" s="37">
        <f t="shared" si="18"/>
        <v>-40</v>
      </c>
      <c r="L243" s="37"/>
      <c r="M243" s="39">
        <f t="shared" si="19"/>
        <v>0</v>
      </c>
    </row>
    <row r="244" spans="1:13">
      <c r="A244" s="58"/>
      <c r="G244" s="15"/>
      <c r="H244" s="37">
        <v>239</v>
      </c>
      <c r="I244" s="38" t="str">
        <f t="shared" si="17"/>
        <v/>
      </c>
      <c r="J244" s="37">
        <f t="shared" si="20"/>
        <v>-4</v>
      </c>
      <c r="K244" s="37">
        <f t="shared" si="18"/>
        <v>-40</v>
      </c>
      <c r="L244" s="37"/>
      <c r="M244" s="39">
        <f t="shared" si="19"/>
        <v>0</v>
      </c>
    </row>
    <row r="245" spans="1:13">
      <c r="A245" s="58"/>
      <c r="G245" s="15"/>
      <c r="H245" s="37">
        <v>240</v>
      </c>
      <c r="I245" s="38" t="str">
        <f t="shared" si="17"/>
        <v/>
      </c>
      <c r="J245" s="37">
        <f t="shared" si="20"/>
        <v>-4</v>
      </c>
      <c r="K245" s="37">
        <f t="shared" si="18"/>
        <v>-40</v>
      </c>
      <c r="L245" s="37"/>
      <c r="M245" s="39">
        <f t="shared" si="19"/>
        <v>0</v>
      </c>
    </row>
    <row r="246" spans="1:13">
      <c r="A246" s="58"/>
      <c r="G246" s="15"/>
      <c r="H246" s="37">
        <v>241</v>
      </c>
      <c r="I246" s="38" t="str">
        <f t="shared" si="17"/>
        <v/>
      </c>
      <c r="J246" s="37">
        <f t="shared" si="20"/>
        <v>-4</v>
      </c>
      <c r="K246" s="37">
        <f t="shared" si="18"/>
        <v>-40</v>
      </c>
      <c r="L246" s="37"/>
      <c r="M246" s="39">
        <f t="shared" si="19"/>
        <v>0</v>
      </c>
    </row>
    <row r="247" spans="1:13">
      <c r="A247" s="58"/>
      <c r="G247" s="15"/>
      <c r="H247" s="37">
        <v>242</v>
      </c>
      <c r="I247" s="38" t="str">
        <f t="shared" si="17"/>
        <v/>
      </c>
      <c r="J247" s="37">
        <f t="shared" si="20"/>
        <v>-4</v>
      </c>
      <c r="K247" s="37">
        <f t="shared" si="18"/>
        <v>-40</v>
      </c>
      <c r="L247" s="37"/>
      <c r="M247" s="39">
        <f t="shared" si="19"/>
        <v>0</v>
      </c>
    </row>
    <row r="248" spans="1:13">
      <c r="A248" s="58"/>
      <c r="G248" s="15"/>
      <c r="H248" s="37">
        <v>243</v>
      </c>
      <c r="I248" s="38" t="str">
        <f t="shared" si="17"/>
        <v/>
      </c>
      <c r="J248" s="37">
        <f t="shared" si="20"/>
        <v>-4</v>
      </c>
      <c r="K248" s="37">
        <f t="shared" si="18"/>
        <v>-40</v>
      </c>
      <c r="L248" s="37"/>
      <c r="M248" s="39">
        <f t="shared" si="19"/>
        <v>0</v>
      </c>
    </row>
    <row r="249" spans="1:13">
      <c r="A249" s="58"/>
      <c r="G249" s="15"/>
      <c r="H249" s="37">
        <v>244</v>
      </c>
      <c r="I249" s="38" t="str">
        <f t="shared" si="17"/>
        <v/>
      </c>
      <c r="J249" s="37">
        <f t="shared" si="20"/>
        <v>-4</v>
      </c>
      <c r="K249" s="37">
        <f t="shared" si="18"/>
        <v>-40</v>
      </c>
      <c r="L249" s="37"/>
      <c r="M249" s="39">
        <f t="shared" si="19"/>
        <v>0</v>
      </c>
    </row>
    <row r="250" spans="1:13">
      <c r="A250" s="58"/>
      <c r="G250" s="15"/>
      <c r="H250" s="37">
        <v>245</v>
      </c>
      <c r="I250" s="38" t="str">
        <f t="shared" si="17"/>
        <v/>
      </c>
      <c r="J250" s="37">
        <f t="shared" si="20"/>
        <v>-4</v>
      </c>
      <c r="K250" s="37">
        <f t="shared" si="18"/>
        <v>-40</v>
      </c>
      <c r="L250" s="37"/>
      <c r="M250" s="39">
        <f t="shared" si="19"/>
        <v>0</v>
      </c>
    </row>
    <row r="251" spans="1:13">
      <c r="A251" s="58"/>
      <c r="G251" s="15"/>
      <c r="H251" s="37">
        <v>246</v>
      </c>
      <c r="I251" s="38" t="str">
        <f t="shared" si="17"/>
        <v/>
      </c>
      <c r="J251" s="37">
        <f t="shared" si="20"/>
        <v>-4</v>
      </c>
      <c r="K251" s="37">
        <f t="shared" si="18"/>
        <v>-40</v>
      </c>
      <c r="L251" s="37"/>
      <c r="M251" s="39">
        <f t="shared" si="19"/>
        <v>0</v>
      </c>
    </row>
    <row r="252" spans="1:13">
      <c r="A252" s="58"/>
      <c r="G252" s="15"/>
      <c r="H252" s="37">
        <v>247</v>
      </c>
      <c r="I252" s="38" t="str">
        <f t="shared" si="17"/>
        <v/>
      </c>
      <c r="J252" s="37">
        <f t="shared" si="20"/>
        <v>-4</v>
      </c>
      <c r="K252" s="37">
        <f t="shared" si="18"/>
        <v>-40</v>
      </c>
      <c r="L252" s="37"/>
      <c r="M252" s="39">
        <f t="shared" si="19"/>
        <v>0</v>
      </c>
    </row>
    <row r="253" spans="1:13">
      <c r="A253" s="58"/>
      <c r="G253" s="15"/>
      <c r="H253" s="37">
        <v>248</v>
      </c>
      <c r="I253" s="38" t="str">
        <f t="shared" si="17"/>
        <v/>
      </c>
      <c r="J253" s="37">
        <f t="shared" si="20"/>
        <v>-4</v>
      </c>
      <c r="K253" s="37">
        <f t="shared" si="18"/>
        <v>-40</v>
      </c>
      <c r="L253" s="37"/>
      <c r="M253" s="39">
        <f t="shared" si="19"/>
        <v>0</v>
      </c>
    </row>
    <row r="254" spans="1:13">
      <c r="A254" s="58"/>
      <c r="G254" s="15"/>
      <c r="H254" s="37">
        <v>249</v>
      </c>
      <c r="I254" s="38" t="str">
        <f t="shared" si="17"/>
        <v/>
      </c>
      <c r="J254" s="37">
        <f t="shared" si="20"/>
        <v>-4</v>
      </c>
      <c r="K254" s="37">
        <f t="shared" si="18"/>
        <v>-40</v>
      </c>
      <c r="L254" s="37"/>
      <c r="M254" s="39">
        <f t="shared" si="19"/>
        <v>0</v>
      </c>
    </row>
    <row r="255" spans="1:13">
      <c r="A255" s="58"/>
      <c r="G255" s="15"/>
      <c r="H255" s="37">
        <v>250</v>
      </c>
      <c r="I255" s="38" t="str">
        <f t="shared" si="17"/>
        <v/>
      </c>
      <c r="J255" s="37">
        <f t="shared" si="20"/>
        <v>-4</v>
      </c>
      <c r="K255" s="37">
        <f t="shared" si="18"/>
        <v>-40</v>
      </c>
      <c r="L255" s="37"/>
      <c r="M255" s="39">
        <f t="shared" si="19"/>
        <v>0</v>
      </c>
    </row>
    <row r="256" spans="1:13">
      <c r="A256" s="58"/>
      <c r="G256" s="15"/>
      <c r="H256" s="37">
        <v>251</v>
      </c>
      <c r="I256" s="38" t="str">
        <f t="shared" si="17"/>
        <v/>
      </c>
      <c r="J256" s="37">
        <f t="shared" si="20"/>
        <v>-4</v>
      </c>
      <c r="K256" s="37">
        <f t="shared" si="18"/>
        <v>-40</v>
      </c>
      <c r="L256" s="37"/>
      <c r="M256" s="39">
        <f t="shared" si="19"/>
        <v>0</v>
      </c>
    </row>
    <row r="257" spans="1:13">
      <c r="A257" s="58"/>
      <c r="G257" s="15"/>
      <c r="H257" s="37">
        <v>252</v>
      </c>
      <c r="I257" s="38" t="str">
        <f t="shared" si="17"/>
        <v/>
      </c>
      <c r="J257" s="37">
        <f t="shared" si="20"/>
        <v>-4</v>
      </c>
      <c r="K257" s="37">
        <f t="shared" si="18"/>
        <v>-40</v>
      </c>
      <c r="L257" s="37"/>
      <c r="M257" s="39">
        <f t="shared" si="19"/>
        <v>0</v>
      </c>
    </row>
    <row r="258" spans="1:13">
      <c r="A258" s="58"/>
      <c r="G258" s="15"/>
      <c r="H258" s="37">
        <v>253</v>
      </c>
      <c r="I258" s="38" t="str">
        <f t="shared" si="17"/>
        <v/>
      </c>
      <c r="J258" s="37">
        <f t="shared" si="20"/>
        <v>-4</v>
      </c>
      <c r="K258" s="37">
        <f t="shared" si="18"/>
        <v>-40</v>
      </c>
      <c r="L258" s="37"/>
      <c r="M258" s="39">
        <f t="shared" si="19"/>
        <v>0</v>
      </c>
    </row>
    <row r="259" spans="1:13">
      <c r="A259" s="58"/>
      <c r="G259" s="15"/>
      <c r="H259" s="37">
        <v>254</v>
      </c>
      <c r="I259" s="38" t="str">
        <f t="shared" si="17"/>
        <v/>
      </c>
      <c r="J259" s="37">
        <f t="shared" si="20"/>
        <v>-4</v>
      </c>
      <c r="K259" s="37">
        <f t="shared" si="18"/>
        <v>-40</v>
      </c>
      <c r="L259" s="37"/>
      <c r="M259" s="39">
        <f t="shared" si="19"/>
        <v>0</v>
      </c>
    </row>
    <row r="260" spans="1:13">
      <c r="A260" s="58"/>
      <c r="G260" s="15"/>
      <c r="H260" s="37">
        <v>255</v>
      </c>
      <c r="I260" s="38" t="str">
        <f t="shared" si="17"/>
        <v/>
      </c>
      <c r="J260" s="37">
        <f t="shared" si="20"/>
        <v>-4</v>
      </c>
      <c r="K260" s="37">
        <f t="shared" si="18"/>
        <v>-40</v>
      </c>
      <c r="L260" s="37"/>
      <c r="M260" s="39">
        <f t="shared" si="19"/>
        <v>0</v>
      </c>
    </row>
    <row r="261" spans="1:13">
      <c r="A261" s="58"/>
      <c r="G261" s="15"/>
      <c r="H261" s="37">
        <v>256</v>
      </c>
      <c r="I261" s="38" t="str">
        <f t="shared" si="17"/>
        <v/>
      </c>
      <c r="J261" s="37">
        <f t="shared" si="20"/>
        <v>-4</v>
      </c>
      <c r="K261" s="37">
        <f t="shared" si="18"/>
        <v>-40</v>
      </c>
      <c r="L261" s="37"/>
      <c r="M261" s="39">
        <f t="shared" si="19"/>
        <v>0</v>
      </c>
    </row>
    <row r="262" spans="1:13">
      <c r="A262" s="58"/>
      <c r="G262" s="15"/>
      <c r="H262" s="37">
        <v>257</v>
      </c>
      <c r="I262" s="38" t="str">
        <f t="shared" ref="I262:I305" si="21">IF(H262&lt;$H$2+1,($I$2-($I$2-1)*(LOG(H262)/LOG($H$2))),"")</f>
        <v/>
      </c>
      <c r="J262" s="37">
        <f t="shared" si="20"/>
        <v>-5</v>
      </c>
      <c r="K262" s="37">
        <f t="shared" ref="K262:K305" si="22">J262*$J$2</f>
        <v>-50</v>
      </c>
      <c r="L262" s="37"/>
      <c r="M262" s="39">
        <f t="shared" ref="M262:M305" si="23">IF(I262&lt;&gt;"",K262+I262+L262,0)</f>
        <v>0</v>
      </c>
    </row>
    <row r="263" spans="1:13">
      <c r="A263" s="58"/>
      <c r="G263" s="15"/>
      <c r="H263" s="37">
        <v>258</v>
      </c>
      <c r="I263" s="38" t="str">
        <f t="shared" si="21"/>
        <v/>
      </c>
      <c r="J263" s="37">
        <f t="shared" ref="J263:J305" si="24">INT(LOG($H$2,2))-ROUNDUP(LOG(H263,2),0)+IF(OR($H$2=1,$H$2=2,$H$2=4,$H$2=8,$H$2=16,$H$2=32,$H$2=64,$H$2=128,$H$2=256),0,1)</f>
        <v>-5</v>
      </c>
      <c r="K263" s="37">
        <f t="shared" si="22"/>
        <v>-50</v>
      </c>
      <c r="L263" s="37"/>
      <c r="M263" s="39">
        <f t="shared" si="23"/>
        <v>0</v>
      </c>
    </row>
    <row r="264" spans="1:13">
      <c r="A264" s="58"/>
      <c r="G264" s="15"/>
      <c r="H264" s="37">
        <v>259</v>
      </c>
      <c r="I264" s="38" t="str">
        <f t="shared" si="21"/>
        <v/>
      </c>
      <c r="J264" s="37">
        <f t="shared" si="24"/>
        <v>-5</v>
      </c>
      <c r="K264" s="37">
        <f t="shared" si="22"/>
        <v>-50</v>
      </c>
      <c r="L264" s="37"/>
      <c r="M264" s="39">
        <f t="shared" si="23"/>
        <v>0</v>
      </c>
    </row>
    <row r="265" spans="1:13">
      <c r="A265" s="58"/>
      <c r="G265" s="15"/>
      <c r="H265" s="37">
        <v>260</v>
      </c>
      <c r="I265" s="38" t="str">
        <f t="shared" si="21"/>
        <v/>
      </c>
      <c r="J265" s="37">
        <f t="shared" si="24"/>
        <v>-5</v>
      </c>
      <c r="K265" s="37">
        <f t="shared" si="22"/>
        <v>-50</v>
      </c>
      <c r="L265" s="37"/>
      <c r="M265" s="39">
        <f t="shared" si="23"/>
        <v>0</v>
      </c>
    </row>
    <row r="266" spans="1:13">
      <c r="A266" s="58"/>
      <c r="G266" s="15"/>
      <c r="H266" s="37">
        <v>261</v>
      </c>
      <c r="I266" s="38" t="str">
        <f t="shared" si="21"/>
        <v/>
      </c>
      <c r="J266" s="37">
        <f t="shared" si="24"/>
        <v>-5</v>
      </c>
      <c r="K266" s="37">
        <f t="shared" si="22"/>
        <v>-50</v>
      </c>
      <c r="L266" s="37"/>
      <c r="M266" s="39">
        <f t="shared" si="23"/>
        <v>0</v>
      </c>
    </row>
    <row r="267" spans="1:13">
      <c r="A267" s="58"/>
      <c r="G267" s="15"/>
      <c r="H267" s="37">
        <v>262</v>
      </c>
      <c r="I267" s="38" t="str">
        <f t="shared" si="21"/>
        <v/>
      </c>
      <c r="J267" s="37">
        <f t="shared" si="24"/>
        <v>-5</v>
      </c>
      <c r="K267" s="37">
        <f t="shared" si="22"/>
        <v>-50</v>
      </c>
      <c r="L267" s="37"/>
      <c r="M267" s="39">
        <f t="shared" si="23"/>
        <v>0</v>
      </c>
    </row>
    <row r="268" spans="1:13">
      <c r="A268" s="58"/>
      <c r="G268" s="15"/>
      <c r="H268" s="37">
        <v>263</v>
      </c>
      <c r="I268" s="38" t="str">
        <f t="shared" si="21"/>
        <v/>
      </c>
      <c r="J268" s="37">
        <f t="shared" si="24"/>
        <v>-5</v>
      </c>
      <c r="K268" s="37">
        <f t="shared" si="22"/>
        <v>-50</v>
      </c>
      <c r="L268" s="37"/>
      <c r="M268" s="39">
        <f t="shared" si="23"/>
        <v>0</v>
      </c>
    </row>
    <row r="269" spans="1:13">
      <c r="A269" s="58"/>
      <c r="G269" s="15"/>
      <c r="H269" s="37">
        <v>264</v>
      </c>
      <c r="I269" s="38" t="str">
        <f t="shared" si="21"/>
        <v/>
      </c>
      <c r="J269" s="37">
        <f t="shared" si="24"/>
        <v>-5</v>
      </c>
      <c r="K269" s="37">
        <f t="shared" si="22"/>
        <v>-50</v>
      </c>
      <c r="L269" s="37"/>
      <c r="M269" s="39">
        <f t="shared" si="23"/>
        <v>0</v>
      </c>
    </row>
    <row r="270" spans="1:13">
      <c r="A270" s="58"/>
      <c r="G270" s="15"/>
      <c r="H270" s="37">
        <v>265</v>
      </c>
      <c r="I270" s="38" t="str">
        <f t="shared" si="21"/>
        <v/>
      </c>
      <c r="J270" s="37">
        <f t="shared" si="24"/>
        <v>-5</v>
      </c>
      <c r="K270" s="37">
        <f t="shared" si="22"/>
        <v>-50</v>
      </c>
      <c r="L270" s="37"/>
      <c r="M270" s="39">
        <f t="shared" si="23"/>
        <v>0</v>
      </c>
    </row>
    <row r="271" spans="1:13">
      <c r="A271" s="58"/>
      <c r="G271" s="15"/>
      <c r="H271" s="37">
        <v>266</v>
      </c>
      <c r="I271" s="38" t="str">
        <f t="shared" si="21"/>
        <v/>
      </c>
      <c r="J271" s="37">
        <f t="shared" si="24"/>
        <v>-5</v>
      </c>
      <c r="K271" s="37">
        <f t="shared" si="22"/>
        <v>-50</v>
      </c>
      <c r="L271" s="37"/>
      <c r="M271" s="39">
        <f t="shared" si="23"/>
        <v>0</v>
      </c>
    </row>
    <row r="272" spans="1:13">
      <c r="A272" s="58"/>
      <c r="G272" s="15"/>
      <c r="H272" s="37">
        <v>267</v>
      </c>
      <c r="I272" s="38" t="str">
        <f t="shared" si="21"/>
        <v/>
      </c>
      <c r="J272" s="37">
        <f t="shared" si="24"/>
        <v>-5</v>
      </c>
      <c r="K272" s="37">
        <f t="shared" si="22"/>
        <v>-50</v>
      </c>
      <c r="L272" s="37"/>
      <c r="M272" s="39">
        <f t="shared" si="23"/>
        <v>0</v>
      </c>
    </row>
    <row r="273" spans="1:13">
      <c r="A273" s="58"/>
      <c r="G273" s="15"/>
      <c r="H273" s="37">
        <v>268</v>
      </c>
      <c r="I273" s="38" t="str">
        <f t="shared" si="21"/>
        <v/>
      </c>
      <c r="J273" s="37">
        <f t="shared" si="24"/>
        <v>-5</v>
      </c>
      <c r="K273" s="37">
        <f t="shared" si="22"/>
        <v>-50</v>
      </c>
      <c r="L273" s="37"/>
      <c r="M273" s="39">
        <f t="shared" si="23"/>
        <v>0</v>
      </c>
    </row>
    <row r="274" spans="1:13">
      <c r="A274" s="58"/>
      <c r="G274" s="15"/>
      <c r="H274" s="37">
        <v>269</v>
      </c>
      <c r="I274" s="38" t="str">
        <f t="shared" si="21"/>
        <v/>
      </c>
      <c r="J274" s="37">
        <f t="shared" si="24"/>
        <v>-5</v>
      </c>
      <c r="K274" s="37">
        <f t="shared" si="22"/>
        <v>-50</v>
      </c>
      <c r="L274" s="37"/>
      <c r="M274" s="39">
        <f t="shared" si="23"/>
        <v>0</v>
      </c>
    </row>
    <row r="275" spans="1:13">
      <c r="A275" s="58"/>
      <c r="G275" s="15"/>
      <c r="H275" s="37">
        <v>270</v>
      </c>
      <c r="I275" s="38" t="str">
        <f t="shared" si="21"/>
        <v/>
      </c>
      <c r="J275" s="37">
        <f t="shared" si="24"/>
        <v>-5</v>
      </c>
      <c r="K275" s="37">
        <f t="shared" si="22"/>
        <v>-50</v>
      </c>
      <c r="L275" s="37"/>
      <c r="M275" s="39">
        <f t="shared" si="23"/>
        <v>0</v>
      </c>
    </row>
    <row r="276" spans="1:13">
      <c r="A276" s="58"/>
      <c r="G276" s="15"/>
      <c r="H276" s="37">
        <v>271</v>
      </c>
      <c r="I276" s="38" t="str">
        <f t="shared" si="21"/>
        <v/>
      </c>
      <c r="J276" s="37">
        <f t="shared" si="24"/>
        <v>-5</v>
      </c>
      <c r="K276" s="37">
        <f t="shared" si="22"/>
        <v>-50</v>
      </c>
      <c r="L276" s="37"/>
      <c r="M276" s="39">
        <f t="shared" si="23"/>
        <v>0</v>
      </c>
    </row>
    <row r="277" spans="1:13">
      <c r="A277" s="58"/>
      <c r="G277" s="15"/>
      <c r="H277" s="37">
        <v>272</v>
      </c>
      <c r="I277" s="38" t="str">
        <f t="shared" si="21"/>
        <v/>
      </c>
      <c r="J277" s="37">
        <f t="shared" si="24"/>
        <v>-5</v>
      </c>
      <c r="K277" s="37">
        <f t="shared" si="22"/>
        <v>-50</v>
      </c>
      <c r="L277" s="37"/>
      <c r="M277" s="39">
        <f t="shared" si="23"/>
        <v>0</v>
      </c>
    </row>
    <row r="278" spans="1:13">
      <c r="A278" s="58"/>
      <c r="G278" s="15"/>
      <c r="H278" s="37">
        <v>273</v>
      </c>
      <c r="I278" s="38" t="str">
        <f t="shared" si="21"/>
        <v/>
      </c>
      <c r="J278" s="37">
        <f t="shared" si="24"/>
        <v>-5</v>
      </c>
      <c r="K278" s="37">
        <f t="shared" si="22"/>
        <v>-50</v>
      </c>
      <c r="L278" s="37"/>
      <c r="M278" s="39">
        <f t="shared" si="23"/>
        <v>0</v>
      </c>
    </row>
    <row r="279" spans="1:13">
      <c r="A279" s="58"/>
      <c r="G279" s="15"/>
      <c r="H279" s="37">
        <v>274</v>
      </c>
      <c r="I279" s="38" t="str">
        <f t="shared" si="21"/>
        <v/>
      </c>
      <c r="J279" s="37">
        <f t="shared" si="24"/>
        <v>-5</v>
      </c>
      <c r="K279" s="37">
        <f t="shared" si="22"/>
        <v>-50</v>
      </c>
      <c r="L279" s="37"/>
      <c r="M279" s="39">
        <f t="shared" si="23"/>
        <v>0</v>
      </c>
    </row>
    <row r="280" spans="1:13">
      <c r="A280" s="58"/>
      <c r="G280" s="15"/>
      <c r="H280" s="37">
        <v>275</v>
      </c>
      <c r="I280" s="38" t="str">
        <f t="shared" si="21"/>
        <v/>
      </c>
      <c r="J280" s="37">
        <f t="shared" si="24"/>
        <v>-5</v>
      </c>
      <c r="K280" s="37">
        <f t="shared" si="22"/>
        <v>-50</v>
      </c>
      <c r="L280" s="37"/>
      <c r="M280" s="39">
        <f t="shared" si="23"/>
        <v>0</v>
      </c>
    </row>
    <row r="281" spans="1:13">
      <c r="A281" s="58"/>
      <c r="G281" s="15"/>
      <c r="H281" s="37">
        <v>276</v>
      </c>
      <c r="I281" s="38" t="str">
        <f t="shared" si="21"/>
        <v/>
      </c>
      <c r="J281" s="37">
        <f t="shared" si="24"/>
        <v>-5</v>
      </c>
      <c r="K281" s="37">
        <f t="shared" si="22"/>
        <v>-50</v>
      </c>
      <c r="L281" s="37"/>
      <c r="M281" s="39">
        <f t="shared" si="23"/>
        <v>0</v>
      </c>
    </row>
    <row r="282" spans="1:13">
      <c r="A282" s="58"/>
      <c r="G282" s="15"/>
      <c r="H282" s="37">
        <v>277</v>
      </c>
      <c r="I282" s="38" t="str">
        <f t="shared" si="21"/>
        <v/>
      </c>
      <c r="J282" s="37">
        <f t="shared" si="24"/>
        <v>-5</v>
      </c>
      <c r="K282" s="37">
        <f t="shared" si="22"/>
        <v>-50</v>
      </c>
      <c r="L282" s="37"/>
      <c r="M282" s="39">
        <f t="shared" si="23"/>
        <v>0</v>
      </c>
    </row>
    <row r="283" spans="1:13">
      <c r="A283" s="58"/>
      <c r="G283" s="15"/>
      <c r="H283" s="37">
        <v>278</v>
      </c>
      <c r="I283" s="38" t="str">
        <f t="shared" si="21"/>
        <v/>
      </c>
      <c r="J283" s="37">
        <f t="shared" si="24"/>
        <v>-5</v>
      </c>
      <c r="K283" s="37">
        <f t="shared" si="22"/>
        <v>-50</v>
      </c>
      <c r="L283" s="37"/>
      <c r="M283" s="39">
        <f t="shared" si="23"/>
        <v>0</v>
      </c>
    </row>
    <row r="284" spans="1:13">
      <c r="A284" s="58"/>
      <c r="G284" s="15"/>
      <c r="H284" s="37">
        <v>279</v>
      </c>
      <c r="I284" s="38" t="str">
        <f t="shared" si="21"/>
        <v/>
      </c>
      <c r="J284" s="37">
        <f t="shared" si="24"/>
        <v>-5</v>
      </c>
      <c r="K284" s="37">
        <f t="shared" si="22"/>
        <v>-50</v>
      </c>
      <c r="L284" s="37"/>
      <c r="M284" s="39">
        <f t="shared" si="23"/>
        <v>0</v>
      </c>
    </row>
    <row r="285" spans="1:13">
      <c r="A285" s="58"/>
      <c r="G285" s="15"/>
      <c r="H285" s="37">
        <v>280</v>
      </c>
      <c r="I285" s="38" t="str">
        <f t="shared" si="21"/>
        <v/>
      </c>
      <c r="J285" s="37">
        <f t="shared" si="24"/>
        <v>-5</v>
      </c>
      <c r="K285" s="37">
        <f t="shared" si="22"/>
        <v>-50</v>
      </c>
      <c r="L285" s="37"/>
      <c r="M285" s="39">
        <f t="shared" si="23"/>
        <v>0</v>
      </c>
    </row>
    <row r="286" spans="1:13">
      <c r="A286" s="58"/>
      <c r="G286" s="15"/>
      <c r="H286" s="37">
        <v>281</v>
      </c>
      <c r="I286" s="38" t="str">
        <f t="shared" si="21"/>
        <v/>
      </c>
      <c r="J286" s="37">
        <f t="shared" si="24"/>
        <v>-5</v>
      </c>
      <c r="K286" s="37">
        <f t="shared" si="22"/>
        <v>-50</v>
      </c>
      <c r="L286" s="37"/>
      <c r="M286" s="39">
        <f t="shared" si="23"/>
        <v>0</v>
      </c>
    </row>
    <row r="287" spans="1:13">
      <c r="A287" s="58"/>
      <c r="G287" s="15"/>
      <c r="H287" s="37">
        <v>282</v>
      </c>
      <c r="I287" s="38" t="str">
        <f t="shared" si="21"/>
        <v/>
      </c>
      <c r="J287" s="37">
        <f t="shared" si="24"/>
        <v>-5</v>
      </c>
      <c r="K287" s="37">
        <f t="shared" si="22"/>
        <v>-50</v>
      </c>
      <c r="L287" s="37"/>
      <c r="M287" s="39">
        <f t="shared" si="23"/>
        <v>0</v>
      </c>
    </row>
    <row r="288" spans="1:13">
      <c r="A288" s="58"/>
      <c r="G288" s="15"/>
      <c r="H288" s="37">
        <v>283</v>
      </c>
      <c r="I288" s="38" t="str">
        <f t="shared" si="21"/>
        <v/>
      </c>
      <c r="J288" s="37">
        <f t="shared" si="24"/>
        <v>-5</v>
      </c>
      <c r="K288" s="37">
        <f t="shared" si="22"/>
        <v>-50</v>
      </c>
      <c r="L288" s="37"/>
      <c r="M288" s="39">
        <f t="shared" si="23"/>
        <v>0</v>
      </c>
    </row>
    <row r="289" spans="1:13">
      <c r="A289" s="58"/>
      <c r="G289" s="15"/>
      <c r="H289" s="37">
        <v>284</v>
      </c>
      <c r="I289" s="38" t="str">
        <f t="shared" si="21"/>
        <v/>
      </c>
      <c r="J289" s="37">
        <f t="shared" si="24"/>
        <v>-5</v>
      </c>
      <c r="K289" s="37">
        <f t="shared" si="22"/>
        <v>-50</v>
      </c>
      <c r="L289" s="37"/>
      <c r="M289" s="39">
        <f t="shared" si="23"/>
        <v>0</v>
      </c>
    </row>
    <row r="290" spans="1:13">
      <c r="A290" s="58"/>
      <c r="G290" s="15"/>
      <c r="H290" s="37">
        <v>285</v>
      </c>
      <c r="I290" s="38" t="str">
        <f t="shared" si="21"/>
        <v/>
      </c>
      <c r="J290" s="37">
        <f t="shared" si="24"/>
        <v>-5</v>
      </c>
      <c r="K290" s="37">
        <f t="shared" si="22"/>
        <v>-50</v>
      </c>
      <c r="L290" s="37"/>
      <c r="M290" s="39">
        <f t="shared" si="23"/>
        <v>0</v>
      </c>
    </row>
    <row r="291" spans="1:13">
      <c r="A291" s="58"/>
      <c r="G291" s="15"/>
      <c r="H291" s="37">
        <v>286</v>
      </c>
      <c r="I291" s="38" t="str">
        <f t="shared" si="21"/>
        <v/>
      </c>
      <c r="J291" s="37">
        <f t="shared" si="24"/>
        <v>-5</v>
      </c>
      <c r="K291" s="37">
        <f t="shared" si="22"/>
        <v>-50</v>
      </c>
      <c r="L291" s="37"/>
      <c r="M291" s="39">
        <f t="shared" si="23"/>
        <v>0</v>
      </c>
    </row>
    <row r="292" spans="1:13">
      <c r="A292" s="58"/>
      <c r="G292" s="15"/>
      <c r="H292" s="37">
        <v>287</v>
      </c>
      <c r="I292" s="38" t="str">
        <f t="shared" si="21"/>
        <v/>
      </c>
      <c r="J292" s="37">
        <f t="shared" si="24"/>
        <v>-5</v>
      </c>
      <c r="K292" s="37">
        <f t="shared" si="22"/>
        <v>-50</v>
      </c>
      <c r="L292" s="37"/>
      <c r="M292" s="39">
        <f t="shared" si="23"/>
        <v>0</v>
      </c>
    </row>
    <row r="293" spans="1:13">
      <c r="A293" s="58"/>
      <c r="G293" s="15"/>
      <c r="H293" s="37">
        <v>288</v>
      </c>
      <c r="I293" s="38" t="str">
        <f t="shared" si="21"/>
        <v/>
      </c>
      <c r="J293" s="37">
        <f t="shared" si="24"/>
        <v>-5</v>
      </c>
      <c r="K293" s="37">
        <f t="shared" si="22"/>
        <v>-50</v>
      </c>
      <c r="L293" s="37"/>
      <c r="M293" s="39">
        <f t="shared" si="23"/>
        <v>0</v>
      </c>
    </row>
    <row r="294" spans="1:13">
      <c r="A294" s="58"/>
      <c r="G294" s="15"/>
      <c r="H294" s="37">
        <v>289</v>
      </c>
      <c r="I294" s="38" t="str">
        <f t="shared" si="21"/>
        <v/>
      </c>
      <c r="J294" s="37">
        <f t="shared" si="24"/>
        <v>-5</v>
      </c>
      <c r="K294" s="37">
        <f t="shared" si="22"/>
        <v>-50</v>
      </c>
      <c r="L294" s="37"/>
      <c r="M294" s="39">
        <f t="shared" si="23"/>
        <v>0</v>
      </c>
    </row>
    <row r="295" spans="1:13">
      <c r="A295" s="58"/>
      <c r="G295" s="15"/>
      <c r="H295" s="37">
        <v>290</v>
      </c>
      <c r="I295" s="38" t="str">
        <f t="shared" si="21"/>
        <v/>
      </c>
      <c r="J295" s="37">
        <f t="shared" si="24"/>
        <v>-5</v>
      </c>
      <c r="K295" s="37">
        <f t="shared" si="22"/>
        <v>-50</v>
      </c>
      <c r="L295" s="37"/>
      <c r="M295" s="39">
        <f t="shared" si="23"/>
        <v>0</v>
      </c>
    </row>
    <row r="296" spans="1:13">
      <c r="A296" s="58"/>
      <c r="G296" s="15"/>
      <c r="H296" s="37">
        <v>291</v>
      </c>
      <c r="I296" s="38" t="str">
        <f t="shared" si="21"/>
        <v/>
      </c>
      <c r="J296" s="37">
        <f t="shared" si="24"/>
        <v>-5</v>
      </c>
      <c r="K296" s="37">
        <f t="shared" si="22"/>
        <v>-50</v>
      </c>
      <c r="L296" s="37"/>
      <c r="M296" s="39">
        <f t="shared" si="23"/>
        <v>0</v>
      </c>
    </row>
    <row r="297" spans="1:13">
      <c r="A297" s="58"/>
      <c r="G297" s="15"/>
      <c r="H297" s="37">
        <v>292</v>
      </c>
      <c r="I297" s="38" t="str">
        <f t="shared" si="21"/>
        <v/>
      </c>
      <c r="J297" s="37">
        <f t="shared" si="24"/>
        <v>-5</v>
      </c>
      <c r="K297" s="37">
        <f t="shared" si="22"/>
        <v>-50</v>
      </c>
      <c r="L297" s="37"/>
      <c r="M297" s="39">
        <f t="shared" si="23"/>
        <v>0</v>
      </c>
    </row>
    <row r="298" spans="1:13">
      <c r="A298" s="58"/>
      <c r="G298" s="15"/>
      <c r="H298" s="37">
        <v>293</v>
      </c>
      <c r="I298" s="38" t="str">
        <f t="shared" si="21"/>
        <v/>
      </c>
      <c r="J298" s="37">
        <f t="shared" si="24"/>
        <v>-5</v>
      </c>
      <c r="K298" s="37">
        <f t="shared" si="22"/>
        <v>-50</v>
      </c>
      <c r="L298" s="37"/>
      <c r="M298" s="39">
        <f t="shared" si="23"/>
        <v>0</v>
      </c>
    </row>
    <row r="299" spans="1:13">
      <c r="A299" s="58"/>
      <c r="G299" s="15"/>
      <c r="H299" s="37">
        <v>294</v>
      </c>
      <c r="I299" s="38" t="str">
        <f t="shared" si="21"/>
        <v/>
      </c>
      <c r="J299" s="37">
        <f t="shared" si="24"/>
        <v>-5</v>
      </c>
      <c r="K299" s="37">
        <f t="shared" si="22"/>
        <v>-50</v>
      </c>
      <c r="L299" s="37"/>
      <c r="M299" s="39">
        <f t="shared" si="23"/>
        <v>0</v>
      </c>
    </row>
    <row r="300" spans="1:13">
      <c r="A300" s="58"/>
      <c r="G300" s="15"/>
      <c r="H300" s="37">
        <v>295</v>
      </c>
      <c r="I300" s="38" t="str">
        <f t="shared" si="21"/>
        <v/>
      </c>
      <c r="J300" s="37">
        <f t="shared" si="24"/>
        <v>-5</v>
      </c>
      <c r="K300" s="37">
        <f t="shared" si="22"/>
        <v>-50</v>
      </c>
      <c r="L300" s="37"/>
      <c r="M300" s="39">
        <f t="shared" si="23"/>
        <v>0</v>
      </c>
    </row>
    <row r="301" spans="1:13">
      <c r="A301" s="58"/>
      <c r="G301" s="15"/>
      <c r="H301" s="37">
        <v>296</v>
      </c>
      <c r="I301" s="38" t="str">
        <f t="shared" si="21"/>
        <v/>
      </c>
      <c r="J301" s="37">
        <f t="shared" si="24"/>
        <v>-5</v>
      </c>
      <c r="K301" s="37">
        <f t="shared" si="22"/>
        <v>-50</v>
      </c>
      <c r="L301" s="37"/>
      <c r="M301" s="39">
        <f t="shared" si="23"/>
        <v>0</v>
      </c>
    </row>
    <row r="302" spans="1:13">
      <c r="A302" s="58"/>
      <c r="G302" s="15"/>
      <c r="H302" s="37">
        <v>297</v>
      </c>
      <c r="I302" s="38" t="str">
        <f t="shared" si="21"/>
        <v/>
      </c>
      <c r="J302" s="37">
        <f t="shared" si="24"/>
        <v>-5</v>
      </c>
      <c r="K302" s="37">
        <f t="shared" si="22"/>
        <v>-50</v>
      </c>
      <c r="L302" s="37"/>
      <c r="M302" s="39">
        <f t="shared" si="23"/>
        <v>0</v>
      </c>
    </row>
    <row r="303" spans="1:13">
      <c r="A303" s="58"/>
      <c r="G303" s="15"/>
      <c r="H303" s="37">
        <v>298</v>
      </c>
      <c r="I303" s="38" t="str">
        <f t="shared" si="21"/>
        <v/>
      </c>
      <c r="J303" s="37">
        <f t="shared" si="24"/>
        <v>-5</v>
      </c>
      <c r="K303" s="37">
        <f t="shared" si="22"/>
        <v>-50</v>
      </c>
      <c r="L303" s="37"/>
      <c r="M303" s="39">
        <f t="shared" si="23"/>
        <v>0</v>
      </c>
    </row>
    <row r="304" spans="1:13">
      <c r="A304" s="58"/>
      <c r="G304" s="15"/>
      <c r="H304" s="37">
        <v>299</v>
      </c>
      <c r="I304" s="38" t="str">
        <f t="shared" si="21"/>
        <v/>
      </c>
      <c r="J304" s="37">
        <f t="shared" si="24"/>
        <v>-5</v>
      </c>
      <c r="K304" s="37">
        <f t="shared" si="22"/>
        <v>-50</v>
      </c>
      <c r="L304" s="37"/>
      <c r="M304" s="39">
        <f t="shared" si="23"/>
        <v>0</v>
      </c>
    </row>
    <row r="305" spans="1:16">
      <c r="A305" s="58"/>
      <c r="G305" s="15"/>
      <c r="H305" s="37">
        <v>300</v>
      </c>
      <c r="I305" s="38" t="str">
        <f t="shared" si="21"/>
        <v/>
      </c>
      <c r="J305" s="37">
        <f t="shared" si="24"/>
        <v>-5</v>
      </c>
      <c r="K305" s="37">
        <f t="shared" si="22"/>
        <v>-50</v>
      </c>
      <c r="L305" s="37"/>
      <c r="M305" s="39">
        <f t="shared" si="23"/>
        <v>0</v>
      </c>
    </row>
    <row r="306" spans="1:16">
      <c r="A306" s="60"/>
    </row>
    <row r="314" spans="1:16">
      <c r="L314" s="63"/>
      <c r="P314" s="53"/>
    </row>
    <row r="315" spans="1:16">
      <c r="L315" s="63"/>
      <c r="P315" s="53"/>
    </row>
    <row r="316" spans="1:16">
      <c r="L316" s="63"/>
      <c r="P316" s="53"/>
    </row>
    <row r="317" spans="1:16">
      <c r="L317" s="63"/>
      <c r="P317" s="53"/>
    </row>
  </sheetData>
  <mergeCells count="2">
    <mergeCell ref="C2:D2"/>
    <mergeCell ref="C3:D3"/>
  </mergeCells>
  <conditionalFormatting sqref="J6:K305">
    <cfRule type="cellIs" dxfId="30" priority="1" operator="lessThanOrEqual">
      <formula>0</formula>
    </cfRule>
  </conditionalFormatting>
  <dataValidations count="1">
    <dataValidation type="list" allowBlank="1" showInputMessage="1" showErrorMessage="1" sqref="C32:C63" xr:uid="{A793C664-80F1-43E8-94E3-5BEEF756EDFE}">
      <formula1>#REF!</formula1>
    </dataValidation>
  </dataValidations>
  <hyperlinks>
    <hyperlink ref="C2:D2" r:id="rId1" display="OPOLE" xr:uid="{D55D3785-49AD-45B2-AC39-BACCB469EE07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9C287-1255-461B-AF15-D77D988DB349}">
  <sheetPr>
    <tabColor rgb="FF92D050"/>
  </sheetPr>
  <dimension ref="A1:AL318"/>
  <sheetViews>
    <sheetView workbookViewId="0">
      <selection activeCell="C14" sqref="C14"/>
    </sheetView>
  </sheetViews>
  <sheetFormatPr defaultColWidth="8.85546875" defaultRowHeight="14.25"/>
  <cols>
    <col min="1" max="1" width="8" style="59" customWidth="1"/>
    <col min="2" max="2" width="8.28515625" style="59" customWidth="1"/>
    <col min="3" max="3" width="34.7109375" style="59" customWidth="1"/>
    <col min="4" max="4" width="11.28515625" style="59" customWidth="1"/>
    <col min="5" max="6" width="8.85546875" style="59"/>
    <col min="7" max="7" width="0.85546875" style="59" customWidth="1"/>
    <col min="8" max="8" width="8.85546875" style="61"/>
    <col min="9" max="9" width="11" style="61" customWidth="1"/>
    <col min="10" max="10" width="15.28515625" style="61" customWidth="1"/>
    <col min="11" max="11" width="8.7109375" style="61" customWidth="1"/>
    <col min="12" max="12" width="11" style="61" customWidth="1"/>
    <col min="13" max="13" width="11.7109375" style="62" customWidth="1"/>
    <col min="14" max="14" width="6.28515625" style="15" customWidth="1"/>
    <col min="15" max="15" width="1.85546875" style="15" bestFit="1" customWidth="1"/>
    <col min="16" max="16" width="27.28515625" style="65" bestFit="1" customWidth="1"/>
    <col min="17" max="17" width="7.42578125" style="19" customWidth="1"/>
    <col min="18" max="18" width="8.85546875" style="19"/>
    <col min="19" max="20" width="8.85546875" style="20"/>
    <col min="21" max="21" width="12.140625" style="20" customWidth="1"/>
    <col min="22" max="22" width="27.42578125" style="20" customWidth="1"/>
    <col min="23" max="38" width="8.85546875" style="20"/>
    <col min="39" max="16384" width="8.85546875" style="59"/>
  </cols>
  <sheetData>
    <row r="1" spans="1:36">
      <c r="A1" s="15"/>
      <c r="B1" s="15"/>
      <c r="C1" s="15"/>
      <c r="D1" s="15"/>
      <c r="E1" s="15"/>
      <c r="F1" s="15"/>
      <c r="G1" s="15"/>
      <c r="H1" s="16" t="s">
        <v>34</v>
      </c>
      <c r="I1" s="17" t="s">
        <v>35</v>
      </c>
      <c r="J1" s="17" t="s">
        <v>36</v>
      </c>
      <c r="K1" s="18" t="s">
        <v>37</v>
      </c>
      <c r="L1" s="19"/>
      <c r="M1" s="19"/>
      <c r="N1" s="219" t="s">
        <v>81</v>
      </c>
      <c r="O1" s="219" t="s">
        <v>81</v>
      </c>
      <c r="P1" s="220" t="s">
        <v>81</v>
      </c>
      <c r="Q1" s="221" t="s">
        <v>81</v>
      </c>
      <c r="R1" s="221" t="s">
        <v>81</v>
      </c>
    </row>
    <row r="2" spans="1:36" ht="14.25" customHeight="1">
      <c r="A2" s="15"/>
      <c r="B2" s="21" t="s">
        <v>38</v>
      </c>
      <c r="C2" s="284" t="s">
        <v>82</v>
      </c>
      <c r="D2" s="284"/>
      <c r="E2" s="22"/>
      <c r="F2" s="22"/>
      <c r="G2" s="22"/>
      <c r="H2" s="23">
        <v>3</v>
      </c>
      <c r="I2" s="24">
        <v>50</v>
      </c>
      <c r="J2" s="24">
        <v>10</v>
      </c>
      <c r="K2" s="25">
        <f>3*H2^(1/3)</f>
        <v>4.3267487109222245</v>
      </c>
      <c r="L2" s="19"/>
      <c r="M2" s="19"/>
      <c r="N2" s="219" t="s">
        <v>81</v>
      </c>
      <c r="O2" s="219" t="s">
        <v>81</v>
      </c>
      <c r="P2" s="220" t="s">
        <v>81</v>
      </c>
      <c r="Q2" s="221" t="s">
        <v>81</v>
      </c>
      <c r="R2" s="221" t="s">
        <v>81</v>
      </c>
    </row>
    <row r="3" spans="1:36" ht="14.25" customHeight="1">
      <c r="A3" s="15"/>
      <c r="B3" s="26" t="s">
        <v>40</v>
      </c>
      <c r="C3" s="285" t="s">
        <v>83</v>
      </c>
      <c r="D3" s="285"/>
      <c r="E3" s="27"/>
      <c r="F3" s="27"/>
      <c r="G3" s="27"/>
      <c r="H3" s="19"/>
      <c r="I3" s="19"/>
      <c r="J3" s="28"/>
      <c r="K3" s="19"/>
      <c r="L3" s="19"/>
      <c r="M3" s="19"/>
      <c r="N3" s="219" t="s">
        <v>81</v>
      </c>
      <c r="O3" s="219" t="s">
        <v>81</v>
      </c>
      <c r="P3" s="220" t="s">
        <v>81</v>
      </c>
      <c r="Q3" s="221" t="s">
        <v>81</v>
      </c>
      <c r="R3" s="221" t="s">
        <v>81</v>
      </c>
    </row>
    <row r="4" spans="1:36" ht="10.15" customHeight="1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  <c r="N4" s="219" t="s">
        <v>81</v>
      </c>
      <c r="O4" s="219" t="s">
        <v>81</v>
      </c>
      <c r="P4" s="220" t="s">
        <v>81</v>
      </c>
      <c r="Q4" s="221" t="s">
        <v>81</v>
      </c>
      <c r="R4" s="221" t="s">
        <v>81</v>
      </c>
    </row>
    <row r="5" spans="1:36" ht="34.700000000000003">
      <c r="A5" s="1" t="s">
        <v>42</v>
      </c>
      <c r="B5" s="30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9"/>
      <c r="H5" s="31" t="s">
        <v>48</v>
      </c>
      <c r="I5" s="32" t="s">
        <v>49</v>
      </c>
      <c r="J5" s="33" t="s">
        <v>50</v>
      </c>
      <c r="K5" s="32" t="s">
        <v>51</v>
      </c>
      <c r="L5" s="32" t="s">
        <v>52</v>
      </c>
      <c r="M5" s="31" t="s">
        <v>53</v>
      </c>
      <c r="N5" s="219" t="s">
        <v>81</v>
      </c>
      <c r="O5" s="219" t="s">
        <v>81</v>
      </c>
      <c r="P5" s="286" t="s">
        <v>84</v>
      </c>
      <c r="Q5" s="286"/>
      <c r="R5" s="286"/>
    </row>
    <row r="6" spans="1:36" ht="14.45" customHeight="1">
      <c r="A6" s="34">
        <f>M6</f>
        <v>92.980246132766666</v>
      </c>
      <c r="B6" s="35">
        <f>IF(H6&gt;$H$2,"",(ROW()-5))</f>
        <v>1</v>
      </c>
      <c r="C6" s="36" t="s">
        <v>21</v>
      </c>
      <c r="D6" s="36"/>
      <c r="E6" s="36"/>
      <c r="F6" s="36"/>
      <c r="G6" s="29"/>
      <c r="H6" s="37">
        <v>1</v>
      </c>
      <c r="I6" s="38">
        <f>IF(H2=1,50,IF(H6&lt;$H$2+1,($I$2-($I$2-1)*(LOG(H6)/LOG($H$2))),""))</f>
        <v>50</v>
      </c>
      <c r="J6" s="37">
        <v>3</v>
      </c>
      <c r="K6" s="37">
        <f t="shared" ref="K6:K69" si="0">J6*$J$2</f>
        <v>30</v>
      </c>
      <c r="L6" s="39">
        <f>3*K2</f>
        <v>12.980246132766673</v>
      </c>
      <c r="M6" s="39">
        <f t="shared" ref="M6:M69" si="1">IF(I6&lt;&gt;"",K6+I6+L6,0)</f>
        <v>92.980246132766666</v>
      </c>
      <c r="N6" s="219" t="s">
        <v>81</v>
      </c>
      <c r="O6" s="223">
        <v>1</v>
      </c>
      <c r="P6" s="224" t="s">
        <v>85</v>
      </c>
      <c r="Q6" s="222">
        <v>4</v>
      </c>
      <c r="R6" s="222">
        <v>40</v>
      </c>
    </row>
    <row r="7" spans="1:36" ht="14.45" customHeight="1">
      <c r="A7" s="40">
        <f t="shared" ref="A7:A37" si="2">M7</f>
        <v>47.73793949684304</v>
      </c>
      <c r="B7" s="41">
        <f t="shared" ref="B7:B16" si="3">IF(H7&gt;$H$2,"",(ROW()-5))</f>
        <v>2</v>
      </c>
      <c r="C7" s="42" t="s">
        <v>19</v>
      </c>
      <c r="D7" s="42"/>
      <c r="E7" s="42"/>
      <c r="F7" s="42"/>
      <c r="G7" s="29"/>
      <c r="H7" s="43">
        <v>2</v>
      </c>
      <c r="I7" s="44">
        <f t="shared" ref="I7:I69" si="4">IF(H7&lt;$H$2+1,($I$2-($I$2-1)*(LOG(H7)/LOG($H$2))),"")</f>
        <v>19.084442074998588</v>
      </c>
      <c r="J7" s="43">
        <v>2</v>
      </c>
      <c r="K7" s="43">
        <f t="shared" si="0"/>
        <v>20</v>
      </c>
      <c r="L7" s="45">
        <f>2*K2</f>
        <v>8.6534974218444489</v>
      </c>
      <c r="M7" s="45">
        <f t="shared" si="1"/>
        <v>47.73793949684304</v>
      </c>
      <c r="N7" s="219" t="s">
        <v>81</v>
      </c>
      <c r="O7" s="223">
        <v>2</v>
      </c>
      <c r="P7" s="224" t="s">
        <v>86</v>
      </c>
      <c r="Q7" s="222">
        <v>3</v>
      </c>
      <c r="R7" s="222">
        <v>30</v>
      </c>
    </row>
    <row r="8" spans="1:36" ht="14.45" customHeight="1">
      <c r="A8" s="34">
        <f t="shared" si="2"/>
        <v>15.326748710922224</v>
      </c>
      <c r="B8" s="35">
        <f t="shared" si="3"/>
        <v>3</v>
      </c>
      <c r="C8" s="36" t="s">
        <v>29</v>
      </c>
      <c r="D8" s="36"/>
      <c r="E8" s="36"/>
      <c r="F8" s="36"/>
      <c r="G8" s="29"/>
      <c r="H8" s="37">
        <v>3</v>
      </c>
      <c r="I8" s="38">
        <f t="shared" si="4"/>
        <v>1</v>
      </c>
      <c r="J8" s="37">
        <v>1</v>
      </c>
      <c r="K8" s="37">
        <f t="shared" si="0"/>
        <v>10</v>
      </c>
      <c r="L8" s="39">
        <f>K2</f>
        <v>4.3267487109222245</v>
      </c>
      <c r="M8" s="39">
        <f t="shared" si="1"/>
        <v>15.326748710922224</v>
      </c>
      <c r="N8" s="219" t="s">
        <v>81</v>
      </c>
      <c r="O8" s="223">
        <v>3</v>
      </c>
      <c r="P8" s="224" t="s">
        <v>87</v>
      </c>
      <c r="Q8" s="222">
        <v>2</v>
      </c>
      <c r="R8" s="222">
        <v>20</v>
      </c>
    </row>
    <row r="9" spans="1:36" ht="14.45" customHeight="1">
      <c r="A9" s="50">
        <f t="shared" si="2"/>
        <v>0</v>
      </c>
      <c r="B9" s="41" t="str">
        <f t="shared" si="3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>
        <f t="shared" ref="J9:J70" si="5">INT(LOG($H$2,2))-ROUNDUP(LOG(H9,2),0)+IF(OR($H$2=1,$H$2=2,$H$2=4,$H$2=8,$H$2=16,$H$2=32,$H$2=64,$H$2=128,$H$2=256),0,1)</f>
        <v>0</v>
      </c>
      <c r="K9" s="43">
        <f t="shared" si="0"/>
        <v>0</v>
      </c>
      <c r="L9" s="45"/>
      <c r="M9" s="45">
        <f t="shared" si="1"/>
        <v>0</v>
      </c>
      <c r="N9" s="219" t="s">
        <v>81</v>
      </c>
      <c r="O9" s="223">
        <v>4</v>
      </c>
      <c r="P9" s="224" t="s">
        <v>88</v>
      </c>
      <c r="Q9" s="222">
        <v>2</v>
      </c>
      <c r="R9" s="222">
        <v>20</v>
      </c>
      <c r="V9" s="46"/>
      <c r="Z9" s="47"/>
      <c r="AA9" s="47"/>
      <c r="AG9" s="48"/>
      <c r="AH9" s="20" t="s">
        <v>57</v>
      </c>
      <c r="AI9" s="20">
        <v>23</v>
      </c>
    </row>
    <row r="10" spans="1:36" ht="14.45" customHeight="1">
      <c r="A10" s="34">
        <f t="shared" si="2"/>
        <v>0</v>
      </c>
      <c r="B10" s="35" t="str">
        <f t="shared" si="3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>
        <f t="shared" si="5"/>
        <v>-1</v>
      </c>
      <c r="K10" s="37">
        <f t="shared" si="0"/>
        <v>-10</v>
      </c>
      <c r="L10" s="37"/>
      <c r="M10" s="39">
        <f t="shared" si="1"/>
        <v>0</v>
      </c>
      <c r="N10" s="219" t="s">
        <v>81</v>
      </c>
      <c r="O10" s="223">
        <v>5</v>
      </c>
      <c r="P10" s="224" t="s">
        <v>89</v>
      </c>
      <c r="Q10" s="222">
        <v>1</v>
      </c>
      <c r="R10" s="222">
        <v>10</v>
      </c>
      <c r="S10" s="265"/>
      <c r="V10" s="46"/>
      <c r="Z10" s="47"/>
      <c r="AA10" s="47"/>
      <c r="AG10" s="48"/>
      <c r="AH10" s="20" t="s">
        <v>58</v>
      </c>
      <c r="AI10" s="20">
        <v>45</v>
      </c>
    </row>
    <row r="11" spans="1:36" ht="14.45" customHeight="1">
      <c r="A11" s="40">
        <f t="shared" si="2"/>
        <v>0</v>
      </c>
      <c r="B11" s="41" t="str">
        <f t="shared" si="3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>
        <f t="shared" si="5"/>
        <v>-1</v>
      </c>
      <c r="K11" s="43">
        <f t="shared" si="0"/>
        <v>-10</v>
      </c>
      <c r="L11" s="43"/>
      <c r="M11" s="45">
        <f t="shared" si="1"/>
        <v>0</v>
      </c>
      <c r="N11" s="219" t="s">
        <v>81</v>
      </c>
      <c r="O11" s="223">
        <v>6</v>
      </c>
      <c r="P11" s="224" t="s">
        <v>90</v>
      </c>
      <c r="Q11" s="222">
        <v>1</v>
      </c>
      <c r="R11" s="222">
        <v>10</v>
      </c>
      <c r="V11" s="49"/>
      <c r="Z11" s="47"/>
      <c r="AA11" s="47"/>
      <c r="AG11" s="48"/>
      <c r="AH11" s="20" t="s">
        <v>60</v>
      </c>
      <c r="AI11" s="20">
        <v>50</v>
      </c>
    </row>
    <row r="12" spans="1:36" ht="14.45" customHeight="1">
      <c r="A12" s="34">
        <f t="shared" si="2"/>
        <v>0</v>
      </c>
      <c r="B12" s="35" t="str">
        <f t="shared" si="3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>
        <f t="shared" si="5"/>
        <v>-1</v>
      </c>
      <c r="K12" s="37">
        <f t="shared" si="0"/>
        <v>-10</v>
      </c>
      <c r="L12" s="37"/>
      <c r="M12" s="39">
        <f t="shared" si="1"/>
        <v>0</v>
      </c>
      <c r="N12" s="219" t="s">
        <v>81</v>
      </c>
      <c r="O12" s="223">
        <v>7</v>
      </c>
      <c r="P12" s="224" t="s">
        <v>91</v>
      </c>
      <c r="Q12" s="222">
        <v>1</v>
      </c>
      <c r="R12" s="222">
        <v>10</v>
      </c>
      <c r="Z12" s="47"/>
      <c r="AA12" s="47"/>
      <c r="AG12" s="48"/>
      <c r="AH12" s="20" t="s">
        <v>61</v>
      </c>
      <c r="AI12" s="20">
        <f>AI11-1</f>
        <v>49</v>
      </c>
    </row>
    <row r="13" spans="1:36">
      <c r="A13" s="50">
        <f t="shared" si="2"/>
        <v>0</v>
      </c>
      <c r="B13" s="41" t="str">
        <f t="shared" si="3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>
        <f t="shared" si="5"/>
        <v>-1</v>
      </c>
      <c r="K13" s="43">
        <f t="shared" si="0"/>
        <v>-10</v>
      </c>
      <c r="L13" s="43"/>
      <c r="M13" s="45">
        <f t="shared" si="1"/>
        <v>0</v>
      </c>
      <c r="N13" s="219" t="s">
        <v>81</v>
      </c>
      <c r="O13" s="223">
        <v>8</v>
      </c>
      <c r="P13" s="224" t="s">
        <v>92</v>
      </c>
      <c r="Q13" s="222">
        <v>1</v>
      </c>
      <c r="R13" s="222">
        <v>10</v>
      </c>
      <c r="X13" s="46"/>
      <c r="Z13" s="47"/>
      <c r="AA13" s="47"/>
      <c r="AH13" s="20" t="s">
        <v>62</v>
      </c>
      <c r="AI13" s="20">
        <f>LOG(AI9)</f>
        <v>1.3617278360175928</v>
      </c>
    </row>
    <row r="14" spans="1:36">
      <c r="A14" s="51">
        <f t="shared" si="2"/>
        <v>0</v>
      </c>
      <c r="B14" s="35" t="str">
        <f t="shared" si="3"/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>
        <f t="shared" si="5"/>
        <v>-2</v>
      </c>
      <c r="K14" s="37">
        <f t="shared" si="0"/>
        <v>-20</v>
      </c>
      <c r="L14" s="37"/>
      <c r="M14" s="39">
        <f t="shared" si="1"/>
        <v>0</v>
      </c>
      <c r="N14" s="219" t="s">
        <v>81</v>
      </c>
      <c r="O14" s="223">
        <v>9</v>
      </c>
      <c r="P14" s="224" t="s">
        <v>93</v>
      </c>
      <c r="Q14" s="222">
        <v>0</v>
      </c>
      <c r="R14" s="222">
        <v>0</v>
      </c>
      <c r="Z14" s="47"/>
      <c r="AA14" s="47"/>
      <c r="AH14" s="54" t="s">
        <v>64</v>
      </c>
      <c r="AI14" s="20">
        <f>LOG(AI10)</f>
        <v>1.6532125137753437</v>
      </c>
    </row>
    <row r="15" spans="1:36">
      <c r="A15" s="50">
        <f t="shared" si="2"/>
        <v>0</v>
      </c>
      <c r="B15" s="41" t="str">
        <f t="shared" si="3"/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>
        <f t="shared" si="5"/>
        <v>-2</v>
      </c>
      <c r="K15" s="43">
        <f t="shared" si="0"/>
        <v>-20</v>
      </c>
      <c r="L15" s="43"/>
      <c r="M15" s="45">
        <f t="shared" si="1"/>
        <v>0</v>
      </c>
      <c r="N15" s="219" t="s">
        <v>81</v>
      </c>
      <c r="O15" s="223" t="s">
        <v>81</v>
      </c>
      <c r="P15" s="224" t="s">
        <v>81</v>
      </c>
      <c r="Q15" s="222" t="s">
        <v>81</v>
      </c>
      <c r="R15" s="222" t="s">
        <v>81</v>
      </c>
      <c r="X15" s="46"/>
      <c r="Z15" s="47"/>
      <c r="AA15" s="47"/>
    </row>
    <row r="16" spans="1:36">
      <c r="A16" s="51">
        <f t="shared" si="2"/>
        <v>0</v>
      </c>
      <c r="B16" s="35" t="str">
        <f t="shared" si="3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>
        <f t="shared" si="5"/>
        <v>-2</v>
      </c>
      <c r="K16" s="37">
        <f t="shared" si="0"/>
        <v>-20</v>
      </c>
      <c r="L16" s="37"/>
      <c r="M16" s="39">
        <f t="shared" si="1"/>
        <v>0</v>
      </c>
      <c r="N16" s="219" t="s">
        <v>81</v>
      </c>
      <c r="O16" s="219" t="s">
        <v>81</v>
      </c>
      <c r="P16" s="220" t="s">
        <v>81</v>
      </c>
      <c r="Q16" s="221" t="s">
        <v>81</v>
      </c>
      <c r="R16" s="221" t="s">
        <v>81</v>
      </c>
      <c r="Z16" s="47"/>
      <c r="AA16" s="47"/>
      <c r="AH16" s="54" t="s">
        <v>66</v>
      </c>
      <c r="AI16" s="20">
        <f>AI11-AI12*AI13/AI14</f>
        <v>9.6393909380186855</v>
      </c>
      <c r="AJ16" s="20" t="s">
        <v>67</v>
      </c>
    </row>
    <row r="17" spans="1:19">
      <c r="A17" s="50">
        <f t="shared" si="2"/>
        <v>0</v>
      </c>
      <c r="B17" s="41" t="str">
        <f t="shared" ref="B17:B65" si="6">IF(H17&gt;$H$2,"",(ROW()-5))</f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>
        <f t="shared" si="5"/>
        <v>-2</v>
      </c>
      <c r="K17" s="43">
        <f t="shared" si="0"/>
        <v>-20</v>
      </c>
      <c r="L17" s="43"/>
      <c r="M17" s="45">
        <f t="shared" si="1"/>
        <v>0</v>
      </c>
      <c r="N17" s="219" t="s">
        <v>81</v>
      </c>
      <c r="O17" s="219" t="s">
        <v>81</v>
      </c>
      <c r="P17" s="220" t="s">
        <v>81</v>
      </c>
      <c r="Q17" s="221" t="s">
        <v>81</v>
      </c>
      <c r="R17" s="221" t="s">
        <v>81</v>
      </c>
    </row>
    <row r="18" spans="1:19">
      <c r="A18" s="51">
        <f t="shared" si="2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>
        <f t="shared" si="5"/>
        <v>-2</v>
      </c>
      <c r="K18" s="37">
        <f t="shared" si="0"/>
        <v>-20</v>
      </c>
      <c r="L18" s="37"/>
      <c r="M18" s="39">
        <f t="shared" si="1"/>
        <v>0</v>
      </c>
      <c r="N18" s="219" t="s">
        <v>81</v>
      </c>
      <c r="O18" s="219" t="s">
        <v>81</v>
      </c>
      <c r="P18" s="220" t="s">
        <v>81</v>
      </c>
      <c r="Q18" s="221" t="s">
        <v>81</v>
      </c>
      <c r="R18" s="221" t="s">
        <v>81</v>
      </c>
    </row>
    <row r="19" spans="1:19">
      <c r="A19" s="50">
        <f t="shared" si="2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>
        <f t="shared" si="5"/>
        <v>-2</v>
      </c>
      <c r="K19" s="43">
        <f t="shared" si="0"/>
        <v>-20</v>
      </c>
      <c r="L19" s="43"/>
      <c r="M19" s="45">
        <f t="shared" si="1"/>
        <v>0</v>
      </c>
      <c r="N19" s="219" t="s">
        <v>81</v>
      </c>
      <c r="O19" s="219" t="s">
        <v>81</v>
      </c>
      <c r="P19" s="220" t="s">
        <v>81</v>
      </c>
      <c r="Q19" s="221" t="s">
        <v>81</v>
      </c>
      <c r="R19" s="221" t="s">
        <v>81</v>
      </c>
    </row>
    <row r="20" spans="1:19">
      <c r="A20" s="51">
        <f t="shared" si="2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>
        <f t="shared" si="5"/>
        <v>-2</v>
      </c>
      <c r="K20" s="37">
        <f t="shared" si="0"/>
        <v>-20</v>
      </c>
      <c r="L20" s="37"/>
      <c r="M20" s="39">
        <f t="shared" si="1"/>
        <v>0</v>
      </c>
      <c r="N20" s="219" t="s">
        <v>81</v>
      </c>
      <c r="O20" s="219" t="s">
        <v>81</v>
      </c>
      <c r="P20" s="220" t="s">
        <v>81</v>
      </c>
      <c r="Q20" s="225" t="s">
        <v>81</v>
      </c>
      <c r="R20" s="221" t="s">
        <v>81</v>
      </c>
      <c r="S20" s="56"/>
    </row>
    <row r="21" spans="1:19">
      <c r="A21" s="50">
        <f t="shared" si="2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>
        <f t="shared" si="5"/>
        <v>-2</v>
      </c>
      <c r="K21" s="43">
        <f t="shared" si="0"/>
        <v>-20</v>
      </c>
      <c r="L21" s="43"/>
      <c r="M21" s="45">
        <f t="shared" si="1"/>
        <v>0</v>
      </c>
      <c r="N21" s="219" t="s">
        <v>81</v>
      </c>
      <c r="O21" s="219" t="s">
        <v>81</v>
      </c>
      <c r="P21" s="220" t="s">
        <v>81</v>
      </c>
      <c r="Q21" s="221" t="s">
        <v>81</v>
      </c>
      <c r="R21" s="221" t="s">
        <v>81</v>
      </c>
    </row>
    <row r="22" spans="1:19">
      <c r="A22" s="51">
        <f t="shared" si="2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>
        <f t="shared" si="5"/>
        <v>-3</v>
      </c>
      <c r="K22" s="37">
        <f t="shared" si="0"/>
        <v>-30</v>
      </c>
      <c r="L22" s="37"/>
      <c r="M22" s="39">
        <f t="shared" si="1"/>
        <v>0</v>
      </c>
      <c r="N22" s="219" t="s">
        <v>81</v>
      </c>
      <c r="O22" s="219" t="s">
        <v>81</v>
      </c>
      <c r="P22" s="220" t="s">
        <v>81</v>
      </c>
      <c r="Q22" s="221" t="s">
        <v>81</v>
      </c>
      <c r="R22" s="221" t="s">
        <v>81</v>
      </c>
    </row>
    <row r="23" spans="1:19">
      <c r="A23" s="50">
        <f t="shared" si="2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>
        <f t="shared" si="5"/>
        <v>-3</v>
      </c>
      <c r="K23" s="43">
        <f t="shared" si="0"/>
        <v>-30</v>
      </c>
      <c r="L23" s="43"/>
      <c r="M23" s="45">
        <f t="shared" si="1"/>
        <v>0</v>
      </c>
      <c r="N23" s="219" t="s">
        <v>81</v>
      </c>
      <c r="O23" s="219" t="s">
        <v>81</v>
      </c>
      <c r="P23" s="220" t="s">
        <v>81</v>
      </c>
      <c r="Q23" s="221" t="s">
        <v>81</v>
      </c>
      <c r="R23" s="221" t="s">
        <v>81</v>
      </c>
    </row>
    <row r="24" spans="1:19">
      <c r="A24" s="51">
        <f t="shared" si="2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>
        <f t="shared" si="5"/>
        <v>-3</v>
      </c>
      <c r="K24" s="37">
        <f t="shared" si="0"/>
        <v>-30</v>
      </c>
      <c r="L24" s="37"/>
      <c r="M24" s="39">
        <f t="shared" si="1"/>
        <v>0</v>
      </c>
      <c r="N24" s="219" t="s">
        <v>81</v>
      </c>
      <c r="O24" s="219" t="s">
        <v>81</v>
      </c>
      <c r="P24" s="220" t="s">
        <v>81</v>
      </c>
      <c r="Q24" s="225" t="s">
        <v>81</v>
      </c>
      <c r="R24" s="221" t="s">
        <v>81</v>
      </c>
      <c r="S24" s="56"/>
    </row>
    <row r="25" spans="1:19">
      <c r="A25" s="50">
        <f t="shared" si="2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>
        <f t="shared" si="5"/>
        <v>-3</v>
      </c>
      <c r="K25" s="43">
        <f t="shared" si="0"/>
        <v>-30</v>
      </c>
      <c r="L25" s="43"/>
      <c r="M25" s="45">
        <f t="shared" si="1"/>
        <v>0</v>
      </c>
      <c r="N25" s="219" t="s">
        <v>81</v>
      </c>
      <c r="O25" s="219" t="s">
        <v>81</v>
      </c>
      <c r="P25" s="220" t="s">
        <v>81</v>
      </c>
      <c r="Q25" s="221" t="s">
        <v>81</v>
      </c>
      <c r="R25" s="221" t="s">
        <v>81</v>
      </c>
    </row>
    <row r="26" spans="1:19">
      <c r="A26" s="51">
        <f t="shared" si="2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>
        <f t="shared" si="5"/>
        <v>-3</v>
      </c>
      <c r="K26" s="37">
        <f t="shared" si="0"/>
        <v>-30</v>
      </c>
      <c r="L26" s="37"/>
      <c r="M26" s="39">
        <f t="shared" si="1"/>
        <v>0</v>
      </c>
      <c r="N26" s="219" t="s">
        <v>81</v>
      </c>
      <c r="O26" s="219" t="s">
        <v>81</v>
      </c>
      <c r="P26" s="220" t="s">
        <v>81</v>
      </c>
      <c r="Q26" s="221" t="s">
        <v>81</v>
      </c>
      <c r="R26" s="221" t="s">
        <v>81</v>
      </c>
    </row>
    <row r="27" spans="1:19">
      <c r="A27" s="50">
        <f t="shared" si="2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>
        <f t="shared" si="5"/>
        <v>-3</v>
      </c>
      <c r="K27" s="43">
        <f t="shared" si="0"/>
        <v>-30</v>
      </c>
      <c r="L27" s="43"/>
      <c r="M27" s="45">
        <f t="shared" si="1"/>
        <v>0</v>
      </c>
      <c r="N27" s="219" t="s">
        <v>81</v>
      </c>
      <c r="O27" s="219" t="s">
        <v>81</v>
      </c>
      <c r="P27" s="220" t="s">
        <v>81</v>
      </c>
      <c r="Q27" s="221" t="s">
        <v>81</v>
      </c>
      <c r="R27" s="221" t="s">
        <v>81</v>
      </c>
    </row>
    <row r="28" spans="1:19">
      <c r="A28" s="51">
        <f t="shared" si="2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>
        <f t="shared" si="5"/>
        <v>-3</v>
      </c>
      <c r="K28" s="37">
        <f t="shared" si="0"/>
        <v>-30</v>
      </c>
      <c r="L28" s="37"/>
      <c r="M28" s="39">
        <f t="shared" si="1"/>
        <v>0</v>
      </c>
      <c r="N28" s="219" t="s">
        <v>81</v>
      </c>
      <c r="O28" s="219" t="s">
        <v>81</v>
      </c>
      <c r="P28" s="220" t="s">
        <v>81</v>
      </c>
      <c r="Q28" s="225" t="s">
        <v>81</v>
      </c>
      <c r="R28" s="221" t="s">
        <v>81</v>
      </c>
      <c r="S28" s="56"/>
    </row>
    <row r="29" spans="1:19">
      <c r="A29" s="50">
        <f t="shared" si="2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>
        <f t="shared" si="5"/>
        <v>-3</v>
      </c>
      <c r="K29" s="43">
        <f t="shared" si="0"/>
        <v>-30</v>
      </c>
      <c r="L29" s="43"/>
      <c r="M29" s="45">
        <f t="shared" si="1"/>
        <v>0</v>
      </c>
      <c r="N29" s="219" t="s">
        <v>81</v>
      </c>
      <c r="O29" s="219" t="s">
        <v>81</v>
      </c>
      <c r="P29" s="220" t="s">
        <v>81</v>
      </c>
      <c r="Q29" s="221" t="s">
        <v>81</v>
      </c>
      <c r="R29" s="221" t="s">
        <v>81</v>
      </c>
    </row>
    <row r="30" spans="1:19">
      <c r="A30" s="51">
        <f t="shared" si="2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>
        <f t="shared" si="5"/>
        <v>-3</v>
      </c>
      <c r="K30" s="37">
        <f t="shared" si="0"/>
        <v>-30</v>
      </c>
      <c r="L30" s="37"/>
      <c r="M30" s="39">
        <f t="shared" si="1"/>
        <v>0</v>
      </c>
      <c r="N30" s="219" t="s">
        <v>81</v>
      </c>
      <c r="O30" s="219" t="s">
        <v>81</v>
      </c>
      <c r="P30" s="220" t="s">
        <v>81</v>
      </c>
      <c r="Q30" s="221" t="s">
        <v>81</v>
      </c>
      <c r="R30" s="221" t="s">
        <v>81</v>
      </c>
    </row>
    <row r="31" spans="1:19">
      <c r="A31" s="50">
        <f t="shared" si="2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>
        <f t="shared" si="5"/>
        <v>-3</v>
      </c>
      <c r="K31" s="43">
        <f t="shared" si="0"/>
        <v>-30</v>
      </c>
      <c r="L31" s="43"/>
      <c r="M31" s="45">
        <f t="shared" si="1"/>
        <v>0</v>
      </c>
      <c r="N31" s="219" t="s">
        <v>81</v>
      </c>
      <c r="O31" s="219" t="s">
        <v>81</v>
      </c>
      <c r="P31" s="220" t="s">
        <v>81</v>
      </c>
      <c r="Q31" s="221" t="s">
        <v>81</v>
      </c>
      <c r="R31" s="221" t="s">
        <v>81</v>
      </c>
    </row>
    <row r="32" spans="1:19">
      <c r="A32" s="51">
        <f t="shared" si="2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>
        <f t="shared" si="5"/>
        <v>-3</v>
      </c>
      <c r="K32" s="37">
        <f t="shared" si="0"/>
        <v>-30</v>
      </c>
      <c r="L32" s="37"/>
      <c r="M32" s="39">
        <f t="shared" si="1"/>
        <v>0</v>
      </c>
      <c r="N32" s="219" t="s">
        <v>81</v>
      </c>
      <c r="O32" s="219" t="s">
        <v>81</v>
      </c>
      <c r="P32" s="220" t="s">
        <v>81</v>
      </c>
      <c r="Q32" s="225" t="s">
        <v>81</v>
      </c>
      <c r="R32" s="221" t="s">
        <v>81</v>
      </c>
      <c r="S32" s="56"/>
    </row>
    <row r="33" spans="1:21">
      <c r="A33" s="50">
        <f t="shared" si="2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>
        <f t="shared" si="5"/>
        <v>-3</v>
      </c>
      <c r="K33" s="43">
        <f t="shared" si="0"/>
        <v>-30</v>
      </c>
      <c r="L33" s="43"/>
      <c r="M33" s="45">
        <f t="shared" si="1"/>
        <v>0</v>
      </c>
      <c r="N33" s="219" t="s">
        <v>81</v>
      </c>
      <c r="O33" s="219" t="s">
        <v>81</v>
      </c>
      <c r="P33" s="220" t="s">
        <v>81</v>
      </c>
      <c r="Q33" s="221" t="s">
        <v>81</v>
      </c>
      <c r="R33" s="221" t="s">
        <v>81</v>
      </c>
    </row>
    <row r="34" spans="1:21">
      <c r="A34" s="51">
        <f t="shared" si="2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>
        <f t="shared" si="5"/>
        <v>-3</v>
      </c>
      <c r="K34" s="37">
        <f t="shared" si="0"/>
        <v>-30</v>
      </c>
      <c r="L34" s="37"/>
      <c r="M34" s="39">
        <f t="shared" si="1"/>
        <v>0</v>
      </c>
      <c r="N34" s="219" t="s">
        <v>81</v>
      </c>
      <c r="O34" s="219" t="s">
        <v>81</v>
      </c>
      <c r="P34" s="220" t="s">
        <v>81</v>
      </c>
      <c r="Q34" s="221" t="s">
        <v>81</v>
      </c>
      <c r="R34" s="221" t="s">
        <v>81</v>
      </c>
    </row>
    <row r="35" spans="1:21">
      <c r="A35" s="50">
        <f t="shared" si="2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>
        <f t="shared" si="5"/>
        <v>-3</v>
      </c>
      <c r="K35" s="43">
        <f t="shared" si="0"/>
        <v>-30</v>
      </c>
      <c r="L35" s="43"/>
      <c r="M35" s="45">
        <f t="shared" si="1"/>
        <v>0</v>
      </c>
      <c r="N35" s="219" t="s">
        <v>81</v>
      </c>
      <c r="O35" s="219" t="s">
        <v>81</v>
      </c>
      <c r="P35" s="220" t="s">
        <v>81</v>
      </c>
      <c r="Q35" s="221" t="s">
        <v>81</v>
      </c>
      <c r="R35" s="221" t="s">
        <v>81</v>
      </c>
    </row>
    <row r="36" spans="1:21">
      <c r="A36" s="51">
        <f t="shared" si="2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>
        <f t="shared" si="5"/>
        <v>-3</v>
      </c>
      <c r="K36" s="37">
        <f t="shared" si="0"/>
        <v>-30</v>
      </c>
      <c r="L36" s="37"/>
      <c r="M36" s="39">
        <f t="shared" si="1"/>
        <v>0</v>
      </c>
      <c r="N36" s="219" t="s">
        <v>81</v>
      </c>
      <c r="O36" s="219" t="s">
        <v>81</v>
      </c>
      <c r="P36" s="220" t="s">
        <v>81</v>
      </c>
      <c r="Q36" s="225" t="s">
        <v>81</v>
      </c>
      <c r="R36" s="221" t="s">
        <v>81</v>
      </c>
      <c r="S36" s="56"/>
    </row>
    <row r="37" spans="1:21">
      <c r="A37" s="50">
        <f t="shared" si="2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>
        <f t="shared" si="5"/>
        <v>-3</v>
      </c>
      <c r="K37" s="43">
        <f t="shared" si="0"/>
        <v>-30</v>
      </c>
      <c r="L37" s="43"/>
      <c r="M37" s="45">
        <f t="shared" si="1"/>
        <v>0</v>
      </c>
      <c r="N37" s="219" t="s">
        <v>81</v>
      </c>
      <c r="O37" s="219" t="s">
        <v>81</v>
      </c>
      <c r="P37" s="220" t="s">
        <v>81</v>
      </c>
      <c r="Q37" s="221" t="s">
        <v>81</v>
      </c>
      <c r="R37" s="221" t="s">
        <v>81</v>
      </c>
    </row>
    <row r="38" spans="1:21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>
        <f t="shared" si="5"/>
        <v>-4</v>
      </c>
      <c r="K38" s="37">
        <f t="shared" si="0"/>
        <v>-40</v>
      </c>
      <c r="L38" s="37"/>
      <c r="M38" s="39">
        <f t="shared" si="1"/>
        <v>0</v>
      </c>
      <c r="N38" s="219" t="s">
        <v>81</v>
      </c>
      <c r="O38" s="219" t="s">
        <v>81</v>
      </c>
      <c r="P38" s="220" t="s">
        <v>81</v>
      </c>
      <c r="Q38" s="221" t="s">
        <v>81</v>
      </c>
      <c r="R38" s="221" t="s">
        <v>81</v>
      </c>
    </row>
    <row r="39" spans="1:21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>
        <f t="shared" si="5"/>
        <v>-4</v>
      </c>
      <c r="K39" s="43">
        <f t="shared" si="0"/>
        <v>-40</v>
      </c>
      <c r="L39" s="43"/>
      <c r="M39" s="45">
        <f t="shared" si="1"/>
        <v>0</v>
      </c>
      <c r="N39" s="219" t="s">
        <v>81</v>
      </c>
      <c r="O39" s="219" t="s">
        <v>81</v>
      </c>
      <c r="P39" s="220" t="s">
        <v>81</v>
      </c>
      <c r="Q39" s="221" t="s">
        <v>81</v>
      </c>
      <c r="R39" s="221" t="s">
        <v>81</v>
      </c>
    </row>
    <row r="40" spans="1:21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>
        <f t="shared" si="5"/>
        <v>-4</v>
      </c>
      <c r="K40" s="37">
        <f t="shared" si="0"/>
        <v>-40</v>
      </c>
      <c r="L40" s="37"/>
      <c r="M40" s="39">
        <f t="shared" si="1"/>
        <v>0</v>
      </c>
      <c r="N40" s="219" t="s">
        <v>81</v>
      </c>
      <c r="O40" s="219" t="s">
        <v>81</v>
      </c>
      <c r="P40" s="220" t="s">
        <v>81</v>
      </c>
      <c r="Q40" s="221" t="s">
        <v>81</v>
      </c>
      <c r="R40" s="221" t="s">
        <v>81</v>
      </c>
    </row>
    <row r="41" spans="1:21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>
        <f t="shared" si="5"/>
        <v>-4</v>
      </c>
      <c r="K41" s="43">
        <f t="shared" si="0"/>
        <v>-40</v>
      </c>
      <c r="L41" s="43"/>
      <c r="M41" s="45">
        <f t="shared" si="1"/>
        <v>0</v>
      </c>
      <c r="N41" s="219" t="s">
        <v>81</v>
      </c>
      <c r="O41" s="219" t="s">
        <v>81</v>
      </c>
      <c r="P41" s="220" t="s">
        <v>81</v>
      </c>
      <c r="Q41" s="221" t="s">
        <v>81</v>
      </c>
      <c r="R41" s="221" t="s">
        <v>81</v>
      </c>
      <c r="S41" s="57"/>
    </row>
    <row r="42" spans="1:21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>
        <f t="shared" si="5"/>
        <v>-4</v>
      </c>
      <c r="K42" s="37">
        <f t="shared" si="0"/>
        <v>-40</v>
      </c>
      <c r="L42" s="37"/>
      <c r="M42" s="39">
        <f t="shared" si="1"/>
        <v>0</v>
      </c>
      <c r="N42" s="219" t="s">
        <v>81</v>
      </c>
      <c r="O42" s="219" t="s">
        <v>81</v>
      </c>
      <c r="P42" s="220" t="s">
        <v>81</v>
      </c>
      <c r="Q42" s="221" t="s">
        <v>81</v>
      </c>
      <c r="R42" s="221" t="s">
        <v>81</v>
      </c>
    </row>
    <row r="43" spans="1:21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>
        <f t="shared" si="5"/>
        <v>-4</v>
      </c>
      <c r="K43" s="43">
        <f t="shared" si="0"/>
        <v>-40</v>
      </c>
      <c r="L43" s="43"/>
      <c r="M43" s="45">
        <f t="shared" si="1"/>
        <v>0</v>
      </c>
      <c r="N43" s="219" t="s">
        <v>81</v>
      </c>
      <c r="O43" s="219" t="s">
        <v>81</v>
      </c>
      <c r="P43" s="220" t="s">
        <v>81</v>
      </c>
      <c r="Q43" s="221" t="s">
        <v>81</v>
      </c>
      <c r="R43" s="221" t="s">
        <v>81</v>
      </c>
    </row>
    <row r="44" spans="1:21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>
        <f t="shared" si="5"/>
        <v>-4</v>
      </c>
      <c r="K44" s="37">
        <f t="shared" si="0"/>
        <v>-40</v>
      </c>
      <c r="L44" s="37"/>
      <c r="M44" s="39">
        <f t="shared" si="1"/>
        <v>0</v>
      </c>
      <c r="N44" s="219" t="s">
        <v>81</v>
      </c>
      <c r="O44" s="219" t="s">
        <v>81</v>
      </c>
      <c r="P44" s="220" t="s">
        <v>81</v>
      </c>
      <c r="Q44" s="221" t="s">
        <v>81</v>
      </c>
      <c r="R44" s="221" t="s">
        <v>81</v>
      </c>
    </row>
    <row r="45" spans="1:21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>
        <f t="shared" si="5"/>
        <v>-4</v>
      </c>
      <c r="K45" s="43">
        <f t="shared" si="0"/>
        <v>-40</v>
      </c>
      <c r="L45" s="43"/>
      <c r="M45" s="45">
        <f t="shared" si="1"/>
        <v>0</v>
      </c>
      <c r="N45" s="219" t="s">
        <v>81</v>
      </c>
      <c r="O45" s="219" t="s">
        <v>81</v>
      </c>
      <c r="P45" s="220" t="s">
        <v>81</v>
      </c>
      <c r="Q45" s="221" t="s">
        <v>81</v>
      </c>
      <c r="R45" s="221" t="s">
        <v>81</v>
      </c>
    </row>
    <row r="46" spans="1:21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>
        <f t="shared" si="5"/>
        <v>-4</v>
      </c>
      <c r="K46" s="37">
        <f t="shared" si="0"/>
        <v>-40</v>
      </c>
      <c r="L46" s="37"/>
      <c r="M46" s="39">
        <f t="shared" si="1"/>
        <v>0</v>
      </c>
      <c r="N46" s="219" t="s">
        <v>81</v>
      </c>
      <c r="O46" s="219" t="s">
        <v>81</v>
      </c>
      <c r="P46" s="220" t="s">
        <v>81</v>
      </c>
      <c r="Q46" s="226">
        <v>21186</v>
      </c>
      <c r="R46" s="221" t="s">
        <v>81</v>
      </c>
      <c r="T46" s="20">
        <f>LOG(H38,2)</f>
        <v>5.0443941193584534</v>
      </c>
      <c r="U46" s="20" t="e">
        <f>R46-T46</f>
        <v>#VALUE!</v>
      </c>
    </row>
    <row r="47" spans="1:21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>
        <f t="shared" si="5"/>
        <v>-4</v>
      </c>
      <c r="K47" s="43">
        <f t="shared" si="0"/>
        <v>-40</v>
      </c>
      <c r="L47" s="43"/>
      <c r="M47" s="45">
        <f t="shared" si="1"/>
        <v>0</v>
      </c>
      <c r="N47" s="219" t="s">
        <v>81</v>
      </c>
      <c r="O47" s="219" t="s">
        <v>81</v>
      </c>
      <c r="P47" s="220" t="s">
        <v>81</v>
      </c>
      <c r="Q47" s="221" t="s">
        <v>81</v>
      </c>
      <c r="R47" s="221" t="s">
        <v>81</v>
      </c>
    </row>
    <row r="48" spans="1:21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>
        <f t="shared" si="5"/>
        <v>-4</v>
      </c>
      <c r="K48" s="37">
        <f t="shared" si="0"/>
        <v>-40</v>
      </c>
      <c r="L48" s="37"/>
      <c r="M48" s="39">
        <f t="shared" si="1"/>
        <v>0</v>
      </c>
      <c r="N48" s="219" t="s">
        <v>81</v>
      </c>
      <c r="O48" s="219" t="s">
        <v>81</v>
      </c>
      <c r="P48" s="220" t="s">
        <v>81</v>
      </c>
      <c r="Q48" s="221" t="s">
        <v>81</v>
      </c>
      <c r="R48" s="221" t="s">
        <v>81</v>
      </c>
    </row>
    <row r="49" spans="1:18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>
        <f t="shared" si="5"/>
        <v>-4</v>
      </c>
      <c r="K49" s="43">
        <f t="shared" si="0"/>
        <v>-40</v>
      </c>
      <c r="L49" s="43"/>
      <c r="M49" s="45">
        <f t="shared" si="1"/>
        <v>0</v>
      </c>
      <c r="N49" s="219" t="s">
        <v>81</v>
      </c>
      <c r="O49" s="219" t="s">
        <v>81</v>
      </c>
      <c r="P49" s="220" t="s">
        <v>81</v>
      </c>
      <c r="Q49" s="221" t="s">
        <v>81</v>
      </c>
      <c r="R49" s="221" t="s">
        <v>81</v>
      </c>
    </row>
    <row r="50" spans="1:18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>
        <f t="shared" si="5"/>
        <v>-4</v>
      </c>
      <c r="K50" s="37">
        <f t="shared" si="0"/>
        <v>-40</v>
      </c>
      <c r="L50" s="37"/>
      <c r="M50" s="39">
        <f t="shared" si="1"/>
        <v>0</v>
      </c>
      <c r="N50" s="219" t="s">
        <v>81</v>
      </c>
      <c r="O50" s="219" t="s">
        <v>81</v>
      </c>
      <c r="P50" s="220" t="s">
        <v>81</v>
      </c>
      <c r="Q50" s="221" t="s">
        <v>81</v>
      </c>
      <c r="R50" s="221" t="s">
        <v>81</v>
      </c>
    </row>
    <row r="51" spans="1:18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>
        <f t="shared" si="5"/>
        <v>-4</v>
      </c>
      <c r="K51" s="43">
        <f t="shared" si="0"/>
        <v>-40</v>
      </c>
      <c r="L51" s="43"/>
      <c r="M51" s="45">
        <f t="shared" si="1"/>
        <v>0</v>
      </c>
      <c r="N51" s="219" t="s">
        <v>81</v>
      </c>
      <c r="O51" s="219" t="s">
        <v>81</v>
      </c>
      <c r="P51" s="220" t="s">
        <v>81</v>
      </c>
      <c r="Q51" s="221" t="s">
        <v>81</v>
      </c>
      <c r="R51" s="221" t="s">
        <v>81</v>
      </c>
    </row>
    <row r="52" spans="1:18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>
        <f t="shared" si="5"/>
        <v>-4</v>
      </c>
      <c r="K52" s="37">
        <f t="shared" si="0"/>
        <v>-40</v>
      </c>
      <c r="L52" s="37"/>
      <c r="M52" s="39">
        <f t="shared" si="1"/>
        <v>0</v>
      </c>
      <c r="N52" s="219" t="s">
        <v>81</v>
      </c>
      <c r="O52" s="219" t="s">
        <v>81</v>
      </c>
      <c r="P52" s="220" t="s">
        <v>81</v>
      </c>
      <c r="Q52" s="221" t="s">
        <v>81</v>
      </c>
      <c r="R52" s="221" t="s">
        <v>81</v>
      </c>
    </row>
    <row r="53" spans="1:18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>
        <f t="shared" si="5"/>
        <v>-4</v>
      </c>
      <c r="K53" s="43">
        <f t="shared" si="0"/>
        <v>-40</v>
      </c>
      <c r="L53" s="43"/>
      <c r="M53" s="45">
        <f t="shared" si="1"/>
        <v>0</v>
      </c>
      <c r="N53" s="219" t="s">
        <v>81</v>
      </c>
      <c r="O53" s="219" t="s">
        <v>81</v>
      </c>
      <c r="P53" s="220" t="s">
        <v>81</v>
      </c>
      <c r="Q53" s="221" t="s">
        <v>81</v>
      </c>
      <c r="R53" s="221" t="s">
        <v>81</v>
      </c>
    </row>
    <row r="54" spans="1:18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>
        <f t="shared" si="5"/>
        <v>-4</v>
      </c>
      <c r="K54" s="37">
        <f t="shared" si="0"/>
        <v>-40</v>
      </c>
      <c r="L54" s="37"/>
      <c r="M54" s="39">
        <f t="shared" si="1"/>
        <v>0</v>
      </c>
      <c r="N54" s="219" t="s">
        <v>81</v>
      </c>
      <c r="O54" s="219" t="s">
        <v>81</v>
      </c>
      <c r="P54" s="220" t="s">
        <v>81</v>
      </c>
      <c r="Q54" s="221" t="s">
        <v>81</v>
      </c>
      <c r="R54" s="221" t="s">
        <v>81</v>
      </c>
    </row>
    <row r="55" spans="1:18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>
        <f t="shared" si="5"/>
        <v>-4</v>
      </c>
      <c r="K55" s="43">
        <f t="shared" si="0"/>
        <v>-40</v>
      </c>
      <c r="L55" s="43"/>
      <c r="M55" s="45">
        <f t="shared" si="1"/>
        <v>0</v>
      </c>
      <c r="N55" s="219" t="s">
        <v>81</v>
      </c>
      <c r="O55" s="219" t="s">
        <v>81</v>
      </c>
      <c r="P55" s="220" t="s">
        <v>81</v>
      </c>
      <c r="Q55" s="221" t="s">
        <v>81</v>
      </c>
      <c r="R55" s="221" t="s">
        <v>81</v>
      </c>
    </row>
    <row r="56" spans="1:18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>
        <f t="shared" si="5"/>
        <v>-4</v>
      </c>
      <c r="K56" s="37">
        <f t="shared" si="0"/>
        <v>-40</v>
      </c>
      <c r="L56" s="37"/>
      <c r="M56" s="39">
        <f t="shared" si="1"/>
        <v>0</v>
      </c>
      <c r="N56" s="219" t="s">
        <v>81</v>
      </c>
      <c r="O56" s="219" t="s">
        <v>81</v>
      </c>
      <c r="P56" s="220" t="s">
        <v>81</v>
      </c>
      <c r="Q56" s="221" t="s">
        <v>81</v>
      </c>
      <c r="R56" s="221" t="s">
        <v>81</v>
      </c>
    </row>
    <row r="57" spans="1:18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>
        <f t="shared" si="5"/>
        <v>-4</v>
      </c>
      <c r="K57" s="43">
        <f t="shared" si="0"/>
        <v>-40</v>
      </c>
      <c r="L57" s="43"/>
      <c r="M57" s="45">
        <f t="shared" si="1"/>
        <v>0</v>
      </c>
      <c r="N57" s="219" t="s">
        <v>81</v>
      </c>
      <c r="O57" s="219" t="s">
        <v>81</v>
      </c>
      <c r="P57" s="220" t="s">
        <v>81</v>
      </c>
      <c r="Q57" s="221" t="s">
        <v>81</v>
      </c>
      <c r="R57" s="221" t="s">
        <v>81</v>
      </c>
    </row>
    <row r="58" spans="1:18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>
        <f t="shared" si="5"/>
        <v>-4</v>
      </c>
      <c r="K58" s="37">
        <f t="shared" si="0"/>
        <v>-40</v>
      </c>
      <c r="L58" s="37"/>
      <c r="M58" s="39">
        <f t="shared" si="1"/>
        <v>0</v>
      </c>
      <c r="N58" s="219" t="s">
        <v>81</v>
      </c>
      <c r="O58" s="219" t="s">
        <v>81</v>
      </c>
      <c r="P58" s="220" t="s">
        <v>81</v>
      </c>
      <c r="Q58" s="221" t="s">
        <v>81</v>
      </c>
      <c r="R58" s="221" t="s">
        <v>81</v>
      </c>
    </row>
    <row r="59" spans="1:18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>
        <f t="shared" si="5"/>
        <v>-4</v>
      </c>
      <c r="K59" s="43">
        <f t="shared" si="0"/>
        <v>-40</v>
      </c>
      <c r="L59" s="43"/>
      <c r="M59" s="45">
        <f t="shared" si="1"/>
        <v>0</v>
      </c>
      <c r="N59" s="219" t="s">
        <v>81</v>
      </c>
      <c r="O59" s="219" t="s">
        <v>81</v>
      </c>
      <c r="P59" s="220" t="s">
        <v>81</v>
      </c>
      <c r="Q59" s="221" t="s">
        <v>81</v>
      </c>
      <c r="R59" s="221" t="s">
        <v>81</v>
      </c>
    </row>
    <row r="60" spans="1:18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>
        <f t="shared" si="5"/>
        <v>-4</v>
      </c>
      <c r="K60" s="37">
        <f t="shared" si="0"/>
        <v>-40</v>
      </c>
      <c r="L60" s="37"/>
      <c r="M60" s="39">
        <f t="shared" si="1"/>
        <v>0</v>
      </c>
      <c r="N60" s="219" t="s">
        <v>81</v>
      </c>
      <c r="O60" s="219" t="s">
        <v>81</v>
      </c>
      <c r="P60" s="220" t="s">
        <v>81</v>
      </c>
      <c r="Q60" s="221" t="s">
        <v>81</v>
      </c>
      <c r="R60" s="221" t="s">
        <v>81</v>
      </c>
    </row>
    <row r="61" spans="1:18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>
        <f t="shared" si="5"/>
        <v>-4</v>
      </c>
      <c r="K61" s="43">
        <f t="shared" si="0"/>
        <v>-40</v>
      </c>
      <c r="L61" s="43"/>
      <c r="M61" s="45">
        <f t="shared" si="1"/>
        <v>0</v>
      </c>
      <c r="N61" s="219" t="s">
        <v>81</v>
      </c>
      <c r="O61" s="219" t="s">
        <v>81</v>
      </c>
      <c r="P61" s="220" t="s">
        <v>81</v>
      </c>
      <c r="Q61" s="221" t="s">
        <v>81</v>
      </c>
      <c r="R61" s="221" t="s">
        <v>81</v>
      </c>
    </row>
    <row r="62" spans="1:18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>
        <f t="shared" si="5"/>
        <v>-4</v>
      </c>
      <c r="K62" s="37">
        <f t="shared" si="0"/>
        <v>-40</v>
      </c>
      <c r="L62" s="37"/>
      <c r="M62" s="39">
        <f t="shared" si="1"/>
        <v>0</v>
      </c>
      <c r="N62" s="219" t="s">
        <v>81</v>
      </c>
      <c r="O62" s="219" t="s">
        <v>81</v>
      </c>
      <c r="P62" s="220" t="s">
        <v>81</v>
      </c>
      <c r="Q62" s="221" t="s">
        <v>81</v>
      </c>
      <c r="R62" s="221" t="s">
        <v>81</v>
      </c>
    </row>
    <row r="63" spans="1:18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>
        <f t="shared" si="5"/>
        <v>-4</v>
      </c>
      <c r="K63" s="43">
        <f t="shared" si="0"/>
        <v>-40</v>
      </c>
      <c r="L63" s="43"/>
      <c r="M63" s="45">
        <f t="shared" si="1"/>
        <v>0</v>
      </c>
      <c r="N63" s="219" t="s">
        <v>81</v>
      </c>
      <c r="O63" s="219" t="s">
        <v>81</v>
      </c>
      <c r="P63" s="220" t="s">
        <v>81</v>
      </c>
      <c r="Q63" s="221" t="s">
        <v>81</v>
      </c>
      <c r="R63" s="221" t="s">
        <v>81</v>
      </c>
    </row>
    <row r="64" spans="1:18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>
        <f t="shared" si="5"/>
        <v>-4</v>
      </c>
      <c r="K64" s="37">
        <f t="shared" si="0"/>
        <v>-40</v>
      </c>
      <c r="L64" s="37"/>
      <c r="M64" s="39">
        <f t="shared" si="1"/>
        <v>0</v>
      </c>
      <c r="N64" s="219" t="s">
        <v>81</v>
      </c>
      <c r="O64" s="219" t="s">
        <v>81</v>
      </c>
      <c r="P64" s="220" t="s">
        <v>81</v>
      </c>
      <c r="Q64" s="221" t="s">
        <v>81</v>
      </c>
      <c r="R64" s="221" t="s">
        <v>81</v>
      </c>
    </row>
    <row r="65" spans="1:18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>
        <f t="shared" si="5"/>
        <v>-4</v>
      </c>
      <c r="K65" s="43">
        <f t="shared" si="0"/>
        <v>-40</v>
      </c>
      <c r="L65" s="43"/>
      <c r="M65" s="45">
        <f t="shared" si="1"/>
        <v>0</v>
      </c>
      <c r="N65" s="219" t="s">
        <v>81</v>
      </c>
      <c r="O65" s="219" t="s">
        <v>81</v>
      </c>
      <c r="P65" s="220" t="s">
        <v>81</v>
      </c>
      <c r="Q65" s="221" t="s">
        <v>81</v>
      </c>
      <c r="R65" s="221" t="s">
        <v>81</v>
      </c>
    </row>
    <row r="66" spans="1:18">
      <c r="A66" s="58"/>
      <c r="B66" s="35"/>
      <c r="G66" s="15"/>
      <c r="H66" s="37">
        <v>61</v>
      </c>
      <c r="I66" s="38" t="str">
        <f t="shared" si="4"/>
        <v/>
      </c>
      <c r="J66" s="37">
        <f t="shared" si="5"/>
        <v>-4</v>
      </c>
      <c r="K66" s="37">
        <f t="shared" si="0"/>
        <v>-40</v>
      </c>
      <c r="L66" s="37"/>
      <c r="M66" s="39">
        <f t="shared" si="1"/>
        <v>0</v>
      </c>
      <c r="N66" s="219" t="s">
        <v>81</v>
      </c>
      <c r="O66" s="219" t="s">
        <v>81</v>
      </c>
      <c r="P66" s="220" t="s">
        <v>81</v>
      </c>
      <c r="Q66" s="221" t="s">
        <v>81</v>
      </c>
      <c r="R66" s="221" t="s">
        <v>81</v>
      </c>
    </row>
    <row r="67" spans="1:18">
      <c r="A67" s="58"/>
      <c r="B67" s="41"/>
      <c r="G67" s="15"/>
      <c r="H67" s="37">
        <v>62</v>
      </c>
      <c r="I67" s="38" t="str">
        <f t="shared" si="4"/>
        <v/>
      </c>
      <c r="J67" s="37">
        <f t="shared" si="5"/>
        <v>-4</v>
      </c>
      <c r="K67" s="37">
        <f t="shared" si="0"/>
        <v>-40</v>
      </c>
      <c r="L67" s="37"/>
      <c r="M67" s="39">
        <f t="shared" si="1"/>
        <v>0</v>
      </c>
      <c r="N67" s="219" t="s">
        <v>81</v>
      </c>
      <c r="O67" s="219" t="s">
        <v>81</v>
      </c>
      <c r="P67" s="220" t="s">
        <v>81</v>
      </c>
      <c r="Q67" s="221" t="s">
        <v>81</v>
      </c>
      <c r="R67" s="221" t="s">
        <v>81</v>
      </c>
    </row>
    <row r="68" spans="1:18">
      <c r="A68" s="58"/>
      <c r="B68" s="35"/>
      <c r="G68" s="15"/>
      <c r="H68" s="37">
        <v>63</v>
      </c>
      <c r="I68" s="38" t="str">
        <f t="shared" si="4"/>
        <v/>
      </c>
      <c r="J68" s="37">
        <f t="shared" si="5"/>
        <v>-4</v>
      </c>
      <c r="K68" s="37">
        <f t="shared" si="0"/>
        <v>-40</v>
      </c>
      <c r="L68" s="37"/>
      <c r="M68" s="39">
        <f t="shared" si="1"/>
        <v>0</v>
      </c>
      <c r="N68" s="219" t="s">
        <v>81</v>
      </c>
      <c r="O68" s="219" t="s">
        <v>81</v>
      </c>
      <c r="P68" s="220" t="s">
        <v>81</v>
      </c>
      <c r="Q68" s="221" t="s">
        <v>81</v>
      </c>
      <c r="R68" s="221" t="s">
        <v>81</v>
      </c>
    </row>
    <row r="69" spans="1:18">
      <c r="A69" s="58"/>
      <c r="B69" s="41"/>
      <c r="G69" s="15"/>
      <c r="H69" s="37">
        <v>64</v>
      </c>
      <c r="I69" s="38" t="str">
        <f t="shared" si="4"/>
        <v/>
      </c>
      <c r="J69" s="37">
        <f t="shared" si="5"/>
        <v>-4</v>
      </c>
      <c r="K69" s="37">
        <f t="shared" si="0"/>
        <v>-40</v>
      </c>
      <c r="L69" s="37"/>
      <c r="M69" s="39">
        <f t="shared" si="1"/>
        <v>0</v>
      </c>
      <c r="N69" s="219" t="s">
        <v>81</v>
      </c>
      <c r="O69" s="219" t="s">
        <v>81</v>
      </c>
      <c r="P69" s="220" t="s">
        <v>81</v>
      </c>
      <c r="Q69" s="221" t="s">
        <v>81</v>
      </c>
      <c r="R69" s="221" t="s">
        <v>81</v>
      </c>
    </row>
    <row r="70" spans="1:18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>
        <f t="shared" si="5"/>
        <v>-5</v>
      </c>
      <c r="K70" s="37">
        <f t="shared" ref="K70:K133" si="8">J70*$J$2</f>
        <v>-50</v>
      </c>
      <c r="L70" s="37"/>
      <c r="M70" s="39">
        <f t="shared" ref="M70:M133" si="9">IF(I70&lt;&gt;"",K70+I70+L70,0)</f>
        <v>0</v>
      </c>
      <c r="N70" s="219" t="s">
        <v>81</v>
      </c>
      <c r="O70" s="219" t="s">
        <v>81</v>
      </c>
      <c r="P70" s="220" t="s">
        <v>81</v>
      </c>
      <c r="Q70" s="221" t="s">
        <v>81</v>
      </c>
      <c r="R70" s="221" t="s">
        <v>81</v>
      </c>
    </row>
    <row r="71" spans="1:18">
      <c r="A71" s="58"/>
      <c r="G71" s="15"/>
      <c r="H71" s="37">
        <v>66</v>
      </c>
      <c r="I71" s="38" t="str">
        <f t="shared" si="7"/>
        <v/>
      </c>
      <c r="J71" s="37">
        <f t="shared" ref="J71:J134" si="10">INT(LOG($H$2,2))-ROUNDUP(LOG(H71,2),0)+IF(OR($H$2=1,$H$2=2,$H$2=4,$H$2=8,$H$2=16,$H$2=32,$H$2=64,$H$2=128,$H$2=256),0,1)</f>
        <v>-5</v>
      </c>
      <c r="K71" s="37">
        <f t="shared" si="8"/>
        <v>-50</v>
      </c>
      <c r="L71" s="37"/>
      <c r="M71" s="39">
        <f t="shared" si="9"/>
        <v>0</v>
      </c>
      <c r="N71" s="219" t="s">
        <v>81</v>
      </c>
      <c r="O71" s="219" t="s">
        <v>81</v>
      </c>
      <c r="P71" s="220" t="s">
        <v>81</v>
      </c>
      <c r="Q71" s="221" t="s">
        <v>81</v>
      </c>
      <c r="R71" s="221" t="s">
        <v>81</v>
      </c>
    </row>
    <row r="72" spans="1:18">
      <c r="A72" s="58"/>
      <c r="G72" s="15"/>
      <c r="H72" s="37">
        <v>67</v>
      </c>
      <c r="I72" s="38" t="str">
        <f t="shared" si="7"/>
        <v/>
      </c>
      <c r="J72" s="37">
        <f t="shared" si="10"/>
        <v>-5</v>
      </c>
      <c r="K72" s="37">
        <f t="shared" si="8"/>
        <v>-50</v>
      </c>
      <c r="L72" s="37"/>
      <c r="M72" s="39">
        <f t="shared" si="9"/>
        <v>0</v>
      </c>
      <c r="N72" s="219" t="s">
        <v>81</v>
      </c>
      <c r="O72" s="219" t="s">
        <v>81</v>
      </c>
      <c r="P72" s="220" t="s">
        <v>81</v>
      </c>
      <c r="Q72" s="221" t="s">
        <v>81</v>
      </c>
      <c r="R72" s="221" t="s">
        <v>81</v>
      </c>
    </row>
    <row r="73" spans="1:18">
      <c r="A73" s="58"/>
      <c r="G73" s="15"/>
      <c r="H73" s="37">
        <v>68</v>
      </c>
      <c r="I73" s="38" t="str">
        <f t="shared" si="7"/>
        <v/>
      </c>
      <c r="J73" s="37">
        <f t="shared" si="10"/>
        <v>-5</v>
      </c>
      <c r="K73" s="37">
        <f t="shared" si="8"/>
        <v>-50</v>
      </c>
      <c r="L73" s="37"/>
      <c r="M73" s="39">
        <f t="shared" si="9"/>
        <v>0</v>
      </c>
      <c r="N73" s="219" t="s">
        <v>81</v>
      </c>
      <c r="O73" s="219" t="s">
        <v>81</v>
      </c>
      <c r="P73" s="220" t="s">
        <v>81</v>
      </c>
      <c r="Q73" s="221" t="s">
        <v>81</v>
      </c>
      <c r="R73" s="221" t="s">
        <v>81</v>
      </c>
    </row>
    <row r="74" spans="1:18">
      <c r="A74" s="58"/>
      <c r="G74" s="15"/>
      <c r="H74" s="37">
        <v>69</v>
      </c>
      <c r="I74" s="38" t="str">
        <f t="shared" si="7"/>
        <v/>
      </c>
      <c r="J74" s="37">
        <f t="shared" si="10"/>
        <v>-5</v>
      </c>
      <c r="K74" s="37">
        <f t="shared" si="8"/>
        <v>-50</v>
      </c>
      <c r="L74" s="37"/>
      <c r="M74" s="39">
        <f t="shared" si="9"/>
        <v>0</v>
      </c>
      <c r="N74" s="219" t="s">
        <v>81</v>
      </c>
      <c r="O74" s="219" t="s">
        <v>81</v>
      </c>
      <c r="P74" s="220" t="s">
        <v>81</v>
      </c>
      <c r="Q74" s="221" t="s">
        <v>81</v>
      </c>
      <c r="R74" s="221" t="s">
        <v>81</v>
      </c>
    </row>
    <row r="75" spans="1:18">
      <c r="A75" s="58"/>
      <c r="G75" s="15"/>
      <c r="H75" s="37">
        <v>70</v>
      </c>
      <c r="I75" s="38" t="str">
        <f t="shared" si="7"/>
        <v/>
      </c>
      <c r="J75" s="37">
        <f t="shared" si="10"/>
        <v>-5</v>
      </c>
      <c r="K75" s="37">
        <f t="shared" si="8"/>
        <v>-50</v>
      </c>
      <c r="L75" s="37"/>
      <c r="M75" s="39">
        <f t="shared" si="9"/>
        <v>0</v>
      </c>
      <c r="N75" s="219" t="s">
        <v>81</v>
      </c>
      <c r="O75" s="219" t="s">
        <v>81</v>
      </c>
      <c r="P75" s="220" t="s">
        <v>81</v>
      </c>
      <c r="Q75" s="221" t="s">
        <v>81</v>
      </c>
      <c r="R75" s="221" t="s">
        <v>81</v>
      </c>
    </row>
    <row r="76" spans="1:18">
      <c r="A76" s="58"/>
      <c r="G76" s="15"/>
      <c r="H76" s="37">
        <v>71</v>
      </c>
      <c r="I76" s="38" t="str">
        <f t="shared" si="7"/>
        <v/>
      </c>
      <c r="J76" s="37">
        <f t="shared" si="10"/>
        <v>-5</v>
      </c>
      <c r="K76" s="37">
        <f t="shared" si="8"/>
        <v>-50</v>
      </c>
      <c r="L76" s="37"/>
      <c r="M76" s="39">
        <f t="shared" si="9"/>
        <v>0</v>
      </c>
      <c r="N76" s="219" t="s">
        <v>81</v>
      </c>
      <c r="O76" s="219" t="s">
        <v>81</v>
      </c>
      <c r="P76" s="220" t="s">
        <v>81</v>
      </c>
      <c r="Q76" s="221" t="s">
        <v>81</v>
      </c>
      <c r="R76" s="221" t="s">
        <v>81</v>
      </c>
    </row>
    <row r="77" spans="1:18">
      <c r="A77" s="58"/>
      <c r="G77" s="15"/>
      <c r="H77" s="37">
        <v>72</v>
      </c>
      <c r="I77" s="38" t="str">
        <f t="shared" si="7"/>
        <v/>
      </c>
      <c r="J77" s="37">
        <f t="shared" si="10"/>
        <v>-5</v>
      </c>
      <c r="K77" s="37">
        <f t="shared" si="8"/>
        <v>-50</v>
      </c>
      <c r="L77" s="37"/>
      <c r="M77" s="39">
        <f t="shared" si="9"/>
        <v>0</v>
      </c>
      <c r="N77" s="219" t="s">
        <v>81</v>
      </c>
      <c r="O77" s="219" t="s">
        <v>81</v>
      </c>
      <c r="P77" s="220" t="s">
        <v>81</v>
      </c>
      <c r="Q77" s="221" t="s">
        <v>81</v>
      </c>
      <c r="R77" s="221" t="s">
        <v>81</v>
      </c>
    </row>
    <row r="78" spans="1:18">
      <c r="A78" s="58"/>
      <c r="G78" s="15"/>
      <c r="H78" s="37">
        <v>73</v>
      </c>
      <c r="I78" s="38" t="str">
        <f t="shared" si="7"/>
        <v/>
      </c>
      <c r="J78" s="37">
        <f t="shared" si="10"/>
        <v>-5</v>
      </c>
      <c r="K78" s="37">
        <f t="shared" si="8"/>
        <v>-50</v>
      </c>
      <c r="L78" s="37"/>
      <c r="M78" s="39">
        <f t="shared" si="9"/>
        <v>0</v>
      </c>
      <c r="N78" s="219" t="s">
        <v>81</v>
      </c>
      <c r="O78" s="219" t="s">
        <v>81</v>
      </c>
      <c r="P78" s="220" t="s">
        <v>81</v>
      </c>
      <c r="Q78" s="221" t="s">
        <v>81</v>
      </c>
      <c r="R78" s="221" t="s">
        <v>81</v>
      </c>
    </row>
    <row r="79" spans="1:18">
      <c r="A79" s="58"/>
      <c r="G79" s="15"/>
      <c r="H79" s="37">
        <v>74</v>
      </c>
      <c r="I79" s="38" t="str">
        <f t="shared" si="7"/>
        <v/>
      </c>
      <c r="J79" s="37">
        <f t="shared" si="10"/>
        <v>-5</v>
      </c>
      <c r="K79" s="37">
        <f t="shared" si="8"/>
        <v>-50</v>
      </c>
      <c r="L79" s="37"/>
      <c r="M79" s="39">
        <f t="shared" si="9"/>
        <v>0</v>
      </c>
      <c r="N79" s="219" t="s">
        <v>81</v>
      </c>
      <c r="O79" s="219" t="s">
        <v>81</v>
      </c>
      <c r="P79" s="220" t="s">
        <v>81</v>
      </c>
      <c r="Q79" s="221" t="s">
        <v>81</v>
      </c>
      <c r="R79" s="221" t="s">
        <v>81</v>
      </c>
    </row>
    <row r="80" spans="1:18">
      <c r="A80" s="58"/>
      <c r="G80" s="15"/>
      <c r="H80" s="37">
        <v>75</v>
      </c>
      <c r="I80" s="38" t="str">
        <f t="shared" si="7"/>
        <v/>
      </c>
      <c r="J80" s="37">
        <f t="shared" si="10"/>
        <v>-5</v>
      </c>
      <c r="K80" s="37">
        <f t="shared" si="8"/>
        <v>-50</v>
      </c>
      <c r="L80" s="37"/>
      <c r="M80" s="39">
        <f t="shared" si="9"/>
        <v>0</v>
      </c>
      <c r="N80" s="219" t="s">
        <v>81</v>
      </c>
      <c r="O80" s="219" t="s">
        <v>81</v>
      </c>
      <c r="P80" s="220" t="s">
        <v>81</v>
      </c>
      <c r="Q80" s="221" t="s">
        <v>81</v>
      </c>
      <c r="R80" s="221" t="s">
        <v>81</v>
      </c>
    </row>
    <row r="81" spans="1:18">
      <c r="A81" s="58"/>
      <c r="G81" s="15"/>
      <c r="H81" s="37">
        <v>76</v>
      </c>
      <c r="I81" s="38" t="str">
        <f t="shared" si="7"/>
        <v/>
      </c>
      <c r="J81" s="37">
        <f t="shared" si="10"/>
        <v>-5</v>
      </c>
      <c r="K81" s="37">
        <f t="shared" si="8"/>
        <v>-50</v>
      </c>
      <c r="L81" s="37"/>
      <c r="M81" s="39">
        <f t="shared" si="9"/>
        <v>0</v>
      </c>
      <c r="N81" s="219" t="s">
        <v>81</v>
      </c>
      <c r="O81" s="219" t="s">
        <v>81</v>
      </c>
      <c r="P81" s="220" t="s">
        <v>81</v>
      </c>
      <c r="Q81" s="221" t="s">
        <v>81</v>
      </c>
      <c r="R81" s="221" t="s">
        <v>81</v>
      </c>
    </row>
    <row r="82" spans="1:18">
      <c r="A82" s="58"/>
      <c r="G82" s="15"/>
      <c r="H82" s="37">
        <v>77</v>
      </c>
      <c r="I82" s="38" t="str">
        <f t="shared" si="7"/>
        <v/>
      </c>
      <c r="J82" s="37">
        <f t="shared" si="10"/>
        <v>-5</v>
      </c>
      <c r="K82" s="37">
        <f t="shared" si="8"/>
        <v>-50</v>
      </c>
      <c r="L82" s="37"/>
      <c r="M82" s="39">
        <f t="shared" si="9"/>
        <v>0</v>
      </c>
      <c r="N82" s="219" t="s">
        <v>81</v>
      </c>
      <c r="O82" s="219" t="s">
        <v>81</v>
      </c>
      <c r="P82" s="220" t="s">
        <v>81</v>
      </c>
      <c r="Q82" s="221" t="s">
        <v>81</v>
      </c>
      <c r="R82" s="221" t="s">
        <v>81</v>
      </c>
    </row>
    <row r="83" spans="1:18">
      <c r="A83" s="58"/>
      <c r="G83" s="15"/>
      <c r="H83" s="37">
        <v>78</v>
      </c>
      <c r="I83" s="38" t="str">
        <f t="shared" si="7"/>
        <v/>
      </c>
      <c r="J83" s="37">
        <f t="shared" si="10"/>
        <v>-5</v>
      </c>
      <c r="K83" s="37">
        <f t="shared" si="8"/>
        <v>-50</v>
      </c>
      <c r="L83" s="37"/>
      <c r="M83" s="39">
        <f t="shared" si="9"/>
        <v>0</v>
      </c>
      <c r="N83" s="219" t="s">
        <v>81</v>
      </c>
      <c r="O83" s="219" t="s">
        <v>81</v>
      </c>
      <c r="P83" s="220" t="s">
        <v>81</v>
      </c>
      <c r="Q83" s="221" t="s">
        <v>81</v>
      </c>
      <c r="R83" s="221" t="s">
        <v>81</v>
      </c>
    </row>
    <row r="84" spans="1:18">
      <c r="A84" s="58"/>
      <c r="G84" s="15"/>
      <c r="H84" s="37">
        <v>79</v>
      </c>
      <c r="I84" s="38" t="str">
        <f t="shared" si="7"/>
        <v/>
      </c>
      <c r="J84" s="37">
        <f t="shared" si="10"/>
        <v>-5</v>
      </c>
      <c r="K84" s="37">
        <f t="shared" si="8"/>
        <v>-50</v>
      </c>
      <c r="L84" s="37"/>
      <c r="M84" s="39">
        <f t="shared" si="9"/>
        <v>0</v>
      </c>
      <c r="N84" s="219" t="s">
        <v>81</v>
      </c>
      <c r="O84" s="219" t="s">
        <v>81</v>
      </c>
      <c r="P84" s="220" t="s">
        <v>81</v>
      </c>
      <c r="Q84" s="221" t="s">
        <v>81</v>
      </c>
      <c r="R84" s="221" t="s">
        <v>81</v>
      </c>
    </row>
    <row r="85" spans="1:18">
      <c r="A85" s="58"/>
      <c r="G85" s="15"/>
      <c r="H85" s="37">
        <v>80</v>
      </c>
      <c r="I85" s="38" t="str">
        <f t="shared" si="7"/>
        <v/>
      </c>
      <c r="J85" s="37">
        <f t="shared" si="10"/>
        <v>-5</v>
      </c>
      <c r="K85" s="37">
        <f t="shared" si="8"/>
        <v>-50</v>
      </c>
      <c r="L85" s="37"/>
      <c r="M85" s="39">
        <f t="shared" si="9"/>
        <v>0</v>
      </c>
      <c r="N85" s="219" t="s">
        <v>81</v>
      </c>
      <c r="O85" s="219" t="s">
        <v>81</v>
      </c>
      <c r="P85" s="220" t="s">
        <v>81</v>
      </c>
      <c r="Q85" s="221" t="s">
        <v>81</v>
      </c>
      <c r="R85" s="221" t="s">
        <v>81</v>
      </c>
    </row>
    <row r="86" spans="1:18">
      <c r="A86" s="58"/>
      <c r="G86" s="15"/>
      <c r="H86" s="37">
        <v>81</v>
      </c>
      <c r="I86" s="38" t="str">
        <f t="shared" si="7"/>
        <v/>
      </c>
      <c r="J86" s="37">
        <f t="shared" si="10"/>
        <v>-5</v>
      </c>
      <c r="K86" s="37">
        <f t="shared" si="8"/>
        <v>-50</v>
      </c>
      <c r="L86" s="37"/>
      <c r="M86" s="39">
        <f t="shared" si="9"/>
        <v>0</v>
      </c>
      <c r="N86" s="219" t="s">
        <v>81</v>
      </c>
      <c r="O86" s="219" t="s">
        <v>81</v>
      </c>
      <c r="P86" s="220" t="s">
        <v>81</v>
      </c>
      <c r="Q86" s="221" t="s">
        <v>81</v>
      </c>
      <c r="R86" s="221" t="s">
        <v>81</v>
      </c>
    </row>
    <row r="87" spans="1:18">
      <c r="A87" s="58"/>
      <c r="G87" s="15"/>
      <c r="H87" s="37">
        <v>82</v>
      </c>
      <c r="I87" s="38" t="str">
        <f t="shared" si="7"/>
        <v/>
      </c>
      <c r="J87" s="37">
        <f t="shared" si="10"/>
        <v>-5</v>
      </c>
      <c r="K87" s="37">
        <f t="shared" si="8"/>
        <v>-50</v>
      </c>
      <c r="L87" s="37"/>
      <c r="M87" s="39">
        <f t="shared" si="9"/>
        <v>0</v>
      </c>
      <c r="N87" s="219" t="s">
        <v>81</v>
      </c>
      <c r="O87" s="219" t="s">
        <v>81</v>
      </c>
      <c r="P87" s="220" t="s">
        <v>81</v>
      </c>
      <c r="Q87" s="221" t="s">
        <v>81</v>
      </c>
      <c r="R87" s="221" t="s">
        <v>81</v>
      </c>
    </row>
    <row r="88" spans="1:18">
      <c r="A88" s="58"/>
      <c r="G88" s="15"/>
      <c r="H88" s="37">
        <v>83</v>
      </c>
      <c r="I88" s="38" t="str">
        <f t="shared" si="7"/>
        <v/>
      </c>
      <c r="J88" s="37">
        <f t="shared" si="10"/>
        <v>-5</v>
      </c>
      <c r="K88" s="37">
        <f t="shared" si="8"/>
        <v>-50</v>
      </c>
      <c r="L88" s="37"/>
      <c r="M88" s="39">
        <f t="shared" si="9"/>
        <v>0</v>
      </c>
      <c r="N88" s="219" t="s">
        <v>81</v>
      </c>
      <c r="O88" s="219" t="s">
        <v>81</v>
      </c>
      <c r="P88" s="220" t="s">
        <v>81</v>
      </c>
      <c r="Q88" s="221" t="s">
        <v>81</v>
      </c>
      <c r="R88" s="221" t="s">
        <v>81</v>
      </c>
    </row>
    <row r="89" spans="1:18">
      <c r="A89" s="58"/>
      <c r="G89" s="15"/>
      <c r="H89" s="37">
        <v>84</v>
      </c>
      <c r="I89" s="38" t="str">
        <f t="shared" si="7"/>
        <v/>
      </c>
      <c r="J89" s="37">
        <f t="shared" si="10"/>
        <v>-5</v>
      </c>
      <c r="K89" s="37">
        <f t="shared" si="8"/>
        <v>-50</v>
      </c>
      <c r="L89" s="37"/>
      <c r="M89" s="39">
        <f t="shared" si="9"/>
        <v>0</v>
      </c>
      <c r="N89" s="219" t="s">
        <v>81</v>
      </c>
      <c r="O89" s="219" t="s">
        <v>81</v>
      </c>
      <c r="P89" s="220" t="s">
        <v>81</v>
      </c>
      <c r="Q89" s="221" t="s">
        <v>81</v>
      </c>
      <c r="R89" s="221" t="s">
        <v>81</v>
      </c>
    </row>
    <row r="90" spans="1:18">
      <c r="A90" s="58"/>
      <c r="G90" s="15"/>
      <c r="H90" s="37">
        <v>85</v>
      </c>
      <c r="I90" s="38" t="str">
        <f t="shared" si="7"/>
        <v/>
      </c>
      <c r="J90" s="37">
        <f t="shared" si="10"/>
        <v>-5</v>
      </c>
      <c r="K90" s="37">
        <f t="shared" si="8"/>
        <v>-50</v>
      </c>
      <c r="L90" s="37"/>
      <c r="M90" s="39">
        <f t="shared" si="9"/>
        <v>0</v>
      </c>
      <c r="N90" s="219" t="s">
        <v>81</v>
      </c>
      <c r="O90" s="219" t="s">
        <v>81</v>
      </c>
      <c r="P90" s="220" t="s">
        <v>81</v>
      </c>
      <c r="Q90" s="221" t="s">
        <v>81</v>
      </c>
      <c r="R90" s="221" t="s">
        <v>81</v>
      </c>
    </row>
    <row r="91" spans="1:18">
      <c r="A91" s="58"/>
      <c r="G91" s="15"/>
      <c r="H91" s="37">
        <v>86</v>
      </c>
      <c r="I91" s="38" t="str">
        <f t="shared" si="7"/>
        <v/>
      </c>
      <c r="J91" s="37">
        <f t="shared" si="10"/>
        <v>-5</v>
      </c>
      <c r="K91" s="37">
        <f t="shared" si="8"/>
        <v>-50</v>
      </c>
      <c r="L91" s="37"/>
      <c r="M91" s="39">
        <f t="shared" si="9"/>
        <v>0</v>
      </c>
      <c r="N91" s="219" t="s">
        <v>81</v>
      </c>
      <c r="O91" s="219" t="s">
        <v>81</v>
      </c>
      <c r="P91" s="220" t="s">
        <v>81</v>
      </c>
      <c r="Q91" s="221" t="s">
        <v>81</v>
      </c>
      <c r="R91" s="221" t="s">
        <v>81</v>
      </c>
    </row>
    <row r="92" spans="1:18">
      <c r="A92" s="58"/>
      <c r="G92" s="15"/>
      <c r="H92" s="37">
        <v>87</v>
      </c>
      <c r="I92" s="38" t="str">
        <f t="shared" si="7"/>
        <v/>
      </c>
      <c r="J92" s="37">
        <f t="shared" si="10"/>
        <v>-5</v>
      </c>
      <c r="K92" s="37">
        <f t="shared" si="8"/>
        <v>-50</v>
      </c>
      <c r="L92" s="37"/>
      <c r="M92" s="39">
        <f t="shared" si="9"/>
        <v>0</v>
      </c>
      <c r="N92" s="219" t="s">
        <v>81</v>
      </c>
      <c r="O92" s="219" t="s">
        <v>81</v>
      </c>
      <c r="P92" s="220" t="s">
        <v>81</v>
      </c>
      <c r="Q92" s="221" t="s">
        <v>81</v>
      </c>
      <c r="R92" s="221" t="s">
        <v>81</v>
      </c>
    </row>
    <row r="93" spans="1:18">
      <c r="A93" s="58"/>
      <c r="G93" s="15"/>
      <c r="H93" s="37">
        <v>88</v>
      </c>
      <c r="I93" s="38" t="str">
        <f t="shared" si="7"/>
        <v/>
      </c>
      <c r="J93" s="37">
        <f t="shared" si="10"/>
        <v>-5</v>
      </c>
      <c r="K93" s="37">
        <f t="shared" si="8"/>
        <v>-50</v>
      </c>
      <c r="L93" s="37"/>
      <c r="M93" s="39">
        <f t="shared" si="9"/>
        <v>0</v>
      </c>
      <c r="N93" s="219" t="s">
        <v>81</v>
      </c>
      <c r="O93" s="219" t="s">
        <v>81</v>
      </c>
      <c r="P93" s="220" t="s">
        <v>81</v>
      </c>
      <c r="Q93" s="221" t="s">
        <v>81</v>
      </c>
      <c r="R93" s="221" t="s">
        <v>81</v>
      </c>
    </row>
    <row r="94" spans="1:18">
      <c r="A94" s="58"/>
      <c r="G94" s="15"/>
      <c r="H94" s="37">
        <v>89</v>
      </c>
      <c r="I94" s="38" t="str">
        <f t="shared" si="7"/>
        <v/>
      </c>
      <c r="J94" s="37">
        <f t="shared" si="10"/>
        <v>-5</v>
      </c>
      <c r="K94" s="37">
        <f t="shared" si="8"/>
        <v>-50</v>
      </c>
      <c r="L94" s="37"/>
      <c r="M94" s="39">
        <f t="shared" si="9"/>
        <v>0</v>
      </c>
      <c r="N94" s="219" t="s">
        <v>81</v>
      </c>
      <c r="O94" s="219" t="s">
        <v>81</v>
      </c>
      <c r="P94" s="220" t="s">
        <v>81</v>
      </c>
      <c r="Q94" s="221" t="s">
        <v>81</v>
      </c>
      <c r="R94" s="221" t="s">
        <v>81</v>
      </c>
    </row>
    <row r="95" spans="1:18">
      <c r="A95" s="58"/>
      <c r="G95" s="15"/>
      <c r="H95" s="37">
        <v>90</v>
      </c>
      <c r="I95" s="38" t="str">
        <f t="shared" si="7"/>
        <v/>
      </c>
      <c r="J95" s="37">
        <f t="shared" si="10"/>
        <v>-5</v>
      </c>
      <c r="K95" s="37">
        <f t="shared" si="8"/>
        <v>-50</v>
      </c>
      <c r="L95" s="37"/>
      <c r="M95" s="39">
        <f t="shared" si="9"/>
        <v>0</v>
      </c>
      <c r="N95" s="219" t="s">
        <v>81</v>
      </c>
      <c r="O95" s="219" t="s">
        <v>81</v>
      </c>
      <c r="P95" s="220" t="s">
        <v>81</v>
      </c>
      <c r="Q95" s="221" t="s">
        <v>81</v>
      </c>
      <c r="R95" s="221" t="s">
        <v>81</v>
      </c>
    </row>
    <row r="96" spans="1:18">
      <c r="A96" s="58"/>
      <c r="G96" s="15"/>
      <c r="H96" s="37">
        <v>91</v>
      </c>
      <c r="I96" s="38" t="str">
        <f t="shared" si="7"/>
        <v/>
      </c>
      <c r="J96" s="37">
        <f t="shared" si="10"/>
        <v>-5</v>
      </c>
      <c r="K96" s="37">
        <f t="shared" si="8"/>
        <v>-50</v>
      </c>
      <c r="L96" s="37"/>
      <c r="M96" s="39">
        <f t="shared" si="9"/>
        <v>0</v>
      </c>
      <c r="N96" s="219" t="s">
        <v>81</v>
      </c>
      <c r="O96" s="219" t="s">
        <v>81</v>
      </c>
      <c r="P96" s="220" t="s">
        <v>81</v>
      </c>
      <c r="Q96" s="221" t="s">
        <v>81</v>
      </c>
      <c r="R96" s="221" t="s">
        <v>81</v>
      </c>
    </row>
    <row r="97" spans="1:18">
      <c r="A97" s="58"/>
      <c r="G97" s="15"/>
      <c r="H97" s="37">
        <v>92</v>
      </c>
      <c r="I97" s="38" t="str">
        <f t="shared" si="7"/>
        <v/>
      </c>
      <c r="J97" s="37">
        <f t="shared" si="10"/>
        <v>-5</v>
      </c>
      <c r="K97" s="37">
        <f t="shared" si="8"/>
        <v>-50</v>
      </c>
      <c r="L97" s="37"/>
      <c r="M97" s="39">
        <f t="shared" si="9"/>
        <v>0</v>
      </c>
      <c r="N97" s="219" t="s">
        <v>81</v>
      </c>
      <c r="O97" s="219" t="s">
        <v>81</v>
      </c>
      <c r="P97" s="220" t="s">
        <v>81</v>
      </c>
      <c r="Q97" s="221" t="s">
        <v>81</v>
      </c>
      <c r="R97" s="221" t="s">
        <v>81</v>
      </c>
    </row>
    <row r="98" spans="1:18">
      <c r="A98" s="58"/>
      <c r="G98" s="15"/>
      <c r="H98" s="37">
        <v>93</v>
      </c>
      <c r="I98" s="38" t="str">
        <f t="shared" si="7"/>
        <v/>
      </c>
      <c r="J98" s="37">
        <f t="shared" si="10"/>
        <v>-5</v>
      </c>
      <c r="K98" s="37">
        <f t="shared" si="8"/>
        <v>-50</v>
      </c>
      <c r="L98" s="37"/>
      <c r="M98" s="39">
        <f t="shared" si="9"/>
        <v>0</v>
      </c>
      <c r="N98" s="219" t="s">
        <v>81</v>
      </c>
      <c r="O98" s="219" t="s">
        <v>81</v>
      </c>
      <c r="P98" s="220" t="s">
        <v>81</v>
      </c>
      <c r="Q98" s="221" t="s">
        <v>81</v>
      </c>
      <c r="R98" s="221" t="s">
        <v>81</v>
      </c>
    </row>
    <row r="99" spans="1:18">
      <c r="A99" s="58"/>
      <c r="G99" s="15"/>
      <c r="H99" s="37">
        <v>94</v>
      </c>
      <c r="I99" s="38" t="str">
        <f t="shared" si="7"/>
        <v/>
      </c>
      <c r="J99" s="37">
        <f t="shared" si="10"/>
        <v>-5</v>
      </c>
      <c r="K99" s="37">
        <f t="shared" si="8"/>
        <v>-50</v>
      </c>
      <c r="L99" s="37"/>
      <c r="M99" s="39">
        <f t="shared" si="9"/>
        <v>0</v>
      </c>
      <c r="N99" s="219" t="s">
        <v>81</v>
      </c>
      <c r="O99" s="219" t="s">
        <v>81</v>
      </c>
      <c r="P99" s="220" t="s">
        <v>81</v>
      </c>
      <c r="Q99" s="221" t="s">
        <v>81</v>
      </c>
      <c r="R99" s="221" t="s">
        <v>81</v>
      </c>
    </row>
    <row r="100" spans="1:18">
      <c r="A100" s="58"/>
      <c r="G100" s="15"/>
      <c r="H100" s="37">
        <v>95</v>
      </c>
      <c r="I100" s="38" t="str">
        <f t="shared" si="7"/>
        <v/>
      </c>
      <c r="J100" s="37">
        <f t="shared" si="10"/>
        <v>-5</v>
      </c>
      <c r="K100" s="37">
        <f t="shared" si="8"/>
        <v>-50</v>
      </c>
      <c r="L100" s="37"/>
      <c r="M100" s="39">
        <f t="shared" si="9"/>
        <v>0</v>
      </c>
      <c r="N100" s="219" t="s">
        <v>81</v>
      </c>
      <c r="O100" s="219" t="s">
        <v>81</v>
      </c>
      <c r="P100" s="220" t="s">
        <v>81</v>
      </c>
      <c r="Q100" s="221" t="s">
        <v>81</v>
      </c>
      <c r="R100" s="221" t="s">
        <v>81</v>
      </c>
    </row>
    <row r="101" spans="1:18">
      <c r="A101" s="58"/>
      <c r="G101" s="15"/>
      <c r="H101" s="37">
        <v>96</v>
      </c>
      <c r="I101" s="38" t="str">
        <f t="shared" si="7"/>
        <v/>
      </c>
      <c r="J101" s="37">
        <f t="shared" si="10"/>
        <v>-5</v>
      </c>
      <c r="K101" s="37">
        <f t="shared" si="8"/>
        <v>-50</v>
      </c>
      <c r="L101" s="37"/>
      <c r="M101" s="39">
        <f t="shared" si="9"/>
        <v>0</v>
      </c>
      <c r="N101" s="219" t="s">
        <v>81</v>
      </c>
      <c r="O101" s="219" t="s">
        <v>81</v>
      </c>
      <c r="P101" s="220" t="s">
        <v>81</v>
      </c>
      <c r="Q101" s="221" t="s">
        <v>81</v>
      </c>
      <c r="R101" s="221" t="s">
        <v>81</v>
      </c>
    </row>
    <row r="102" spans="1:18">
      <c r="A102" s="58"/>
      <c r="G102" s="15"/>
      <c r="H102" s="37">
        <v>97</v>
      </c>
      <c r="I102" s="38" t="str">
        <f t="shared" si="7"/>
        <v/>
      </c>
      <c r="J102" s="37">
        <f t="shared" si="10"/>
        <v>-5</v>
      </c>
      <c r="K102" s="37">
        <f t="shared" si="8"/>
        <v>-50</v>
      </c>
      <c r="L102" s="37"/>
      <c r="M102" s="39">
        <f t="shared" si="9"/>
        <v>0</v>
      </c>
      <c r="N102" s="219" t="s">
        <v>81</v>
      </c>
      <c r="O102" s="219" t="s">
        <v>81</v>
      </c>
      <c r="P102" s="220" t="s">
        <v>81</v>
      </c>
      <c r="Q102" s="221" t="s">
        <v>81</v>
      </c>
      <c r="R102" s="221" t="s">
        <v>81</v>
      </c>
    </row>
    <row r="103" spans="1:18">
      <c r="A103" s="58"/>
      <c r="G103" s="15"/>
      <c r="H103" s="37">
        <v>98</v>
      </c>
      <c r="I103" s="38" t="str">
        <f t="shared" si="7"/>
        <v/>
      </c>
      <c r="J103" s="37">
        <f t="shared" si="10"/>
        <v>-5</v>
      </c>
      <c r="K103" s="37">
        <f t="shared" si="8"/>
        <v>-50</v>
      </c>
      <c r="L103" s="37"/>
      <c r="M103" s="39">
        <f t="shared" si="9"/>
        <v>0</v>
      </c>
      <c r="N103" s="219" t="s">
        <v>81</v>
      </c>
      <c r="O103" s="219" t="s">
        <v>81</v>
      </c>
      <c r="P103" s="220" t="s">
        <v>81</v>
      </c>
      <c r="Q103" s="221" t="s">
        <v>81</v>
      </c>
      <c r="R103" s="221" t="s">
        <v>81</v>
      </c>
    </row>
    <row r="104" spans="1:18">
      <c r="A104" s="58"/>
      <c r="G104" s="15"/>
      <c r="H104" s="37">
        <v>99</v>
      </c>
      <c r="I104" s="38" t="str">
        <f t="shared" si="7"/>
        <v/>
      </c>
      <c r="J104" s="37">
        <f t="shared" si="10"/>
        <v>-5</v>
      </c>
      <c r="K104" s="37">
        <f t="shared" si="8"/>
        <v>-50</v>
      </c>
      <c r="L104" s="37"/>
      <c r="M104" s="39">
        <f t="shared" si="9"/>
        <v>0</v>
      </c>
      <c r="N104" s="219" t="s">
        <v>81</v>
      </c>
      <c r="O104" s="219" t="s">
        <v>81</v>
      </c>
      <c r="P104" s="220" t="s">
        <v>81</v>
      </c>
      <c r="Q104" s="221" t="s">
        <v>81</v>
      </c>
      <c r="R104" s="221" t="s">
        <v>81</v>
      </c>
    </row>
    <row r="105" spans="1:18">
      <c r="A105" s="58"/>
      <c r="G105" s="15"/>
      <c r="H105" s="37">
        <v>100</v>
      </c>
      <c r="I105" s="38" t="str">
        <f t="shared" si="7"/>
        <v/>
      </c>
      <c r="J105" s="37">
        <f t="shared" si="10"/>
        <v>-5</v>
      </c>
      <c r="K105" s="37">
        <f t="shared" si="8"/>
        <v>-50</v>
      </c>
      <c r="L105" s="37"/>
      <c r="M105" s="39">
        <f t="shared" si="9"/>
        <v>0</v>
      </c>
      <c r="N105" s="219" t="s">
        <v>81</v>
      </c>
      <c r="O105" s="219" t="s">
        <v>81</v>
      </c>
      <c r="P105" s="220" t="s">
        <v>81</v>
      </c>
      <c r="Q105" s="221" t="s">
        <v>81</v>
      </c>
      <c r="R105" s="221" t="s">
        <v>81</v>
      </c>
    </row>
    <row r="106" spans="1:18">
      <c r="A106" s="58"/>
      <c r="G106" s="15"/>
      <c r="H106" s="37">
        <v>101</v>
      </c>
      <c r="I106" s="38" t="str">
        <f t="shared" si="7"/>
        <v/>
      </c>
      <c r="J106" s="37">
        <f t="shared" si="10"/>
        <v>-5</v>
      </c>
      <c r="K106" s="37">
        <f t="shared" si="8"/>
        <v>-50</v>
      </c>
      <c r="L106" s="37"/>
      <c r="M106" s="39">
        <f t="shared" si="9"/>
        <v>0</v>
      </c>
      <c r="N106" s="219" t="s">
        <v>81</v>
      </c>
      <c r="O106" s="219" t="s">
        <v>81</v>
      </c>
      <c r="P106" s="220" t="s">
        <v>81</v>
      </c>
      <c r="Q106" s="221" t="s">
        <v>81</v>
      </c>
      <c r="R106" s="221" t="s">
        <v>81</v>
      </c>
    </row>
    <row r="107" spans="1:18">
      <c r="A107" s="58"/>
      <c r="G107" s="15"/>
      <c r="H107" s="37">
        <v>102</v>
      </c>
      <c r="I107" s="38" t="str">
        <f t="shared" si="7"/>
        <v/>
      </c>
      <c r="J107" s="37">
        <f t="shared" si="10"/>
        <v>-5</v>
      </c>
      <c r="K107" s="37">
        <f t="shared" si="8"/>
        <v>-50</v>
      </c>
      <c r="L107" s="37"/>
      <c r="M107" s="39">
        <f t="shared" si="9"/>
        <v>0</v>
      </c>
      <c r="N107" s="219" t="s">
        <v>81</v>
      </c>
      <c r="O107" s="219" t="s">
        <v>81</v>
      </c>
      <c r="P107" s="220" t="s">
        <v>81</v>
      </c>
      <c r="Q107" s="221" t="s">
        <v>81</v>
      </c>
      <c r="R107" s="221" t="s">
        <v>81</v>
      </c>
    </row>
    <row r="108" spans="1:18">
      <c r="A108" s="58"/>
      <c r="G108" s="15"/>
      <c r="H108" s="37">
        <v>103</v>
      </c>
      <c r="I108" s="38" t="str">
        <f t="shared" si="7"/>
        <v/>
      </c>
      <c r="J108" s="37">
        <f t="shared" si="10"/>
        <v>-5</v>
      </c>
      <c r="K108" s="37">
        <f t="shared" si="8"/>
        <v>-50</v>
      </c>
      <c r="L108" s="37"/>
      <c r="M108" s="39">
        <f t="shared" si="9"/>
        <v>0</v>
      </c>
      <c r="N108" s="219" t="s">
        <v>81</v>
      </c>
      <c r="O108" s="219" t="s">
        <v>81</v>
      </c>
      <c r="P108" s="220" t="s">
        <v>81</v>
      </c>
      <c r="Q108" s="221" t="s">
        <v>81</v>
      </c>
      <c r="R108" s="221" t="s">
        <v>81</v>
      </c>
    </row>
    <row r="109" spans="1:18">
      <c r="A109" s="58"/>
      <c r="G109" s="15"/>
      <c r="H109" s="37">
        <v>104</v>
      </c>
      <c r="I109" s="38" t="str">
        <f t="shared" si="7"/>
        <v/>
      </c>
      <c r="J109" s="37">
        <f t="shared" si="10"/>
        <v>-5</v>
      </c>
      <c r="K109" s="37">
        <f t="shared" si="8"/>
        <v>-50</v>
      </c>
      <c r="L109" s="37"/>
      <c r="M109" s="39">
        <f t="shared" si="9"/>
        <v>0</v>
      </c>
      <c r="N109" s="219" t="s">
        <v>81</v>
      </c>
      <c r="O109" s="219" t="s">
        <v>81</v>
      </c>
      <c r="P109" s="220" t="s">
        <v>81</v>
      </c>
      <c r="Q109" s="221" t="s">
        <v>81</v>
      </c>
      <c r="R109" s="221" t="s">
        <v>81</v>
      </c>
    </row>
    <row r="110" spans="1:18">
      <c r="A110" s="58"/>
      <c r="G110" s="15"/>
      <c r="H110" s="37">
        <v>105</v>
      </c>
      <c r="I110" s="38" t="str">
        <f t="shared" si="7"/>
        <v/>
      </c>
      <c r="J110" s="37">
        <f t="shared" si="10"/>
        <v>-5</v>
      </c>
      <c r="K110" s="37">
        <f t="shared" si="8"/>
        <v>-50</v>
      </c>
      <c r="L110" s="37"/>
      <c r="M110" s="39">
        <f t="shared" si="9"/>
        <v>0</v>
      </c>
      <c r="N110" s="219" t="s">
        <v>81</v>
      </c>
      <c r="O110" s="219" t="s">
        <v>81</v>
      </c>
      <c r="P110" s="220" t="s">
        <v>81</v>
      </c>
      <c r="Q110" s="221" t="s">
        <v>81</v>
      </c>
      <c r="R110" s="221" t="s">
        <v>81</v>
      </c>
    </row>
    <row r="111" spans="1:18">
      <c r="A111" s="58"/>
      <c r="G111" s="15"/>
      <c r="H111" s="37">
        <v>106</v>
      </c>
      <c r="I111" s="38" t="str">
        <f t="shared" si="7"/>
        <v/>
      </c>
      <c r="J111" s="37">
        <f t="shared" si="10"/>
        <v>-5</v>
      </c>
      <c r="K111" s="37">
        <f t="shared" si="8"/>
        <v>-50</v>
      </c>
      <c r="L111" s="37"/>
      <c r="M111" s="39">
        <f t="shared" si="9"/>
        <v>0</v>
      </c>
      <c r="N111" s="219" t="s">
        <v>81</v>
      </c>
      <c r="O111" s="219" t="s">
        <v>81</v>
      </c>
      <c r="P111" s="220" t="s">
        <v>81</v>
      </c>
      <c r="Q111" s="221" t="s">
        <v>81</v>
      </c>
      <c r="R111" s="221" t="s">
        <v>81</v>
      </c>
    </row>
    <row r="112" spans="1:18">
      <c r="A112" s="58"/>
      <c r="G112" s="15"/>
      <c r="H112" s="37">
        <v>107</v>
      </c>
      <c r="I112" s="38" t="str">
        <f t="shared" si="7"/>
        <v/>
      </c>
      <c r="J112" s="37">
        <f t="shared" si="10"/>
        <v>-5</v>
      </c>
      <c r="K112" s="37">
        <f t="shared" si="8"/>
        <v>-50</v>
      </c>
      <c r="L112" s="37"/>
      <c r="M112" s="39">
        <f t="shared" si="9"/>
        <v>0</v>
      </c>
      <c r="N112" s="219" t="s">
        <v>81</v>
      </c>
      <c r="O112" s="219" t="s">
        <v>81</v>
      </c>
      <c r="P112" s="220" t="s">
        <v>81</v>
      </c>
      <c r="Q112" s="221" t="s">
        <v>81</v>
      </c>
      <c r="R112" s="221" t="s">
        <v>81</v>
      </c>
    </row>
    <row r="113" spans="1:18">
      <c r="A113" s="58"/>
      <c r="G113" s="15"/>
      <c r="H113" s="37">
        <v>108</v>
      </c>
      <c r="I113" s="38" t="str">
        <f t="shared" si="7"/>
        <v/>
      </c>
      <c r="J113" s="37">
        <f t="shared" si="10"/>
        <v>-5</v>
      </c>
      <c r="K113" s="37">
        <f t="shared" si="8"/>
        <v>-50</v>
      </c>
      <c r="L113" s="37"/>
      <c r="M113" s="39">
        <f t="shared" si="9"/>
        <v>0</v>
      </c>
      <c r="N113" s="219" t="s">
        <v>81</v>
      </c>
      <c r="O113" s="219" t="s">
        <v>81</v>
      </c>
      <c r="P113" s="220" t="s">
        <v>81</v>
      </c>
      <c r="Q113" s="221" t="s">
        <v>81</v>
      </c>
      <c r="R113" s="221" t="s">
        <v>81</v>
      </c>
    </row>
    <row r="114" spans="1:18">
      <c r="A114" s="58"/>
      <c r="G114" s="15"/>
      <c r="H114" s="37">
        <v>109</v>
      </c>
      <c r="I114" s="38" t="str">
        <f t="shared" si="7"/>
        <v/>
      </c>
      <c r="J114" s="37">
        <f t="shared" si="10"/>
        <v>-5</v>
      </c>
      <c r="K114" s="37">
        <f t="shared" si="8"/>
        <v>-50</v>
      </c>
      <c r="L114" s="37"/>
      <c r="M114" s="39">
        <f t="shared" si="9"/>
        <v>0</v>
      </c>
      <c r="N114" s="219" t="s">
        <v>81</v>
      </c>
      <c r="O114" s="219" t="s">
        <v>81</v>
      </c>
      <c r="P114" s="220" t="s">
        <v>81</v>
      </c>
      <c r="Q114" s="221" t="s">
        <v>81</v>
      </c>
      <c r="R114" s="221" t="s">
        <v>81</v>
      </c>
    </row>
    <row r="115" spans="1:18">
      <c r="A115" s="58"/>
      <c r="G115" s="15"/>
      <c r="H115" s="37">
        <v>110</v>
      </c>
      <c r="I115" s="38" t="str">
        <f t="shared" si="7"/>
        <v/>
      </c>
      <c r="J115" s="37">
        <f t="shared" si="10"/>
        <v>-5</v>
      </c>
      <c r="K115" s="37">
        <f t="shared" si="8"/>
        <v>-50</v>
      </c>
      <c r="L115" s="37"/>
      <c r="M115" s="39">
        <f t="shared" si="9"/>
        <v>0</v>
      </c>
      <c r="N115" s="219" t="s">
        <v>81</v>
      </c>
      <c r="O115" s="219" t="s">
        <v>81</v>
      </c>
      <c r="P115" s="220" t="s">
        <v>81</v>
      </c>
      <c r="Q115" s="221" t="s">
        <v>81</v>
      </c>
      <c r="R115" s="221" t="s">
        <v>81</v>
      </c>
    </row>
    <row r="116" spans="1:18">
      <c r="A116" s="58"/>
      <c r="G116" s="15"/>
      <c r="H116" s="37">
        <v>111</v>
      </c>
      <c r="I116" s="38" t="str">
        <f t="shared" si="7"/>
        <v/>
      </c>
      <c r="J116" s="37">
        <f t="shared" si="10"/>
        <v>-5</v>
      </c>
      <c r="K116" s="37">
        <f t="shared" si="8"/>
        <v>-50</v>
      </c>
      <c r="L116" s="37"/>
      <c r="M116" s="39">
        <f t="shared" si="9"/>
        <v>0</v>
      </c>
      <c r="N116" s="219" t="s">
        <v>81</v>
      </c>
      <c r="O116" s="219" t="s">
        <v>81</v>
      </c>
      <c r="P116" s="220" t="s">
        <v>81</v>
      </c>
      <c r="Q116" s="221" t="s">
        <v>81</v>
      </c>
      <c r="R116" s="221" t="s">
        <v>81</v>
      </c>
    </row>
    <row r="117" spans="1:18">
      <c r="A117" s="58"/>
      <c r="G117" s="15"/>
      <c r="H117" s="37">
        <v>112</v>
      </c>
      <c r="I117" s="38" t="str">
        <f t="shared" si="7"/>
        <v/>
      </c>
      <c r="J117" s="37">
        <f t="shared" si="10"/>
        <v>-5</v>
      </c>
      <c r="K117" s="37">
        <f t="shared" si="8"/>
        <v>-50</v>
      </c>
      <c r="L117" s="37"/>
      <c r="M117" s="39">
        <f t="shared" si="9"/>
        <v>0</v>
      </c>
      <c r="N117" s="219" t="s">
        <v>81</v>
      </c>
      <c r="O117" s="219" t="s">
        <v>81</v>
      </c>
      <c r="P117" s="220" t="s">
        <v>81</v>
      </c>
      <c r="Q117" s="221" t="s">
        <v>81</v>
      </c>
      <c r="R117" s="221" t="s">
        <v>81</v>
      </c>
    </row>
    <row r="118" spans="1:18">
      <c r="A118" s="58"/>
      <c r="G118" s="15"/>
      <c r="H118" s="37">
        <v>113</v>
      </c>
      <c r="I118" s="38" t="str">
        <f t="shared" si="7"/>
        <v/>
      </c>
      <c r="J118" s="37">
        <f t="shared" si="10"/>
        <v>-5</v>
      </c>
      <c r="K118" s="37">
        <f t="shared" si="8"/>
        <v>-50</v>
      </c>
      <c r="L118" s="37"/>
      <c r="M118" s="39">
        <f t="shared" si="9"/>
        <v>0</v>
      </c>
      <c r="N118" s="219" t="s">
        <v>81</v>
      </c>
      <c r="O118" s="219" t="s">
        <v>81</v>
      </c>
      <c r="P118" s="220" t="s">
        <v>81</v>
      </c>
      <c r="Q118" s="221" t="s">
        <v>81</v>
      </c>
      <c r="R118" s="221" t="s">
        <v>81</v>
      </c>
    </row>
    <row r="119" spans="1:18">
      <c r="A119" s="58"/>
      <c r="G119" s="15"/>
      <c r="H119" s="37">
        <v>114</v>
      </c>
      <c r="I119" s="38" t="str">
        <f t="shared" si="7"/>
        <v/>
      </c>
      <c r="J119" s="37">
        <f t="shared" si="10"/>
        <v>-5</v>
      </c>
      <c r="K119" s="37">
        <f t="shared" si="8"/>
        <v>-50</v>
      </c>
      <c r="L119" s="37"/>
      <c r="M119" s="39">
        <f t="shared" si="9"/>
        <v>0</v>
      </c>
      <c r="N119" s="219" t="s">
        <v>81</v>
      </c>
      <c r="O119" s="219" t="s">
        <v>81</v>
      </c>
      <c r="P119" s="220" t="s">
        <v>81</v>
      </c>
      <c r="Q119" s="221" t="s">
        <v>81</v>
      </c>
      <c r="R119" s="221" t="s">
        <v>81</v>
      </c>
    </row>
    <row r="120" spans="1:18">
      <c r="A120" s="58"/>
      <c r="G120" s="15"/>
      <c r="H120" s="37">
        <v>115</v>
      </c>
      <c r="I120" s="38" t="str">
        <f t="shared" si="7"/>
        <v/>
      </c>
      <c r="J120" s="37">
        <f t="shared" si="10"/>
        <v>-5</v>
      </c>
      <c r="K120" s="37">
        <f t="shared" si="8"/>
        <v>-50</v>
      </c>
      <c r="L120" s="37"/>
      <c r="M120" s="39">
        <f t="shared" si="9"/>
        <v>0</v>
      </c>
      <c r="N120" s="219" t="s">
        <v>81</v>
      </c>
      <c r="O120" s="219" t="s">
        <v>81</v>
      </c>
      <c r="P120" s="220" t="s">
        <v>81</v>
      </c>
      <c r="Q120" s="221" t="s">
        <v>81</v>
      </c>
      <c r="R120" s="221" t="s">
        <v>81</v>
      </c>
    </row>
    <row r="121" spans="1:18">
      <c r="A121" s="58"/>
      <c r="G121" s="15"/>
      <c r="H121" s="37">
        <v>116</v>
      </c>
      <c r="I121" s="38" t="str">
        <f t="shared" si="7"/>
        <v/>
      </c>
      <c r="J121" s="37">
        <f t="shared" si="10"/>
        <v>-5</v>
      </c>
      <c r="K121" s="37">
        <f t="shared" si="8"/>
        <v>-50</v>
      </c>
      <c r="L121" s="37"/>
      <c r="M121" s="39">
        <f t="shared" si="9"/>
        <v>0</v>
      </c>
      <c r="N121" s="219" t="s">
        <v>81</v>
      </c>
      <c r="O121" s="219" t="s">
        <v>81</v>
      </c>
      <c r="P121" s="220" t="s">
        <v>81</v>
      </c>
      <c r="Q121" s="221" t="s">
        <v>81</v>
      </c>
      <c r="R121" s="221" t="s">
        <v>81</v>
      </c>
    </row>
    <row r="122" spans="1:18">
      <c r="A122" s="58"/>
      <c r="G122" s="15"/>
      <c r="H122" s="37">
        <v>117</v>
      </c>
      <c r="I122" s="38" t="str">
        <f t="shared" si="7"/>
        <v/>
      </c>
      <c r="J122" s="37">
        <f t="shared" si="10"/>
        <v>-5</v>
      </c>
      <c r="K122" s="37">
        <f t="shared" si="8"/>
        <v>-50</v>
      </c>
      <c r="L122" s="37"/>
      <c r="M122" s="39">
        <f t="shared" si="9"/>
        <v>0</v>
      </c>
      <c r="N122" s="219" t="s">
        <v>81</v>
      </c>
      <c r="O122" s="219" t="s">
        <v>81</v>
      </c>
      <c r="P122" s="220" t="s">
        <v>81</v>
      </c>
      <c r="Q122" s="221" t="s">
        <v>81</v>
      </c>
      <c r="R122" s="221" t="s">
        <v>81</v>
      </c>
    </row>
    <row r="123" spans="1:18">
      <c r="A123" s="58"/>
      <c r="G123" s="15"/>
      <c r="H123" s="37">
        <v>118</v>
      </c>
      <c r="I123" s="38" t="str">
        <f t="shared" si="7"/>
        <v/>
      </c>
      <c r="J123" s="37">
        <f t="shared" si="10"/>
        <v>-5</v>
      </c>
      <c r="K123" s="37">
        <f t="shared" si="8"/>
        <v>-50</v>
      </c>
      <c r="L123" s="37"/>
      <c r="M123" s="39">
        <f t="shared" si="9"/>
        <v>0</v>
      </c>
      <c r="N123" s="219" t="s">
        <v>81</v>
      </c>
      <c r="O123" s="219" t="s">
        <v>81</v>
      </c>
      <c r="P123" s="220" t="s">
        <v>81</v>
      </c>
      <c r="Q123" s="221" t="s">
        <v>81</v>
      </c>
      <c r="R123" s="221" t="s">
        <v>81</v>
      </c>
    </row>
    <row r="124" spans="1:18">
      <c r="A124" s="58"/>
      <c r="G124" s="15"/>
      <c r="H124" s="37">
        <v>119</v>
      </c>
      <c r="I124" s="38" t="str">
        <f t="shared" si="7"/>
        <v/>
      </c>
      <c r="J124" s="37">
        <f t="shared" si="10"/>
        <v>-5</v>
      </c>
      <c r="K124" s="37">
        <f t="shared" si="8"/>
        <v>-50</v>
      </c>
      <c r="L124" s="37"/>
      <c r="M124" s="39">
        <f t="shared" si="9"/>
        <v>0</v>
      </c>
      <c r="N124" s="219" t="s">
        <v>81</v>
      </c>
      <c r="O124" s="219" t="s">
        <v>81</v>
      </c>
      <c r="P124" s="220" t="s">
        <v>81</v>
      </c>
      <c r="Q124" s="221" t="s">
        <v>81</v>
      </c>
      <c r="R124" s="221" t="s">
        <v>81</v>
      </c>
    </row>
    <row r="125" spans="1:18">
      <c r="A125" s="58"/>
      <c r="G125" s="15"/>
      <c r="H125" s="37">
        <v>120</v>
      </c>
      <c r="I125" s="38" t="str">
        <f t="shared" si="7"/>
        <v/>
      </c>
      <c r="J125" s="37">
        <f t="shared" si="10"/>
        <v>-5</v>
      </c>
      <c r="K125" s="37">
        <f t="shared" si="8"/>
        <v>-50</v>
      </c>
      <c r="L125" s="37"/>
      <c r="M125" s="39">
        <f t="shared" si="9"/>
        <v>0</v>
      </c>
      <c r="N125" s="219" t="s">
        <v>81</v>
      </c>
      <c r="O125" s="219" t="s">
        <v>81</v>
      </c>
      <c r="P125" s="220" t="s">
        <v>81</v>
      </c>
      <c r="Q125" s="221" t="s">
        <v>81</v>
      </c>
      <c r="R125" s="221" t="s">
        <v>81</v>
      </c>
    </row>
    <row r="126" spans="1:18">
      <c r="A126" s="58"/>
      <c r="G126" s="15"/>
      <c r="H126" s="37">
        <v>121</v>
      </c>
      <c r="I126" s="38" t="str">
        <f t="shared" si="7"/>
        <v/>
      </c>
      <c r="J126" s="37">
        <f t="shared" si="10"/>
        <v>-5</v>
      </c>
      <c r="K126" s="37">
        <f t="shared" si="8"/>
        <v>-50</v>
      </c>
      <c r="L126" s="37"/>
      <c r="M126" s="39">
        <f t="shared" si="9"/>
        <v>0</v>
      </c>
      <c r="N126" s="219" t="s">
        <v>81</v>
      </c>
      <c r="O126" s="219" t="s">
        <v>81</v>
      </c>
      <c r="P126" s="220" t="s">
        <v>81</v>
      </c>
      <c r="Q126" s="221" t="s">
        <v>81</v>
      </c>
      <c r="R126" s="221" t="s">
        <v>81</v>
      </c>
    </row>
    <row r="127" spans="1:18">
      <c r="A127" s="58"/>
      <c r="G127" s="15"/>
      <c r="H127" s="37">
        <v>122</v>
      </c>
      <c r="I127" s="38" t="str">
        <f t="shared" si="7"/>
        <v/>
      </c>
      <c r="J127" s="37">
        <f t="shared" si="10"/>
        <v>-5</v>
      </c>
      <c r="K127" s="37">
        <f t="shared" si="8"/>
        <v>-50</v>
      </c>
      <c r="L127" s="37"/>
      <c r="M127" s="39">
        <f t="shared" si="9"/>
        <v>0</v>
      </c>
      <c r="N127" s="219" t="s">
        <v>81</v>
      </c>
      <c r="O127" s="219" t="s">
        <v>81</v>
      </c>
      <c r="P127" s="220" t="s">
        <v>81</v>
      </c>
      <c r="Q127" s="221" t="s">
        <v>81</v>
      </c>
      <c r="R127" s="221" t="s">
        <v>81</v>
      </c>
    </row>
    <row r="128" spans="1:18">
      <c r="A128" s="58"/>
      <c r="G128" s="15"/>
      <c r="H128" s="37">
        <v>123</v>
      </c>
      <c r="I128" s="38" t="str">
        <f t="shared" si="7"/>
        <v/>
      </c>
      <c r="J128" s="37">
        <f t="shared" si="10"/>
        <v>-5</v>
      </c>
      <c r="K128" s="37">
        <f t="shared" si="8"/>
        <v>-50</v>
      </c>
      <c r="L128" s="37"/>
      <c r="M128" s="39">
        <f t="shared" si="9"/>
        <v>0</v>
      </c>
      <c r="N128" s="219" t="s">
        <v>81</v>
      </c>
      <c r="O128" s="219" t="s">
        <v>81</v>
      </c>
      <c r="P128" s="220" t="s">
        <v>81</v>
      </c>
      <c r="Q128" s="221" t="s">
        <v>81</v>
      </c>
      <c r="R128" s="221" t="s">
        <v>81</v>
      </c>
    </row>
    <row r="129" spans="1:18">
      <c r="A129" s="58"/>
      <c r="G129" s="15"/>
      <c r="H129" s="37">
        <v>124</v>
      </c>
      <c r="I129" s="38" t="str">
        <f t="shared" si="7"/>
        <v/>
      </c>
      <c r="J129" s="37">
        <f t="shared" si="10"/>
        <v>-5</v>
      </c>
      <c r="K129" s="37">
        <f t="shared" si="8"/>
        <v>-50</v>
      </c>
      <c r="L129" s="37"/>
      <c r="M129" s="39">
        <f t="shared" si="9"/>
        <v>0</v>
      </c>
      <c r="N129" s="219" t="s">
        <v>81</v>
      </c>
      <c r="O129" s="219" t="s">
        <v>81</v>
      </c>
      <c r="P129" s="220" t="s">
        <v>81</v>
      </c>
      <c r="Q129" s="221" t="s">
        <v>81</v>
      </c>
      <c r="R129" s="221" t="s">
        <v>81</v>
      </c>
    </row>
    <row r="130" spans="1:18">
      <c r="A130" s="58"/>
      <c r="G130" s="15"/>
      <c r="H130" s="37">
        <v>125</v>
      </c>
      <c r="I130" s="38" t="str">
        <f t="shared" si="7"/>
        <v/>
      </c>
      <c r="J130" s="37">
        <f t="shared" si="10"/>
        <v>-5</v>
      </c>
      <c r="K130" s="37">
        <f t="shared" si="8"/>
        <v>-50</v>
      </c>
      <c r="L130" s="37"/>
      <c r="M130" s="39">
        <f t="shared" si="9"/>
        <v>0</v>
      </c>
      <c r="N130" s="219" t="s">
        <v>81</v>
      </c>
      <c r="O130" s="219" t="s">
        <v>81</v>
      </c>
      <c r="P130" s="220" t="s">
        <v>81</v>
      </c>
      <c r="Q130" s="221" t="s">
        <v>81</v>
      </c>
      <c r="R130" s="221" t="s">
        <v>81</v>
      </c>
    </row>
    <row r="131" spans="1:18">
      <c r="A131" s="58"/>
      <c r="G131" s="15"/>
      <c r="H131" s="37">
        <v>126</v>
      </c>
      <c r="I131" s="38" t="str">
        <f t="shared" si="7"/>
        <v/>
      </c>
      <c r="J131" s="37">
        <f t="shared" si="10"/>
        <v>-5</v>
      </c>
      <c r="K131" s="37">
        <f t="shared" si="8"/>
        <v>-50</v>
      </c>
      <c r="L131" s="37"/>
      <c r="M131" s="39">
        <f t="shared" si="9"/>
        <v>0</v>
      </c>
      <c r="N131" s="219" t="s">
        <v>81</v>
      </c>
      <c r="O131" s="219" t="s">
        <v>81</v>
      </c>
      <c r="P131" s="220" t="s">
        <v>81</v>
      </c>
      <c r="Q131" s="221" t="s">
        <v>81</v>
      </c>
      <c r="R131" s="221" t="s">
        <v>81</v>
      </c>
    </row>
    <row r="132" spans="1:18">
      <c r="A132" s="58"/>
      <c r="G132" s="15"/>
      <c r="H132" s="37">
        <v>127</v>
      </c>
      <c r="I132" s="38" t="str">
        <f t="shared" si="7"/>
        <v/>
      </c>
      <c r="J132" s="37">
        <f t="shared" si="10"/>
        <v>-5</v>
      </c>
      <c r="K132" s="37">
        <f t="shared" si="8"/>
        <v>-50</v>
      </c>
      <c r="L132" s="37"/>
      <c r="M132" s="39">
        <f t="shared" si="9"/>
        <v>0</v>
      </c>
      <c r="N132" s="219" t="s">
        <v>81</v>
      </c>
      <c r="O132" s="219" t="s">
        <v>81</v>
      </c>
      <c r="P132" s="220" t="s">
        <v>81</v>
      </c>
      <c r="Q132" s="221" t="s">
        <v>81</v>
      </c>
      <c r="R132" s="221" t="s">
        <v>81</v>
      </c>
    </row>
    <row r="133" spans="1:18">
      <c r="A133" s="58"/>
      <c r="G133" s="15"/>
      <c r="H133" s="37">
        <v>128</v>
      </c>
      <c r="I133" s="38" t="str">
        <f t="shared" si="7"/>
        <v/>
      </c>
      <c r="J133" s="37">
        <f t="shared" si="10"/>
        <v>-5</v>
      </c>
      <c r="K133" s="37">
        <f t="shared" si="8"/>
        <v>-50</v>
      </c>
      <c r="L133" s="37"/>
      <c r="M133" s="39">
        <f t="shared" si="9"/>
        <v>0</v>
      </c>
      <c r="N133" s="219" t="s">
        <v>81</v>
      </c>
      <c r="O133" s="219" t="s">
        <v>81</v>
      </c>
      <c r="P133" s="220" t="s">
        <v>81</v>
      </c>
      <c r="Q133" s="221" t="s">
        <v>81</v>
      </c>
      <c r="R133" s="221" t="s">
        <v>81</v>
      </c>
    </row>
    <row r="134" spans="1:18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>
        <f t="shared" si="10"/>
        <v>-6</v>
      </c>
      <c r="K134" s="37">
        <f t="shared" ref="K134:K197" si="12">J134*$J$2</f>
        <v>-60</v>
      </c>
      <c r="L134" s="37"/>
      <c r="M134" s="39">
        <f t="shared" ref="M134:M197" si="13">IF(I134&lt;&gt;"",K134+I134+L134,0)</f>
        <v>0</v>
      </c>
      <c r="N134" s="219" t="s">
        <v>81</v>
      </c>
      <c r="O134" s="219" t="s">
        <v>81</v>
      </c>
      <c r="P134" s="220" t="s">
        <v>81</v>
      </c>
      <c r="Q134" s="221" t="s">
        <v>81</v>
      </c>
      <c r="R134" s="221" t="s">
        <v>81</v>
      </c>
    </row>
    <row r="135" spans="1:18">
      <c r="A135" s="58"/>
      <c r="G135" s="15"/>
      <c r="H135" s="37">
        <v>130</v>
      </c>
      <c r="I135" s="38" t="str">
        <f t="shared" si="11"/>
        <v/>
      </c>
      <c r="J135" s="37">
        <f t="shared" ref="J135:J198" si="14">INT(LOG($H$2,2))-ROUNDUP(LOG(H135,2),0)+IF(OR($H$2=1,$H$2=2,$H$2=4,$H$2=8,$H$2=16,$H$2=32,$H$2=64,$H$2=128,$H$2=256),0,1)</f>
        <v>-6</v>
      </c>
      <c r="K135" s="37">
        <f t="shared" si="12"/>
        <v>-60</v>
      </c>
      <c r="L135" s="37"/>
      <c r="M135" s="39">
        <f t="shared" si="13"/>
        <v>0</v>
      </c>
      <c r="N135" s="219" t="s">
        <v>81</v>
      </c>
      <c r="O135" s="219" t="s">
        <v>81</v>
      </c>
      <c r="P135" s="220" t="s">
        <v>81</v>
      </c>
      <c r="Q135" s="221" t="s">
        <v>81</v>
      </c>
      <c r="R135" s="221" t="s">
        <v>81</v>
      </c>
    </row>
    <row r="136" spans="1:18">
      <c r="A136" s="58"/>
      <c r="G136" s="15"/>
      <c r="H136" s="37">
        <v>131</v>
      </c>
      <c r="I136" s="38" t="str">
        <f t="shared" si="11"/>
        <v/>
      </c>
      <c r="J136" s="37">
        <f t="shared" si="14"/>
        <v>-6</v>
      </c>
      <c r="K136" s="37">
        <f t="shared" si="12"/>
        <v>-60</v>
      </c>
      <c r="L136" s="37"/>
      <c r="M136" s="39">
        <f t="shared" si="13"/>
        <v>0</v>
      </c>
      <c r="N136" s="219" t="s">
        <v>81</v>
      </c>
      <c r="O136" s="219" t="s">
        <v>81</v>
      </c>
      <c r="P136" s="220" t="s">
        <v>81</v>
      </c>
      <c r="Q136" s="221" t="s">
        <v>81</v>
      </c>
      <c r="R136" s="221" t="s">
        <v>81</v>
      </c>
    </row>
    <row r="137" spans="1:18">
      <c r="A137" s="58"/>
      <c r="G137" s="15"/>
      <c r="H137" s="37">
        <v>132</v>
      </c>
      <c r="I137" s="38" t="str">
        <f t="shared" si="11"/>
        <v/>
      </c>
      <c r="J137" s="37">
        <f t="shared" si="14"/>
        <v>-6</v>
      </c>
      <c r="K137" s="37">
        <f t="shared" si="12"/>
        <v>-60</v>
      </c>
      <c r="L137" s="37"/>
      <c r="M137" s="39">
        <f t="shared" si="13"/>
        <v>0</v>
      </c>
      <c r="N137" s="219" t="s">
        <v>81</v>
      </c>
      <c r="O137" s="219" t="s">
        <v>81</v>
      </c>
      <c r="P137" s="220" t="s">
        <v>81</v>
      </c>
      <c r="Q137" s="221" t="s">
        <v>81</v>
      </c>
      <c r="R137" s="221" t="s">
        <v>81</v>
      </c>
    </row>
    <row r="138" spans="1:18">
      <c r="A138" s="58"/>
      <c r="G138" s="15"/>
      <c r="H138" s="37">
        <v>133</v>
      </c>
      <c r="I138" s="38" t="str">
        <f t="shared" si="11"/>
        <v/>
      </c>
      <c r="J138" s="37">
        <f t="shared" si="14"/>
        <v>-6</v>
      </c>
      <c r="K138" s="37">
        <f t="shared" si="12"/>
        <v>-60</v>
      </c>
      <c r="L138" s="37"/>
      <c r="M138" s="39">
        <f t="shared" si="13"/>
        <v>0</v>
      </c>
      <c r="N138" s="219" t="s">
        <v>81</v>
      </c>
      <c r="O138" s="219" t="s">
        <v>81</v>
      </c>
      <c r="P138" s="220" t="s">
        <v>81</v>
      </c>
      <c r="Q138" s="221" t="s">
        <v>81</v>
      </c>
      <c r="R138" s="221" t="s">
        <v>81</v>
      </c>
    </row>
    <row r="139" spans="1:18">
      <c r="A139" s="58"/>
      <c r="G139" s="15"/>
      <c r="H139" s="37">
        <v>134</v>
      </c>
      <c r="I139" s="38" t="str">
        <f t="shared" si="11"/>
        <v/>
      </c>
      <c r="J139" s="37">
        <f t="shared" si="14"/>
        <v>-6</v>
      </c>
      <c r="K139" s="37">
        <f t="shared" si="12"/>
        <v>-60</v>
      </c>
      <c r="L139" s="37"/>
      <c r="M139" s="39">
        <f t="shared" si="13"/>
        <v>0</v>
      </c>
      <c r="N139" s="219" t="s">
        <v>81</v>
      </c>
      <c r="O139" s="219" t="s">
        <v>81</v>
      </c>
      <c r="P139" s="220" t="s">
        <v>81</v>
      </c>
      <c r="Q139" s="221" t="s">
        <v>81</v>
      </c>
      <c r="R139" s="221" t="s">
        <v>81</v>
      </c>
    </row>
    <row r="140" spans="1:18">
      <c r="A140" s="58"/>
      <c r="G140" s="15"/>
      <c r="H140" s="37">
        <v>135</v>
      </c>
      <c r="I140" s="38" t="str">
        <f t="shared" si="11"/>
        <v/>
      </c>
      <c r="J140" s="37">
        <f t="shared" si="14"/>
        <v>-6</v>
      </c>
      <c r="K140" s="37">
        <f t="shared" si="12"/>
        <v>-60</v>
      </c>
      <c r="L140" s="37"/>
      <c r="M140" s="39">
        <f t="shared" si="13"/>
        <v>0</v>
      </c>
      <c r="N140" s="219" t="s">
        <v>81</v>
      </c>
      <c r="O140" s="219" t="s">
        <v>81</v>
      </c>
      <c r="P140" s="220" t="s">
        <v>81</v>
      </c>
      <c r="Q140" s="221" t="s">
        <v>81</v>
      </c>
      <c r="R140" s="221" t="s">
        <v>81</v>
      </c>
    </row>
    <row r="141" spans="1:18">
      <c r="A141" s="58"/>
      <c r="G141" s="15"/>
      <c r="H141" s="37">
        <v>136</v>
      </c>
      <c r="I141" s="38" t="str">
        <f t="shared" si="11"/>
        <v/>
      </c>
      <c r="J141" s="37">
        <f t="shared" si="14"/>
        <v>-6</v>
      </c>
      <c r="K141" s="37">
        <f t="shared" si="12"/>
        <v>-60</v>
      </c>
      <c r="L141" s="37"/>
      <c r="M141" s="39">
        <f t="shared" si="13"/>
        <v>0</v>
      </c>
      <c r="N141" s="219" t="s">
        <v>81</v>
      </c>
      <c r="O141" s="219" t="s">
        <v>81</v>
      </c>
      <c r="P141" s="220" t="s">
        <v>81</v>
      </c>
      <c r="Q141" s="221" t="s">
        <v>81</v>
      </c>
      <c r="R141" s="221" t="s">
        <v>81</v>
      </c>
    </row>
    <row r="142" spans="1:18">
      <c r="A142" s="58"/>
      <c r="G142" s="15"/>
      <c r="H142" s="37">
        <v>137</v>
      </c>
      <c r="I142" s="38" t="str">
        <f t="shared" si="11"/>
        <v/>
      </c>
      <c r="J142" s="37">
        <f t="shared" si="14"/>
        <v>-6</v>
      </c>
      <c r="K142" s="37">
        <f t="shared" si="12"/>
        <v>-60</v>
      </c>
      <c r="L142" s="37"/>
      <c r="M142" s="39">
        <f t="shared" si="13"/>
        <v>0</v>
      </c>
      <c r="N142" s="219" t="s">
        <v>81</v>
      </c>
      <c r="O142" s="219" t="s">
        <v>81</v>
      </c>
      <c r="P142" s="220" t="s">
        <v>81</v>
      </c>
      <c r="Q142" s="221" t="s">
        <v>81</v>
      </c>
      <c r="R142" s="221" t="s">
        <v>81</v>
      </c>
    </row>
    <row r="143" spans="1:18">
      <c r="A143" s="58"/>
      <c r="G143" s="15"/>
      <c r="H143" s="37">
        <v>138</v>
      </c>
      <c r="I143" s="38" t="str">
        <f t="shared" si="11"/>
        <v/>
      </c>
      <c r="J143" s="37">
        <f t="shared" si="14"/>
        <v>-6</v>
      </c>
      <c r="K143" s="37">
        <f t="shared" si="12"/>
        <v>-60</v>
      </c>
      <c r="L143" s="37"/>
      <c r="M143" s="39">
        <f t="shared" si="13"/>
        <v>0</v>
      </c>
      <c r="N143" s="219" t="s">
        <v>81</v>
      </c>
      <c r="O143" s="219" t="s">
        <v>81</v>
      </c>
      <c r="P143" s="220" t="s">
        <v>81</v>
      </c>
      <c r="Q143" s="221" t="s">
        <v>81</v>
      </c>
      <c r="R143" s="221" t="s">
        <v>81</v>
      </c>
    </row>
    <row r="144" spans="1:18">
      <c r="A144" s="58"/>
      <c r="G144" s="15"/>
      <c r="H144" s="37">
        <v>139</v>
      </c>
      <c r="I144" s="38" t="str">
        <f t="shared" si="11"/>
        <v/>
      </c>
      <c r="J144" s="37">
        <f t="shared" si="14"/>
        <v>-6</v>
      </c>
      <c r="K144" s="37">
        <f t="shared" si="12"/>
        <v>-60</v>
      </c>
      <c r="L144" s="37"/>
      <c r="M144" s="39">
        <f t="shared" si="13"/>
        <v>0</v>
      </c>
      <c r="N144" s="219" t="s">
        <v>81</v>
      </c>
      <c r="O144" s="219" t="s">
        <v>81</v>
      </c>
      <c r="P144" s="220" t="s">
        <v>81</v>
      </c>
      <c r="Q144" s="221" t="s">
        <v>81</v>
      </c>
      <c r="R144" s="221" t="s">
        <v>81</v>
      </c>
    </row>
    <row r="145" spans="1:18">
      <c r="A145" s="58"/>
      <c r="G145" s="15"/>
      <c r="H145" s="37">
        <v>140</v>
      </c>
      <c r="I145" s="38" t="str">
        <f t="shared" si="11"/>
        <v/>
      </c>
      <c r="J145" s="37">
        <f t="shared" si="14"/>
        <v>-6</v>
      </c>
      <c r="K145" s="37">
        <f t="shared" si="12"/>
        <v>-60</v>
      </c>
      <c r="L145" s="37"/>
      <c r="M145" s="39">
        <f t="shared" si="13"/>
        <v>0</v>
      </c>
      <c r="N145" s="219" t="s">
        <v>81</v>
      </c>
      <c r="O145" s="219" t="s">
        <v>81</v>
      </c>
      <c r="P145" s="220" t="s">
        <v>81</v>
      </c>
      <c r="Q145" s="221" t="s">
        <v>81</v>
      </c>
      <c r="R145" s="221" t="s">
        <v>81</v>
      </c>
    </row>
    <row r="146" spans="1:18">
      <c r="A146" s="58"/>
      <c r="G146" s="15"/>
      <c r="H146" s="37">
        <v>141</v>
      </c>
      <c r="I146" s="38" t="str">
        <f t="shared" si="11"/>
        <v/>
      </c>
      <c r="J146" s="37">
        <f t="shared" si="14"/>
        <v>-6</v>
      </c>
      <c r="K146" s="37">
        <f t="shared" si="12"/>
        <v>-60</v>
      </c>
      <c r="L146" s="37"/>
      <c r="M146" s="39">
        <f t="shared" si="13"/>
        <v>0</v>
      </c>
      <c r="N146" s="219" t="s">
        <v>81</v>
      </c>
      <c r="O146" s="219" t="s">
        <v>81</v>
      </c>
      <c r="P146" s="220" t="s">
        <v>81</v>
      </c>
      <c r="Q146" s="221" t="s">
        <v>81</v>
      </c>
      <c r="R146" s="221" t="s">
        <v>81</v>
      </c>
    </row>
    <row r="147" spans="1:18">
      <c r="A147" s="58"/>
      <c r="G147" s="15"/>
      <c r="H147" s="37">
        <v>142</v>
      </c>
      <c r="I147" s="38" t="str">
        <f t="shared" si="11"/>
        <v/>
      </c>
      <c r="J147" s="37">
        <f t="shared" si="14"/>
        <v>-6</v>
      </c>
      <c r="K147" s="37">
        <f t="shared" si="12"/>
        <v>-60</v>
      </c>
      <c r="L147" s="37"/>
      <c r="M147" s="39">
        <f t="shared" si="13"/>
        <v>0</v>
      </c>
      <c r="N147" s="219" t="s">
        <v>81</v>
      </c>
      <c r="O147" s="219" t="s">
        <v>81</v>
      </c>
      <c r="P147" s="220" t="s">
        <v>81</v>
      </c>
      <c r="Q147" s="221" t="s">
        <v>81</v>
      </c>
      <c r="R147" s="221" t="s">
        <v>81</v>
      </c>
    </row>
    <row r="148" spans="1:18">
      <c r="A148" s="58"/>
      <c r="G148" s="15"/>
      <c r="H148" s="37">
        <v>143</v>
      </c>
      <c r="I148" s="38" t="str">
        <f t="shared" si="11"/>
        <v/>
      </c>
      <c r="J148" s="37">
        <f t="shared" si="14"/>
        <v>-6</v>
      </c>
      <c r="K148" s="37">
        <f t="shared" si="12"/>
        <v>-60</v>
      </c>
      <c r="L148" s="37"/>
      <c r="M148" s="39">
        <f t="shared" si="13"/>
        <v>0</v>
      </c>
      <c r="N148" s="219" t="s">
        <v>81</v>
      </c>
      <c r="O148" s="219" t="s">
        <v>81</v>
      </c>
      <c r="P148" s="220" t="s">
        <v>81</v>
      </c>
      <c r="Q148" s="221" t="s">
        <v>81</v>
      </c>
      <c r="R148" s="221" t="s">
        <v>81</v>
      </c>
    </row>
    <row r="149" spans="1:18">
      <c r="A149" s="58"/>
      <c r="G149" s="15"/>
      <c r="H149" s="37">
        <v>144</v>
      </c>
      <c r="I149" s="38" t="str">
        <f t="shared" si="11"/>
        <v/>
      </c>
      <c r="J149" s="37">
        <f t="shared" si="14"/>
        <v>-6</v>
      </c>
      <c r="K149" s="37">
        <f t="shared" si="12"/>
        <v>-60</v>
      </c>
      <c r="L149" s="37"/>
      <c r="M149" s="39">
        <f t="shared" si="13"/>
        <v>0</v>
      </c>
      <c r="N149" s="219" t="s">
        <v>81</v>
      </c>
      <c r="O149" s="219" t="s">
        <v>81</v>
      </c>
      <c r="P149" s="220" t="s">
        <v>81</v>
      </c>
      <c r="Q149" s="221" t="s">
        <v>81</v>
      </c>
      <c r="R149" s="221" t="s">
        <v>81</v>
      </c>
    </row>
    <row r="150" spans="1:18">
      <c r="A150" s="58"/>
      <c r="G150" s="15"/>
      <c r="H150" s="37">
        <v>145</v>
      </c>
      <c r="I150" s="38" t="str">
        <f t="shared" si="11"/>
        <v/>
      </c>
      <c r="J150" s="37">
        <f t="shared" si="14"/>
        <v>-6</v>
      </c>
      <c r="K150" s="37">
        <f t="shared" si="12"/>
        <v>-60</v>
      </c>
      <c r="L150" s="37"/>
      <c r="M150" s="39">
        <f t="shared" si="13"/>
        <v>0</v>
      </c>
      <c r="N150" s="219" t="s">
        <v>81</v>
      </c>
      <c r="O150" s="219" t="s">
        <v>81</v>
      </c>
      <c r="P150" s="220" t="s">
        <v>81</v>
      </c>
      <c r="Q150" s="221" t="s">
        <v>81</v>
      </c>
      <c r="R150" s="221" t="s">
        <v>81</v>
      </c>
    </row>
    <row r="151" spans="1:18">
      <c r="A151" s="58"/>
      <c r="G151" s="15"/>
      <c r="H151" s="37">
        <v>146</v>
      </c>
      <c r="I151" s="38" t="str">
        <f t="shared" si="11"/>
        <v/>
      </c>
      <c r="J151" s="37">
        <f t="shared" si="14"/>
        <v>-6</v>
      </c>
      <c r="K151" s="37">
        <f t="shared" si="12"/>
        <v>-60</v>
      </c>
      <c r="L151" s="37"/>
      <c r="M151" s="39">
        <f t="shared" si="13"/>
        <v>0</v>
      </c>
      <c r="N151" s="219" t="s">
        <v>81</v>
      </c>
      <c r="O151" s="219" t="s">
        <v>81</v>
      </c>
      <c r="P151" s="220" t="s">
        <v>81</v>
      </c>
      <c r="Q151" s="221" t="s">
        <v>81</v>
      </c>
      <c r="R151" s="221" t="s">
        <v>81</v>
      </c>
    </row>
    <row r="152" spans="1:18">
      <c r="A152" s="58"/>
      <c r="G152" s="15"/>
      <c r="H152" s="37">
        <v>147</v>
      </c>
      <c r="I152" s="38" t="str">
        <f t="shared" si="11"/>
        <v/>
      </c>
      <c r="J152" s="37">
        <f t="shared" si="14"/>
        <v>-6</v>
      </c>
      <c r="K152" s="37">
        <f t="shared" si="12"/>
        <v>-60</v>
      </c>
      <c r="L152" s="37"/>
      <c r="M152" s="39">
        <f t="shared" si="13"/>
        <v>0</v>
      </c>
      <c r="N152" s="219" t="s">
        <v>81</v>
      </c>
      <c r="O152" s="219" t="s">
        <v>81</v>
      </c>
      <c r="P152" s="220" t="s">
        <v>81</v>
      </c>
      <c r="Q152" s="221" t="s">
        <v>81</v>
      </c>
      <c r="R152" s="221" t="s">
        <v>81</v>
      </c>
    </row>
    <row r="153" spans="1:18">
      <c r="A153" s="58"/>
      <c r="G153" s="15"/>
      <c r="H153" s="37">
        <v>148</v>
      </c>
      <c r="I153" s="38" t="str">
        <f t="shared" si="11"/>
        <v/>
      </c>
      <c r="J153" s="37">
        <f t="shared" si="14"/>
        <v>-6</v>
      </c>
      <c r="K153" s="37">
        <f t="shared" si="12"/>
        <v>-60</v>
      </c>
      <c r="L153" s="37"/>
      <c r="M153" s="39">
        <f t="shared" si="13"/>
        <v>0</v>
      </c>
      <c r="N153" s="219" t="s">
        <v>81</v>
      </c>
      <c r="O153" s="219" t="s">
        <v>81</v>
      </c>
      <c r="P153" s="220" t="s">
        <v>81</v>
      </c>
      <c r="Q153" s="221" t="s">
        <v>81</v>
      </c>
      <c r="R153" s="221" t="s">
        <v>81</v>
      </c>
    </row>
    <row r="154" spans="1:18">
      <c r="A154" s="58"/>
      <c r="G154" s="15"/>
      <c r="H154" s="37">
        <v>149</v>
      </c>
      <c r="I154" s="38" t="str">
        <f t="shared" si="11"/>
        <v/>
      </c>
      <c r="J154" s="37">
        <f t="shared" si="14"/>
        <v>-6</v>
      </c>
      <c r="K154" s="37">
        <f t="shared" si="12"/>
        <v>-60</v>
      </c>
      <c r="L154" s="37"/>
      <c r="M154" s="39">
        <f t="shared" si="13"/>
        <v>0</v>
      </c>
      <c r="N154" s="219" t="s">
        <v>81</v>
      </c>
      <c r="O154" s="219" t="s">
        <v>81</v>
      </c>
      <c r="P154" s="220" t="s">
        <v>81</v>
      </c>
      <c r="Q154" s="221" t="s">
        <v>81</v>
      </c>
      <c r="R154" s="221" t="s">
        <v>81</v>
      </c>
    </row>
    <row r="155" spans="1:18">
      <c r="A155" s="58"/>
      <c r="G155" s="15"/>
      <c r="H155" s="37">
        <v>150</v>
      </c>
      <c r="I155" s="38" t="str">
        <f t="shared" si="11"/>
        <v/>
      </c>
      <c r="J155" s="37">
        <f t="shared" si="14"/>
        <v>-6</v>
      </c>
      <c r="K155" s="37">
        <f t="shared" si="12"/>
        <v>-60</v>
      </c>
      <c r="L155" s="37"/>
      <c r="M155" s="39">
        <f t="shared" si="13"/>
        <v>0</v>
      </c>
      <c r="N155" s="219" t="s">
        <v>81</v>
      </c>
      <c r="O155" s="219" t="s">
        <v>81</v>
      </c>
      <c r="P155" s="220" t="s">
        <v>81</v>
      </c>
      <c r="Q155" s="221" t="s">
        <v>81</v>
      </c>
      <c r="R155" s="221" t="s">
        <v>81</v>
      </c>
    </row>
    <row r="156" spans="1:18">
      <c r="A156" s="58"/>
      <c r="G156" s="15"/>
      <c r="H156" s="37">
        <v>151</v>
      </c>
      <c r="I156" s="38" t="str">
        <f t="shared" si="11"/>
        <v/>
      </c>
      <c r="J156" s="37">
        <f t="shared" si="14"/>
        <v>-6</v>
      </c>
      <c r="K156" s="37">
        <f t="shared" si="12"/>
        <v>-60</v>
      </c>
      <c r="L156" s="37"/>
      <c r="M156" s="39">
        <f t="shared" si="13"/>
        <v>0</v>
      </c>
      <c r="N156" s="219" t="s">
        <v>81</v>
      </c>
      <c r="O156" s="219" t="s">
        <v>81</v>
      </c>
      <c r="P156" s="220" t="s">
        <v>81</v>
      </c>
      <c r="Q156" s="221" t="s">
        <v>81</v>
      </c>
      <c r="R156" s="221" t="s">
        <v>81</v>
      </c>
    </row>
    <row r="157" spans="1:18">
      <c r="A157" s="58"/>
      <c r="G157" s="15"/>
      <c r="H157" s="37">
        <v>152</v>
      </c>
      <c r="I157" s="38" t="str">
        <f t="shared" si="11"/>
        <v/>
      </c>
      <c r="J157" s="37">
        <f t="shared" si="14"/>
        <v>-6</v>
      </c>
      <c r="K157" s="37">
        <f t="shared" si="12"/>
        <v>-60</v>
      </c>
      <c r="L157" s="37"/>
      <c r="M157" s="39">
        <f t="shared" si="13"/>
        <v>0</v>
      </c>
      <c r="N157" s="219" t="s">
        <v>81</v>
      </c>
      <c r="O157" s="219" t="s">
        <v>81</v>
      </c>
      <c r="P157" s="220" t="s">
        <v>81</v>
      </c>
      <c r="Q157" s="221" t="s">
        <v>81</v>
      </c>
      <c r="R157" s="221" t="s">
        <v>81</v>
      </c>
    </row>
    <row r="158" spans="1:18">
      <c r="A158" s="58"/>
      <c r="G158" s="15"/>
      <c r="H158" s="37">
        <v>153</v>
      </c>
      <c r="I158" s="38" t="str">
        <f t="shared" si="11"/>
        <v/>
      </c>
      <c r="J158" s="37">
        <f t="shared" si="14"/>
        <v>-6</v>
      </c>
      <c r="K158" s="37">
        <f t="shared" si="12"/>
        <v>-60</v>
      </c>
      <c r="L158" s="37"/>
      <c r="M158" s="39">
        <f t="shared" si="13"/>
        <v>0</v>
      </c>
      <c r="N158" s="219" t="s">
        <v>81</v>
      </c>
      <c r="O158" s="219" t="s">
        <v>81</v>
      </c>
      <c r="P158" s="220" t="s">
        <v>81</v>
      </c>
      <c r="Q158" s="221" t="s">
        <v>81</v>
      </c>
      <c r="R158" s="221" t="s">
        <v>81</v>
      </c>
    </row>
    <row r="159" spans="1:18">
      <c r="A159" s="58"/>
      <c r="G159" s="15"/>
      <c r="H159" s="37">
        <v>154</v>
      </c>
      <c r="I159" s="38" t="str">
        <f t="shared" si="11"/>
        <v/>
      </c>
      <c r="J159" s="37">
        <f t="shared" si="14"/>
        <v>-6</v>
      </c>
      <c r="K159" s="37">
        <f t="shared" si="12"/>
        <v>-60</v>
      </c>
      <c r="L159" s="37"/>
      <c r="M159" s="39">
        <f t="shared" si="13"/>
        <v>0</v>
      </c>
      <c r="N159" s="219" t="s">
        <v>81</v>
      </c>
      <c r="O159" s="219" t="s">
        <v>81</v>
      </c>
      <c r="P159" s="220" t="s">
        <v>81</v>
      </c>
      <c r="Q159" s="221" t="s">
        <v>81</v>
      </c>
      <c r="R159" s="221" t="s">
        <v>81</v>
      </c>
    </row>
    <row r="160" spans="1:18">
      <c r="A160" s="58"/>
      <c r="G160" s="15"/>
      <c r="H160" s="37">
        <v>155</v>
      </c>
      <c r="I160" s="38" t="str">
        <f t="shared" si="11"/>
        <v/>
      </c>
      <c r="J160" s="37">
        <f t="shared" si="14"/>
        <v>-6</v>
      </c>
      <c r="K160" s="37">
        <f t="shared" si="12"/>
        <v>-60</v>
      </c>
      <c r="L160" s="37"/>
      <c r="M160" s="39">
        <f t="shared" si="13"/>
        <v>0</v>
      </c>
      <c r="N160" s="219" t="s">
        <v>81</v>
      </c>
      <c r="O160" s="219" t="s">
        <v>81</v>
      </c>
      <c r="P160" s="220" t="s">
        <v>81</v>
      </c>
      <c r="Q160" s="221" t="s">
        <v>81</v>
      </c>
      <c r="R160" s="221" t="s">
        <v>81</v>
      </c>
    </row>
    <row r="161" spans="1:18">
      <c r="A161" s="58"/>
      <c r="G161" s="15"/>
      <c r="H161" s="37">
        <v>156</v>
      </c>
      <c r="I161" s="38" t="str">
        <f t="shared" si="11"/>
        <v/>
      </c>
      <c r="J161" s="37">
        <f t="shared" si="14"/>
        <v>-6</v>
      </c>
      <c r="K161" s="37">
        <f t="shared" si="12"/>
        <v>-60</v>
      </c>
      <c r="L161" s="37"/>
      <c r="M161" s="39">
        <f t="shared" si="13"/>
        <v>0</v>
      </c>
      <c r="N161" s="219" t="s">
        <v>81</v>
      </c>
      <c r="O161" s="219" t="s">
        <v>81</v>
      </c>
      <c r="P161" s="220" t="s">
        <v>81</v>
      </c>
      <c r="Q161" s="221" t="s">
        <v>81</v>
      </c>
      <c r="R161" s="221" t="s">
        <v>81</v>
      </c>
    </row>
    <row r="162" spans="1:18">
      <c r="A162" s="58"/>
      <c r="G162" s="15"/>
      <c r="H162" s="37">
        <v>157</v>
      </c>
      <c r="I162" s="38" t="str">
        <f t="shared" si="11"/>
        <v/>
      </c>
      <c r="J162" s="37">
        <f t="shared" si="14"/>
        <v>-6</v>
      </c>
      <c r="K162" s="37">
        <f t="shared" si="12"/>
        <v>-60</v>
      </c>
      <c r="L162" s="37"/>
      <c r="M162" s="39">
        <f t="shared" si="13"/>
        <v>0</v>
      </c>
      <c r="N162" s="219" t="s">
        <v>81</v>
      </c>
      <c r="O162" s="219" t="s">
        <v>81</v>
      </c>
      <c r="P162" s="220" t="s">
        <v>81</v>
      </c>
      <c r="Q162" s="221" t="s">
        <v>81</v>
      </c>
      <c r="R162" s="221" t="s">
        <v>81</v>
      </c>
    </row>
    <row r="163" spans="1:18">
      <c r="A163" s="58"/>
      <c r="G163" s="15"/>
      <c r="H163" s="37">
        <v>158</v>
      </c>
      <c r="I163" s="38" t="str">
        <f t="shared" si="11"/>
        <v/>
      </c>
      <c r="J163" s="37">
        <f t="shared" si="14"/>
        <v>-6</v>
      </c>
      <c r="K163" s="37">
        <f t="shared" si="12"/>
        <v>-60</v>
      </c>
      <c r="L163" s="37"/>
      <c r="M163" s="39">
        <f t="shared" si="13"/>
        <v>0</v>
      </c>
      <c r="N163" s="219" t="s">
        <v>81</v>
      </c>
      <c r="O163" s="219" t="s">
        <v>81</v>
      </c>
      <c r="P163" s="220" t="s">
        <v>81</v>
      </c>
      <c r="Q163" s="221" t="s">
        <v>81</v>
      </c>
      <c r="R163" s="221" t="s">
        <v>81</v>
      </c>
    </row>
    <row r="164" spans="1:18">
      <c r="A164" s="58"/>
      <c r="G164" s="15"/>
      <c r="H164" s="37">
        <v>159</v>
      </c>
      <c r="I164" s="38" t="str">
        <f t="shared" si="11"/>
        <v/>
      </c>
      <c r="J164" s="37">
        <f t="shared" si="14"/>
        <v>-6</v>
      </c>
      <c r="K164" s="37">
        <f t="shared" si="12"/>
        <v>-60</v>
      </c>
      <c r="L164" s="37"/>
      <c r="M164" s="39">
        <f t="shared" si="13"/>
        <v>0</v>
      </c>
      <c r="N164" s="219" t="s">
        <v>81</v>
      </c>
      <c r="O164" s="219" t="s">
        <v>81</v>
      </c>
      <c r="P164" s="220" t="s">
        <v>81</v>
      </c>
      <c r="Q164" s="221" t="s">
        <v>81</v>
      </c>
      <c r="R164" s="221" t="s">
        <v>81</v>
      </c>
    </row>
    <row r="165" spans="1:18">
      <c r="A165" s="58"/>
      <c r="G165" s="15"/>
      <c r="H165" s="37">
        <v>160</v>
      </c>
      <c r="I165" s="38" t="str">
        <f t="shared" si="11"/>
        <v/>
      </c>
      <c r="J165" s="37">
        <f t="shared" si="14"/>
        <v>-6</v>
      </c>
      <c r="K165" s="37">
        <f t="shared" si="12"/>
        <v>-60</v>
      </c>
      <c r="L165" s="37"/>
      <c r="M165" s="39">
        <f t="shared" si="13"/>
        <v>0</v>
      </c>
      <c r="N165" s="219" t="s">
        <v>81</v>
      </c>
      <c r="O165" s="219" t="s">
        <v>81</v>
      </c>
      <c r="P165" s="220" t="s">
        <v>81</v>
      </c>
      <c r="Q165" s="221" t="s">
        <v>81</v>
      </c>
      <c r="R165" s="221" t="s">
        <v>81</v>
      </c>
    </row>
    <row r="166" spans="1:18">
      <c r="A166" s="58"/>
      <c r="G166" s="15"/>
      <c r="H166" s="37">
        <v>161</v>
      </c>
      <c r="I166" s="38" t="str">
        <f t="shared" si="11"/>
        <v/>
      </c>
      <c r="J166" s="37">
        <f t="shared" si="14"/>
        <v>-6</v>
      </c>
      <c r="K166" s="37">
        <f t="shared" si="12"/>
        <v>-60</v>
      </c>
      <c r="L166" s="37"/>
      <c r="M166" s="39">
        <f t="shared" si="13"/>
        <v>0</v>
      </c>
      <c r="N166" s="219" t="s">
        <v>81</v>
      </c>
      <c r="O166" s="219" t="s">
        <v>81</v>
      </c>
      <c r="P166" s="220" t="s">
        <v>81</v>
      </c>
      <c r="Q166" s="221" t="s">
        <v>81</v>
      </c>
      <c r="R166" s="221" t="s">
        <v>81</v>
      </c>
    </row>
    <row r="167" spans="1:18">
      <c r="A167" s="58"/>
      <c r="G167" s="15"/>
      <c r="H167" s="37">
        <v>162</v>
      </c>
      <c r="I167" s="38" t="str">
        <f t="shared" si="11"/>
        <v/>
      </c>
      <c r="J167" s="37">
        <f t="shared" si="14"/>
        <v>-6</v>
      </c>
      <c r="K167" s="37">
        <f t="shared" si="12"/>
        <v>-60</v>
      </c>
      <c r="L167" s="37"/>
      <c r="M167" s="39">
        <f t="shared" si="13"/>
        <v>0</v>
      </c>
      <c r="N167" s="219" t="s">
        <v>81</v>
      </c>
      <c r="O167" s="219" t="s">
        <v>81</v>
      </c>
      <c r="P167" s="220" t="s">
        <v>81</v>
      </c>
      <c r="Q167" s="221" t="s">
        <v>81</v>
      </c>
      <c r="R167" s="221" t="s">
        <v>81</v>
      </c>
    </row>
    <row r="168" spans="1:18">
      <c r="A168" s="58"/>
      <c r="G168" s="15"/>
      <c r="H168" s="37">
        <v>163</v>
      </c>
      <c r="I168" s="38" t="str">
        <f t="shared" si="11"/>
        <v/>
      </c>
      <c r="J168" s="37">
        <f t="shared" si="14"/>
        <v>-6</v>
      </c>
      <c r="K168" s="37">
        <f t="shared" si="12"/>
        <v>-60</v>
      </c>
      <c r="L168" s="37"/>
      <c r="M168" s="39">
        <f t="shared" si="13"/>
        <v>0</v>
      </c>
      <c r="N168" s="219" t="s">
        <v>81</v>
      </c>
      <c r="O168" s="219" t="s">
        <v>81</v>
      </c>
      <c r="P168" s="220" t="s">
        <v>81</v>
      </c>
      <c r="Q168" s="221" t="s">
        <v>81</v>
      </c>
      <c r="R168" s="221" t="s">
        <v>81</v>
      </c>
    </row>
    <row r="169" spans="1:18">
      <c r="A169" s="58"/>
      <c r="G169" s="15"/>
      <c r="H169" s="37">
        <v>164</v>
      </c>
      <c r="I169" s="38" t="str">
        <f t="shared" si="11"/>
        <v/>
      </c>
      <c r="J169" s="37">
        <f t="shared" si="14"/>
        <v>-6</v>
      </c>
      <c r="K169" s="37">
        <f t="shared" si="12"/>
        <v>-60</v>
      </c>
      <c r="L169" s="37"/>
      <c r="M169" s="39">
        <f t="shared" si="13"/>
        <v>0</v>
      </c>
      <c r="N169" s="219" t="s">
        <v>81</v>
      </c>
      <c r="O169" s="219" t="s">
        <v>81</v>
      </c>
      <c r="P169" s="220" t="s">
        <v>81</v>
      </c>
      <c r="Q169" s="221" t="s">
        <v>81</v>
      </c>
      <c r="R169" s="221" t="s">
        <v>81</v>
      </c>
    </row>
    <row r="170" spans="1:18">
      <c r="A170" s="58"/>
      <c r="G170" s="15"/>
      <c r="H170" s="37">
        <v>165</v>
      </c>
      <c r="I170" s="38" t="str">
        <f t="shared" si="11"/>
        <v/>
      </c>
      <c r="J170" s="37">
        <f t="shared" si="14"/>
        <v>-6</v>
      </c>
      <c r="K170" s="37">
        <f t="shared" si="12"/>
        <v>-60</v>
      </c>
      <c r="L170" s="37"/>
      <c r="M170" s="39">
        <f t="shared" si="13"/>
        <v>0</v>
      </c>
      <c r="N170" s="219" t="s">
        <v>81</v>
      </c>
      <c r="O170" s="219" t="s">
        <v>81</v>
      </c>
      <c r="P170" s="220" t="s">
        <v>81</v>
      </c>
      <c r="Q170" s="221" t="s">
        <v>81</v>
      </c>
      <c r="R170" s="221" t="s">
        <v>81</v>
      </c>
    </row>
    <row r="171" spans="1:18">
      <c r="A171" s="58"/>
      <c r="G171" s="15"/>
      <c r="H171" s="37">
        <v>166</v>
      </c>
      <c r="I171" s="38" t="str">
        <f t="shared" si="11"/>
        <v/>
      </c>
      <c r="J171" s="37">
        <f t="shared" si="14"/>
        <v>-6</v>
      </c>
      <c r="K171" s="37">
        <f t="shared" si="12"/>
        <v>-60</v>
      </c>
      <c r="L171" s="37"/>
      <c r="M171" s="39">
        <f t="shared" si="13"/>
        <v>0</v>
      </c>
      <c r="N171" s="219" t="s">
        <v>81</v>
      </c>
      <c r="O171" s="219" t="s">
        <v>81</v>
      </c>
      <c r="P171" s="220" t="s">
        <v>81</v>
      </c>
      <c r="Q171" s="221" t="s">
        <v>81</v>
      </c>
      <c r="R171" s="221" t="s">
        <v>81</v>
      </c>
    </row>
    <row r="172" spans="1:18">
      <c r="A172" s="58"/>
      <c r="G172" s="15"/>
      <c r="H172" s="37">
        <v>167</v>
      </c>
      <c r="I172" s="38" t="str">
        <f t="shared" si="11"/>
        <v/>
      </c>
      <c r="J172" s="37">
        <f t="shared" si="14"/>
        <v>-6</v>
      </c>
      <c r="K172" s="37">
        <f t="shared" si="12"/>
        <v>-60</v>
      </c>
      <c r="L172" s="37"/>
      <c r="M172" s="39">
        <f t="shared" si="13"/>
        <v>0</v>
      </c>
      <c r="N172" s="219" t="s">
        <v>81</v>
      </c>
      <c r="O172" s="219" t="s">
        <v>81</v>
      </c>
      <c r="P172" s="220" t="s">
        <v>81</v>
      </c>
      <c r="Q172" s="221" t="s">
        <v>81</v>
      </c>
      <c r="R172" s="221" t="s">
        <v>81</v>
      </c>
    </row>
    <row r="173" spans="1:18">
      <c r="A173" s="58"/>
      <c r="G173" s="15"/>
      <c r="H173" s="37">
        <v>168</v>
      </c>
      <c r="I173" s="38" t="str">
        <f t="shared" si="11"/>
        <v/>
      </c>
      <c r="J173" s="37">
        <f t="shared" si="14"/>
        <v>-6</v>
      </c>
      <c r="K173" s="37">
        <f t="shared" si="12"/>
        <v>-60</v>
      </c>
      <c r="L173" s="37"/>
      <c r="M173" s="39">
        <f t="shared" si="13"/>
        <v>0</v>
      </c>
      <c r="N173" s="219" t="s">
        <v>81</v>
      </c>
      <c r="O173" s="219" t="s">
        <v>81</v>
      </c>
      <c r="P173" s="220" t="s">
        <v>81</v>
      </c>
      <c r="Q173" s="221" t="s">
        <v>81</v>
      </c>
      <c r="R173" s="221" t="s">
        <v>81</v>
      </c>
    </row>
    <row r="174" spans="1:18">
      <c r="A174" s="58"/>
      <c r="G174" s="15"/>
      <c r="H174" s="37">
        <v>169</v>
      </c>
      <c r="I174" s="38" t="str">
        <f t="shared" si="11"/>
        <v/>
      </c>
      <c r="J174" s="37">
        <f t="shared" si="14"/>
        <v>-6</v>
      </c>
      <c r="K174" s="37">
        <f t="shared" si="12"/>
        <v>-60</v>
      </c>
      <c r="L174" s="37"/>
      <c r="M174" s="39">
        <f t="shared" si="13"/>
        <v>0</v>
      </c>
      <c r="N174" s="219" t="s">
        <v>81</v>
      </c>
      <c r="O174" s="219" t="s">
        <v>81</v>
      </c>
      <c r="P174" s="220" t="s">
        <v>81</v>
      </c>
      <c r="Q174" s="221" t="s">
        <v>81</v>
      </c>
      <c r="R174" s="221" t="s">
        <v>81</v>
      </c>
    </row>
    <row r="175" spans="1:18">
      <c r="A175" s="58"/>
      <c r="G175" s="15"/>
      <c r="H175" s="37">
        <v>170</v>
      </c>
      <c r="I175" s="38" t="str">
        <f t="shared" si="11"/>
        <v/>
      </c>
      <c r="J175" s="37">
        <f t="shared" si="14"/>
        <v>-6</v>
      </c>
      <c r="K175" s="37">
        <f t="shared" si="12"/>
        <v>-60</v>
      </c>
      <c r="L175" s="37"/>
      <c r="M175" s="39">
        <f t="shared" si="13"/>
        <v>0</v>
      </c>
      <c r="N175" s="219" t="s">
        <v>81</v>
      </c>
      <c r="O175" s="219" t="s">
        <v>81</v>
      </c>
      <c r="P175" s="220" t="s">
        <v>81</v>
      </c>
      <c r="Q175" s="221" t="s">
        <v>81</v>
      </c>
      <c r="R175" s="221" t="s">
        <v>81</v>
      </c>
    </row>
    <row r="176" spans="1:18">
      <c r="A176" s="58"/>
      <c r="G176" s="15"/>
      <c r="H176" s="37">
        <v>171</v>
      </c>
      <c r="I176" s="38" t="str">
        <f t="shared" si="11"/>
        <v/>
      </c>
      <c r="J176" s="37">
        <f t="shared" si="14"/>
        <v>-6</v>
      </c>
      <c r="K176" s="37">
        <f t="shared" si="12"/>
        <v>-60</v>
      </c>
      <c r="L176" s="37"/>
      <c r="M176" s="39">
        <f t="shared" si="13"/>
        <v>0</v>
      </c>
      <c r="N176" s="219" t="s">
        <v>81</v>
      </c>
      <c r="O176" s="219" t="s">
        <v>81</v>
      </c>
      <c r="P176" s="220" t="s">
        <v>81</v>
      </c>
      <c r="Q176" s="221" t="s">
        <v>81</v>
      </c>
      <c r="R176" s="221" t="s">
        <v>81</v>
      </c>
    </row>
    <row r="177" spans="1:18">
      <c r="A177" s="58"/>
      <c r="G177" s="15"/>
      <c r="H177" s="37">
        <v>172</v>
      </c>
      <c r="I177" s="38" t="str">
        <f t="shared" si="11"/>
        <v/>
      </c>
      <c r="J177" s="37">
        <f t="shared" si="14"/>
        <v>-6</v>
      </c>
      <c r="K177" s="37">
        <f t="shared" si="12"/>
        <v>-60</v>
      </c>
      <c r="L177" s="37"/>
      <c r="M177" s="39">
        <f t="shared" si="13"/>
        <v>0</v>
      </c>
      <c r="N177" s="219" t="s">
        <v>81</v>
      </c>
      <c r="O177" s="219" t="s">
        <v>81</v>
      </c>
      <c r="P177" s="220" t="s">
        <v>81</v>
      </c>
      <c r="Q177" s="221" t="s">
        <v>81</v>
      </c>
      <c r="R177" s="221" t="s">
        <v>81</v>
      </c>
    </row>
    <row r="178" spans="1:18">
      <c r="A178" s="58"/>
      <c r="G178" s="15"/>
      <c r="H178" s="37">
        <v>173</v>
      </c>
      <c r="I178" s="38" t="str">
        <f t="shared" si="11"/>
        <v/>
      </c>
      <c r="J178" s="37">
        <f t="shared" si="14"/>
        <v>-6</v>
      </c>
      <c r="K178" s="37">
        <f t="shared" si="12"/>
        <v>-60</v>
      </c>
      <c r="L178" s="37"/>
      <c r="M178" s="39">
        <f t="shared" si="13"/>
        <v>0</v>
      </c>
      <c r="N178" s="219" t="s">
        <v>81</v>
      </c>
      <c r="O178" s="219" t="s">
        <v>81</v>
      </c>
      <c r="P178" s="220" t="s">
        <v>81</v>
      </c>
      <c r="Q178" s="221" t="s">
        <v>81</v>
      </c>
      <c r="R178" s="221" t="s">
        <v>81</v>
      </c>
    </row>
    <row r="179" spans="1:18">
      <c r="A179" s="58"/>
      <c r="G179" s="15"/>
      <c r="H179" s="37">
        <v>174</v>
      </c>
      <c r="I179" s="38" t="str">
        <f t="shared" si="11"/>
        <v/>
      </c>
      <c r="J179" s="37">
        <f t="shared" si="14"/>
        <v>-6</v>
      </c>
      <c r="K179" s="37">
        <f t="shared" si="12"/>
        <v>-60</v>
      </c>
      <c r="L179" s="37"/>
      <c r="M179" s="39">
        <f t="shared" si="13"/>
        <v>0</v>
      </c>
      <c r="N179" s="219" t="s">
        <v>81</v>
      </c>
      <c r="O179" s="219" t="s">
        <v>81</v>
      </c>
      <c r="P179" s="220" t="s">
        <v>81</v>
      </c>
      <c r="Q179" s="221" t="s">
        <v>81</v>
      </c>
      <c r="R179" s="221" t="s">
        <v>81</v>
      </c>
    </row>
    <row r="180" spans="1:18">
      <c r="A180" s="58"/>
      <c r="G180" s="15"/>
      <c r="H180" s="37">
        <v>175</v>
      </c>
      <c r="I180" s="38" t="str">
        <f t="shared" si="11"/>
        <v/>
      </c>
      <c r="J180" s="37">
        <f t="shared" si="14"/>
        <v>-6</v>
      </c>
      <c r="K180" s="37">
        <f t="shared" si="12"/>
        <v>-60</v>
      </c>
      <c r="L180" s="37"/>
      <c r="M180" s="39">
        <f t="shared" si="13"/>
        <v>0</v>
      </c>
      <c r="N180" s="219" t="s">
        <v>81</v>
      </c>
      <c r="O180" s="219" t="s">
        <v>81</v>
      </c>
      <c r="P180" s="220" t="s">
        <v>81</v>
      </c>
      <c r="Q180" s="221" t="s">
        <v>81</v>
      </c>
      <c r="R180" s="221" t="s">
        <v>81</v>
      </c>
    </row>
    <row r="181" spans="1:18">
      <c r="A181" s="58"/>
      <c r="G181" s="15"/>
      <c r="H181" s="37">
        <v>176</v>
      </c>
      <c r="I181" s="38" t="str">
        <f t="shared" si="11"/>
        <v/>
      </c>
      <c r="J181" s="37">
        <f t="shared" si="14"/>
        <v>-6</v>
      </c>
      <c r="K181" s="37">
        <f t="shared" si="12"/>
        <v>-60</v>
      </c>
      <c r="L181" s="37"/>
      <c r="M181" s="39">
        <f t="shared" si="13"/>
        <v>0</v>
      </c>
      <c r="N181" s="219" t="s">
        <v>81</v>
      </c>
      <c r="O181" s="219" t="s">
        <v>81</v>
      </c>
      <c r="P181" s="220" t="s">
        <v>81</v>
      </c>
      <c r="Q181" s="221" t="s">
        <v>81</v>
      </c>
      <c r="R181" s="221" t="s">
        <v>81</v>
      </c>
    </row>
    <row r="182" spans="1:18">
      <c r="A182" s="58"/>
      <c r="G182" s="15"/>
      <c r="H182" s="37">
        <v>177</v>
      </c>
      <c r="I182" s="38" t="str">
        <f t="shared" si="11"/>
        <v/>
      </c>
      <c r="J182" s="37">
        <f t="shared" si="14"/>
        <v>-6</v>
      </c>
      <c r="K182" s="37">
        <f t="shared" si="12"/>
        <v>-60</v>
      </c>
      <c r="L182" s="37"/>
      <c r="M182" s="39">
        <f t="shared" si="13"/>
        <v>0</v>
      </c>
      <c r="N182" s="219" t="s">
        <v>81</v>
      </c>
      <c r="O182" s="219" t="s">
        <v>81</v>
      </c>
      <c r="P182" s="220" t="s">
        <v>81</v>
      </c>
      <c r="Q182" s="221" t="s">
        <v>81</v>
      </c>
      <c r="R182" s="221" t="s">
        <v>81</v>
      </c>
    </row>
    <row r="183" spans="1:18">
      <c r="A183" s="58"/>
      <c r="G183" s="15"/>
      <c r="H183" s="37">
        <v>178</v>
      </c>
      <c r="I183" s="38" t="str">
        <f t="shared" si="11"/>
        <v/>
      </c>
      <c r="J183" s="37">
        <f t="shared" si="14"/>
        <v>-6</v>
      </c>
      <c r="K183" s="37">
        <f t="shared" si="12"/>
        <v>-60</v>
      </c>
      <c r="L183" s="37"/>
      <c r="M183" s="39">
        <f t="shared" si="13"/>
        <v>0</v>
      </c>
      <c r="N183" s="219" t="s">
        <v>81</v>
      </c>
      <c r="O183" s="219" t="s">
        <v>81</v>
      </c>
      <c r="P183" s="220" t="s">
        <v>81</v>
      </c>
      <c r="Q183" s="221" t="s">
        <v>81</v>
      </c>
      <c r="R183" s="221" t="s">
        <v>81</v>
      </c>
    </row>
    <row r="184" spans="1:18">
      <c r="A184" s="58"/>
      <c r="G184" s="15"/>
      <c r="H184" s="37">
        <v>179</v>
      </c>
      <c r="I184" s="38" t="str">
        <f t="shared" si="11"/>
        <v/>
      </c>
      <c r="J184" s="37">
        <f t="shared" si="14"/>
        <v>-6</v>
      </c>
      <c r="K184" s="37">
        <f t="shared" si="12"/>
        <v>-60</v>
      </c>
      <c r="L184" s="37"/>
      <c r="M184" s="39">
        <f t="shared" si="13"/>
        <v>0</v>
      </c>
      <c r="N184" s="219" t="s">
        <v>81</v>
      </c>
      <c r="O184" s="219" t="s">
        <v>81</v>
      </c>
      <c r="P184" s="220" t="s">
        <v>81</v>
      </c>
      <c r="Q184" s="221" t="s">
        <v>81</v>
      </c>
      <c r="R184" s="221" t="s">
        <v>81</v>
      </c>
    </row>
    <row r="185" spans="1:18">
      <c r="A185" s="58"/>
      <c r="G185" s="15"/>
      <c r="H185" s="37">
        <v>180</v>
      </c>
      <c r="I185" s="38" t="str">
        <f t="shared" si="11"/>
        <v/>
      </c>
      <c r="J185" s="37">
        <f t="shared" si="14"/>
        <v>-6</v>
      </c>
      <c r="K185" s="37">
        <f t="shared" si="12"/>
        <v>-60</v>
      </c>
      <c r="L185" s="37"/>
      <c r="M185" s="39">
        <f t="shared" si="13"/>
        <v>0</v>
      </c>
      <c r="N185" s="219" t="s">
        <v>81</v>
      </c>
      <c r="O185" s="219" t="s">
        <v>81</v>
      </c>
      <c r="P185" s="220" t="s">
        <v>81</v>
      </c>
      <c r="Q185" s="221" t="s">
        <v>81</v>
      </c>
      <c r="R185" s="221" t="s">
        <v>81</v>
      </c>
    </row>
    <row r="186" spans="1:18">
      <c r="A186" s="58"/>
      <c r="G186" s="15"/>
      <c r="H186" s="37">
        <v>181</v>
      </c>
      <c r="I186" s="38" t="str">
        <f t="shared" si="11"/>
        <v/>
      </c>
      <c r="J186" s="37">
        <f t="shared" si="14"/>
        <v>-6</v>
      </c>
      <c r="K186" s="37">
        <f t="shared" si="12"/>
        <v>-60</v>
      </c>
      <c r="L186" s="37"/>
      <c r="M186" s="39">
        <f t="shared" si="13"/>
        <v>0</v>
      </c>
      <c r="N186" s="219" t="s">
        <v>81</v>
      </c>
      <c r="O186" s="219" t="s">
        <v>81</v>
      </c>
      <c r="P186" s="220" t="s">
        <v>81</v>
      </c>
      <c r="Q186" s="221" t="s">
        <v>81</v>
      </c>
      <c r="R186" s="221" t="s">
        <v>81</v>
      </c>
    </row>
    <row r="187" spans="1:18">
      <c r="A187" s="58"/>
      <c r="G187" s="15"/>
      <c r="H187" s="37">
        <v>182</v>
      </c>
      <c r="I187" s="38" t="str">
        <f t="shared" si="11"/>
        <v/>
      </c>
      <c r="J187" s="37">
        <f t="shared" si="14"/>
        <v>-6</v>
      </c>
      <c r="K187" s="37">
        <f t="shared" si="12"/>
        <v>-60</v>
      </c>
      <c r="L187" s="37"/>
      <c r="M187" s="39">
        <f t="shared" si="13"/>
        <v>0</v>
      </c>
      <c r="N187" s="219" t="s">
        <v>81</v>
      </c>
      <c r="O187" s="219" t="s">
        <v>81</v>
      </c>
      <c r="P187" s="220" t="s">
        <v>81</v>
      </c>
      <c r="Q187" s="221" t="s">
        <v>81</v>
      </c>
      <c r="R187" s="221" t="s">
        <v>81</v>
      </c>
    </row>
    <row r="188" spans="1:18">
      <c r="A188" s="58"/>
      <c r="G188" s="15"/>
      <c r="H188" s="37">
        <v>183</v>
      </c>
      <c r="I188" s="38" t="str">
        <f t="shared" si="11"/>
        <v/>
      </c>
      <c r="J188" s="37">
        <f t="shared" si="14"/>
        <v>-6</v>
      </c>
      <c r="K188" s="37">
        <f t="shared" si="12"/>
        <v>-60</v>
      </c>
      <c r="L188" s="37"/>
      <c r="M188" s="39">
        <f t="shared" si="13"/>
        <v>0</v>
      </c>
      <c r="N188" s="219" t="s">
        <v>81</v>
      </c>
      <c r="O188" s="219" t="s">
        <v>81</v>
      </c>
      <c r="P188" s="220" t="s">
        <v>81</v>
      </c>
      <c r="Q188" s="221" t="s">
        <v>81</v>
      </c>
      <c r="R188" s="221" t="s">
        <v>81</v>
      </c>
    </row>
    <row r="189" spans="1:18">
      <c r="A189" s="58"/>
      <c r="G189" s="15"/>
      <c r="H189" s="37">
        <v>184</v>
      </c>
      <c r="I189" s="38" t="str">
        <f t="shared" si="11"/>
        <v/>
      </c>
      <c r="J189" s="37">
        <f t="shared" si="14"/>
        <v>-6</v>
      </c>
      <c r="K189" s="37">
        <f t="shared" si="12"/>
        <v>-60</v>
      </c>
      <c r="L189" s="37"/>
      <c r="M189" s="39">
        <f t="shared" si="13"/>
        <v>0</v>
      </c>
      <c r="N189" s="219" t="s">
        <v>81</v>
      </c>
      <c r="O189" s="219" t="s">
        <v>81</v>
      </c>
      <c r="P189" s="220" t="s">
        <v>81</v>
      </c>
      <c r="Q189" s="221" t="s">
        <v>81</v>
      </c>
      <c r="R189" s="221" t="s">
        <v>81</v>
      </c>
    </row>
    <row r="190" spans="1:18">
      <c r="A190" s="58"/>
      <c r="G190" s="15"/>
      <c r="H190" s="37">
        <v>185</v>
      </c>
      <c r="I190" s="38" t="str">
        <f t="shared" si="11"/>
        <v/>
      </c>
      <c r="J190" s="37">
        <f t="shared" si="14"/>
        <v>-6</v>
      </c>
      <c r="K190" s="37">
        <f t="shared" si="12"/>
        <v>-60</v>
      </c>
      <c r="L190" s="37"/>
      <c r="M190" s="39">
        <f t="shared" si="13"/>
        <v>0</v>
      </c>
      <c r="N190" s="219" t="s">
        <v>81</v>
      </c>
      <c r="O190" s="219" t="s">
        <v>81</v>
      </c>
      <c r="P190" s="220" t="s">
        <v>81</v>
      </c>
      <c r="Q190" s="221" t="s">
        <v>81</v>
      </c>
      <c r="R190" s="221" t="s">
        <v>81</v>
      </c>
    </row>
    <row r="191" spans="1:18">
      <c r="A191" s="58"/>
      <c r="G191" s="15"/>
      <c r="H191" s="37">
        <v>186</v>
      </c>
      <c r="I191" s="38" t="str">
        <f t="shared" si="11"/>
        <v/>
      </c>
      <c r="J191" s="37">
        <f t="shared" si="14"/>
        <v>-6</v>
      </c>
      <c r="K191" s="37">
        <f t="shared" si="12"/>
        <v>-60</v>
      </c>
      <c r="L191" s="37"/>
      <c r="M191" s="39">
        <f t="shared" si="13"/>
        <v>0</v>
      </c>
      <c r="N191" s="219" t="s">
        <v>81</v>
      </c>
      <c r="O191" s="219" t="s">
        <v>81</v>
      </c>
      <c r="P191" s="220" t="s">
        <v>81</v>
      </c>
      <c r="Q191" s="221" t="s">
        <v>81</v>
      </c>
      <c r="R191" s="221" t="s">
        <v>81</v>
      </c>
    </row>
    <row r="192" spans="1:18">
      <c r="A192" s="58"/>
      <c r="G192" s="15"/>
      <c r="H192" s="37">
        <v>187</v>
      </c>
      <c r="I192" s="38" t="str">
        <f t="shared" si="11"/>
        <v/>
      </c>
      <c r="J192" s="37">
        <f t="shared" si="14"/>
        <v>-6</v>
      </c>
      <c r="K192" s="37">
        <f t="shared" si="12"/>
        <v>-60</v>
      </c>
      <c r="L192" s="37"/>
      <c r="M192" s="39">
        <f t="shared" si="13"/>
        <v>0</v>
      </c>
      <c r="N192" s="219" t="s">
        <v>81</v>
      </c>
      <c r="O192" s="219" t="s">
        <v>81</v>
      </c>
      <c r="P192" s="220" t="s">
        <v>81</v>
      </c>
      <c r="Q192" s="221" t="s">
        <v>81</v>
      </c>
      <c r="R192" s="221" t="s">
        <v>81</v>
      </c>
    </row>
    <row r="193" spans="1:18">
      <c r="A193" s="58"/>
      <c r="G193" s="15"/>
      <c r="H193" s="37">
        <v>188</v>
      </c>
      <c r="I193" s="38" t="str">
        <f t="shared" si="11"/>
        <v/>
      </c>
      <c r="J193" s="37">
        <f t="shared" si="14"/>
        <v>-6</v>
      </c>
      <c r="K193" s="37">
        <f t="shared" si="12"/>
        <v>-60</v>
      </c>
      <c r="L193" s="37"/>
      <c r="M193" s="39">
        <f t="shared" si="13"/>
        <v>0</v>
      </c>
      <c r="N193" s="219" t="s">
        <v>81</v>
      </c>
      <c r="O193" s="219" t="s">
        <v>81</v>
      </c>
      <c r="P193" s="220" t="s">
        <v>81</v>
      </c>
      <c r="Q193" s="221" t="s">
        <v>81</v>
      </c>
      <c r="R193" s="221" t="s">
        <v>81</v>
      </c>
    </row>
    <row r="194" spans="1:18">
      <c r="A194" s="58"/>
      <c r="G194" s="15"/>
      <c r="H194" s="37">
        <v>189</v>
      </c>
      <c r="I194" s="38" t="str">
        <f t="shared" si="11"/>
        <v/>
      </c>
      <c r="J194" s="37">
        <f t="shared" si="14"/>
        <v>-6</v>
      </c>
      <c r="K194" s="37">
        <f t="shared" si="12"/>
        <v>-60</v>
      </c>
      <c r="L194" s="37"/>
      <c r="M194" s="39">
        <f t="shared" si="13"/>
        <v>0</v>
      </c>
      <c r="N194" s="219" t="s">
        <v>81</v>
      </c>
      <c r="O194" s="219" t="s">
        <v>81</v>
      </c>
      <c r="P194" s="220" t="s">
        <v>81</v>
      </c>
      <c r="Q194" s="221" t="s">
        <v>81</v>
      </c>
      <c r="R194" s="221" t="s">
        <v>81</v>
      </c>
    </row>
    <row r="195" spans="1:18">
      <c r="A195" s="58"/>
      <c r="G195" s="15"/>
      <c r="H195" s="37">
        <v>190</v>
      </c>
      <c r="I195" s="38" t="str">
        <f t="shared" si="11"/>
        <v/>
      </c>
      <c r="J195" s="37">
        <f t="shared" si="14"/>
        <v>-6</v>
      </c>
      <c r="K195" s="37">
        <f t="shared" si="12"/>
        <v>-60</v>
      </c>
      <c r="L195" s="37"/>
      <c r="M195" s="39">
        <f t="shared" si="13"/>
        <v>0</v>
      </c>
      <c r="N195" s="219" t="s">
        <v>81</v>
      </c>
      <c r="O195" s="219" t="s">
        <v>81</v>
      </c>
      <c r="P195" s="220" t="s">
        <v>81</v>
      </c>
      <c r="Q195" s="221" t="s">
        <v>81</v>
      </c>
      <c r="R195" s="221" t="s">
        <v>81</v>
      </c>
    </row>
    <row r="196" spans="1:18">
      <c r="A196" s="58"/>
      <c r="G196" s="15"/>
      <c r="H196" s="37">
        <v>191</v>
      </c>
      <c r="I196" s="38" t="str">
        <f t="shared" si="11"/>
        <v/>
      </c>
      <c r="J196" s="37">
        <f t="shared" si="14"/>
        <v>-6</v>
      </c>
      <c r="K196" s="37">
        <f t="shared" si="12"/>
        <v>-60</v>
      </c>
      <c r="L196" s="37"/>
      <c r="M196" s="39">
        <f t="shared" si="13"/>
        <v>0</v>
      </c>
      <c r="N196" s="219" t="s">
        <v>81</v>
      </c>
      <c r="O196" s="219" t="s">
        <v>81</v>
      </c>
      <c r="P196" s="220" t="s">
        <v>81</v>
      </c>
      <c r="Q196" s="221" t="s">
        <v>81</v>
      </c>
      <c r="R196" s="221" t="s">
        <v>81</v>
      </c>
    </row>
    <row r="197" spans="1:18">
      <c r="A197" s="58"/>
      <c r="G197" s="15"/>
      <c r="H197" s="37">
        <v>192</v>
      </c>
      <c r="I197" s="38" t="str">
        <f t="shared" si="11"/>
        <v/>
      </c>
      <c r="J197" s="37">
        <f t="shared" si="14"/>
        <v>-6</v>
      </c>
      <c r="K197" s="37">
        <f t="shared" si="12"/>
        <v>-60</v>
      </c>
      <c r="L197" s="37"/>
      <c r="M197" s="39">
        <f t="shared" si="13"/>
        <v>0</v>
      </c>
      <c r="N197" s="219" t="s">
        <v>81</v>
      </c>
      <c r="O197" s="219" t="s">
        <v>81</v>
      </c>
      <c r="P197" s="220" t="s">
        <v>81</v>
      </c>
      <c r="Q197" s="221" t="s">
        <v>81</v>
      </c>
      <c r="R197" s="221" t="s">
        <v>81</v>
      </c>
    </row>
    <row r="198" spans="1:18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>
        <f t="shared" si="14"/>
        <v>-6</v>
      </c>
      <c r="K198" s="37">
        <f t="shared" ref="K198:K261" si="16">J198*$J$2</f>
        <v>-60</v>
      </c>
      <c r="L198" s="37"/>
      <c r="M198" s="39">
        <f t="shared" ref="M198:M261" si="17">IF(I198&lt;&gt;"",K198+I198+L198,0)</f>
        <v>0</v>
      </c>
      <c r="N198" s="219" t="s">
        <v>81</v>
      </c>
      <c r="O198" s="219" t="s">
        <v>81</v>
      </c>
      <c r="P198" s="220" t="s">
        <v>81</v>
      </c>
      <c r="Q198" s="221" t="s">
        <v>81</v>
      </c>
      <c r="R198" s="221" t="s">
        <v>81</v>
      </c>
    </row>
    <row r="199" spans="1:18">
      <c r="A199" s="58"/>
      <c r="G199" s="15"/>
      <c r="H199" s="37">
        <v>194</v>
      </c>
      <c r="I199" s="38" t="str">
        <f t="shared" si="15"/>
        <v/>
      </c>
      <c r="J199" s="37">
        <f t="shared" ref="J199:J262" si="18">INT(LOG($H$2,2))-ROUNDUP(LOG(H199,2),0)+IF(OR($H$2=1,$H$2=2,$H$2=4,$H$2=8,$H$2=16,$H$2=32,$H$2=64,$H$2=128,$H$2=256),0,1)</f>
        <v>-6</v>
      </c>
      <c r="K199" s="37">
        <f t="shared" si="16"/>
        <v>-60</v>
      </c>
      <c r="L199" s="37"/>
      <c r="M199" s="39">
        <f t="shared" si="17"/>
        <v>0</v>
      </c>
      <c r="N199" s="219" t="s">
        <v>81</v>
      </c>
      <c r="O199" s="219" t="s">
        <v>81</v>
      </c>
      <c r="P199" s="220" t="s">
        <v>81</v>
      </c>
      <c r="Q199" s="221" t="s">
        <v>81</v>
      </c>
      <c r="R199" s="221" t="s">
        <v>81</v>
      </c>
    </row>
    <row r="200" spans="1:18">
      <c r="A200" s="58"/>
      <c r="G200" s="15"/>
      <c r="H200" s="37">
        <v>195</v>
      </c>
      <c r="I200" s="38" t="str">
        <f t="shared" si="15"/>
        <v/>
      </c>
      <c r="J200" s="37">
        <f t="shared" si="18"/>
        <v>-6</v>
      </c>
      <c r="K200" s="37">
        <f t="shared" si="16"/>
        <v>-60</v>
      </c>
      <c r="L200" s="37"/>
      <c r="M200" s="39">
        <f t="shared" si="17"/>
        <v>0</v>
      </c>
      <c r="N200" s="219" t="s">
        <v>81</v>
      </c>
      <c r="O200" s="219" t="s">
        <v>81</v>
      </c>
      <c r="P200" s="220" t="s">
        <v>81</v>
      </c>
      <c r="Q200" s="221" t="s">
        <v>81</v>
      </c>
      <c r="R200" s="221" t="s">
        <v>81</v>
      </c>
    </row>
    <row r="201" spans="1:18">
      <c r="A201" s="58"/>
      <c r="G201" s="15"/>
      <c r="H201" s="37">
        <v>196</v>
      </c>
      <c r="I201" s="38" t="str">
        <f t="shared" si="15"/>
        <v/>
      </c>
      <c r="J201" s="37">
        <f t="shared" si="18"/>
        <v>-6</v>
      </c>
      <c r="K201" s="37">
        <f t="shared" si="16"/>
        <v>-60</v>
      </c>
      <c r="L201" s="37"/>
      <c r="M201" s="39">
        <f t="shared" si="17"/>
        <v>0</v>
      </c>
      <c r="N201" s="219" t="s">
        <v>81</v>
      </c>
      <c r="O201" s="219" t="s">
        <v>81</v>
      </c>
      <c r="P201" s="220" t="s">
        <v>81</v>
      </c>
      <c r="Q201" s="221" t="s">
        <v>81</v>
      </c>
      <c r="R201" s="221" t="s">
        <v>81</v>
      </c>
    </row>
    <row r="202" spans="1:18">
      <c r="A202" s="58"/>
      <c r="G202" s="15"/>
      <c r="H202" s="37">
        <v>197</v>
      </c>
      <c r="I202" s="38" t="str">
        <f t="shared" si="15"/>
        <v/>
      </c>
      <c r="J202" s="37">
        <f t="shared" si="18"/>
        <v>-6</v>
      </c>
      <c r="K202" s="37">
        <f t="shared" si="16"/>
        <v>-60</v>
      </c>
      <c r="L202" s="37"/>
      <c r="M202" s="39">
        <f t="shared" si="17"/>
        <v>0</v>
      </c>
      <c r="N202" s="219" t="s">
        <v>81</v>
      </c>
      <c r="O202" s="219" t="s">
        <v>81</v>
      </c>
      <c r="P202" s="220" t="s">
        <v>81</v>
      </c>
      <c r="Q202" s="221" t="s">
        <v>81</v>
      </c>
      <c r="R202" s="221" t="s">
        <v>81</v>
      </c>
    </row>
    <row r="203" spans="1:18">
      <c r="A203" s="58"/>
      <c r="G203" s="15"/>
      <c r="H203" s="37">
        <v>198</v>
      </c>
      <c r="I203" s="38" t="str">
        <f t="shared" si="15"/>
        <v/>
      </c>
      <c r="J203" s="37">
        <f t="shared" si="18"/>
        <v>-6</v>
      </c>
      <c r="K203" s="37">
        <f t="shared" si="16"/>
        <v>-60</v>
      </c>
      <c r="L203" s="37"/>
      <c r="M203" s="39">
        <f t="shared" si="17"/>
        <v>0</v>
      </c>
      <c r="N203" s="219" t="s">
        <v>81</v>
      </c>
      <c r="O203" s="219" t="s">
        <v>81</v>
      </c>
      <c r="P203" s="220" t="s">
        <v>81</v>
      </c>
      <c r="Q203" s="221" t="s">
        <v>81</v>
      </c>
      <c r="R203" s="221" t="s">
        <v>81</v>
      </c>
    </row>
    <row r="204" spans="1:18">
      <c r="A204" s="58"/>
      <c r="G204" s="15"/>
      <c r="H204" s="37">
        <v>199</v>
      </c>
      <c r="I204" s="38" t="str">
        <f t="shared" si="15"/>
        <v/>
      </c>
      <c r="J204" s="37">
        <f t="shared" si="18"/>
        <v>-6</v>
      </c>
      <c r="K204" s="37">
        <f t="shared" si="16"/>
        <v>-60</v>
      </c>
      <c r="L204" s="37"/>
      <c r="M204" s="39">
        <f t="shared" si="17"/>
        <v>0</v>
      </c>
      <c r="N204" s="219" t="s">
        <v>81</v>
      </c>
      <c r="O204" s="219" t="s">
        <v>81</v>
      </c>
      <c r="P204" s="220" t="s">
        <v>81</v>
      </c>
      <c r="Q204" s="221" t="s">
        <v>81</v>
      </c>
      <c r="R204" s="221" t="s">
        <v>81</v>
      </c>
    </row>
    <row r="205" spans="1:18">
      <c r="A205" s="58"/>
      <c r="G205" s="15"/>
      <c r="H205" s="37">
        <v>200</v>
      </c>
      <c r="I205" s="38" t="str">
        <f t="shared" si="15"/>
        <v/>
      </c>
      <c r="J205" s="37">
        <f t="shared" si="18"/>
        <v>-6</v>
      </c>
      <c r="K205" s="37">
        <f t="shared" si="16"/>
        <v>-60</v>
      </c>
      <c r="L205" s="37"/>
      <c r="M205" s="39">
        <f t="shared" si="17"/>
        <v>0</v>
      </c>
      <c r="N205" s="219" t="s">
        <v>81</v>
      </c>
      <c r="O205" s="219" t="s">
        <v>81</v>
      </c>
      <c r="P205" s="220" t="s">
        <v>81</v>
      </c>
      <c r="Q205" s="221" t="s">
        <v>81</v>
      </c>
      <c r="R205" s="221" t="s">
        <v>81</v>
      </c>
    </row>
    <row r="206" spans="1:18">
      <c r="A206" s="58"/>
      <c r="G206" s="15"/>
      <c r="H206" s="37">
        <v>201</v>
      </c>
      <c r="I206" s="38" t="str">
        <f t="shared" si="15"/>
        <v/>
      </c>
      <c r="J206" s="37">
        <f t="shared" si="18"/>
        <v>-6</v>
      </c>
      <c r="K206" s="37">
        <f t="shared" si="16"/>
        <v>-60</v>
      </c>
      <c r="L206" s="37"/>
      <c r="M206" s="39">
        <f t="shared" si="17"/>
        <v>0</v>
      </c>
      <c r="N206" s="219" t="s">
        <v>81</v>
      </c>
      <c r="O206" s="219" t="s">
        <v>81</v>
      </c>
      <c r="P206" s="220" t="s">
        <v>81</v>
      </c>
      <c r="Q206" s="221" t="s">
        <v>81</v>
      </c>
      <c r="R206" s="221" t="s">
        <v>81</v>
      </c>
    </row>
    <row r="207" spans="1:18">
      <c r="A207" s="58"/>
      <c r="G207" s="15"/>
      <c r="H207" s="37">
        <v>202</v>
      </c>
      <c r="I207" s="38" t="str">
        <f t="shared" si="15"/>
        <v/>
      </c>
      <c r="J207" s="37">
        <f t="shared" si="18"/>
        <v>-6</v>
      </c>
      <c r="K207" s="37">
        <f t="shared" si="16"/>
        <v>-60</v>
      </c>
      <c r="L207" s="37"/>
      <c r="M207" s="39">
        <f t="shared" si="17"/>
        <v>0</v>
      </c>
      <c r="N207" s="219" t="s">
        <v>81</v>
      </c>
      <c r="O207" s="219" t="s">
        <v>81</v>
      </c>
      <c r="P207" s="220" t="s">
        <v>81</v>
      </c>
      <c r="Q207" s="221" t="s">
        <v>81</v>
      </c>
      <c r="R207" s="221" t="s">
        <v>81</v>
      </c>
    </row>
    <row r="208" spans="1:18">
      <c r="A208" s="58"/>
      <c r="G208" s="15"/>
      <c r="H208" s="37">
        <v>203</v>
      </c>
      <c r="I208" s="38" t="str">
        <f t="shared" si="15"/>
        <v/>
      </c>
      <c r="J208" s="37">
        <f t="shared" si="18"/>
        <v>-6</v>
      </c>
      <c r="K208" s="37">
        <f t="shared" si="16"/>
        <v>-60</v>
      </c>
      <c r="L208" s="37"/>
      <c r="M208" s="39">
        <f t="shared" si="17"/>
        <v>0</v>
      </c>
      <c r="N208" s="219" t="s">
        <v>81</v>
      </c>
      <c r="O208" s="219" t="s">
        <v>81</v>
      </c>
      <c r="P208" s="220" t="s">
        <v>81</v>
      </c>
      <c r="Q208" s="221" t="s">
        <v>81</v>
      </c>
      <c r="R208" s="221" t="s">
        <v>81</v>
      </c>
    </row>
    <row r="209" spans="1:18">
      <c r="A209" s="58"/>
      <c r="G209" s="15"/>
      <c r="H209" s="37">
        <v>204</v>
      </c>
      <c r="I209" s="38" t="str">
        <f t="shared" si="15"/>
        <v/>
      </c>
      <c r="J209" s="37">
        <f t="shared" si="18"/>
        <v>-6</v>
      </c>
      <c r="K209" s="37">
        <f t="shared" si="16"/>
        <v>-60</v>
      </c>
      <c r="L209" s="37"/>
      <c r="M209" s="39">
        <f t="shared" si="17"/>
        <v>0</v>
      </c>
      <c r="N209" s="219" t="s">
        <v>81</v>
      </c>
      <c r="O209" s="219" t="s">
        <v>81</v>
      </c>
      <c r="P209" s="220" t="s">
        <v>81</v>
      </c>
      <c r="Q209" s="221" t="s">
        <v>81</v>
      </c>
      <c r="R209" s="221" t="s">
        <v>81</v>
      </c>
    </row>
    <row r="210" spans="1:18">
      <c r="A210" s="58"/>
      <c r="G210" s="15"/>
      <c r="H210" s="37">
        <v>205</v>
      </c>
      <c r="I210" s="38" t="str">
        <f t="shared" si="15"/>
        <v/>
      </c>
      <c r="J210" s="37">
        <f t="shared" si="18"/>
        <v>-6</v>
      </c>
      <c r="K210" s="37">
        <f t="shared" si="16"/>
        <v>-60</v>
      </c>
      <c r="L210" s="37"/>
      <c r="M210" s="39">
        <f t="shared" si="17"/>
        <v>0</v>
      </c>
      <c r="N210" s="219" t="s">
        <v>81</v>
      </c>
      <c r="O210" s="219" t="s">
        <v>81</v>
      </c>
      <c r="P210" s="220" t="s">
        <v>81</v>
      </c>
      <c r="Q210" s="221" t="s">
        <v>81</v>
      </c>
      <c r="R210" s="221" t="s">
        <v>81</v>
      </c>
    </row>
    <row r="211" spans="1:18">
      <c r="A211" s="58"/>
      <c r="G211" s="15"/>
      <c r="H211" s="37">
        <v>206</v>
      </c>
      <c r="I211" s="38" t="str">
        <f t="shared" si="15"/>
        <v/>
      </c>
      <c r="J211" s="37">
        <f t="shared" si="18"/>
        <v>-6</v>
      </c>
      <c r="K211" s="37">
        <f t="shared" si="16"/>
        <v>-60</v>
      </c>
      <c r="L211" s="37"/>
      <c r="M211" s="39">
        <f t="shared" si="17"/>
        <v>0</v>
      </c>
      <c r="N211" s="219" t="s">
        <v>81</v>
      </c>
      <c r="O211" s="219" t="s">
        <v>81</v>
      </c>
      <c r="P211" s="220" t="s">
        <v>81</v>
      </c>
      <c r="Q211" s="221" t="s">
        <v>81</v>
      </c>
      <c r="R211" s="221" t="s">
        <v>81</v>
      </c>
    </row>
    <row r="212" spans="1:18">
      <c r="A212" s="58"/>
      <c r="G212" s="15"/>
      <c r="H212" s="37">
        <v>207</v>
      </c>
      <c r="I212" s="38" t="str">
        <f t="shared" si="15"/>
        <v/>
      </c>
      <c r="J212" s="37">
        <f t="shared" si="18"/>
        <v>-6</v>
      </c>
      <c r="K212" s="37">
        <f t="shared" si="16"/>
        <v>-60</v>
      </c>
      <c r="L212" s="37"/>
      <c r="M212" s="39">
        <f t="shared" si="17"/>
        <v>0</v>
      </c>
      <c r="N212" s="219" t="s">
        <v>81</v>
      </c>
      <c r="O212" s="219" t="s">
        <v>81</v>
      </c>
      <c r="P212" s="220" t="s">
        <v>81</v>
      </c>
      <c r="Q212" s="221" t="s">
        <v>81</v>
      </c>
      <c r="R212" s="221" t="s">
        <v>81</v>
      </c>
    </row>
    <row r="213" spans="1:18">
      <c r="A213" s="58"/>
      <c r="G213" s="15"/>
      <c r="H213" s="37">
        <v>208</v>
      </c>
      <c r="I213" s="38" t="str">
        <f t="shared" si="15"/>
        <v/>
      </c>
      <c r="J213" s="37">
        <f t="shared" si="18"/>
        <v>-6</v>
      </c>
      <c r="K213" s="37">
        <f t="shared" si="16"/>
        <v>-60</v>
      </c>
      <c r="L213" s="37"/>
      <c r="M213" s="39">
        <f t="shared" si="17"/>
        <v>0</v>
      </c>
      <c r="N213" s="219" t="s">
        <v>81</v>
      </c>
      <c r="O213" s="219" t="s">
        <v>81</v>
      </c>
      <c r="P213" s="220" t="s">
        <v>81</v>
      </c>
      <c r="Q213" s="221" t="s">
        <v>81</v>
      </c>
      <c r="R213" s="221" t="s">
        <v>81</v>
      </c>
    </row>
    <row r="214" spans="1:18">
      <c r="A214" s="58"/>
      <c r="G214" s="15"/>
      <c r="H214" s="37">
        <v>209</v>
      </c>
      <c r="I214" s="38" t="str">
        <f t="shared" si="15"/>
        <v/>
      </c>
      <c r="J214" s="37">
        <f t="shared" si="18"/>
        <v>-6</v>
      </c>
      <c r="K214" s="37">
        <f t="shared" si="16"/>
        <v>-60</v>
      </c>
      <c r="L214" s="37"/>
      <c r="M214" s="39">
        <f t="shared" si="17"/>
        <v>0</v>
      </c>
      <c r="N214" s="219" t="s">
        <v>81</v>
      </c>
      <c r="O214" s="219" t="s">
        <v>81</v>
      </c>
      <c r="P214" s="220" t="s">
        <v>81</v>
      </c>
      <c r="Q214" s="221" t="s">
        <v>81</v>
      </c>
      <c r="R214" s="221" t="s">
        <v>81</v>
      </c>
    </row>
    <row r="215" spans="1:18">
      <c r="A215" s="58"/>
      <c r="G215" s="15"/>
      <c r="H215" s="37">
        <v>210</v>
      </c>
      <c r="I215" s="38" t="str">
        <f t="shared" si="15"/>
        <v/>
      </c>
      <c r="J215" s="37">
        <f t="shared" si="18"/>
        <v>-6</v>
      </c>
      <c r="K215" s="37">
        <f t="shared" si="16"/>
        <v>-60</v>
      </c>
      <c r="L215" s="37"/>
      <c r="M215" s="39">
        <f t="shared" si="17"/>
        <v>0</v>
      </c>
      <c r="N215" s="219" t="s">
        <v>81</v>
      </c>
      <c r="O215" s="219" t="s">
        <v>81</v>
      </c>
      <c r="P215" s="220" t="s">
        <v>81</v>
      </c>
      <c r="Q215" s="221" t="s">
        <v>81</v>
      </c>
      <c r="R215" s="221" t="s">
        <v>81</v>
      </c>
    </row>
    <row r="216" spans="1:18">
      <c r="A216" s="58"/>
      <c r="G216" s="15"/>
      <c r="H216" s="37">
        <v>211</v>
      </c>
      <c r="I216" s="38" t="str">
        <f t="shared" si="15"/>
        <v/>
      </c>
      <c r="J216" s="37">
        <f t="shared" si="18"/>
        <v>-6</v>
      </c>
      <c r="K216" s="37">
        <f t="shared" si="16"/>
        <v>-60</v>
      </c>
      <c r="L216" s="37"/>
      <c r="M216" s="39">
        <f t="shared" si="17"/>
        <v>0</v>
      </c>
      <c r="N216" s="219" t="s">
        <v>81</v>
      </c>
      <c r="O216" s="219" t="s">
        <v>81</v>
      </c>
      <c r="P216" s="220" t="s">
        <v>81</v>
      </c>
      <c r="Q216" s="221" t="s">
        <v>81</v>
      </c>
      <c r="R216" s="221" t="s">
        <v>81</v>
      </c>
    </row>
    <row r="217" spans="1:18">
      <c r="A217" s="58"/>
      <c r="G217" s="15"/>
      <c r="H217" s="37">
        <v>212</v>
      </c>
      <c r="I217" s="38" t="str">
        <f t="shared" si="15"/>
        <v/>
      </c>
      <c r="J217" s="37">
        <f t="shared" si="18"/>
        <v>-6</v>
      </c>
      <c r="K217" s="37">
        <f t="shared" si="16"/>
        <v>-60</v>
      </c>
      <c r="L217" s="37"/>
      <c r="M217" s="39">
        <f t="shared" si="17"/>
        <v>0</v>
      </c>
      <c r="N217" s="219" t="s">
        <v>81</v>
      </c>
      <c r="O217" s="219" t="s">
        <v>81</v>
      </c>
      <c r="P217" s="220" t="s">
        <v>81</v>
      </c>
      <c r="Q217" s="221" t="s">
        <v>81</v>
      </c>
      <c r="R217" s="221" t="s">
        <v>81</v>
      </c>
    </row>
    <row r="218" spans="1:18">
      <c r="A218" s="58"/>
      <c r="G218" s="15"/>
      <c r="H218" s="37">
        <v>213</v>
      </c>
      <c r="I218" s="38" t="str">
        <f t="shared" si="15"/>
        <v/>
      </c>
      <c r="J218" s="37">
        <f t="shared" si="18"/>
        <v>-6</v>
      </c>
      <c r="K218" s="37">
        <f t="shared" si="16"/>
        <v>-60</v>
      </c>
      <c r="L218" s="37"/>
      <c r="M218" s="39">
        <f t="shared" si="17"/>
        <v>0</v>
      </c>
      <c r="N218" s="219" t="s">
        <v>81</v>
      </c>
      <c r="O218" s="219" t="s">
        <v>81</v>
      </c>
      <c r="P218" s="220" t="s">
        <v>81</v>
      </c>
      <c r="Q218" s="221" t="s">
        <v>81</v>
      </c>
      <c r="R218" s="221" t="s">
        <v>81</v>
      </c>
    </row>
    <row r="219" spans="1:18">
      <c r="A219" s="58"/>
      <c r="G219" s="15"/>
      <c r="H219" s="37">
        <v>214</v>
      </c>
      <c r="I219" s="38" t="str">
        <f t="shared" si="15"/>
        <v/>
      </c>
      <c r="J219" s="37">
        <f t="shared" si="18"/>
        <v>-6</v>
      </c>
      <c r="K219" s="37">
        <f t="shared" si="16"/>
        <v>-60</v>
      </c>
      <c r="L219" s="37"/>
      <c r="M219" s="39">
        <f t="shared" si="17"/>
        <v>0</v>
      </c>
      <c r="N219" s="219" t="s">
        <v>81</v>
      </c>
      <c r="O219" s="219" t="s">
        <v>81</v>
      </c>
      <c r="P219" s="220" t="s">
        <v>81</v>
      </c>
      <c r="Q219" s="221" t="s">
        <v>81</v>
      </c>
      <c r="R219" s="221" t="s">
        <v>81</v>
      </c>
    </row>
    <row r="220" spans="1:18">
      <c r="A220" s="58"/>
      <c r="G220" s="15"/>
      <c r="H220" s="37">
        <v>215</v>
      </c>
      <c r="I220" s="38" t="str">
        <f t="shared" si="15"/>
        <v/>
      </c>
      <c r="J220" s="37">
        <f t="shared" si="18"/>
        <v>-6</v>
      </c>
      <c r="K220" s="37">
        <f t="shared" si="16"/>
        <v>-60</v>
      </c>
      <c r="L220" s="37"/>
      <c r="M220" s="39">
        <f t="shared" si="17"/>
        <v>0</v>
      </c>
      <c r="N220" s="219" t="s">
        <v>81</v>
      </c>
      <c r="O220" s="219" t="s">
        <v>81</v>
      </c>
      <c r="P220" s="220" t="s">
        <v>81</v>
      </c>
      <c r="Q220" s="221" t="s">
        <v>81</v>
      </c>
      <c r="R220" s="221" t="s">
        <v>81</v>
      </c>
    </row>
    <row r="221" spans="1:18">
      <c r="A221" s="58"/>
      <c r="G221" s="15"/>
      <c r="H221" s="37">
        <v>216</v>
      </c>
      <c r="I221" s="38" t="str">
        <f t="shared" si="15"/>
        <v/>
      </c>
      <c r="J221" s="37">
        <f t="shared" si="18"/>
        <v>-6</v>
      </c>
      <c r="K221" s="37">
        <f t="shared" si="16"/>
        <v>-60</v>
      </c>
      <c r="L221" s="37"/>
      <c r="M221" s="39">
        <f t="shared" si="17"/>
        <v>0</v>
      </c>
      <c r="N221" s="219" t="s">
        <v>81</v>
      </c>
      <c r="O221" s="219" t="s">
        <v>81</v>
      </c>
      <c r="P221" s="220" t="s">
        <v>81</v>
      </c>
      <c r="Q221" s="221" t="s">
        <v>81</v>
      </c>
      <c r="R221" s="221" t="s">
        <v>81</v>
      </c>
    </row>
    <row r="222" spans="1:18">
      <c r="A222" s="58"/>
      <c r="G222" s="15"/>
      <c r="H222" s="37">
        <v>217</v>
      </c>
      <c r="I222" s="38" t="str">
        <f t="shared" si="15"/>
        <v/>
      </c>
      <c r="J222" s="37">
        <f t="shared" si="18"/>
        <v>-6</v>
      </c>
      <c r="K222" s="37">
        <f t="shared" si="16"/>
        <v>-60</v>
      </c>
      <c r="L222" s="37"/>
      <c r="M222" s="39">
        <f t="shared" si="17"/>
        <v>0</v>
      </c>
      <c r="N222" s="219" t="s">
        <v>81</v>
      </c>
      <c r="O222" s="219" t="s">
        <v>81</v>
      </c>
      <c r="P222" s="220" t="s">
        <v>81</v>
      </c>
      <c r="Q222" s="221" t="s">
        <v>81</v>
      </c>
      <c r="R222" s="221" t="s">
        <v>81</v>
      </c>
    </row>
    <row r="223" spans="1:18">
      <c r="A223" s="58"/>
      <c r="G223" s="15"/>
      <c r="H223" s="37">
        <v>218</v>
      </c>
      <c r="I223" s="38" t="str">
        <f t="shared" si="15"/>
        <v/>
      </c>
      <c r="J223" s="37">
        <f t="shared" si="18"/>
        <v>-6</v>
      </c>
      <c r="K223" s="37">
        <f t="shared" si="16"/>
        <v>-60</v>
      </c>
      <c r="L223" s="37"/>
      <c r="M223" s="39">
        <f t="shared" si="17"/>
        <v>0</v>
      </c>
      <c r="N223" s="219" t="s">
        <v>81</v>
      </c>
      <c r="O223" s="219" t="s">
        <v>81</v>
      </c>
      <c r="P223" s="220" t="s">
        <v>81</v>
      </c>
      <c r="Q223" s="221" t="s">
        <v>81</v>
      </c>
      <c r="R223" s="221" t="s">
        <v>81</v>
      </c>
    </row>
    <row r="224" spans="1:18">
      <c r="A224" s="58"/>
      <c r="G224" s="15"/>
      <c r="H224" s="37">
        <v>219</v>
      </c>
      <c r="I224" s="38" t="str">
        <f t="shared" si="15"/>
        <v/>
      </c>
      <c r="J224" s="37">
        <f t="shared" si="18"/>
        <v>-6</v>
      </c>
      <c r="K224" s="37">
        <f t="shared" si="16"/>
        <v>-60</v>
      </c>
      <c r="L224" s="37"/>
      <c r="M224" s="39">
        <f t="shared" si="17"/>
        <v>0</v>
      </c>
      <c r="N224" s="219" t="s">
        <v>81</v>
      </c>
      <c r="O224" s="219" t="s">
        <v>81</v>
      </c>
      <c r="P224" s="220" t="s">
        <v>81</v>
      </c>
      <c r="Q224" s="221" t="s">
        <v>81</v>
      </c>
      <c r="R224" s="221" t="s">
        <v>81</v>
      </c>
    </row>
    <row r="225" spans="1:18">
      <c r="A225" s="58"/>
      <c r="G225" s="15"/>
      <c r="H225" s="37">
        <v>220</v>
      </c>
      <c r="I225" s="38" t="str">
        <f t="shared" si="15"/>
        <v/>
      </c>
      <c r="J225" s="37">
        <f t="shared" si="18"/>
        <v>-6</v>
      </c>
      <c r="K225" s="37">
        <f t="shared" si="16"/>
        <v>-60</v>
      </c>
      <c r="L225" s="37"/>
      <c r="M225" s="39">
        <f t="shared" si="17"/>
        <v>0</v>
      </c>
      <c r="N225" s="219" t="s">
        <v>81</v>
      </c>
      <c r="O225" s="219" t="s">
        <v>81</v>
      </c>
      <c r="P225" s="220" t="s">
        <v>81</v>
      </c>
      <c r="Q225" s="221" t="s">
        <v>81</v>
      </c>
      <c r="R225" s="221" t="s">
        <v>81</v>
      </c>
    </row>
    <row r="226" spans="1:18">
      <c r="A226" s="58"/>
      <c r="G226" s="15"/>
      <c r="H226" s="37">
        <v>221</v>
      </c>
      <c r="I226" s="38" t="str">
        <f t="shared" si="15"/>
        <v/>
      </c>
      <c r="J226" s="37">
        <f t="shared" si="18"/>
        <v>-6</v>
      </c>
      <c r="K226" s="37">
        <f t="shared" si="16"/>
        <v>-60</v>
      </c>
      <c r="L226" s="37"/>
      <c r="M226" s="39">
        <f t="shared" si="17"/>
        <v>0</v>
      </c>
      <c r="N226" s="219" t="s">
        <v>81</v>
      </c>
      <c r="O226" s="219" t="s">
        <v>81</v>
      </c>
      <c r="P226" s="220" t="s">
        <v>81</v>
      </c>
      <c r="Q226" s="221" t="s">
        <v>81</v>
      </c>
      <c r="R226" s="221" t="s">
        <v>81</v>
      </c>
    </row>
    <row r="227" spans="1:18">
      <c r="A227" s="58"/>
      <c r="G227" s="15"/>
      <c r="H227" s="37">
        <v>222</v>
      </c>
      <c r="I227" s="38" t="str">
        <f t="shared" si="15"/>
        <v/>
      </c>
      <c r="J227" s="37">
        <f t="shared" si="18"/>
        <v>-6</v>
      </c>
      <c r="K227" s="37">
        <f t="shared" si="16"/>
        <v>-60</v>
      </c>
      <c r="L227" s="37"/>
      <c r="M227" s="39">
        <f t="shared" si="17"/>
        <v>0</v>
      </c>
      <c r="N227" s="219" t="s">
        <v>81</v>
      </c>
      <c r="O227" s="219" t="s">
        <v>81</v>
      </c>
      <c r="P227" s="220" t="s">
        <v>81</v>
      </c>
      <c r="Q227" s="221" t="s">
        <v>81</v>
      </c>
      <c r="R227" s="221" t="s">
        <v>81</v>
      </c>
    </row>
    <row r="228" spans="1:18">
      <c r="A228" s="58"/>
      <c r="G228" s="15"/>
      <c r="H228" s="37">
        <v>223</v>
      </c>
      <c r="I228" s="38" t="str">
        <f t="shared" si="15"/>
        <v/>
      </c>
      <c r="J228" s="37">
        <f t="shared" si="18"/>
        <v>-6</v>
      </c>
      <c r="K228" s="37">
        <f t="shared" si="16"/>
        <v>-60</v>
      </c>
      <c r="L228" s="37"/>
      <c r="M228" s="39">
        <f t="shared" si="17"/>
        <v>0</v>
      </c>
      <c r="N228" s="219" t="s">
        <v>81</v>
      </c>
      <c r="O228" s="219" t="s">
        <v>81</v>
      </c>
      <c r="P228" s="220" t="s">
        <v>81</v>
      </c>
      <c r="Q228" s="221" t="s">
        <v>81</v>
      </c>
      <c r="R228" s="221" t="s">
        <v>81</v>
      </c>
    </row>
    <row r="229" spans="1:18">
      <c r="A229" s="58"/>
      <c r="G229" s="15"/>
      <c r="H229" s="37">
        <v>224</v>
      </c>
      <c r="I229" s="38" t="str">
        <f t="shared" si="15"/>
        <v/>
      </c>
      <c r="J229" s="37">
        <f t="shared" si="18"/>
        <v>-6</v>
      </c>
      <c r="K229" s="37">
        <f t="shared" si="16"/>
        <v>-60</v>
      </c>
      <c r="L229" s="37"/>
      <c r="M229" s="39">
        <f t="shared" si="17"/>
        <v>0</v>
      </c>
      <c r="N229" s="219" t="s">
        <v>81</v>
      </c>
      <c r="O229" s="219" t="s">
        <v>81</v>
      </c>
      <c r="P229" s="220" t="s">
        <v>81</v>
      </c>
      <c r="Q229" s="221" t="s">
        <v>81</v>
      </c>
      <c r="R229" s="221" t="s">
        <v>81</v>
      </c>
    </row>
    <row r="230" spans="1:18">
      <c r="A230" s="58"/>
      <c r="G230" s="15"/>
      <c r="H230" s="37">
        <v>225</v>
      </c>
      <c r="I230" s="38" t="str">
        <f t="shared" si="15"/>
        <v/>
      </c>
      <c r="J230" s="37">
        <f t="shared" si="18"/>
        <v>-6</v>
      </c>
      <c r="K230" s="37">
        <f t="shared" si="16"/>
        <v>-60</v>
      </c>
      <c r="L230" s="37"/>
      <c r="M230" s="39">
        <f t="shared" si="17"/>
        <v>0</v>
      </c>
      <c r="N230" s="219" t="s">
        <v>81</v>
      </c>
      <c r="O230" s="219" t="s">
        <v>81</v>
      </c>
      <c r="P230" s="220" t="s">
        <v>81</v>
      </c>
      <c r="Q230" s="221" t="s">
        <v>81</v>
      </c>
      <c r="R230" s="221" t="s">
        <v>81</v>
      </c>
    </row>
    <row r="231" spans="1:18">
      <c r="A231" s="58"/>
      <c r="G231" s="15"/>
      <c r="H231" s="37">
        <v>226</v>
      </c>
      <c r="I231" s="38" t="str">
        <f t="shared" si="15"/>
        <v/>
      </c>
      <c r="J231" s="37">
        <f t="shared" si="18"/>
        <v>-6</v>
      </c>
      <c r="K231" s="37">
        <f t="shared" si="16"/>
        <v>-60</v>
      </c>
      <c r="L231" s="37"/>
      <c r="M231" s="39">
        <f t="shared" si="17"/>
        <v>0</v>
      </c>
      <c r="N231" s="219" t="s">
        <v>81</v>
      </c>
      <c r="O231" s="219" t="s">
        <v>81</v>
      </c>
      <c r="P231" s="220" t="s">
        <v>81</v>
      </c>
      <c r="Q231" s="221" t="s">
        <v>81</v>
      </c>
      <c r="R231" s="221" t="s">
        <v>81</v>
      </c>
    </row>
    <row r="232" spans="1:18">
      <c r="A232" s="58"/>
      <c r="G232" s="15"/>
      <c r="H232" s="37">
        <v>227</v>
      </c>
      <c r="I232" s="38" t="str">
        <f t="shared" si="15"/>
        <v/>
      </c>
      <c r="J232" s="37">
        <f t="shared" si="18"/>
        <v>-6</v>
      </c>
      <c r="K232" s="37">
        <f t="shared" si="16"/>
        <v>-60</v>
      </c>
      <c r="L232" s="37"/>
      <c r="M232" s="39">
        <f t="shared" si="17"/>
        <v>0</v>
      </c>
      <c r="N232" s="219" t="s">
        <v>81</v>
      </c>
      <c r="O232" s="219" t="s">
        <v>81</v>
      </c>
      <c r="P232" s="220" t="s">
        <v>81</v>
      </c>
      <c r="Q232" s="221" t="s">
        <v>81</v>
      </c>
      <c r="R232" s="221" t="s">
        <v>81</v>
      </c>
    </row>
    <row r="233" spans="1:18">
      <c r="A233" s="58"/>
      <c r="G233" s="15"/>
      <c r="H233" s="37">
        <v>228</v>
      </c>
      <c r="I233" s="38" t="str">
        <f t="shared" si="15"/>
        <v/>
      </c>
      <c r="J233" s="37">
        <f t="shared" si="18"/>
        <v>-6</v>
      </c>
      <c r="K233" s="37">
        <f t="shared" si="16"/>
        <v>-60</v>
      </c>
      <c r="L233" s="37"/>
      <c r="M233" s="39">
        <f t="shared" si="17"/>
        <v>0</v>
      </c>
      <c r="N233" s="219" t="s">
        <v>81</v>
      </c>
      <c r="O233" s="219" t="s">
        <v>81</v>
      </c>
      <c r="P233" s="220" t="s">
        <v>81</v>
      </c>
      <c r="Q233" s="221" t="s">
        <v>81</v>
      </c>
      <c r="R233" s="221" t="s">
        <v>81</v>
      </c>
    </row>
    <row r="234" spans="1:18">
      <c r="A234" s="58"/>
      <c r="G234" s="15"/>
      <c r="H234" s="37">
        <v>229</v>
      </c>
      <c r="I234" s="38" t="str">
        <f t="shared" si="15"/>
        <v/>
      </c>
      <c r="J234" s="37">
        <f t="shared" si="18"/>
        <v>-6</v>
      </c>
      <c r="K234" s="37">
        <f t="shared" si="16"/>
        <v>-60</v>
      </c>
      <c r="L234" s="37"/>
      <c r="M234" s="39">
        <f t="shared" si="17"/>
        <v>0</v>
      </c>
      <c r="N234" s="219" t="s">
        <v>81</v>
      </c>
      <c r="O234" s="219" t="s">
        <v>81</v>
      </c>
      <c r="P234" s="220" t="s">
        <v>81</v>
      </c>
      <c r="Q234" s="221" t="s">
        <v>81</v>
      </c>
      <c r="R234" s="221" t="s">
        <v>81</v>
      </c>
    </row>
    <row r="235" spans="1:18">
      <c r="A235" s="58"/>
      <c r="G235" s="15"/>
      <c r="H235" s="37">
        <v>230</v>
      </c>
      <c r="I235" s="38" t="str">
        <f t="shared" si="15"/>
        <v/>
      </c>
      <c r="J235" s="37">
        <f t="shared" si="18"/>
        <v>-6</v>
      </c>
      <c r="K235" s="37">
        <f t="shared" si="16"/>
        <v>-60</v>
      </c>
      <c r="L235" s="37"/>
      <c r="M235" s="39">
        <f t="shared" si="17"/>
        <v>0</v>
      </c>
      <c r="N235" s="219" t="s">
        <v>81</v>
      </c>
      <c r="O235" s="219" t="s">
        <v>81</v>
      </c>
      <c r="P235" s="220" t="s">
        <v>81</v>
      </c>
      <c r="Q235" s="221" t="s">
        <v>81</v>
      </c>
      <c r="R235" s="221" t="s">
        <v>81</v>
      </c>
    </row>
    <row r="236" spans="1:18">
      <c r="A236" s="58"/>
      <c r="G236" s="15"/>
      <c r="H236" s="37">
        <v>231</v>
      </c>
      <c r="I236" s="38" t="str">
        <f t="shared" si="15"/>
        <v/>
      </c>
      <c r="J236" s="37">
        <f t="shared" si="18"/>
        <v>-6</v>
      </c>
      <c r="K236" s="37">
        <f t="shared" si="16"/>
        <v>-60</v>
      </c>
      <c r="L236" s="37"/>
      <c r="M236" s="39">
        <f t="shared" si="17"/>
        <v>0</v>
      </c>
      <c r="N236" s="219" t="s">
        <v>81</v>
      </c>
      <c r="O236" s="219" t="s">
        <v>81</v>
      </c>
      <c r="P236" s="220" t="s">
        <v>81</v>
      </c>
      <c r="Q236" s="221" t="s">
        <v>81</v>
      </c>
      <c r="R236" s="221" t="s">
        <v>81</v>
      </c>
    </row>
    <row r="237" spans="1:18">
      <c r="A237" s="58"/>
      <c r="G237" s="15"/>
      <c r="H237" s="37">
        <v>232</v>
      </c>
      <c r="I237" s="38" t="str">
        <f t="shared" si="15"/>
        <v/>
      </c>
      <c r="J237" s="37">
        <f t="shared" si="18"/>
        <v>-6</v>
      </c>
      <c r="K237" s="37">
        <f t="shared" si="16"/>
        <v>-60</v>
      </c>
      <c r="L237" s="37"/>
      <c r="M237" s="39">
        <f t="shared" si="17"/>
        <v>0</v>
      </c>
      <c r="N237" s="219" t="s">
        <v>81</v>
      </c>
      <c r="O237" s="219" t="s">
        <v>81</v>
      </c>
      <c r="P237" s="220" t="s">
        <v>81</v>
      </c>
      <c r="Q237" s="221" t="s">
        <v>81</v>
      </c>
      <c r="R237" s="221" t="s">
        <v>81</v>
      </c>
    </row>
    <row r="238" spans="1:18">
      <c r="A238" s="58"/>
      <c r="G238" s="15"/>
      <c r="H238" s="37">
        <v>233</v>
      </c>
      <c r="I238" s="38" t="str">
        <f t="shared" si="15"/>
        <v/>
      </c>
      <c r="J238" s="37">
        <f t="shared" si="18"/>
        <v>-6</v>
      </c>
      <c r="K238" s="37">
        <f t="shared" si="16"/>
        <v>-60</v>
      </c>
      <c r="L238" s="37"/>
      <c r="M238" s="39">
        <f t="shared" si="17"/>
        <v>0</v>
      </c>
      <c r="N238" s="219" t="s">
        <v>81</v>
      </c>
      <c r="O238" s="219" t="s">
        <v>81</v>
      </c>
      <c r="P238" s="220" t="s">
        <v>81</v>
      </c>
      <c r="Q238" s="221" t="s">
        <v>81</v>
      </c>
      <c r="R238" s="221" t="s">
        <v>81</v>
      </c>
    </row>
    <row r="239" spans="1:18">
      <c r="A239" s="58"/>
      <c r="G239" s="15"/>
      <c r="H239" s="37">
        <v>234</v>
      </c>
      <c r="I239" s="38" t="str">
        <f t="shared" si="15"/>
        <v/>
      </c>
      <c r="J239" s="37">
        <f t="shared" si="18"/>
        <v>-6</v>
      </c>
      <c r="K239" s="37">
        <f t="shared" si="16"/>
        <v>-60</v>
      </c>
      <c r="L239" s="37"/>
      <c r="M239" s="39">
        <f t="shared" si="17"/>
        <v>0</v>
      </c>
      <c r="N239" s="219" t="s">
        <v>81</v>
      </c>
      <c r="O239" s="219" t="s">
        <v>81</v>
      </c>
      <c r="P239" s="220" t="s">
        <v>81</v>
      </c>
      <c r="Q239" s="221" t="s">
        <v>81</v>
      </c>
      <c r="R239" s="221" t="s">
        <v>81</v>
      </c>
    </row>
    <row r="240" spans="1:18">
      <c r="A240" s="58"/>
      <c r="G240" s="15"/>
      <c r="H240" s="37">
        <v>235</v>
      </c>
      <c r="I240" s="38" t="str">
        <f t="shared" si="15"/>
        <v/>
      </c>
      <c r="J240" s="37">
        <f t="shared" si="18"/>
        <v>-6</v>
      </c>
      <c r="K240" s="37">
        <f t="shared" si="16"/>
        <v>-60</v>
      </c>
      <c r="L240" s="37"/>
      <c r="M240" s="39">
        <f t="shared" si="17"/>
        <v>0</v>
      </c>
      <c r="N240" s="219" t="s">
        <v>81</v>
      </c>
      <c r="O240" s="219" t="s">
        <v>81</v>
      </c>
      <c r="P240" s="220" t="s">
        <v>81</v>
      </c>
      <c r="Q240" s="221" t="s">
        <v>81</v>
      </c>
      <c r="R240" s="221" t="s">
        <v>81</v>
      </c>
    </row>
    <row r="241" spans="1:18">
      <c r="A241" s="58"/>
      <c r="G241" s="15"/>
      <c r="H241" s="37">
        <v>236</v>
      </c>
      <c r="I241" s="38" t="str">
        <f t="shared" si="15"/>
        <v/>
      </c>
      <c r="J241" s="37">
        <f t="shared" si="18"/>
        <v>-6</v>
      </c>
      <c r="K241" s="37">
        <f t="shared" si="16"/>
        <v>-60</v>
      </c>
      <c r="L241" s="37"/>
      <c r="M241" s="39">
        <f t="shared" si="17"/>
        <v>0</v>
      </c>
      <c r="N241" s="219" t="s">
        <v>81</v>
      </c>
      <c r="O241" s="219" t="s">
        <v>81</v>
      </c>
      <c r="P241" s="220" t="s">
        <v>81</v>
      </c>
      <c r="Q241" s="221" t="s">
        <v>81</v>
      </c>
      <c r="R241" s="221" t="s">
        <v>81</v>
      </c>
    </row>
    <row r="242" spans="1:18">
      <c r="A242" s="58"/>
      <c r="G242" s="15"/>
      <c r="H242" s="37">
        <v>237</v>
      </c>
      <c r="I242" s="38" t="str">
        <f t="shared" si="15"/>
        <v/>
      </c>
      <c r="J242" s="37">
        <f t="shared" si="18"/>
        <v>-6</v>
      </c>
      <c r="K242" s="37">
        <f t="shared" si="16"/>
        <v>-60</v>
      </c>
      <c r="L242" s="37"/>
      <c r="M242" s="39">
        <f t="shared" si="17"/>
        <v>0</v>
      </c>
      <c r="N242" s="219" t="s">
        <v>81</v>
      </c>
      <c r="O242" s="219" t="s">
        <v>81</v>
      </c>
      <c r="P242" s="220" t="s">
        <v>81</v>
      </c>
      <c r="Q242" s="221" t="s">
        <v>81</v>
      </c>
      <c r="R242" s="221" t="s">
        <v>81</v>
      </c>
    </row>
    <row r="243" spans="1:18">
      <c r="A243" s="58"/>
      <c r="G243" s="15"/>
      <c r="H243" s="37">
        <v>238</v>
      </c>
      <c r="I243" s="38" t="str">
        <f t="shared" si="15"/>
        <v/>
      </c>
      <c r="J243" s="37">
        <f t="shared" si="18"/>
        <v>-6</v>
      </c>
      <c r="K243" s="37">
        <f t="shared" si="16"/>
        <v>-60</v>
      </c>
      <c r="L243" s="37"/>
      <c r="M243" s="39">
        <f t="shared" si="17"/>
        <v>0</v>
      </c>
      <c r="N243" s="219" t="s">
        <v>81</v>
      </c>
      <c r="O243" s="219" t="s">
        <v>81</v>
      </c>
      <c r="P243" s="220" t="s">
        <v>81</v>
      </c>
      <c r="Q243" s="221" t="s">
        <v>81</v>
      </c>
      <c r="R243" s="221" t="s">
        <v>81</v>
      </c>
    </row>
    <row r="244" spans="1:18">
      <c r="A244" s="58"/>
      <c r="G244" s="15"/>
      <c r="H244" s="37">
        <v>239</v>
      </c>
      <c r="I244" s="38" t="str">
        <f t="shared" si="15"/>
        <v/>
      </c>
      <c r="J244" s="37">
        <f t="shared" si="18"/>
        <v>-6</v>
      </c>
      <c r="K244" s="37">
        <f t="shared" si="16"/>
        <v>-60</v>
      </c>
      <c r="L244" s="37"/>
      <c r="M244" s="39">
        <f t="shared" si="17"/>
        <v>0</v>
      </c>
      <c r="N244" s="219" t="s">
        <v>81</v>
      </c>
      <c r="O244" s="219" t="s">
        <v>81</v>
      </c>
      <c r="P244" s="220" t="s">
        <v>81</v>
      </c>
      <c r="Q244" s="221" t="s">
        <v>81</v>
      </c>
      <c r="R244" s="221" t="s">
        <v>81</v>
      </c>
    </row>
    <row r="245" spans="1:18">
      <c r="A245" s="58"/>
      <c r="G245" s="15"/>
      <c r="H245" s="37">
        <v>240</v>
      </c>
      <c r="I245" s="38" t="str">
        <f t="shared" si="15"/>
        <v/>
      </c>
      <c r="J245" s="37">
        <f t="shared" si="18"/>
        <v>-6</v>
      </c>
      <c r="K245" s="37">
        <f t="shared" si="16"/>
        <v>-60</v>
      </c>
      <c r="L245" s="37"/>
      <c r="M245" s="39">
        <f t="shared" si="17"/>
        <v>0</v>
      </c>
      <c r="N245" s="219" t="s">
        <v>81</v>
      </c>
      <c r="O245" s="219" t="s">
        <v>81</v>
      </c>
      <c r="P245" s="220" t="s">
        <v>81</v>
      </c>
      <c r="Q245" s="221" t="s">
        <v>81</v>
      </c>
      <c r="R245" s="221" t="s">
        <v>81</v>
      </c>
    </row>
    <row r="246" spans="1:18">
      <c r="A246" s="58"/>
      <c r="G246" s="15"/>
      <c r="H246" s="37">
        <v>241</v>
      </c>
      <c r="I246" s="38" t="str">
        <f t="shared" si="15"/>
        <v/>
      </c>
      <c r="J246" s="37">
        <f t="shared" si="18"/>
        <v>-6</v>
      </c>
      <c r="K246" s="37">
        <f t="shared" si="16"/>
        <v>-60</v>
      </c>
      <c r="L246" s="37"/>
      <c r="M246" s="39">
        <f t="shared" si="17"/>
        <v>0</v>
      </c>
      <c r="N246" s="219" t="s">
        <v>81</v>
      </c>
      <c r="O246" s="219" t="s">
        <v>81</v>
      </c>
      <c r="P246" s="220" t="s">
        <v>81</v>
      </c>
      <c r="Q246" s="221" t="s">
        <v>81</v>
      </c>
      <c r="R246" s="221" t="s">
        <v>81</v>
      </c>
    </row>
    <row r="247" spans="1:18">
      <c r="A247" s="58"/>
      <c r="G247" s="15"/>
      <c r="H247" s="37">
        <v>242</v>
      </c>
      <c r="I247" s="38" t="str">
        <f t="shared" si="15"/>
        <v/>
      </c>
      <c r="J247" s="37">
        <f t="shared" si="18"/>
        <v>-6</v>
      </c>
      <c r="K247" s="37">
        <f t="shared" si="16"/>
        <v>-60</v>
      </c>
      <c r="L247" s="37"/>
      <c r="M247" s="39">
        <f t="shared" si="17"/>
        <v>0</v>
      </c>
      <c r="N247" s="219" t="s">
        <v>81</v>
      </c>
      <c r="O247" s="219" t="s">
        <v>81</v>
      </c>
      <c r="P247" s="220" t="s">
        <v>81</v>
      </c>
      <c r="Q247" s="221" t="s">
        <v>81</v>
      </c>
      <c r="R247" s="221" t="s">
        <v>81</v>
      </c>
    </row>
    <row r="248" spans="1:18">
      <c r="A248" s="58"/>
      <c r="G248" s="15"/>
      <c r="H248" s="37">
        <v>243</v>
      </c>
      <c r="I248" s="38" t="str">
        <f t="shared" si="15"/>
        <v/>
      </c>
      <c r="J248" s="37">
        <f t="shared" si="18"/>
        <v>-6</v>
      </c>
      <c r="K248" s="37">
        <f t="shared" si="16"/>
        <v>-60</v>
      </c>
      <c r="L248" s="37"/>
      <c r="M248" s="39">
        <f t="shared" si="17"/>
        <v>0</v>
      </c>
      <c r="N248" s="219" t="s">
        <v>81</v>
      </c>
      <c r="O248" s="219" t="s">
        <v>81</v>
      </c>
      <c r="P248" s="220" t="s">
        <v>81</v>
      </c>
      <c r="Q248" s="221" t="s">
        <v>81</v>
      </c>
      <c r="R248" s="221" t="s">
        <v>81</v>
      </c>
    </row>
    <row r="249" spans="1:18">
      <c r="A249" s="58"/>
      <c r="G249" s="15"/>
      <c r="H249" s="37">
        <v>244</v>
      </c>
      <c r="I249" s="38" t="str">
        <f t="shared" si="15"/>
        <v/>
      </c>
      <c r="J249" s="37">
        <f t="shared" si="18"/>
        <v>-6</v>
      </c>
      <c r="K249" s="37">
        <f t="shared" si="16"/>
        <v>-60</v>
      </c>
      <c r="L249" s="37"/>
      <c r="M249" s="39">
        <f t="shared" si="17"/>
        <v>0</v>
      </c>
      <c r="N249" s="219" t="s">
        <v>81</v>
      </c>
      <c r="O249" s="219" t="s">
        <v>81</v>
      </c>
      <c r="P249" s="220" t="s">
        <v>81</v>
      </c>
      <c r="Q249" s="221" t="s">
        <v>81</v>
      </c>
      <c r="R249" s="221" t="s">
        <v>81</v>
      </c>
    </row>
    <row r="250" spans="1:18">
      <c r="A250" s="58"/>
      <c r="G250" s="15"/>
      <c r="H250" s="37">
        <v>245</v>
      </c>
      <c r="I250" s="38" t="str">
        <f t="shared" si="15"/>
        <v/>
      </c>
      <c r="J250" s="37">
        <f t="shared" si="18"/>
        <v>-6</v>
      </c>
      <c r="K250" s="37">
        <f t="shared" si="16"/>
        <v>-60</v>
      </c>
      <c r="L250" s="37"/>
      <c r="M250" s="39">
        <f t="shared" si="17"/>
        <v>0</v>
      </c>
      <c r="N250" s="219" t="s">
        <v>81</v>
      </c>
      <c r="O250" s="219" t="s">
        <v>81</v>
      </c>
      <c r="P250" s="220" t="s">
        <v>81</v>
      </c>
      <c r="Q250" s="221" t="s">
        <v>81</v>
      </c>
      <c r="R250" s="221" t="s">
        <v>81</v>
      </c>
    </row>
    <row r="251" spans="1:18">
      <c r="A251" s="58"/>
      <c r="G251" s="15"/>
      <c r="H251" s="37">
        <v>246</v>
      </c>
      <c r="I251" s="38" t="str">
        <f t="shared" si="15"/>
        <v/>
      </c>
      <c r="J251" s="37">
        <f t="shared" si="18"/>
        <v>-6</v>
      </c>
      <c r="K251" s="37">
        <f t="shared" si="16"/>
        <v>-60</v>
      </c>
      <c r="L251" s="37"/>
      <c r="M251" s="39">
        <f t="shared" si="17"/>
        <v>0</v>
      </c>
      <c r="N251" s="219" t="s">
        <v>81</v>
      </c>
      <c r="O251" s="219" t="s">
        <v>81</v>
      </c>
      <c r="P251" s="220" t="s">
        <v>81</v>
      </c>
      <c r="Q251" s="221" t="s">
        <v>81</v>
      </c>
      <c r="R251" s="221" t="s">
        <v>81</v>
      </c>
    </row>
    <row r="252" spans="1:18">
      <c r="A252" s="58"/>
      <c r="G252" s="15"/>
      <c r="H252" s="37">
        <v>247</v>
      </c>
      <c r="I252" s="38" t="str">
        <f t="shared" si="15"/>
        <v/>
      </c>
      <c r="J252" s="37">
        <f t="shared" si="18"/>
        <v>-6</v>
      </c>
      <c r="K252" s="37">
        <f t="shared" si="16"/>
        <v>-60</v>
      </c>
      <c r="L252" s="37"/>
      <c r="M252" s="39">
        <f t="shared" si="17"/>
        <v>0</v>
      </c>
      <c r="N252" s="219" t="s">
        <v>81</v>
      </c>
      <c r="O252" s="219" t="s">
        <v>81</v>
      </c>
      <c r="P252" s="220" t="s">
        <v>81</v>
      </c>
      <c r="Q252" s="221" t="s">
        <v>81</v>
      </c>
      <c r="R252" s="221" t="s">
        <v>81</v>
      </c>
    </row>
    <row r="253" spans="1:18">
      <c r="A253" s="58"/>
      <c r="G253" s="15"/>
      <c r="H253" s="37">
        <v>248</v>
      </c>
      <c r="I253" s="38" t="str">
        <f t="shared" si="15"/>
        <v/>
      </c>
      <c r="J253" s="37">
        <f t="shared" si="18"/>
        <v>-6</v>
      </c>
      <c r="K253" s="37">
        <f t="shared" si="16"/>
        <v>-60</v>
      </c>
      <c r="L253" s="37"/>
      <c r="M253" s="39">
        <f t="shared" si="17"/>
        <v>0</v>
      </c>
      <c r="N253" s="219" t="s">
        <v>81</v>
      </c>
      <c r="O253" s="219" t="s">
        <v>81</v>
      </c>
      <c r="P253" s="220" t="s">
        <v>81</v>
      </c>
      <c r="Q253" s="221" t="s">
        <v>81</v>
      </c>
      <c r="R253" s="221" t="s">
        <v>81</v>
      </c>
    </row>
    <row r="254" spans="1:18">
      <c r="A254" s="58"/>
      <c r="G254" s="15"/>
      <c r="H254" s="37">
        <v>249</v>
      </c>
      <c r="I254" s="38" t="str">
        <f t="shared" si="15"/>
        <v/>
      </c>
      <c r="J254" s="37">
        <f t="shared" si="18"/>
        <v>-6</v>
      </c>
      <c r="K254" s="37">
        <f t="shared" si="16"/>
        <v>-60</v>
      </c>
      <c r="L254" s="37"/>
      <c r="M254" s="39">
        <f t="shared" si="17"/>
        <v>0</v>
      </c>
      <c r="N254" s="219" t="s">
        <v>81</v>
      </c>
      <c r="O254" s="219" t="s">
        <v>81</v>
      </c>
      <c r="P254" s="220" t="s">
        <v>81</v>
      </c>
      <c r="Q254" s="221" t="s">
        <v>81</v>
      </c>
      <c r="R254" s="221" t="s">
        <v>81</v>
      </c>
    </row>
    <row r="255" spans="1:18">
      <c r="A255" s="58"/>
      <c r="G255" s="15"/>
      <c r="H255" s="37">
        <v>250</v>
      </c>
      <c r="I255" s="38" t="str">
        <f t="shared" si="15"/>
        <v/>
      </c>
      <c r="J255" s="37">
        <f t="shared" si="18"/>
        <v>-6</v>
      </c>
      <c r="K255" s="37">
        <f t="shared" si="16"/>
        <v>-60</v>
      </c>
      <c r="L255" s="37"/>
      <c r="M255" s="39">
        <f t="shared" si="17"/>
        <v>0</v>
      </c>
      <c r="N255" s="219" t="s">
        <v>81</v>
      </c>
      <c r="O255" s="219" t="s">
        <v>81</v>
      </c>
      <c r="P255" s="220" t="s">
        <v>81</v>
      </c>
      <c r="Q255" s="221" t="s">
        <v>81</v>
      </c>
      <c r="R255" s="221" t="s">
        <v>81</v>
      </c>
    </row>
    <row r="256" spans="1:18">
      <c r="A256" s="58"/>
      <c r="G256" s="15"/>
      <c r="H256" s="37">
        <v>251</v>
      </c>
      <c r="I256" s="38" t="str">
        <f t="shared" si="15"/>
        <v/>
      </c>
      <c r="J256" s="37">
        <f t="shared" si="18"/>
        <v>-6</v>
      </c>
      <c r="K256" s="37">
        <f t="shared" si="16"/>
        <v>-60</v>
      </c>
      <c r="L256" s="37"/>
      <c r="M256" s="39">
        <f t="shared" si="17"/>
        <v>0</v>
      </c>
      <c r="N256" s="219" t="s">
        <v>81</v>
      </c>
      <c r="O256" s="219" t="s">
        <v>81</v>
      </c>
      <c r="P256" s="220" t="s">
        <v>81</v>
      </c>
      <c r="Q256" s="221" t="s">
        <v>81</v>
      </c>
      <c r="R256" s="221" t="s">
        <v>81</v>
      </c>
    </row>
    <row r="257" spans="1:18">
      <c r="A257" s="58"/>
      <c r="G257" s="15"/>
      <c r="H257" s="37">
        <v>252</v>
      </c>
      <c r="I257" s="38" t="str">
        <f t="shared" si="15"/>
        <v/>
      </c>
      <c r="J257" s="37">
        <f t="shared" si="18"/>
        <v>-6</v>
      </c>
      <c r="K257" s="37">
        <f t="shared" si="16"/>
        <v>-60</v>
      </c>
      <c r="L257" s="37"/>
      <c r="M257" s="39">
        <f t="shared" si="17"/>
        <v>0</v>
      </c>
      <c r="N257" s="219" t="s">
        <v>81</v>
      </c>
      <c r="O257" s="219" t="s">
        <v>81</v>
      </c>
      <c r="P257" s="220" t="s">
        <v>81</v>
      </c>
      <c r="Q257" s="221" t="s">
        <v>81</v>
      </c>
      <c r="R257" s="221" t="s">
        <v>81</v>
      </c>
    </row>
    <row r="258" spans="1:18">
      <c r="A258" s="58"/>
      <c r="G258" s="15"/>
      <c r="H258" s="37">
        <v>253</v>
      </c>
      <c r="I258" s="38" t="str">
        <f t="shared" si="15"/>
        <v/>
      </c>
      <c r="J258" s="37">
        <f t="shared" si="18"/>
        <v>-6</v>
      </c>
      <c r="K258" s="37">
        <f t="shared" si="16"/>
        <v>-60</v>
      </c>
      <c r="L258" s="37"/>
      <c r="M258" s="39">
        <f t="shared" si="17"/>
        <v>0</v>
      </c>
      <c r="N258" s="219" t="s">
        <v>81</v>
      </c>
      <c r="O258" s="219" t="s">
        <v>81</v>
      </c>
      <c r="P258" s="220" t="s">
        <v>81</v>
      </c>
      <c r="Q258" s="221" t="s">
        <v>81</v>
      </c>
      <c r="R258" s="221" t="s">
        <v>81</v>
      </c>
    </row>
    <row r="259" spans="1:18">
      <c r="A259" s="58"/>
      <c r="G259" s="15"/>
      <c r="H259" s="37">
        <v>254</v>
      </c>
      <c r="I259" s="38" t="str">
        <f t="shared" si="15"/>
        <v/>
      </c>
      <c r="J259" s="37">
        <f t="shared" si="18"/>
        <v>-6</v>
      </c>
      <c r="K259" s="37">
        <f t="shared" si="16"/>
        <v>-60</v>
      </c>
      <c r="L259" s="37"/>
      <c r="M259" s="39">
        <f t="shared" si="17"/>
        <v>0</v>
      </c>
      <c r="N259" s="219" t="s">
        <v>81</v>
      </c>
      <c r="O259" s="219" t="s">
        <v>81</v>
      </c>
      <c r="P259" s="220" t="s">
        <v>81</v>
      </c>
      <c r="Q259" s="221" t="s">
        <v>81</v>
      </c>
      <c r="R259" s="221" t="s">
        <v>81</v>
      </c>
    </row>
    <row r="260" spans="1:18">
      <c r="A260" s="58"/>
      <c r="G260" s="15"/>
      <c r="H260" s="37">
        <v>255</v>
      </c>
      <c r="I260" s="38" t="str">
        <f t="shared" si="15"/>
        <v/>
      </c>
      <c r="J260" s="37">
        <f t="shared" si="18"/>
        <v>-6</v>
      </c>
      <c r="K260" s="37">
        <f t="shared" si="16"/>
        <v>-60</v>
      </c>
      <c r="L260" s="37"/>
      <c r="M260" s="39">
        <f t="shared" si="17"/>
        <v>0</v>
      </c>
      <c r="N260" s="219" t="s">
        <v>81</v>
      </c>
      <c r="O260" s="219" t="s">
        <v>81</v>
      </c>
      <c r="P260" s="220" t="s">
        <v>81</v>
      </c>
      <c r="Q260" s="221" t="s">
        <v>81</v>
      </c>
      <c r="R260" s="221" t="s">
        <v>81</v>
      </c>
    </row>
    <row r="261" spans="1:18">
      <c r="A261" s="58"/>
      <c r="G261" s="15"/>
      <c r="H261" s="37">
        <v>256</v>
      </c>
      <c r="I261" s="38" t="str">
        <f t="shared" si="15"/>
        <v/>
      </c>
      <c r="J261" s="37">
        <f t="shared" si="18"/>
        <v>-6</v>
      </c>
      <c r="K261" s="37">
        <f t="shared" si="16"/>
        <v>-60</v>
      </c>
      <c r="L261" s="37"/>
      <c r="M261" s="39">
        <f t="shared" si="17"/>
        <v>0</v>
      </c>
      <c r="N261" s="219" t="s">
        <v>81</v>
      </c>
      <c r="O261" s="219" t="s">
        <v>81</v>
      </c>
      <c r="P261" s="220" t="s">
        <v>81</v>
      </c>
      <c r="Q261" s="221" t="s">
        <v>81</v>
      </c>
      <c r="R261" s="221" t="s">
        <v>81</v>
      </c>
    </row>
    <row r="262" spans="1:18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>
        <f t="shared" si="18"/>
        <v>-7</v>
      </c>
      <c r="K262" s="37">
        <f t="shared" ref="K262:K305" si="20">J262*$J$2</f>
        <v>-70</v>
      </c>
      <c r="L262" s="37"/>
      <c r="M262" s="39">
        <f t="shared" ref="M262:M305" si="21">IF(I262&lt;&gt;"",K262+I262+L262,0)</f>
        <v>0</v>
      </c>
      <c r="N262" s="219" t="s">
        <v>81</v>
      </c>
      <c r="O262" s="219" t="s">
        <v>81</v>
      </c>
      <c r="P262" s="220" t="s">
        <v>81</v>
      </c>
      <c r="Q262" s="221" t="s">
        <v>81</v>
      </c>
      <c r="R262" s="221" t="s">
        <v>81</v>
      </c>
    </row>
    <row r="263" spans="1:18">
      <c r="A263" s="58"/>
      <c r="G263" s="15"/>
      <c r="H263" s="37">
        <v>258</v>
      </c>
      <c r="I263" s="38" t="str">
        <f t="shared" si="19"/>
        <v/>
      </c>
      <c r="J263" s="37">
        <f t="shared" ref="J263:J305" si="22">INT(LOG($H$2,2))-ROUNDUP(LOG(H263,2),0)+IF(OR($H$2=1,$H$2=2,$H$2=4,$H$2=8,$H$2=16,$H$2=32,$H$2=64,$H$2=128,$H$2=256),0,1)</f>
        <v>-7</v>
      </c>
      <c r="K263" s="37">
        <f t="shared" si="20"/>
        <v>-70</v>
      </c>
      <c r="L263" s="37"/>
      <c r="M263" s="39">
        <f t="shared" si="21"/>
        <v>0</v>
      </c>
      <c r="N263" s="219" t="s">
        <v>81</v>
      </c>
      <c r="O263" s="219" t="s">
        <v>81</v>
      </c>
      <c r="P263" s="220" t="s">
        <v>81</v>
      </c>
      <c r="Q263" s="221" t="s">
        <v>81</v>
      </c>
      <c r="R263" s="221" t="s">
        <v>81</v>
      </c>
    </row>
    <row r="264" spans="1:18">
      <c r="A264" s="58"/>
      <c r="G264" s="15"/>
      <c r="H264" s="37">
        <v>259</v>
      </c>
      <c r="I264" s="38" t="str">
        <f t="shared" si="19"/>
        <v/>
      </c>
      <c r="J264" s="37">
        <f t="shared" si="22"/>
        <v>-7</v>
      </c>
      <c r="K264" s="37">
        <f t="shared" si="20"/>
        <v>-70</v>
      </c>
      <c r="L264" s="37"/>
      <c r="M264" s="39">
        <f t="shared" si="21"/>
        <v>0</v>
      </c>
      <c r="N264" s="219" t="s">
        <v>81</v>
      </c>
      <c r="O264" s="219" t="s">
        <v>81</v>
      </c>
      <c r="P264" s="220" t="s">
        <v>81</v>
      </c>
      <c r="Q264" s="221" t="s">
        <v>81</v>
      </c>
      <c r="R264" s="221" t="s">
        <v>81</v>
      </c>
    </row>
    <row r="265" spans="1:18">
      <c r="A265" s="58"/>
      <c r="G265" s="15"/>
      <c r="H265" s="37">
        <v>260</v>
      </c>
      <c r="I265" s="38" t="str">
        <f t="shared" si="19"/>
        <v/>
      </c>
      <c r="J265" s="37">
        <f t="shared" si="22"/>
        <v>-7</v>
      </c>
      <c r="K265" s="37">
        <f t="shared" si="20"/>
        <v>-70</v>
      </c>
      <c r="L265" s="37"/>
      <c r="M265" s="39">
        <f t="shared" si="21"/>
        <v>0</v>
      </c>
      <c r="N265" s="219" t="s">
        <v>81</v>
      </c>
      <c r="O265" s="219" t="s">
        <v>81</v>
      </c>
      <c r="P265" s="220" t="s">
        <v>81</v>
      </c>
      <c r="Q265" s="221" t="s">
        <v>81</v>
      </c>
      <c r="R265" s="221" t="s">
        <v>81</v>
      </c>
    </row>
    <row r="266" spans="1:18">
      <c r="A266" s="58"/>
      <c r="G266" s="15"/>
      <c r="H266" s="37">
        <v>261</v>
      </c>
      <c r="I266" s="38" t="str">
        <f t="shared" si="19"/>
        <v/>
      </c>
      <c r="J266" s="37">
        <f t="shared" si="22"/>
        <v>-7</v>
      </c>
      <c r="K266" s="37">
        <f t="shared" si="20"/>
        <v>-70</v>
      </c>
      <c r="L266" s="37"/>
      <c r="M266" s="39">
        <f t="shared" si="21"/>
        <v>0</v>
      </c>
      <c r="N266" s="219" t="s">
        <v>81</v>
      </c>
      <c r="O266" s="219" t="s">
        <v>81</v>
      </c>
      <c r="P266" s="220" t="s">
        <v>81</v>
      </c>
      <c r="Q266" s="221" t="s">
        <v>81</v>
      </c>
      <c r="R266" s="221" t="s">
        <v>81</v>
      </c>
    </row>
    <row r="267" spans="1:18">
      <c r="A267" s="58"/>
      <c r="G267" s="15"/>
      <c r="H267" s="37">
        <v>262</v>
      </c>
      <c r="I267" s="38" t="str">
        <f t="shared" si="19"/>
        <v/>
      </c>
      <c r="J267" s="37">
        <f t="shared" si="22"/>
        <v>-7</v>
      </c>
      <c r="K267" s="37">
        <f t="shared" si="20"/>
        <v>-70</v>
      </c>
      <c r="L267" s="37"/>
      <c r="M267" s="39">
        <f t="shared" si="21"/>
        <v>0</v>
      </c>
      <c r="N267" s="219" t="s">
        <v>81</v>
      </c>
      <c r="O267" s="219" t="s">
        <v>81</v>
      </c>
      <c r="P267" s="220" t="s">
        <v>81</v>
      </c>
      <c r="Q267" s="221" t="s">
        <v>81</v>
      </c>
      <c r="R267" s="221" t="s">
        <v>81</v>
      </c>
    </row>
    <row r="268" spans="1:18">
      <c r="A268" s="58"/>
      <c r="G268" s="15"/>
      <c r="H268" s="37">
        <v>263</v>
      </c>
      <c r="I268" s="38" t="str">
        <f t="shared" si="19"/>
        <v/>
      </c>
      <c r="J268" s="37">
        <f t="shared" si="22"/>
        <v>-7</v>
      </c>
      <c r="K268" s="37">
        <f t="shared" si="20"/>
        <v>-70</v>
      </c>
      <c r="L268" s="37"/>
      <c r="M268" s="39">
        <f t="shared" si="21"/>
        <v>0</v>
      </c>
      <c r="N268" s="219" t="s">
        <v>81</v>
      </c>
      <c r="O268" s="219" t="s">
        <v>81</v>
      </c>
      <c r="P268" s="220" t="s">
        <v>81</v>
      </c>
      <c r="Q268" s="221" t="s">
        <v>81</v>
      </c>
      <c r="R268" s="221" t="s">
        <v>81</v>
      </c>
    </row>
    <row r="269" spans="1:18">
      <c r="A269" s="58"/>
      <c r="G269" s="15"/>
      <c r="H269" s="37">
        <v>264</v>
      </c>
      <c r="I269" s="38" t="str">
        <f t="shared" si="19"/>
        <v/>
      </c>
      <c r="J269" s="37">
        <f t="shared" si="22"/>
        <v>-7</v>
      </c>
      <c r="K269" s="37">
        <f t="shared" si="20"/>
        <v>-70</v>
      </c>
      <c r="L269" s="37"/>
      <c r="M269" s="39">
        <f t="shared" si="21"/>
        <v>0</v>
      </c>
      <c r="N269" s="219" t="s">
        <v>81</v>
      </c>
      <c r="O269" s="219" t="s">
        <v>81</v>
      </c>
      <c r="P269" s="220" t="s">
        <v>81</v>
      </c>
      <c r="Q269" s="221" t="s">
        <v>81</v>
      </c>
      <c r="R269" s="221" t="s">
        <v>81</v>
      </c>
    </row>
    <row r="270" spans="1:18">
      <c r="A270" s="58"/>
      <c r="G270" s="15"/>
      <c r="H270" s="37">
        <v>265</v>
      </c>
      <c r="I270" s="38" t="str">
        <f t="shared" si="19"/>
        <v/>
      </c>
      <c r="J270" s="37">
        <f t="shared" si="22"/>
        <v>-7</v>
      </c>
      <c r="K270" s="37">
        <f t="shared" si="20"/>
        <v>-70</v>
      </c>
      <c r="L270" s="37"/>
      <c r="M270" s="39">
        <f t="shared" si="21"/>
        <v>0</v>
      </c>
      <c r="N270" s="219" t="s">
        <v>81</v>
      </c>
      <c r="O270" s="219" t="s">
        <v>81</v>
      </c>
      <c r="P270" s="220" t="s">
        <v>81</v>
      </c>
      <c r="Q270" s="221" t="s">
        <v>81</v>
      </c>
      <c r="R270" s="221" t="s">
        <v>81</v>
      </c>
    </row>
    <row r="271" spans="1:18">
      <c r="A271" s="58"/>
      <c r="G271" s="15"/>
      <c r="H271" s="37">
        <v>266</v>
      </c>
      <c r="I271" s="38" t="str">
        <f t="shared" si="19"/>
        <v/>
      </c>
      <c r="J271" s="37">
        <f t="shared" si="22"/>
        <v>-7</v>
      </c>
      <c r="K271" s="37">
        <f t="shared" si="20"/>
        <v>-70</v>
      </c>
      <c r="L271" s="37"/>
      <c r="M271" s="39">
        <f t="shared" si="21"/>
        <v>0</v>
      </c>
      <c r="N271" s="219" t="s">
        <v>81</v>
      </c>
      <c r="O271" s="219" t="s">
        <v>81</v>
      </c>
      <c r="P271" s="220" t="s">
        <v>81</v>
      </c>
      <c r="Q271" s="221" t="s">
        <v>81</v>
      </c>
      <c r="R271" s="221" t="s">
        <v>81</v>
      </c>
    </row>
    <row r="272" spans="1:18">
      <c r="A272" s="58"/>
      <c r="G272" s="15"/>
      <c r="H272" s="37">
        <v>267</v>
      </c>
      <c r="I272" s="38" t="str">
        <f t="shared" si="19"/>
        <v/>
      </c>
      <c r="J272" s="37">
        <f t="shared" si="22"/>
        <v>-7</v>
      </c>
      <c r="K272" s="37">
        <f t="shared" si="20"/>
        <v>-70</v>
      </c>
      <c r="L272" s="37"/>
      <c r="M272" s="39">
        <f t="shared" si="21"/>
        <v>0</v>
      </c>
      <c r="N272" s="219" t="s">
        <v>81</v>
      </c>
      <c r="O272" s="219" t="s">
        <v>81</v>
      </c>
      <c r="P272" s="220" t="s">
        <v>81</v>
      </c>
      <c r="Q272" s="221" t="s">
        <v>81</v>
      </c>
      <c r="R272" s="221" t="s">
        <v>81</v>
      </c>
    </row>
    <row r="273" spans="1:18">
      <c r="A273" s="58"/>
      <c r="G273" s="15"/>
      <c r="H273" s="37">
        <v>268</v>
      </c>
      <c r="I273" s="38" t="str">
        <f t="shared" si="19"/>
        <v/>
      </c>
      <c r="J273" s="37">
        <f t="shared" si="22"/>
        <v>-7</v>
      </c>
      <c r="K273" s="37">
        <f t="shared" si="20"/>
        <v>-70</v>
      </c>
      <c r="L273" s="37"/>
      <c r="M273" s="39">
        <f t="shared" si="21"/>
        <v>0</v>
      </c>
      <c r="N273" s="219" t="s">
        <v>81</v>
      </c>
      <c r="O273" s="219" t="s">
        <v>81</v>
      </c>
      <c r="P273" s="220" t="s">
        <v>81</v>
      </c>
      <c r="Q273" s="221" t="s">
        <v>81</v>
      </c>
      <c r="R273" s="221" t="s">
        <v>81</v>
      </c>
    </row>
    <row r="274" spans="1:18">
      <c r="A274" s="58"/>
      <c r="G274" s="15"/>
      <c r="H274" s="37">
        <v>269</v>
      </c>
      <c r="I274" s="38" t="str">
        <f t="shared" si="19"/>
        <v/>
      </c>
      <c r="J274" s="37">
        <f t="shared" si="22"/>
        <v>-7</v>
      </c>
      <c r="K274" s="37">
        <f t="shared" si="20"/>
        <v>-70</v>
      </c>
      <c r="L274" s="37"/>
      <c r="M274" s="39">
        <f t="shared" si="21"/>
        <v>0</v>
      </c>
      <c r="N274" s="219" t="s">
        <v>81</v>
      </c>
      <c r="O274" s="219" t="s">
        <v>81</v>
      </c>
      <c r="P274" s="220" t="s">
        <v>81</v>
      </c>
      <c r="Q274" s="221" t="s">
        <v>81</v>
      </c>
      <c r="R274" s="221" t="s">
        <v>81</v>
      </c>
    </row>
    <row r="275" spans="1:18">
      <c r="A275" s="58"/>
      <c r="G275" s="15"/>
      <c r="H275" s="37">
        <v>270</v>
      </c>
      <c r="I275" s="38" t="str">
        <f t="shared" si="19"/>
        <v/>
      </c>
      <c r="J275" s="37">
        <f t="shared" si="22"/>
        <v>-7</v>
      </c>
      <c r="K275" s="37">
        <f t="shared" si="20"/>
        <v>-70</v>
      </c>
      <c r="L275" s="37"/>
      <c r="M275" s="39">
        <f t="shared" si="21"/>
        <v>0</v>
      </c>
      <c r="N275" s="219" t="s">
        <v>81</v>
      </c>
      <c r="O275" s="219" t="s">
        <v>81</v>
      </c>
      <c r="P275" s="220" t="s">
        <v>81</v>
      </c>
      <c r="Q275" s="221" t="s">
        <v>81</v>
      </c>
      <c r="R275" s="221" t="s">
        <v>81</v>
      </c>
    </row>
    <row r="276" spans="1:18">
      <c r="A276" s="58"/>
      <c r="G276" s="15"/>
      <c r="H276" s="37">
        <v>271</v>
      </c>
      <c r="I276" s="38" t="str">
        <f t="shared" si="19"/>
        <v/>
      </c>
      <c r="J276" s="37">
        <f t="shared" si="22"/>
        <v>-7</v>
      </c>
      <c r="K276" s="37">
        <f t="shared" si="20"/>
        <v>-70</v>
      </c>
      <c r="L276" s="37"/>
      <c r="M276" s="39">
        <f t="shared" si="21"/>
        <v>0</v>
      </c>
      <c r="N276" s="219" t="s">
        <v>81</v>
      </c>
      <c r="O276" s="219" t="s">
        <v>81</v>
      </c>
      <c r="P276" s="220" t="s">
        <v>81</v>
      </c>
      <c r="Q276" s="221" t="s">
        <v>81</v>
      </c>
      <c r="R276" s="221" t="s">
        <v>81</v>
      </c>
    </row>
    <row r="277" spans="1:18">
      <c r="A277" s="58"/>
      <c r="G277" s="15"/>
      <c r="H277" s="37">
        <v>272</v>
      </c>
      <c r="I277" s="38" t="str">
        <f t="shared" si="19"/>
        <v/>
      </c>
      <c r="J277" s="37">
        <f t="shared" si="22"/>
        <v>-7</v>
      </c>
      <c r="K277" s="37">
        <f t="shared" si="20"/>
        <v>-70</v>
      </c>
      <c r="L277" s="37"/>
      <c r="M277" s="39">
        <f t="shared" si="21"/>
        <v>0</v>
      </c>
      <c r="N277" s="219" t="s">
        <v>81</v>
      </c>
      <c r="O277" s="219" t="s">
        <v>81</v>
      </c>
      <c r="P277" s="220" t="s">
        <v>81</v>
      </c>
      <c r="Q277" s="221" t="s">
        <v>81</v>
      </c>
      <c r="R277" s="221" t="s">
        <v>81</v>
      </c>
    </row>
    <row r="278" spans="1:18">
      <c r="A278" s="58"/>
      <c r="G278" s="15"/>
      <c r="H278" s="37">
        <v>273</v>
      </c>
      <c r="I278" s="38" t="str">
        <f t="shared" si="19"/>
        <v/>
      </c>
      <c r="J278" s="37">
        <f t="shared" si="22"/>
        <v>-7</v>
      </c>
      <c r="K278" s="37">
        <f t="shared" si="20"/>
        <v>-70</v>
      </c>
      <c r="L278" s="37"/>
      <c r="M278" s="39">
        <f t="shared" si="21"/>
        <v>0</v>
      </c>
      <c r="N278" s="219" t="s">
        <v>81</v>
      </c>
      <c r="O278" s="219" t="s">
        <v>81</v>
      </c>
      <c r="P278" s="220" t="s">
        <v>81</v>
      </c>
      <c r="Q278" s="221" t="s">
        <v>81</v>
      </c>
      <c r="R278" s="221" t="s">
        <v>81</v>
      </c>
    </row>
    <row r="279" spans="1:18">
      <c r="A279" s="58"/>
      <c r="G279" s="15"/>
      <c r="H279" s="37">
        <v>274</v>
      </c>
      <c r="I279" s="38" t="str">
        <f t="shared" si="19"/>
        <v/>
      </c>
      <c r="J279" s="37">
        <f t="shared" si="22"/>
        <v>-7</v>
      </c>
      <c r="K279" s="37">
        <f t="shared" si="20"/>
        <v>-70</v>
      </c>
      <c r="L279" s="37"/>
      <c r="M279" s="39">
        <f t="shared" si="21"/>
        <v>0</v>
      </c>
      <c r="N279" s="219" t="s">
        <v>81</v>
      </c>
      <c r="O279" s="219" t="s">
        <v>81</v>
      </c>
      <c r="P279" s="220" t="s">
        <v>81</v>
      </c>
      <c r="Q279" s="221" t="s">
        <v>81</v>
      </c>
      <c r="R279" s="221" t="s">
        <v>81</v>
      </c>
    </row>
    <row r="280" spans="1:18">
      <c r="A280" s="58"/>
      <c r="G280" s="15"/>
      <c r="H280" s="37">
        <v>275</v>
      </c>
      <c r="I280" s="38" t="str">
        <f t="shared" si="19"/>
        <v/>
      </c>
      <c r="J280" s="37">
        <f t="shared" si="22"/>
        <v>-7</v>
      </c>
      <c r="K280" s="37">
        <f t="shared" si="20"/>
        <v>-70</v>
      </c>
      <c r="L280" s="37"/>
      <c r="M280" s="39">
        <f t="shared" si="21"/>
        <v>0</v>
      </c>
      <c r="N280" s="219" t="s">
        <v>81</v>
      </c>
      <c r="O280" s="219" t="s">
        <v>81</v>
      </c>
      <c r="P280" s="220" t="s">
        <v>81</v>
      </c>
      <c r="Q280" s="221" t="s">
        <v>81</v>
      </c>
      <c r="R280" s="221" t="s">
        <v>81</v>
      </c>
    </row>
    <row r="281" spans="1:18">
      <c r="A281" s="58"/>
      <c r="G281" s="15"/>
      <c r="H281" s="37">
        <v>276</v>
      </c>
      <c r="I281" s="38" t="str">
        <f t="shared" si="19"/>
        <v/>
      </c>
      <c r="J281" s="37">
        <f t="shared" si="22"/>
        <v>-7</v>
      </c>
      <c r="K281" s="37">
        <f t="shared" si="20"/>
        <v>-70</v>
      </c>
      <c r="L281" s="37"/>
      <c r="M281" s="39">
        <f t="shared" si="21"/>
        <v>0</v>
      </c>
      <c r="N281" s="219" t="s">
        <v>81</v>
      </c>
      <c r="O281" s="219" t="s">
        <v>81</v>
      </c>
      <c r="P281" s="220" t="s">
        <v>81</v>
      </c>
      <c r="Q281" s="221" t="s">
        <v>81</v>
      </c>
      <c r="R281" s="221" t="s">
        <v>81</v>
      </c>
    </row>
    <row r="282" spans="1:18">
      <c r="A282" s="58"/>
      <c r="G282" s="15"/>
      <c r="H282" s="37">
        <v>277</v>
      </c>
      <c r="I282" s="38" t="str">
        <f t="shared" si="19"/>
        <v/>
      </c>
      <c r="J282" s="37">
        <f t="shared" si="22"/>
        <v>-7</v>
      </c>
      <c r="K282" s="37">
        <f t="shared" si="20"/>
        <v>-70</v>
      </c>
      <c r="L282" s="37"/>
      <c r="M282" s="39">
        <f t="shared" si="21"/>
        <v>0</v>
      </c>
      <c r="N282" s="219" t="s">
        <v>81</v>
      </c>
      <c r="O282" s="219" t="s">
        <v>81</v>
      </c>
      <c r="P282" s="220" t="s">
        <v>81</v>
      </c>
      <c r="Q282" s="221" t="s">
        <v>81</v>
      </c>
      <c r="R282" s="221" t="s">
        <v>81</v>
      </c>
    </row>
    <row r="283" spans="1:18">
      <c r="A283" s="58"/>
      <c r="G283" s="15"/>
      <c r="H283" s="37">
        <v>278</v>
      </c>
      <c r="I283" s="38" t="str">
        <f t="shared" si="19"/>
        <v/>
      </c>
      <c r="J283" s="37">
        <f t="shared" si="22"/>
        <v>-7</v>
      </c>
      <c r="K283" s="37">
        <f t="shared" si="20"/>
        <v>-70</v>
      </c>
      <c r="L283" s="37"/>
      <c r="M283" s="39">
        <f t="shared" si="21"/>
        <v>0</v>
      </c>
      <c r="N283" s="219" t="s">
        <v>81</v>
      </c>
      <c r="O283" s="219" t="s">
        <v>81</v>
      </c>
      <c r="P283" s="220" t="s">
        <v>81</v>
      </c>
      <c r="Q283" s="221" t="s">
        <v>81</v>
      </c>
      <c r="R283" s="221" t="s">
        <v>81</v>
      </c>
    </row>
    <row r="284" spans="1:18">
      <c r="A284" s="58"/>
      <c r="G284" s="15"/>
      <c r="H284" s="37">
        <v>279</v>
      </c>
      <c r="I284" s="38" t="str">
        <f t="shared" si="19"/>
        <v/>
      </c>
      <c r="J284" s="37">
        <f t="shared" si="22"/>
        <v>-7</v>
      </c>
      <c r="K284" s="37">
        <f t="shared" si="20"/>
        <v>-70</v>
      </c>
      <c r="L284" s="37"/>
      <c r="M284" s="39">
        <f t="shared" si="21"/>
        <v>0</v>
      </c>
      <c r="N284" s="219" t="s">
        <v>81</v>
      </c>
      <c r="O284" s="219" t="s">
        <v>81</v>
      </c>
      <c r="P284" s="220" t="s">
        <v>81</v>
      </c>
      <c r="Q284" s="221" t="s">
        <v>81</v>
      </c>
      <c r="R284" s="221" t="s">
        <v>81</v>
      </c>
    </row>
    <row r="285" spans="1:18">
      <c r="A285" s="58"/>
      <c r="G285" s="15"/>
      <c r="H285" s="37">
        <v>280</v>
      </c>
      <c r="I285" s="38" t="str">
        <f t="shared" si="19"/>
        <v/>
      </c>
      <c r="J285" s="37">
        <f t="shared" si="22"/>
        <v>-7</v>
      </c>
      <c r="K285" s="37">
        <f t="shared" si="20"/>
        <v>-70</v>
      </c>
      <c r="L285" s="37"/>
      <c r="M285" s="39">
        <f t="shared" si="21"/>
        <v>0</v>
      </c>
      <c r="N285" s="219" t="s">
        <v>81</v>
      </c>
      <c r="O285" s="219" t="s">
        <v>81</v>
      </c>
      <c r="P285" s="220" t="s">
        <v>81</v>
      </c>
      <c r="Q285" s="221" t="s">
        <v>81</v>
      </c>
      <c r="R285" s="221" t="s">
        <v>81</v>
      </c>
    </row>
    <row r="286" spans="1:18">
      <c r="A286" s="58"/>
      <c r="G286" s="15"/>
      <c r="H286" s="37">
        <v>281</v>
      </c>
      <c r="I286" s="38" t="str">
        <f t="shared" si="19"/>
        <v/>
      </c>
      <c r="J286" s="37">
        <f t="shared" si="22"/>
        <v>-7</v>
      </c>
      <c r="K286" s="37">
        <f t="shared" si="20"/>
        <v>-70</v>
      </c>
      <c r="L286" s="37"/>
      <c r="M286" s="39">
        <f t="shared" si="21"/>
        <v>0</v>
      </c>
      <c r="N286" s="219" t="s">
        <v>81</v>
      </c>
      <c r="O286" s="219" t="s">
        <v>81</v>
      </c>
      <c r="P286" s="220" t="s">
        <v>81</v>
      </c>
      <c r="Q286" s="221" t="s">
        <v>81</v>
      </c>
      <c r="R286" s="221" t="s">
        <v>81</v>
      </c>
    </row>
    <row r="287" spans="1:18">
      <c r="A287" s="58"/>
      <c r="G287" s="15"/>
      <c r="H287" s="37">
        <v>282</v>
      </c>
      <c r="I287" s="38" t="str">
        <f t="shared" si="19"/>
        <v/>
      </c>
      <c r="J287" s="37">
        <f t="shared" si="22"/>
        <v>-7</v>
      </c>
      <c r="K287" s="37">
        <f t="shared" si="20"/>
        <v>-70</v>
      </c>
      <c r="L287" s="37"/>
      <c r="M287" s="39">
        <f t="shared" si="21"/>
        <v>0</v>
      </c>
      <c r="N287" s="219" t="s">
        <v>81</v>
      </c>
      <c r="O287" s="219" t="s">
        <v>81</v>
      </c>
      <c r="P287" s="220" t="s">
        <v>81</v>
      </c>
      <c r="Q287" s="221" t="s">
        <v>81</v>
      </c>
      <c r="R287" s="221" t="s">
        <v>81</v>
      </c>
    </row>
    <row r="288" spans="1:18">
      <c r="A288" s="58"/>
      <c r="G288" s="15"/>
      <c r="H288" s="37">
        <v>283</v>
      </c>
      <c r="I288" s="38" t="str">
        <f t="shared" si="19"/>
        <v/>
      </c>
      <c r="J288" s="37">
        <f t="shared" si="22"/>
        <v>-7</v>
      </c>
      <c r="K288" s="37">
        <f t="shared" si="20"/>
        <v>-70</v>
      </c>
      <c r="L288" s="37"/>
      <c r="M288" s="39">
        <f t="shared" si="21"/>
        <v>0</v>
      </c>
      <c r="N288" s="219" t="s">
        <v>81</v>
      </c>
      <c r="O288" s="219" t="s">
        <v>81</v>
      </c>
      <c r="P288" s="220" t="s">
        <v>81</v>
      </c>
      <c r="Q288" s="221" t="s">
        <v>81</v>
      </c>
      <c r="R288" s="221" t="s">
        <v>81</v>
      </c>
    </row>
    <row r="289" spans="1:18">
      <c r="A289" s="58"/>
      <c r="G289" s="15"/>
      <c r="H289" s="37">
        <v>284</v>
      </c>
      <c r="I289" s="38" t="str">
        <f t="shared" si="19"/>
        <v/>
      </c>
      <c r="J289" s="37">
        <f t="shared" si="22"/>
        <v>-7</v>
      </c>
      <c r="K289" s="37">
        <f t="shared" si="20"/>
        <v>-70</v>
      </c>
      <c r="L289" s="37"/>
      <c r="M289" s="39">
        <f t="shared" si="21"/>
        <v>0</v>
      </c>
      <c r="N289" s="219" t="s">
        <v>81</v>
      </c>
      <c r="O289" s="219" t="s">
        <v>81</v>
      </c>
      <c r="P289" s="220" t="s">
        <v>81</v>
      </c>
      <c r="Q289" s="221" t="s">
        <v>81</v>
      </c>
      <c r="R289" s="221" t="s">
        <v>81</v>
      </c>
    </row>
    <row r="290" spans="1:18">
      <c r="A290" s="58"/>
      <c r="G290" s="15"/>
      <c r="H290" s="37">
        <v>285</v>
      </c>
      <c r="I290" s="38" t="str">
        <f t="shared" si="19"/>
        <v/>
      </c>
      <c r="J290" s="37">
        <f t="shared" si="22"/>
        <v>-7</v>
      </c>
      <c r="K290" s="37">
        <f t="shared" si="20"/>
        <v>-70</v>
      </c>
      <c r="L290" s="37"/>
      <c r="M290" s="39">
        <f t="shared" si="21"/>
        <v>0</v>
      </c>
      <c r="N290" s="219" t="s">
        <v>81</v>
      </c>
      <c r="O290" s="219" t="s">
        <v>81</v>
      </c>
      <c r="P290" s="220" t="s">
        <v>81</v>
      </c>
      <c r="Q290" s="221" t="s">
        <v>81</v>
      </c>
      <c r="R290" s="221" t="s">
        <v>81</v>
      </c>
    </row>
    <row r="291" spans="1:18">
      <c r="A291" s="58"/>
      <c r="G291" s="15"/>
      <c r="H291" s="37">
        <v>286</v>
      </c>
      <c r="I291" s="38" t="str">
        <f t="shared" si="19"/>
        <v/>
      </c>
      <c r="J291" s="37">
        <f t="shared" si="22"/>
        <v>-7</v>
      </c>
      <c r="K291" s="37">
        <f t="shared" si="20"/>
        <v>-70</v>
      </c>
      <c r="L291" s="37"/>
      <c r="M291" s="39">
        <f t="shared" si="21"/>
        <v>0</v>
      </c>
      <c r="N291" s="219" t="s">
        <v>81</v>
      </c>
      <c r="O291" s="219" t="s">
        <v>81</v>
      </c>
      <c r="P291" s="220" t="s">
        <v>81</v>
      </c>
      <c r="Q291" s="221" t="s">
        <v>81</v>
      </c>
      <c r="R291" s="221" t="s">
        <v>81</v>
      </c>
    </row>
    <row r="292" spans="1:18">
      <c r="A292" s="58"/>
      <c r="G292" s="15"/>
      <c r="H292" s="37">
        <v>287</v>
      </c>
      <c r="I292" s="38" t="str">
        <f t="shared" si="19"/>
        <v/>
      </c>
      <c r="J292" s="37">
        <f t="shared" si="22"/>
        <v>-7</v>
      </c>
      <c r="K292" s="37">
        <f t="shared" si="20"/>
        <v>-70</v>
      </c>
      <c r="L292" s="37"/>
      <c r="M292" s="39">
        <f t="shared" si="21"/>
        <v>0</v>
      </c>
      <c r="N292" s="219" t="s">
        <v>81</v>
      </c>
      <c r="O292" s="219" t="s">
        <v>81</v>
      </c>
      <c r="P292" s="220" t="s">
        <v>81</v>
      </c>
      <c r="Q292" s="221" t="s">
        <v>81</v>
      </c>
      <c r="R292" s="221" t="s">
        <v>81</v>
      </c>
    </row>
    <row r="293" spans="1:18">
      <c r="A293" s="58"/>
      <c r="G293" s="15"/>
      <c r="H293" s="37">
        <v>288</v>
      </c>
      <c r="I293" s="38" t="str">
        <f t="shared" si="19"/>
        <v/>
      </c>
      <c r="J293" s="37">
        <f t="shared" si="22"/>
        <v>-7</v>
      </c>
      <c r="K293" s="37">
        <f t="shared" si="20"/>
        <v>-70</v>
      </c>
      <c r="L293" s="37"/>
      <c r="M293" s="39">
        <f t="shared" si="21"/>
        <v>0</v>
      </c>
      <c r="N293" s="219" t="s">
        <v>81</v>
      </c>
      <c r="O293" s="219" t="s">
        <v>81</v>
      </c>
      <c r="P293" s="220" t="s">
        <v>81</v>
      </c>
      <c r="Q293" s="221" t="s">
        <v>81</v>
      </c>
      <c r="R293" s="221" t="s">
        <v>81</v>
      </c>
    </row>
    <row r="294" spans="1:18">
      <c r="A294" s="58"/>
      <c r="G294" s="15"/>
      <c r="H294" s="37">
        <v>289</v>
      </c>
      <c r="I294" s="38" t="str">
        <f t="shared" si="19"/>
        <v/>
      </c>
      <c r="J294" s="37">
        <f t="shared" si="22"/>
        <v>-7</v>
      </c>
      <c r="K294" s="37">
        <f t="shared" si="20"/>
        <v>-70</v>
      </c>
      <c r="L294" s="37"/>
      <c r="M294" s="39">
        <f t="shared" si="21"/>
        <v>0</v>
      </c>
      <c r="N294" s="219" t="s">
        <v>81</v>
      </c>
      <c r="O294" s="219" t="s">
        <v>81</v>
      </c>
      <c r="P294" s="220" t="s">
        <v>81</v>
      </c>
      <c r="Q294" s="221" t="s">
        <v>81</v>
      </c>
      <c r="R294" s="221" t="s">
        <v>81</v>
      </c>
    </row>
    <row r="295" spans="1:18">
      <c r="A295" s="58"/>
      <c r="G295" s="15"/>
      <c r="H295" s="37">
        <v>290</v>
      </c>
      <c r="I295" s="38" t="str">
        <f t="shared" si="19"/>
        <v/>
      </c>
      <c r="J295" s="37">
        <f t="shared" si="22"/>
        <v>-7</v>
      </c>
      <c r="K295" s="37">
        <f t="shared" si="20"/>
        <v>-70</v>
      </c>
      <c r="L295" s="37"/>
      <c r="M295" s="39">
        <f t="shared" si="21"/>
        <v>0</v>
      </c>
      <c r="N295" s="219" t="s">
        <v>81</v>
      </c>
      <c r="O295" s="219" t="s">
        <v>81</v>
      </c>
      <c r="P295" s="220" t="s">
        <v>81</v>
      </c>
      <c r="Q295" s="221" t="s">
        <v>81</v>
      </c>
      <c r="R295" s="221" t="s">
        <v>81</v>
      </c>
    </row>
    <row r="296" spans="1:18">
      <c r="A296" s="58"/>
      <c r="G296" s="15"/>
      <c r="H296" s="37">
        <v>291</v>
      </c>
      <c r="I296" s="38" t="str">
        <f t="shared" si="19"/>
        <v/>
      </c>
      <c r="J296" s="37">
        <f t="shared" si="22"/>
        <v>-7</v>
      </c>
      <c r="K296" s="37">
        <f t="shared" si="20"/>
        <v>-70</v>
      </c>
      <c r="L296" s="37"/>
      <c r="M296" s="39">
        <f t="shared" si="21"/>
        <v>0</v>
      </c>
      <c r="N296" s="219" t="s">
        <v>81</v>
      </c>
      <c r="O296" s="219" t="s">
        <v>81</v>
      </c>
      <c r="P296" s="220" t="s">
        <v>81</v>
      </c>
      <c r="Q296" s="221" t="s">
        <v>81</v>
      </c>
      <c r="R296" s="221" t="s">
        <v>81</v>
      </c>
    </row>
    <row r="297" spans="1:18">
      <c r="A297" s="58"/>
      <c r="G297" s="15"/>
      <c r="H297" s="37">
        <v>292</v>
      </c>
      <c r="I297" s="38" t="str">
        <f t="shared" si="19"/>
        <v/>
      </c>
      <c r="J297" s="37">
        <f t="shared" si="22"/>
        <v>-7</v>
      </c>
      <c r="K297" s="37">
        <f t="shared" si="20"/>
        <v>-70</v>
      </c>
      <c r="L297" s="37"/>
      <c r="M297" s="39">
        <f t="shared" si="21"/>
        <v>0</v>
      </c>
      <c r="N297" s="219" t="s">
        <v>81</v>
      </c>
      <c r="O297" s="219" t="s">
        <v>81</v>
      </c>
      <c r="P297" s="220" t="s">
        <v>81</v>
      </c>
      <c r="Q297" s="221" t="s">
        <v>81</v>
      </c>
      <c r="R297" s="221" t="s">
        <v>81</v>
      </c>
    </row>
    <row r="298" spans="1:18">
      <c r="A298" s="58"/>
      <c r="G298" s="15"/>
      <c r="H298" s="37">
        <v>293</v>
      </c>
      <c r="I298" s="38" t="str">
        <f t="shared" si="19"/>
        <v/>
      </c>
      <c r="J298" s="37">
        <f t="shared" si="22"/>
        <v>-7</v>
      </c>
      <c r="K298" s="37">
        <f t="shared" si="20"/>
        <v>-70</v>
      </c>
      <c r="L298" s="37"/>
      <c r="M298" s="39">
        <f t="shared" si="21"/>
        <v>0</v>
      </c>
      <c r="N298" s="219" t="s">
        <v>81</v>
      </c>
      <c r="O298" s="219" t="s">
        <v>81</v>
      </c>
      <c r="P298" s="220" t="s">
        <v>81</v>
      </c>
      <c r="Q298" s="221" t="s">
        <v>81</v>
      </c>
      <c r="R298" s="221" t="s">
        <v>81</v>
      </c>
    </row>
    <row r="299" spans="1:18">
      <c r="A299" s="58"/>
      <c r="G299" s="15"/>
      <c r="H299" s="37">
        <v>294</v>
      </c>
      <c r="I299" s="38" t="str">
        <f t="shared" si="19"/>
        <v/>
      </c>
      <c r="J299" s="37">
        <f t="shared" si="22"/>
        <v>-7</v>
      </c>
      <c r="K299" s="37">
        <f t="shared" si="20"/>
        <v>-70</v>
      </c>
      <c r="L299" s="37"/>
      <c r="M299" s="39">
        <f t="shared" si="21"/>
        <v>0</v>
      </c>
      <c r="N299" s="219" t="s">
        <v>81</v>
      </c>
      <c r="O299" s="219" t="s">
        <v>81</v>
      </c>
      <c r="P299" s="220" t="s">
        <v>81</v>
      </c>
      <c r="Q299" s="221" t="s">
        <v>81</v>
      </c>
      <c r="R299" s="221" t="s">
        <v>81</v>
      </c>
    </row>
    <row r="300" spans="1:18">
      <c r="A300" s="58"/>
      <c r="G300" s="15"/>
      <c r="H300" s="37">
        <v>295</v>
      </c>
      <c r="I300" s="38" t="str">
        <f t="shared" si="19"/>
        <v/>
      </c>
      <c r="J300" s="37">
        <f t="shared" si="22"/>
        <v>-7</v>
      </c>
      <c r="K300" s="37">
        <f t="shared" si="20"/>
        <v>-70</v>
      </c>
      <c r="L300" s="37"/>
      <c r="M300" s="39">
        <f t="shared" si="21"/>
        <v>0</v>
      </c>
      <c r="N300" s="219" t="s">
        <v>81</v>
      </c>
      <c r="O300" s="219" t="s">
        <v>81</v>
      </c>
      <c r="P300" s="220" t="s">
        <v>81</v>
      </c>
      <c r="Q300" s="221" t="s">
        <v>81</v>
      </c>
      <c r="R300" s="221" t="s">
        <v>81</v>
      </c>
    </row>
    <row r="301" spans="1:18">
      <c r="A301" s="58"/>
      <c r="G301" s="15"/>
      <c r="H301" s="37">
        <v>296</v>
      </c>
      <c r="I301" s="38" t="str">
        <f t="shared" si="19"/>
        <v/>
      </c>
      <c r="J301" s="37">
        <f t="shared" si="22"/>
        <v>-7</v>
      </c>
      <c r="K301" s="37">
        <f t="shared" si="20"/>
        <v>-70</v>
      </c>
      <c r="L301" s="37"/>
      <c r="M301" s="39">
        <f t="shared" si="21"/>
        <v>0</v>
      </c>
      <c r="N301" s="219" t="s">
        <v>81</v>
      </c>
      <c r="O301" s="219" t="s">
        <v>81</v>
      </c>
      <c r="P301" s="220" t="s">
        <v>81</v>
      </c>
      <c r="Q301" s="221" t="s">
        <v>81</v>
      </c>
      <c r="R301" s="221" t="s">
        <v>81</v>
      </c>
    </row>
    <row r="302" spans="1:18">
      <c r="A302" s="58"/>
      <c r="G302" s="15"/>
      <c r="H302" s="37">
        <v>297</v>
      </c>
      <c r="I302" s="38" t="str">
        <f t="shared" si="19"/>
        <v/>
      </c>
      <c r="J302" s="37">
        <f t="shared" si="22"/>
        <v>-7</v>
      </c>
      <c r="K302" s="37">
        <f t="shared" si="20"/>
        <v>-70</v>
      </c>
      <c r="L302" s="37"/>
      <c r="M302" s="39">
        <f t="shared" si="21"/>
        <v>0</v>
      </c>
      <c r="N302" s="219" t="s">
        <v>81</v>
      </c>
      <c r="O302" s="219" t="s">
        <v>81</v>
      </c>
      <c r="P302" s="220" t="s">
        <v>81</v>
      </c>
      <c r="Q302" s="221" t="s">
        <v>81</v>
      </c>
      <c r="R302" s="221" t="s">
        <v>81</v>
      </c>
    </row>
    <row r="303" spans="1:18">
      <c r="A303" s="58"/>
      <c r="G303" s="15"/>
      <c r="H303" s="37">
        <v>298</v>
      </c>
      <c r="I303" s="38" t="str">
        <f t="shared" si="19"/>
        <v/>
      </c>
      <c r="J303" s="37">
        <f t="shared" si="22"/>
        <v>-7</v>
      </c>
      <c r="K303" s="37">
        <f t="shared" si="20"/>
        <v>-70</v>
      </c>
      <c r="L303" s="37"/>
      <c r="M303" s="39">
        <f t="shared" si="21"/>
        <v>0</v>
      </c>
      <c r="N303" s="219" t="s">
        <v>81</v>
      </c>
      <c r="O303" s="219" t="s">
        <v>81</v>
      </c>
      <c r="P303" s="220" t="s">
        <v>81</v>
      </c>
      <c r="Q303" s="221" t="s">
        <v>81</v>
      </c>
      <c r="R303" s="221" t="s">
        <v>81</v>
      </c>
    </row>
    <row r="304" spans="1:18">
      <c r="A304" s="58"/>
      <c r="G304" s="15"/>
      <c r="H304" s="37">
        <v>299</v>
      </c>
      <c r="I304" s="38" t="str">
        <f t="shared" si="19"/>
        <v/>
      </c>
      <c r="J304" s="37">
        <f t="shared" si="22"/>
        <v>-7</v>
      </c>
      <c r="K304" s="37">
        <f t="shared" si="20"/>
        <v>-70</v>
      </c>
      <c r="L304" s="37"/>
      <c r="M304" s="39">
        <f t="shared" si="21"/>
        <v>0</v>
      </c>
      <c r="N304" s="219" t="s">
        <v>81</v>
      </c>
      <c r="O304" s="219" t="s">
        <v>81</v>
      </c>
      <c r="P304" s="220" t="s">
        <v>81</v>
      </c>
      <c r="Q304" s="221" t="s">
        <v>81</v>
      </c>
      <c r="R304" s="221" t="s">
        <v>81</v>
      </c>
    </row>
    <row r="305" spans="1:18">
      <c r="A305" s="58"/>
      <c r="G305" s="15"/>
      <c r="H305" s="37">
        <v>300</v>
      </c>
      <c r="I305" s="38" t="str">
        <f t="shared" si="19"/>
        <v/>
      </c>
      <c r="J305" s="37">
        <f t="shared" si="22"/>
        <v>-7</v>
      </c>
      <c r="K305" s="37">
        <f t="shared" si="20"/>
        <v>-70</v>
      </c>
      <c r="L305" s="37"/>
      <c r="M305" s="39">
        <f t="shared" si="21"/>
        <v>0</v>
      </c>
      <c r="N305" s="219" t="s">
        <v>81</v>
      </c>
      <c r="O305" s="219" t="s">
        <v>81</v>
      </c>
      <c r="P305" s="220" t="s">
        <v>81</v>
      </c>
      <c r="Q305" s="221" t="s">
        <v>81</v>
      </c>
      <c r="R305" s="221" t="s">
        <v>81</v>
      </c>
    </row>
    <row r="306" spans="1:18">
      <c r="A306" s="60"/>
      <c r="N306" s="219" t="s">
        <v>81</v>
      </c>
      <c r="O306" s="219" t="s">
        <v>81</v>
      </c>
      <c r="P306" s="220" t="s">
        <v>81</v>
      </c>
      <c r="Q306" s="221" t="s">
        <v>81</v>
      </c>
      <c r="R306" s="221" t="s">
        <v>81</v>
      </c>
    </row>
    <row r="307" spans="1:18">
      <c r="N307" s="219" t="s">
        <v>81</v>
      </c>
      <c r="O307" s="219" t="s">
        <v>81</v>
      </c>
      <c r="P307" s="220" t="s">
        <v>81</v>
      </c>
      <c r="Q307" s="221" t="s">
        <v>81</v>
      </c>
      <c r="R307" s="221" t="s">
        <v>81</v>
      </c>
    </row>
    <row r="308" spans="1:18">
      <c r="N308" s="219" t="s">
        <v>81</v>
      </c>
      <c r="O308" s="219" t="s">
        <v>81</v>
      </c>
      <c r="P308" s="220" t="s">
        <v>81</v>
      </c>
      <c r="Q308" s="221" t="s">
        <v>81</v>
      </c>
      <c r="R308" s="221" t="s">
        <v>81</v>
      </c>
    </row>
    <row r="309" spans="1:18">
      <c r="N309" s="219" t="s">
        <v>81</v>
      </c>
      <c r="O309" s="219" t="s">
        <v>81</v>
      </c>
      <c r="P309" s="220" t="s">
        <v>81</v>
      </c>
      <c r="Q309" s="221" t="s">
        <v>81</v>
      </c>
      <c r="R309" s="221" t="s">
        <v>81</v>
      </c>
    </row>
    <row r="310" spans="1:18">
      <c r="N310" s="219" t="s">
        <v>81</v>
      </c>
      <c r="O310" s="219" t="s">
        <v>81</v>
      </c>
      <c r="P310" s="220" t="s">
        <v>81</v>
      </c>
      <c r="Q310" s="221" t="s">
        <v>81</v>
      </c>
      <c r="R310" s="221" t="s">
        <v>81</v>
      </c>
    </row>
    <row r="311" spans="1:18">
      <c r="N311" s="219" t="s">
        <v>81</v>
      </c>
      <c r="O311" s="219" t="s">
        <v>81</v>
      </c>
      <c r="P311" s="220" t="s">
        <v>81</v>
      </c>
      <c r="Q311" s="221" t="s">
        <v>81</v>
      </c>
      <c r="R311" s="221" t="s">
        <v>81</v>
      </c>
    </row>
    <row r="312" spans="1:18">
      <c r="N312" s="219" t="s">
        <v>81</v>
      </c>
      <c r="O312" s="219" t="s">
        <v>81</v>
      </c>
      <c r="P312" s="220" t="s">
        <v>81</v>
      </c>
      <c r="Q312" s="221" t="s">
        <v>81</v>
      </c>
      <c r="R312" s="221" t="s">
        <v>81</v>
      </c>
    </row>
    <row r="313" spans="1:18">
      <c r="N313" s="219" t="s">
        <v>81</v>
      </c>
      <c r="O313" s="219" t="s">
        <v>81</v>
      </c>
      <c r="P313" s="220" t="s">
        <v>81</v>
      </c>
      <c r="Q313" s="221" t="s">
        <v>81</v>
      </c>
      <c r="R313" s="221" t="s">
        <v>81</v>
      </c>
    </row>
    <row r="314" spans="1:18">
      <c r="L314" s="63"/>
      <c r="N314" s="219" t="s">
        <v>81</v>
      </c>
      <c r="O314" s="219" t="s">
        <v>81</v>
      </c>
      <c r="P314" s="220" t="s">
        <v>81</v>
      </c>
      <c r="Q314" s="221" t="s">
        <v>81</v>
      </c>
      <c r="R314" s="221" t="s">
        <v>81</v>
      </c>
    </row>
    <row r="315" spans="1:18">
      <c r="L315" s="63"/>
      <c r="N315" s="219" t="s">
        <v>81</v>
      </c>
      <c r="O315" s="219" t="s">
        <v>81</v>
      </c>
      <c r="P315" s="220" t="s">
        <v>81</v>
      </c>
      <c r="Q315" s="221" t="s">
        <v>81</v>
      </c>
      <c r="R315" s="221" t="s">
        <v>81</v>
      </c>
    </row>
    <row r="316" spans="1:18">
      <c r="L316" s="63"/>
      <c r="N316" s="219" t="s">
        <v>81</v>
      </c>
      <c r="O316" s="219" t="s">
        <v>81</v>
      </c>
      <c r="P316" s="220" t="s">
        <v>81</v>
      </c>
      <c r="Q316" s="221" t="s">
        <v>81</v>
      </c>
      <c r="R316" s="221" t="s">
        <v>81</v>
      </c>
    </row>
    <row r="317" spans="1:18">
      <c r="L317" s="63"/>
      <c r="N317" s="219" t="s">
        <v>81</v>
      </c>
      <c r="O317" s="219" t="s">
        <v>81</v>
      </c>
      <c r="P317" s="220" t="s">
        <v>81</v>
      </c>
      <c r="Q317" s="221" t="s">
        <v>81</v>
      </c>
      <c r="R317" s="221" t="s">
        <v>81</v>
      </c>
    </row>
    <row r="318" spans="1:18">
      <c r="N318" s="219" t="s">
        <v>81</v>
      </c>
      <c r="O318" s="219" t="s">
        <v>81</v>
      </c>
      <c r="P318" s="220" t="s">
        <v>81</v>
      </c>
      <c r="Q318" s="221" t="s">
        <v>81</v>
      </c>
      <c r="R318" s="221" t="s">
        <v>81</v>
      </c>
    </row>
  </sheetData>
  <mergeCells count="3">
    <mergeCell ref="C2:D2"/>
    <mergeCell ref="C3:D3"/>
    <mergeCell ref="P5:R5"/>
  </mergeCells>
  <conditionalFormatting sqref="J6:K305">
    <cfRule type="cellIs" dxfId="29" priority="1" operator="lessThanOrEqual">
      <formula>0</formula>
    </cfRule>
  </conditionalFormatting>
  <dataValidations disablePrompts="1" count="1">
    <dataValidation type="list" allowBlank="1" showInputMessage="1" showErrorMessage="1" sqref="C38:C69" xr:uid="{DD7357D7-D134-479F-94CB-60695C8B2B69}">
      <formula1>#REF!</formula1>
    </dataValidation>
  </dataValidations>
  <hyperlinks>
    <hyperlink ref="C2:D2" r:id="rId1" display="GDAŃSK" xr:uid="{C3E0F998-A94E-4CFA-9F53-63052BA45DC1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756E2-3F2A-4C4A-9C9B-B9A714BFC9B7}">
  <sheetPr>
    <tabColor rgb="FF92D050"/>
  </sheetPr>
  <dimension ref="A1:AL317"/>
  <sheetViews>
    <sheetView workbookViewId="0">
      <selection activeCell="D24" sqref="D24"/>
    </sheetView>
  </sheetViews>
  <sheetFormatPr defaultColWidth="8.85546875" defaultRowHeight="14.25"/>
  <cols>
    <col min="1" max="1" width="8" style="169" customWidth="1"/>
    <col min="2" max="2" width="8.28515625" style="169" customWidth="1"/>
    <col min="3" max="3" width="34.7109375" style="169" customWidth="1"/>
    <col min="4" max="4" width="11.28515625" style="169" customWidth="1"/>
    <col min="5" max="6" width="8.85546875" style="169"/>
    <col min="7" max="7" width="0.85546875" style="169" customWidth="1"/>
    <col min="8" max="8" width="8.85546875" style="171"/>
    <col min="9" max="9" width="11" style="171" customWidth="1"/>
    <col min="10" max="10" width="15.28515625" style="171" customWidth="1"/>
    <col min="11" max="11" width="8.7109375" style="171" customWidth="1"/>
    <col min="12" max="12" width="11" style="171" customWidth="1"/>
    <col min="13" max="13" width="11.7109375" style="172" customWidth="1"/>
    <col min="14" max="15" width="13.85546875" style="138" customWidth="1"/>
    <col min="16" max="18" width="8.85546875" style="138"/>
    <col min="19" max="20" width="8.85546875" style="143"/>
    <col min="21" max="21" width="12.140625" style="143" customWidth="1"/>
    <col min="22" max="22" width="27.42578125" style="143" customWidth="1"/>
    <col min="23" max="38" width="8.85546875" style="143"/>
    <col min="39" max="16384" width="8.85546875" style="169"/>
  </cols>
  <sheetData>
    <row r="1" spans="1:36">
      <c r="A1" s="138"/>
      <c r="B1" s="138"/>
      <c r="C1" s="138"/>
      <c r="D1" s="138"/>
      <c r="E1" s="138"/>
      <c r="F1" s="138"/>
      <c r="G1" s="138"/>
      <c r="H1" s="139" t="s">
        <v>34</v>
      </c>
      <c r="I1" s="140" t="s">
        <v>35</v>
      </c>
      <c r="J1" s="140" t="s">
        <v>36</v>
      </c>
      <c r="K1" s="141" t="s">
        <v>37</v>
      </c>
      <c r="L1" s="142"/>
      <c r="M1" s="142"/>
    </row>
    <row r="2" spans="1:36" ht="14.45" customHeight="1">
      <c r="A2" s="138"/>
      <c r="B2" s="21" t="s">
        <v>38</v>
      </c>
      <c r="C2" s="284" t="s">
        <v>94</v>
      </c>
      <c r="D2" s="284"/>
      <c r="E2" s="22"/>
      <c r="F2" s="22"/>
      <c r="G2" s="22"/>
      <c r="H2" s="144">
        <v>10</v>
      </c>
      <c r="I2" s="145">
        <v>50</v>
      </c>
      <c r="J2" s="145">
        <v>10</v>
      </c>
      <c r="K2" s="146">
        <f>3*H2^(1/3)</f>
        <v>6.463304070095651</v>
      </c>
      <c r="L2" s="142"/>
      <c r="M2" s="142"/>
    </row>
    <row r="3" spans="1:36" ht="14.45" customHeight="1">
      <c r="A3" s="138"/>
      <c r="B3" s="147" t="s">
        <v>40</v>
      </c>
      <c r="C3" s="285" t="s">
        <v>95</v>
      </c>
      <c r="D3" s="285"/>
      <c r="E3" s="27"/>
      <c r="F3" s="27"/>
      <c r="G3" s="27"/>
      <c r="H3" s="142"/>
      <c r="I3" s="142"/>
      <c r="J3" s="148"/>
      <c r="K3" s="142"/>
      <c r="L3" s="142"/>
      <c r="M3" s="142"/>
    </row>
    <row r="4" spans="1:36" ht="10.15" customHeight="1">
      <c r="A4" s="29"/>
      <c r="B4" s="27"/>
      <c r="C4" s="29"/>
      <c r="D4" s="29"/>
      <c r="E4" s="29"/>
      <c r="F4" s="29"/>
      <c r="G4" s="29"/>
      <c r="H4" s="142"/>
      <c r="I4" s="142"/>
      <c r="J4" s="148"/>
      <c r="K4" s="142"/>
      <c r="L4" s="142"/>
      <c r="M4" s="142"/>
    </row>
    <row r="5" spans="1:36" ht="34.700000000000003">
      <c r="A5" s="1" t="s">
        <v>42</v>
      </c>
      <c r="B5" s="30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9"/>
      <c r="H5" s="149" t="s">
        <v>48</v>
      </c>
      <c r="I5" s="150" t="s">
        <v>49</v>
      </c>
      <c r="J5" s="151" t="s">
        <v>50</v>
      </c>
      <c r="K5" s="150" t="s">
        <v>51</v>
      </c>
      <c r="L5" s="150" t="s">
        <v>52</v>
      </c>
      <c r="M5" s="149" t="s">
        <v>53</v>
      </c>
    </row>
    <row r="6" spans="1:36" ht="14.45" customHeight="1">
      <c r="A6" s="34">
        <f>M6</f>
        <v>109.38991221028695</v>
      </c>
      <c r="B6" s="35">
        <f t="shared" ref="B6:B15" si="0">IF(H6&gt;$H$2,"",(ROW()-5))</f>
        <v>1</v>
      </c>
      <c r="C6" s="36" t="s">
        <v>19</v>
      </c>
      <c r="D6" s="36" t="s">
        <v>54</v>
      </c>
      <c r="E6" s="36" t="s">
        <v>96</v>
      </c>
      <c r="F6" s="36"/>
      <c r="G6" s="29"/>
      <c r="H6" s="152">
        <v>1</v>
      </c>
      <c r="I6" s="153">
        <f>IF(H2=1,50,IF(H6&lt;$H$2+1,($I$2-($I$2-1)*(LOG(H6)/LOG($H$2))),""))</f>
        <v>50</v>
      </c>
      <c r="J6" s="152">
        <f>INT(LOG($H$2,2))-ROUNDUP(LOG(H6,2),0)+IF(OR($H$2=1,$H$2=2,$H$2=4,$H$2=8,$H$2=16,$H$2=32,$H$2=64,$H$2=128,$H$2=256),0,1)</f>
        <v>4</v>
      </c>
      <c r="K6" s="152">
        <f t="shared" ref="K6:K69" si="1">J6*$J$2</f>
        <v>40</v>
      </c>
      <c r="L6" s="154">
        <f>3*K2</f>
        <v>19.389912210286951</v>
      </c>
      <c r="M6" s="154">
        <f t="shared" ref="M6:M69" si="2">IF(I6&lt;&gt;"",K6+I6+L6,0)</f>
        <v>109.38991221028695</v>
      </c>
    </row>
    <row r="7" spans="1:36" ht="14.45" customHeight="1">
      <c r="A7" s="40">
        <f t="shared" ref="A7:A37" si="3">M7</f>
        <v>78.176138352656224</v>
      </c>
      <c r="B7" s="41">
        <f t="shared" si="0"/>
        <v>2</v>
      </c>
      <c r="C7" s="42" t="s">
        <v>20</v>
      </c>
      <c r="D7" s="42" t="s">
        <v>54</v>
      </c>
      <c r="E7" s="42" t="s">
        <v>96</v>
      </c>
      <c r="F7" s="42"/>
      <c r="G7" s="29"/>
      <c r="H7" s="155">
        <v>2</v>
      </c>
      <c r="I7" s="156">
        <f t="shared" ref="I7:I70" si="4">IF(H7&lt;$H$2+1,($I$2-($I$2-1)*(LOG(H7)/LOG($H$2))),"")</f>
        <v>35.249530212464919</v>
      </c>
      <c r="J7" s="155">
        <f t="shared" ref="J7:J70" si="5">INT(LOG($H$2,2))-ROUNDUP(LOG(H7,2),0)+IF(OR($H$2=1,$H$2=2,$H$2=4,$H$2=8,$H$2=16,$H$2=32,$H$2=64,$H$2=128,$H$2=256),0,1)</f>
        <v>3</v>
      </c>
      <c r="K7" s="155">
        <f t="shared" si="1"/>
        <v>30</v>
      </c>
      <c r="L7" s="157">
        <f>2*K2</f>
        <v>12.926608140191302</v>
      </c>
      <c r="M7" s="157">
        <f t="shared" si="2"/>
        <v>78.176138352656224</v>
      </c>
    </row>
    <row r="8" spans="1:36" ht="14.45" customHeight="1">
      <c r="A8" s="34">
        <f t="shared" si="3"/>
        <v>53.084362588832192</v>
      </c>
      <c r="B8" s="35">
        <f t="shared" si="0"/>
        <v>3</v>
      </c>
      <c r="C8" s="36" t="s">
        <v>21</v>
      </c>
      <c r="D8" s="36" t="s">
        <v>71</v>
      </c>
      <c r="E8" s="36" t="s">
        <v>96</v>
      </c>
      <c r="F8" s="36"/>
      <c r="G8" s="29"/>
      <c r="H8" s="152">
        <v>3</v>
      </c>
      <c r="I8" s="153">
        <f t="shared" si="4"/>
        <v>26.62105851873654</v>
      </c>
      <c r="J8" s="152">
        <f t="shared" si="5"/>
        <v>2</v>
      </c>
      <c r="K8" s="152">
        <f t="shared" si="1"/>
        <v>20</v>
      </c>
      <c r="L8" s="154">
        <f>K2</f>
        <v>6.463304070095651</v>
      </c>
      <c r="M8" s="154">
        <f t="shared" si="2"/>
        <v>53.084362588832192</v>
      </c>
    </row>
    <row r="9" spans="1:36" ht="14.45" customHeight="1">
      <c r="A9" s="40">
        <f t="shared" si="3"/>
        <v>40.499060424929844</v>
      </c>
      <c r="B9" s="41">
        <f t="shared" si="0"/>
        <v>4</v>
      </c>
      <c r="C9" s="42" t="s">
        <v>22</v>
      </c>
      <c r="D9" s="42" t="s">
        <v>54</v>
      </c>
      <c r="E9" s="42" t="s">
        <v>96</v>
      </c>
      <c r="F9" s="42"/>
      <c r="G9" s="29"/>
      <c r="H9" s="155">
        <v>4</v>
      </c>
      <c r="I9" s="156">
        <f t="shared" si="4"/>
        <v>20.499060424929844</v>
      </c>
      <c r="J9" s="155">
        <f t="shared" si="5"/>
        <v>2</v>
      </c>
      <c r="K9" s="155">
        <f t="shared" si="1"/>
        <v>20</v>
      </c>
      <c r="L9" s="157"/>
      <c r="M9" s="157">
        <f t="shared" si="2"/>
        <v>40.499060424929844</v>
      </c>
      <c r="V9" s="158"/>
      <c r="Z9" s="159"/>
      <c r="AA9" s="159"/>
      <c r="AG9" s="160"/>
      <c r="AH9" s="143" t="s">
        <v>57</v>
      </c>
      <c r="AI9" s="143">
        <v>23</v>
      </c>
    </row>
    <row r="10" spans="1:36" ht="14.45" customHeight="1">
      <c r="A10" s="34">
        <f t="shared" si="3"/>
        <v>25.750469787535074</v>
      </c>
      <c r="B10" s="35">
        <f t="shared" si="0"/>
        <v>5</v>
      </c>
      <c r="C10" s="36" t="s">
        <v>27</v>
      </c>
      <c r="D10" s="36" t="s">
        <v>54</v>
      </c>
      <c r="E10" s="36" t="s">
        <v>96</v>
      </c>
      <c r="F10" s="36"/>
      <c r="G10" s="29"/>
      <c r="H10" s="152">
        <v>5</v>
      </c>
      <c r="I10" s="153">
        <f t="shared" si="4"/>
        <v>15.750469787535074</v>
      </c>
      <c r="J10" s="152">
        <f t="shared" si="5"/>
        <v>1</v>
      </c>
      <c r="K10" s="152">
        <f t="shared" si="1"/>
        <v>10</v>
      </c>
      <c r="L10" s="152"/>
      <c r="M10" s="154">
        <f t="shared" si="2"/>
        <v>25.750469787535074</v>
      </c>
      <c r="V10" s="158"/>
      <c r="Z10" s="159"/>
      <c r="AA10" s="159"/>
      <c r="AG10" s="160"/>
      <c r="AH10" s="143" t="s">
        <v>58</v>
      </c>
      <c r="AI10" s="143">
        <v>45</v>
      </c>
    </row>
    <row r="11" spans="1:36" ht="14.45" customHeight="1">
      <c r="A11" s="40">
        <f t="shared" si="3"/>
        <v>21.870588731201465</v>
      </c>
      <c r="B11" s="41">
        <f t="shared" si="0"/>
        <v>6</v>
      </c>
      <c r="C11" s="42" t="s">
        <v>25</v>
      </c>
      <c r="D11" s="42" t="s">
        <v>59</v>
      </c>
      <c r="E11" s="42" t="s">
        <v>96</v>
      </c>
      <c r="F11" s="42"/>
      <c r="G11" s="29"/>
      <c r="H11" s="155">
        <v>6</v>
      </c>
      <c r="I11" s="156">
        <f t="shared" si="4"/>
        <v>11.870588731201465</v>
      </c>
      <c r="J11" s="155">
        <f t="shared" si="5"/>
        <v>1</v>
      </c>
      <c r="K11" s="155">
        <f t="shared" si="1"/>
        <v>10</v>
      </c>
      <c r="L11" s="155"/>
      <c r="M11" s="157">
        <f t="shared" si="2"/>
        <v>21.870588731201465</v>
      </c>
      <c r="V11" s="161"/>
      <c r="Z11" s="159"/>
      <c r="AA11" s="159"/>
      <c r="AG11" s="160"/>
      <c r="AH11" s="143" t="s">
        <v>60</v>
      </c>
      <c r="AI11" s="143">
        <v>50</v>
      </c>
    </row>
    <row r="12" spans="1:36" ht="14.45" customHeight="1">
      <c r="A12" s="34">
        <f t="shared" si="3"/>
        <v>18.590196039301418</v>
      </c>
      <c r="B12" s="35">
        <f t="shared" si="0"/>
        <v>7</v>
      </c>
      <c r="C12" s="36" t="s">
        <v>24</v>
      </c>
      <c r="D12" s="36" t="s">
        <v>56</v>
      </c>
      <c r="E12" s="36" t="s">
        <v>96</v>
      </c>
      <c r="F12" s="36"/>
      <c r="G12" s="29"/>
      <c r="H12" s="152">
        <v>7</v>
      </c>
      <c r="I12" s="153">
        <f t="shared" si="4"/>
        <v>8.5901960393014178</v>
      </c>
      <c r="J12" s="152">
        <f t="shared" si="5"/>
        <v>1</v>
      </c>
      <c r="K12" s="152">
        <f t="shared" si="1"/>
        <v>10</v>
      </c>
      <c r="L12" s="152"/>
      <c r="M12" s="154">
        <f t="shared" si="2"/>
        <v>18.590196039301418</v>
      </c>
      <c r="Z12" s="159"/>
      <c r="AA12" s="159"/>
      <c r="AG12" s="160"/>
      <c r="AH12" s="143" t="s">
        <v>61</v>
      </c>
      <c r="AI12" s="143">
        <f>AI11-1</f>
        <v>49</v>
      </c>
    </row>
    <row r="13" spans="1:36" ht="14.45" customHeight="1">
      <c r="A13" s="50">
        <f t="shared" si="3"/>
        <v>15.74859063739477</v>
      </c>
      <c r="B13" s="41">
        <f t="shared" si="0"/>
        <v>8</v>
      </c>
      <c r="C13" s="42" t="s">
        <v>26</v>
      </c>
      <c r="D13" s="42" t="s">
        <v>54</v>
      </c>
      <c r="E13" s="42" t="s">
        <v>96</v>
      </c>
      <c r="F13" s="42"/>
      <c r="G13" s="29"/>
      <c r="H13" s="155">
        <v>8</v>
      </c>
      <c r="I13" s="156">
        <f t="shared" si="4"/>
        <v>5.7485906373947699</v>
      </c>
      <c r="J13" s="155">
        <f t="shared" si="5"/>
        <v>1</v>
      </c>
      <c r="K13" s="155">
        <f t="shared" si="1"/>
        <v>10</v>
      </c>
      <c r="L13" s="155"/>
      <c r="M13" s="157">
        <f t="shared" si="2"/>
        <v>15.74859063739477</v>
      </c>
      <c r="X13" s="158"/>
      <c r="AG13" s="160"/>
      <c r="AH13" s="143" t="s">
        <v>62</v>
      </c>
      <c r="AI13" s="143">
        <f>LOG(AI9)</f>
        <v>1.3617278360175928</v>
      </c>
    </row>
    <row r="14" spans="1:36" ht="38.85">
      <c r="A14" s="51">
        <f t="shared" si="3"/>
        <v>3.2421170374730792</v>
      </c>
      <c r="B14" s="35">
        <f t="shared" si="0"/>
        <v>9</v>
      </c>
      <c r="C14" s="36" t="s">
        <v>28</v>
      </c>
      <c r="D14" s="36" t="s">
        <v>54</v>
      </c>
      <c r="E14" s="36" t="s">
        <v>96</v>
      </c>
      <c r="F14" s="36"/>
      <c r="G14" s="29"/>
      <c r="H14" s="152">
        <v>9</v>
      </c>
      <c r="I14" s="153">
        <f t="shared" si="4"/>
        <v>3.2421170374730792</v>
      </c>
      <c r="J14" s="152">
        <f t="shared" si="5"/>
        <v>0</v>
      </c>
      <c r="K14" s="152">
        <f t="shared" si="1"/>
        <v>0</v>
      </c>
      <c r="L14" s="152"/>
      <c r="M14" s="154">
        <f t="shared" si="2"/>
        <v>3.2421170374730792</v>
      </c>
      <c r="X14" s="162"/>
      <c r="Z14" s="159"/>
      <c r="AA14" s="159"/>
      <c r="AG14" s="160"/>
      <c r="AH14" s="143" t="s">
        <v>64</v>
      </c>
      <c r="AI14" s="143">
        <f>LOG(AI10)</f>
        <v>1.6532125137753437</v>
      </c>
    </row>
    <row r="15" spans="1:36" ht="51.6">
      <c r="A15" s="50">
        <f t="shared" si="3"/>
        <v>1</v>
      </c>
      <c r="B15" s="41">
        <f t="shared" si="0"/>
        <v>10</v>
      </c>
      <c r="C15" s="42" t="s">
        <v>29</v>
      </c>
      <c r="D15" s="42" t="s">
        <v>79</v>
      </c>
      <c r="E15" s="42" t="s">
        <v>96</v>
      </c>
      <c r="F15" s="42"/>
      <c r="G15" s="29"/>
      <c r="H15" s="155">
        <v>10</v>
      </c>
      <c r="I15" s="156">
        <f t="shared" si="4"/>
        <v>1</v>
      </c>
      <c r="J15" s="155">
        <f t="shared" si="5"/>
        <v>0</v>
      </c>
      <c r="K15" s="155">
        <f t="shared" si="1"/>
        <v>0</v>
      </c>
      <c r="L15" s="155"/>
      <c r="M15" s="157">
        <f t="shared" si="2"/>
        <v>1</v>
      </c>
      <c r="X15" s="158"/>
      <c r="Z15" s="159"/>
      <c r="AA15" s="159"/>
    </row>
    <row r="16" spans="1:36">
      <c r="A16" s="51">
        <f t="shared" si="3"/>
        <v>0</v>
      </c>
      <c r="B16" s="35" t="str">
        <f t="shared" ref="B16:B65" si="6">IF(H16&gt;$H$2,"",(ROW()-5))</f>
        <v/>
      </c>
      <c r="C16" s="36"/>
      <c r="D16" s="36"/>
      <c r="E16" s="36"/>
      <c r="F16" s="36"/>
      <c r="G16" s="29"/>
      <c r="H16" s="152">
        <v>11</v>
      </c>
      <c r="I16" s="153" t="str">
        <f t="shared" si="4"/>
        <v/>
      </c>
      <c r="J16" s="152">
        <f t="shared" si="5"/>
        <v>0</v>
      </c>
      <c r="K16" s="152">
        <f t="shared" si="1"/>
        <v>0</v>
      </c>
      <c r="L16" s="152"/>
      <c r="M16" s="154">
        <f t="shared" si="2"/>
        <v>0</v>
      </c>
      <c r="R16" s="163"/>
      <c r="Z16" s="159"/>
      <c r="AA16" s="159"/>
      <c r="AH16" s="164" t="s">
        <v>66</v>
      </c>
      <c r="AI16" s="143">
        <f>AI11-AI12*AI13/AI14</f>
        <v>9.6393909380186855</v>
      </c>
      <c r="AJ16" s="143" t="s">
        <v>67</v>
      </c>
    </row>
    <row r="17" spans="1:19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155">
        <v>12</v>
      </c>
      <c r="I17" s="156" t="str">
        <f t="shared" si="4"/>
        <v/>
      </c>
      <c r="J17" s="155">
        <f t="shared" si="5"/>
        <v>0</v>
      </c>
      <c r="K17" s="155">
        <f t="shared" si="1"/>
        <v>0</v>
      </c>
      <c r="L17" s="155"/>
      <c r="M17" s="157">
        <f t="shared" si="2"/>
        <v>0</v>
      </c>
    </row>
    <row r="18" spans="1:19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152">
        <v>13</v>
      </c>
      <c r="I18" s="153" t="str">
        <f t="shared" si="4"/>
        <v/>
      </c>
      <c r="J18" s="152">
        <f t="shared" si="5"/>
        <v>0</v>
      </c>
      <c r="K18" s="152">
        <f t="shared" si="1"/>
        <v>0</v>
      </c>
      <c r="L18" s="152"/>
      <c r="M18" s="154">
        <f t="shared" si="2"/>
        <v>0</v>
      </c>
    </row>
    <row r="19" spans="1:19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55">
        <v>14</v>
      </c>
      <c r="I19" s="156" t="str">
        <f t="shared" si="4"/>
        <v/>
      </c>
      <c r="J19" s="155">
        <f t="shared" si="5"/>
        <v>0</v>
      </c>
      <c r="K19" s="155">
        <f t="shared" si="1"/>
        <v>0</v>
      </c>
      <c r="L19" s="155"/>
      <c r="M19" s="157">
        <f t="shared" si="2"/>
        <v>0</v>
      </c>
    </row>
    <row r="20" spans="1:19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152">
        <v>15</v>
      </c>
      <c r="I20" s="153" t="str">
        <f t="shared" si="4"/>
        <v/>
      </c>
      <c r="J20" s="152">
        <f t="shared" si="5"/>
        <v>0</v>
      </c>
      <c r="K20" s="152">
        <f t="shared" si="1"/>
        <v>0</v>
      </c>
      <c r="L20" s="152"/>
      <c r="M20" s="154">
        <f t="shared" si="2"/>
        <v>0</v>
      </c>
      <c r="R20" s="165"/>
      <c r="S20" s="166"/>
    </row>
    <row r="21" spans="1:19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55">
        <v>16</v>
      </c>
      <c r="I21" s="156" t="str">
        <f t="shared" si="4"/>
        <v/>
      </c>
      <c r="J21" s="155">
        <f t="shared" si="5"/>
        <v>0</v>
      </c>
      <c r="K21" s="155">
        <f t="shared" si="1"/>
        <v>0</v>
      </c>
      <c r="L21" s="155"/>
      <c r="M21" s="157">
        <f t="shared" si="2"/>
        <v>0</v>
      </c>
    </row>
    <row r="22" spans="1:19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152">
        <v>17</v>
      </c>
      <c r="I22" s="153" t="str">
        <f t="shared" si="4"/>
        <v/>
      </c>
      <c r="J22" s="152">
        <f t="shared" si="5"/>
        <v>-1</v>
      </c>
      <c r="K22" s="152">
        <f t="shared" si="1"/>
        <v>-10</v>
      </c>
      <c r="L22" s="152"/>
      <c r="M22" s="154">
        <f t="shared" si="2"/>
        <v>0</v>
      </c>
    </row>
    <row r="23" spans="1:19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55">
        <v>18</v>
      </c>
      <c r="I23" s="156" t="str">
        <f t="shared" si="4"/>
        <v/>
      </c>
      <c r="J23" s="155">
        <f t="shared" si="5"/>
        <v>-1</v>
      </c>
      <c r="K23" s="155">
        <f t="shared" si="1"/>
        <v>-10</v>
      </c>
      <c r="L23" s="155"/>
      <c r="M23" s="157">
        <f t="shared" si="2"/>
        <v>0</v>
      </c>
    </row>
    <row r="24" spans="1:19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152">
        <v>19</v>
      </c>
      <c r="I24" s="153" t="str">
        <f t="shared" si="4"/>
        <v/>
      </c>
      <c r="J24" s="152">
        <f t="shared" si="5"/>
        <v>-1</v>
      </c>
      <c r="K24" s="152">
        <f t="shared" si="1"/>
        <v>-10</v>
      </c>
      <c r="L24" s="152"/>
      <c r="M24" s="154">
        <f t="shared" si="2"/>
        <v>0</v>
      </c>
      <c r="R24" s="165"/>
      <c r="S24" s="166"/>
    </row>
    <row r="25" spans="1:19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55">
        <v>20</v>
      </c>
      <c r="I25" s="156" t="str">
        <f t="shared" si="4"/>
        <v/>
      </c>
      <c r="J25" s="155">
        <f t="shared" si="5"/>
        <v>-1</v>
      </c>
      <c r="K25" s="155">
        <f t="shared" si="1"/>
        <v>-10</v>
      </c>
      <c r="L25" s="155"/>
      <c r="M25" s="157">
        <f t="shared" si="2"/>
        <v>0</v>
      </c>
    </row>
    <row r="26" spans="1:19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152">
        <v>21</v>
      </c>
      <c r="I26" s="153" t="str">
        <f t="shared" si="4"/>
        <v/>
      </c>
      <c r="J26" s="152">
        <f t="shared" si="5"/>
        <v>-1</v>
      </c>
      <c r="K26" s="152">
        <f t="shared" si="1"/>
        <v>-10</v>
      </c>
      <c r="L26" s="152"/>
      <c r="M26" s="154">
        <f t="shared" si="2"/>
        <v>0</v>
      </c>
    </row>
    <row r="27" spans="1:19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55">
        <v>22</v>
      </c>
      <c r="I27" s="156" t="str">
        <f t="shared" si="4"/>
        <v/>
      </c>
      <c r="J27" s="155">
        <f t="shared" si="5"/>
        <v>-1</v>
      </c>
      <c r="K27" s="155">
        <f t="shared" si="1"/>
        <v>-10</v>
      </c>
      <c r="L27" s="155"/>
      <c r="M27" s="157">
        <f t="shared" si="2"/>
        <v>0</v>
      </c>
    </row>
    <row r="28" spans="1:19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152">
        <v>23</v>
      </c>
      <c r="I28" s="153" t="str">
        <f t="shared" si="4"/>
        <v/>
      </c>
      <c r="J28" s="152">
        <f t="shared" si="5"/>
        <v>-1</v>
      </c>
      <c r="K28" s="152">
        <f t="shared" si="1"/>
        <v>-10</v>
      </c>
      <c r="L28" s="152"/>
      <c r="M28" s="154">
        <f t="shared" si="2"/>
        <v>0</v>
      </c>
      <c r="R28" s="165"/>
      <c r="S28" s="166"/>
    </row>
    <row r="29" spans="1:19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38"/>
      <c r="H29" s="155">
        <v>24</v>
      </c>
      <c r="I29" s="156" t="str">
        <f t="shared" si="4"/>
        <v/>
      </c>
      <c r="J29" s="155">
        <f t="shared" si="5"/>
        <v>-1</v>
      </c>
      <c r="K29" s="155">
        <f t="shared" si="1"/>
        <v>-10</v>
      </c>
      <c r="L29" s="155"/>
      <c r="M29" s="157">
        <f t="shared" si="2"/>
        <v>0</v>
      </c>
    </row>
    <row r="30" spans="1:19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38"/>
      <c r="H30" s="152">
        <v>25</v>
      </c>
      <c r="I30" s="153" t="str">
        <f t="shared" si="4"/>
        <v/>
      </c>
      <c r="J30" s="152">
        <f t="shared" si="5"/>
        <v>-1</v>
      </c>
      <c r="K30" s="152">
        <f t="shared" si="1"/>
        <v>-10</v>
      </c>
      <c r="L30" s="152"/>
      <c r="M30" s="154">
        <f t="shared" si="2"/>
        <v>0</v>
      </c>
    </row>
    <row r="31" spans="1:19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38"/>
      <c r="H31" s="155">
        <v>26</v>
      </c>
      <c r="I31" s="156" t="str">
        <f t="shared" si="4"/>
        <v/>
      </c>
      <c r="J31" s="155">
        <f t="shared" si="5"/>
        <v>-1</v>
      </c>
      <c r="K31" s="155">
        <f t="shared" si="1"/>
        <v>-10</v>
      </c>
      <c r="L31" s="155"/>
      <c r="M31" s="157">
        <f t="shared" si="2"/>
        <v>0</v>
      </c>
    </row>
    <row r="32" spans="1:19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38"/>
      <c r="H32" s="152">
        <v>27</v>
      </c>
      <c r="I32" s="153" t="str">
        <f t="shared" si="4"/>
        <v/>
      </c>
      <c r="J32" s="152">
        <f t="shared" si="5"/>
        <v>-1</v>
      </c>
      <c r="K32" s="152">
        <f t="shared" si="1"/>
        <v>-10</v>
      </c>
      <c r="L32" s="152"/>
      <c r="M32" s="154">
        <f t="shared" si="2"/>
        <v>0</v>
      </c>
      <c r="R32" s="165"/>
      <c r="S32" s="166"/>
    </row>
    <row r="33" spans="1:21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38"/>
      <c r="H33" s="155">
        <v>28</v>
      </c>
      <c r="I33" s="156" t="str">
        <f t="shared" si="4"/>
        <v/>
      </c>
      <c r="J33" s="155">
        <f t="shared" si="5"/>
        <v>-1</v>
      </c>
      <c r="K33" s="155">
        <f t="shared" si="1"/>
        <v>-10</v>
      </c>
      <c r="L33" s="155"/>
      <c r="M33" s="157">
        <f t="shared" si="2"/>
        <v>0</v>
      </c>
    </row>
    <row r="34" spans="1:21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38"/>
      <c r="H34" s="152">
        <v>29</v>
      </c>
      <c r="I34" s="153" t="str">
        <f t="shared" si="4"/>
        <v/>
      </c>
      <c r="J34" s="152">
        <f t="shared" si="5"/>
        <v>-1</v>
      </c>
      <c r="K34" s="152">
        <f t="shared" si="1"/>
        <v>-10</v>
      </c>
      <c r="L34" s="152"/>
      <c r="M34" s="154">
        <f t="shared" si="2"/>
        <v>0</v>
      </c>
    </row>
    <row r="35" spans="1:21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38"/>
      <c r="H35" s="155">
        <v>30</v>
      </c>
      <c r="I35" s="156" t="str">
        <f t="shared" si="4"/>
        <v/>
      </c>
      <c r="J35" s="155">
        <f t="shared" si="5"/>
        <v>-1</v>
      </c>
      <c r="K35" s="155">
        <f t="shared" si="1"/>
        <v>-10</v>
      </c>
      <c r="L35" s="155"/>
      <c r="M35" s="157">
        <f t="shared" si="2"/>
        <v>0</v>
      </c>
    </row>
    <row r="36" spans="1:21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38"/>
      <c r="H36" s="152">
        <v>31</v>
      </c>
      <c r="I36" s="153" t="str">
        <f t="shared" si="4"/>
        <v/>
      </c>
      <c r="J36" s="152">
        <f t="shared" si="5"/>
        <v>-1</v>
      </c>
      <c r="K36" s="152">
        <f t="shared" si="1"/>
        <v>-10</v>
      </c>
      <c r="L36" s="152"/>
      <c r="M36" s="154">
        <f t="shared" si="2"/>
        <v>0</v>
      </c>
      <c r="R36" s="165"/>
      <c r="S36" s="166"/>
    </row>
    <row r="37" spans="1:21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38"/>
      <c r="H37" s="155">
        <v>32</v>
      </c>
      <c r="I37" s="156" t="str">
        <f t="shared" si="4"/>
        <v/>
      </c>
      <c r="J37" s="155">
        <f t="shared" si="5"/>
        <v>-1</v>
      </c>
      <c r="K37" s="155">
        <f t="shared" si="1"/>
        <v>-10</v>
      </c>
      <c r="L37" s="155"/>
      <c r="M37" s="157">
        <f t="shared" si="2"/>
        <v>0</v>
      </c>
    </row>
    <row r="38" spans="1:21">
      <c r="A38" s="51"/>
      <c r="B38" s="35" t="str">
        <f t="shared" si="6"/>
        <v/>
      </c>
      <c r="C38" s="36"/>
      <c r="D38" s="36"/>
      <c r="E38" s="36"/>
      <c r="F38" s="36"/>
      <c r="G38" s="138"/>
      <c r="H38" s="152">
        <v>33</v>
      </c>
      <c r="I38" s="153" t="str">
        <f t="shared" si="4"/>
        <v/>
      </c>
      <c r="J38" s="152">
        <f t="shared" si="5"/>
        <v>-2</v>
      </c>
      <c r="K38" s="152">
        <f t="shared" si="1"/>
        <v>-20</v>
      </c>
      <c r="L38" s="152"/>
      <c r="M38" s="154">
        <f t="shared" si="2"/>
        <v>0</v>
      </c>
    </row>
    <row r="39" spans="1:21">
      <c r="A39" s="50"/>
      <c r="B39" s="41" t="str">
        <f t="shared" si="6"/>
        <v/>
      </c>
      <c r="C39" s="42"/>
      <c r="D39" s="42"/>
      <c r="E39" s="42"/>
      <c r="F39" s="42"/>
      <c r="G39" s="138"/>
      <c r="H39" s="155">
        <v>34</v>
      </c>
      <c r="I39" s="156" t="str">
        <f t="shared" si="4"/>
        <v/>
      </c>
      <c r="J39" s="155">
        <f t="shared" si="5"/>
        <v>-2</v>
      </c>
      <c r="K39" s="155">
        <f t="shared" si="1"/>
        <v>-20</v>
      </c>
      <c r="L39" s="155"/>
      <c r="M39" s="157">
        <f t="shared" si="2"/>
        <v>0</v>
      </c>
    </row>
    <row r="40" spans="1:21">
      <c r="A40" s="51"/>
      <c r="B40" s="35" t="str">
        <f t="shared" si="6"/>
        <v/>
      </c>
      <c r="C40" s="36"/>
      <c r="D40" s="36"/>
      <c r="E40" s="36"/>
      <c r="F40" s="36"/>
      <c r="G40" s="138"/>
      <c r="H40" s="152">
        <v>35</v>
      </c>
      <c r="I40" s="153" t="str">
        <f t="shared" si="4"/>
        <v/>
      </c>
      <c r="J40" s="152">
        <f t="shared" si="5"/>
        <v>-2</v>
      </c>
      <c r="K40" s="152">
        <f t="shared" si="1"/>
        <v>-20</v>
      </c>
      <c r="L40" s="152"/>
      <c r="M40" s="154">
        <f t="shared" si="2"/>
        <v>0</v>
      </c>
    </row>
    <row r="41" spans="1:21">
      <c r="A41" s="50"/>
      <c r="B41" s="41" t="str">
        <f t="shared" si="6"/>
        <v/>
      </c>
      <c r="C41" s="42"/>
      <c r="D41" s="42"/>
      <c r="E41" s="42"/>
      <c r="F41" s="42"/>
      <c r="G41" s="138"/>
      <c r="H41" s="155">
        <v>36</v>
      </c>
      <c r="I41" s="156" t="str">
        <f t="shared" si="4"/>
        <v/>
      </c>
      <c r="J41" s="155">
        <f t="shared" si="5"/>
        <v>-2</v>
      </c>
      <c r="K41" s="155">
        <f t="shared" si="1"/>
        <v>-20</v>
      </c>
      <c r="L41" s="155"/>
      <c r="M41" s="157">
        <f t="shared" si="2"/>
        <v>0</v>
      </c>
      <c r="S41" s="167"/>
    </row>
    <row r="42" spans="1:21">
      <c r="A42" s="51"/>
      <c r="B42" s="35" t="str">
        <f t="shared" si="6"/>
        <v/>
      </c>
      <c r="C42" s="36"/>
      <c r="D42" s="36"/>
      <c r="E42" s="36"/>
      <c r="F42" s="36"/>
      <c r="G42" s="138"/>
      <c r="H42" s="152">
        <v>37</v>
      </c>
      <c r="I42" s="153" t="str">
        <f t="shared" si="4"/>
        <v/>
      </c>
      <c r="J42" s="152">
        <f t="shared" si="5"/>
        <v>-2</v>
      </c>
      <c r="K42" s="152">
        <f t="shared" si="1"/>
        <v>-20</v>
      </c>
      <c r="L42" s="152"/>
      <c r="M42" s="154">
        <f t="shared" si="2"/>
        <v>0</v>
      </c>
    </row>
    <row r="43" spans="1:21">
      <c r="A43" s="50"/>
      <c r="B43" s="41" t="str">
        <f t="shared" si="6"/>
        <v/>
      </c>
      <c r="C43" s="42"/>
      <c r="D43" s="42"/>
      <c r="E43" s="42"/>
      <c r="F43" s="42"/>
      <c r="G43" s="138"/>
      <c r="H43" s="155">
        <v>38</v>
      </c>
      <c r="I43" s="156" t="str">
        <f t="shared" si="4"/>
        <v/>
      </c>
      <c r="J43" s="155">
        <f t="shared" si="5"/>
        <v>-2</v>
      </c>
      <c r="K43" s="155">
        <f t="shared" si="1"/>
        <v>-20</v>
      </c>
      <c r="L43" s="155"/>
      <c r="M43" s="157">
        <f t="shared" si="2"/>
        <v>0</v>
      </c>
    </row>
    <row r="44" spans="1:21">
      <c r="A44" s="51"/>
      <c r="B44" s="35" t="str">
        <f t="shared" si="6"/>
        <v/>
      </c>
      <c r="C44" s="36"/>
      <c r="D44" s="36"/>
      <c r="E44" s="36"/>
      <c r="F44" s="36"/>
      <c r="G44" s="138"/>
      <c r="H44" s="152">
        <v>39</v>
      </c>
      <c r="I44" s="153" t="str">
        <f t="shared" si="4"/>
        <v/>
      </c>
      <c r="J44" s="152">
        <f t="shared" si="5"/>
        <v>-2</v>
      </c>
      <c r="K44" s="152">
        <f t="shared" si="1"/>
        <v>-20</v>
      </c>
      <c r="L44" s="152"/>
      <c r="M44" s="154">
        <f t="shared" si="2"/>
        <v>0</v>
      </c>
    </row>
    <row r="45" spans="1:21">
      <c r="A45" s="50"/>
      <c r="B45" s="41" t="str">
        <f t="shared" si="6"/>
        <v/>
      </c>
      <c r="C45" s="42"/>
      <c r="D45" s="42"/>
      <c r="E45" s="42"/>
      <c r="F45" s="42"/>
      <c r="G45" s="138"/>
      <c r="H45" s="155">
        <v>40</v>
      </c>
      <c r="I45" s="156" t="str">
        <f t="shared" si="4"/>
        <v/>
      </c>
      <c r="J45" s="155">
        <f t="shared" si="5"/>
        <v>-2</v>
      </c>
      <c r="K45" s="155">
        <f t="shared" si="1"/>
        <v>-20</v>
      </c>
      <c r="L45" s="155"/>
      <c r="M45" s="157">
        <f t="shared" si="2"/>
        <v>0</v>
      </c>
    </row>
    <row r="46" spans="1:21">
      <c r="A46" s="51"/>
      <c r="B46" s="35" t="str">
        <f t="shared" si="6"/>
        <v/>
      </c>
      <c r="C46" s="36"/>
      <c r="D46" s="36"/>
      <c r="E46" s="36"/>
      <c r="F46" s="36"/>
      <c r="G46" s="138"/>
      <c r="H46" s="152">
        <v>41</v>
      </c>
      <c r="I46" s="153" t="str">
        <f t="shared" si="4"/>
        <v/>
      </c>
      <c r="J46" s="152">
        <f t="shared" si="5"/>
        <v>-2</v>
      </c>
      <c r="K46" s="152">
        <f t="shared" si="1"/>
        <v>-20</v>
      </c>
      <c r="L46" s="152"/>
      <c r="M46" s="154">
        <f t="shared" si="2"/>
        <v>0</v>
      </c>
      <c r="R46" s="138">
        <f>LOG($H$2,2)</f>
        <v>3.3219280948873626</v>
      </c>
      <c r="T46" s="143">
        <f>LOG(H38,2)</f>
        <v>5.0443941193584534</v>
      </c>
      <c r="U46" s="143">
        <f>R46-T46</f>
        <v>-1.7224660244710908</v>
      </c>
    </row>
    <row r="47" spans="1:21">
      <c r="A47" s="50"/>
      <c r="B47" s="41" t="str">
        <f t="shared" si="6"/>
        <v/>
      </c>
      <c r="C47" s="42"/>
      <c r="D47" s="42"/>
      <c r="E47" s="42"/>
      <c r="F47" s="42"/>
      <c r="G47" s="138"/>
      <c r="H47" s="155">
        <v>42</v>
      </c>
      <c r="I47" s="156" t="str">
        <f t="shared" si="4"/>
        <v/>
      </c>
      <c r="J47" s="155">
        <f t="shared" si="5"/>
        <v>-2</v>
      </c>
      <c r="K47" s="155">
        <f t="shared" si="1"/>
        <v>-20</v>
      </c>
      <c r="L47" s="155"/>
      <c r="M47" s="157">
        <f t="shared" si="2"/>
        <v>0</v>
      </c>
    </row>
    <row r="48" spans="1:21">
      <c r="A48" s="51"/>
      <c r="B48" s="35" t="str">
        <f t="shared" si="6"/>
        <v/>
      </c>
      <c r="C48" s="36"/>
      <c r="D48" s="36"/>
      <c r="E48" s="36"/>
      <c r="F48" s="36"/>
      <c r="G48" s="138"/>
      <c r="H48" s="152">
        <v>43</v>
      </c>
      <c r="I48" s="153" t="str">
        <f t="shared" si="4"/>
        <v/>
      </c>
      <c r="J48" s="152">
        <f t="shared" si="5"/>
        <v>-2</v>
      </c>
      <c r="K48" s="152">
        <f t="shared" si="1"/>
        <v>-20</v>
      </c>
      <c r="L48" s="152"/>
      <c r="M48" s="154">
        <f t="shared" si="2"/>
        <v>0</v>
      </c>
    </row>
    <row r="49" spans="1:13">
      <c r="A49" s="50"/>
      <c r="B49" s="41" t="str">
        <f t="shared" si="6"/>
        <v/>
      </c>
      <c r="C49" s="42"/>
      <c r="D49" s="42"/>
      <c r="E49" s="42"/>
      <c r="F49" s="42"/>
      <c r="G49" s="138"/>
      <c r="H49" s="155">
        <v>44</v>
      </c>
      <c r="I49" s="156" t="str">
        <f t="shared" si="4"/>
        <v/>
      </c>
      <c r="J49" s="155">
        <f t="shared" si="5"/>
        <v>-2</v>
      </c>
      <c r="K49" s="155">
        <f t="shared" si="1"/>
        <v>-20</v>
      </c>
      <c r="L49" s="155"/>
      <c r="M49" s="157">
        <f t="shared" si="2"/>
        <v>0</v>
      </c>
    </row>
    <row r="50" spans="1:13">
      <c r="A50" s="51"/>
      <c r="B50" s="35" t="str">
        <f t="shared" si="6"/>
        <v/>
      </c>
      <c r="C50" s="36"/>
      <c r="D50" s="36"/>
      <c r="E50" s="36"/>
      <c r="F50" s="36"/>
      <c r="G50" s="138"/>
      <c r="H50" s="152">
        <v>45</v>
      </c>
      <c r="I50" s="153" t="str">
        <f t="shared" si="4"/>
        <v/>
      </c>
      <c r="J50" s="152">
        <f t="shared" si="5"/>
        <v>-2</v>
      </c>
      <c r="K50" s="152">
        <f t="shared" si="1"/>
        <v>-20</v>
      </c>
      <c r="L50" s="152"/>
      <c r="M50" s="154">
        <f t="shared" si="2"/>
        <v>0</v>
      </c>
    </row>
    <row r="51" spans="1:13">
      <c r="A51" s="50"/>
      <c r="B51" s="41" t="str">
        <f t="shared" si="6"/>
        <v/>
      </c>
      <c r="C51" s="42"/>
      <c r="D51" s="42"/>
      <c r="E51" s="42"/>
      <c r="F51" s="42"/>
      <c r="G51" s="138"/>
      <c r="H51" s="155">
        <v>46</v>
      </c>
      <c r="I51" s="156" t="str">
        <f t="shared" si="4"/>
        <v/>
      </c>
      <c r="J51" s="155">
        <f t="shared" si="5"/>
        <v>-2</v>
      </c>
      <c r="K51" s="155">
        <f t="shared" si="1"/>
        <v>-20</v>
      </c>
      <c r="L51" s="155"/>
      <c r="M51" s="157">
        <f t="shared" si="2"/>
        <v>0</v>
      </c>
    </row>
    <row r="52" spans="1:13">
      <c r="A52" s="51"/>
      <c r="B52" s="35" t="str">
        <f t="shared" si="6"/>
        <v/>
      </c>
      <c r="C52" s="36"/>
      <c r="D52" s="36"/>
      <c r="E52" s="36"/>
      <c r="F52" s="36"/>
      <c r="G52" s="138"/>
      <c r="H52" s="152">
        <v>47</v>
      </c>
      <c r="I52" s="153" t="str">
        <f t="shared" si="4"/>
        <v/>
      </c>
      <c r="J52" s="152">
        <f t="shared" si="5"/>
        <v>-2</v>
      </c>
      <c r="K52" s="152">
        <f t="shared" si="1"/>
        <v>-20</v>
      </c>
      <c r="L52" s="152"/>
      <c r="M52" s="154">
        <f t="shared" si="2"/>
        <v>0</v>
      </c>
    </row>
    <row r="53" spans="1:13">
      <c r="A53" s="50"/>
      <c r="B53" s="41" t="str">
        <f t="shared" si="6"/>
        <v/>
      </c>
      <c r="C53" s="42"/>
      <c r="D53" s="42"/>
      <c r="E53" s="42"/>
      <c r="F53" s="42"/>
      <c r="G53" s="138"/>
      <c r="H53" s="155">
        <v>48</v>
      </c>
      <c r="I53" s="156" t="str">
        <f t="shared" si="4"/>
        <v/>
      </c>
      <c r="J53" s="155">
        <f t="shared" si="5"/>
        <v>-2</v>
      </c>
      <c r="K53" s="155">
        <f t="shared" si="1"/>
        <v>-20</v>
      </c>
      <c r="L53" s="155"/>
      <c r="M53" s="157">
        <f t="shared" si="2"/>
        <v>0</v>
      </c>
    </row>
    <row r="54" spans="1:13">
      <c r="A54" s="51"/>
      <c r="B54" s="35" t="str">
        <f t="shared" si="6"/>
        <v/>
      </c>
      <c r="C54" s="36"/>
      <c r="D54" s="36"/>
      <c r="E54" s="36"/>
      <c r="F54" s="36"/>
      <c r="G54" s="138"/>
      <c r="H54" s="152">
        <v>49</v>
      </c>
      <c r="I54" s="153" t="str">
        <f t="shared" si="4"/>
        <v/>
      </c>
      <c r="J54" s="152">
        <f t="shared" si="5"/>
        <v>-2</v>
      </c>
      <c r="K54" s="152">
        <f t="shared" si="1"/>
        <v>-20</v>
      </c>
      <c r="L54" s="152"/>
      <c r="M54" s="154">
        <f t="shared" si="2"/>
        <v>0</v>
      </c>
    </row>
    <row r="55" spans="1:13">
      <c r="A55" s="50"/>
      <c r="B55" s="41" t="str">
        <f t="shared" si="6"/>
        <v/>
      </c>
      <c r="C55" s="42"/>
      <c r="D55" s="42"/>
      <c r="E55" s="42"/>
      <c r="F55" s="42"/>
      <c r="G55" s="138"/>
      <c r="H55" s="155">
        <v>50</v>
      </c>
      <c r="I55" s="156" t="str">
        <f t="shared" si="4"/>
        <v/>
      </c>
      <c r="J55" s="155">
        <f t="shared" si="5"/>
        <v>-2</v>
      </c>
      <c r="K55" s="155">
        <f t="shared" si="1"/>
        <v>-20</v>
      </c>
      <c r="L55" s="155"/>
      <c r="M55" s="157">
        <f t="shared" si="2"/>
        <v>0</v>
      </c>
    </row>
    <row r="56" spans="1:13">
      <c r="A56" s="51"/>
      <c r="B56" s="35" t="str">
        <f t="shared" si="6"/>
        <v/>
      </c>
      <c r="C56" s="36"/>
      <c r="D56" s="36"/>
      <c r="E56" s="36"/>
      <c r="F56" s="36"/>
      <c r="G56" s="138"/>
      <c r="H56" s="152">
        <v>51</v>
      </c>
      <c r="I56" s="153" t="str">
        <f t="shared" si="4"/>
        <v/>
      </c>
      <c r="J56" s="152">
        <f t="shared" si="5"/>
        <v>-2</v>
      </c>
      <c r="K56" s="152">
        <f t="shared" si="1"/>
        <v>-20</v>
      </c>
      <c r="L56" s="152"/>
      <c r="M56" s="154">
        <f t="shared" si="2"/>
        <v>0</v>
      </c>
    </row>
    <row r="57" spans="1:13">
      <c r="A57" s="50"/>
      <c r="B57" s="41" t="str">
        <f t="shared" si="6"/>
        <v/>
      </c>
      <c r="C57" s="42"/>
      <c r="D57" s="42"/>
      <c r="E57" s="42"/>
      <c r="F57" s="42"/>
      <c r="G57" s="138"/>
      <c r="H57" s="155">
        <v>52</v>
      </c>
      <c r="I57" s="156" t="str">
        <f t="shared" si="4"/>
        <v/>
      </c>
      <c r="J57" s="155">
        <f t="shared" si="5"/>
        <v>-2</v>
      </c>
      <c r="K57" s="155">
        <f t="shared" si="1"/>
        <v>-20</v>
      </c>
      <c r="L57" s="155"/>
      <c r="M57" s="157">
        <f t="shared" si="2"/>
        <v>0</v>
      </c>
    </row>
    <row r="58" spans="1:13">
      <c r="A58" s="51"/>
      <c r="B58" s="35" t="str">
        <f t="shared" si="6"/>
        <v/>
      </c>
      <c r="C58" s="36"/>
      <c r="D58" s="36"/>
      <c r="E58" s="36"/>
      <c r="F58" s="36"/>
      <c r="G58" s="138"/>
      <c r="H58" s="152">
        <v>53</v>
      </c>
      <c r="I58" s="153" t="str">
        <f t="shared" si="4"/>
        <v/>
      </c>
      <c r="J58" s="152">
        <f t="shared" si="5"/>
        <v>-2</v>
      </c>
      <c r="K58" s="152">
        <f t="shared" si="1"/>
        <v>-20</v>
      </c>
      <c r="L58" s="152"/>
      <c r="M58" s="154">
        <f t="shared" si="2"/>
        <v>0</v>
      </c>
    </row>
    <row r="59" spans="1:13">
      <c r="A59" s="50"/>
      <c r="B59" s="41" t="str">
        <f t="shared" si="6"/>
        <v/>
      </c>
      <c r="C59" s="42"/>
      <c r="D59" s="42"/>
      <c r="E59" s="42"/>
      <c r="F59" s="42"/>
      <c r="G59" s="138"/>
      <c r="H59" s="155">
        <v>54</v>
      </c>
      <c r="I59" s="156" t="str">
        <f t="shared" si="4"/>
        <v/>
      </c>
      <c r="J59" s="155">
        <f t="shared" si="5"/>
        <v>-2</v>
      </c>
      <c r="K59" s="155">
        <f t="shared" si="1"/>
        <v>-20</v>
      </c>
      <c r="L59" s="155"/>
      <c r="M59" s="157">
        <f t="shared" si="2"/>
        <v>0</v>
      </c>
    </row>
    <row r="60" spans="1:13">
      <c r="A60" s="51"/>
      <c r="B60" s="35" t="str">
        <f t="shared" si="6"/>
        <v/>
      </c>
      <c r="C60" s="36"/>
      <c r="D60" s="36"/>
      <c r="E60" s="36"/>
      <c r="F60" s="36"/>
      <c r="G60" s="138"/>
      <c r="H60" s="152">
        <v>55</v>
      </c>
      <c r="I60" s="153" t="str">
        <f t="shared" si="4"/>
        <v/>
      </c>
      <c r="J60" s="152">
        <f t="shared" si="5"/>
        <v>-2</v>
      </c>
      <c r="K60" s="152">
        <f t="shared" si="1"/>
        <v>-20</v>
      </c>
      <c r="L60" s="152"/>
      <c r="M60" s="154">
        <f t="shared" si="2"/>
        <v>0</v>
      </c>
    </row>
    <row r="61" spans="1:13">
      <c r="A61" s="50"/>
      <c r="B61" s="41" t="str">
        <f t="shared" si="6"/>
        <v/>
      </c>
      <c r="C61" s="42"/>
      <c r="D61" s="42"/>
      <c r="E61" s="42"/>
      <c r="F61" s="42"/>
      <c r="G61" s="138"/>
      <c r="H61" s="155">
        <v>56</v>
      </c>
      <c r="I61" s="156" t="str">
        <f t="shared" si="4"/>
        <v/>
      </c>
      <c r="J61" s="155">
        <f t="shared" si="5"/>
        <v>-2</v>
      </c>
      <c r="K61" s="155">
        <f t="shared" si="1"/>
        <v>-20</v>
      </c>
      <c r="L61" s="155"/>
      <c r="M61" s="157">
        <f t="shared" si="2"/>
        <v>0</v>
      </c>
    </row>
    <row r="62" spans="1:13">
      <c r="A62" s="51"/>
      <c r="B62" s="35" t="str">
        <f t="shared" si="6"/>
        <v/>
      </c>
      <c r="C62" s="36"/>
      <c r="D62" s="36"/>
      <c r="E62" s="36"/>
      <c r="F62" s="36"/>
      <c r="G62" s="138"/>
      <c r="H62" s="152">
        <v>57</v>
      </c>
      <c r="I62" s="153" t="str">
        <f t="shared" si="4"/>
        <v/>
      </c>
      <c r="J62" s="152">
        <f t="shared" si="5"/>
        <v>-2</v>
      </c>
      <c r="K62" s="152">
        <f t="shared" si="1"/>
        <v>-20</v>
      </c>
      <c r="L62" s="152"/>
      <c r="M62" s="154">
        <f t="shared" si="2"/>
        <v>0</v>
      </c>
    </row>
    <row r="63" spans="1:13">
      <c r="A63" s="50"/>
      <c r="B63" s="41" t="str">
        <f t="shared" si="6"/>
        <v/>
      </c>
      <c r="C63" s="42"/>
      <c r="D63" s="42"/>
      <c r="E63" s="42"/>
      <c r="F63" s="42"/>
      <c r="G63" s="138"/>
      <c r="H63" s="155">
        <v>58</v>
      </c>
      <c r="I63" s="156" t="str">
        <f t="shared" si="4"/>
        <v/>
      </c>
      <c r="J63" s="155">
        <f t="shared" si="5"/>
        <v>-2</v>
      </c>
      <c r="K63" s="155">
        <f t="shared" si="1"/>
        <v>-20</v>
      </c>
      <c r="L63" s="155"/>
      <c r="M63" s="157">
        <f t="shared" si="2"/>
        <v>0</v>
      </c>
    </row>
    <row r="64" spans="1:13">
      <c r="A64" s="51"/>
      <c r="B64" s="35" t="str">
        <f t="shared" si="6"/>
        <v/>
      </c>
      <c r="C64" s="36"/>
      <c r="D64" s="36"/>
      <c r="E64" s="36"/>
      <c r="F64" s="36"/>
      <c r="G64" s="138"/>
      <c r="H64" s="152">
        <v>59</v>
      </c>
      <c r="I64" s="153" t="str">
        <f t="shared" si="4"/>
        <v/>
      </c>
      <c r="J64" s="152">
        <f t="shared" si="5"/>
        <v>-2</v>
      </c>
      <c r="K64" s="152">
        <f t="shared" si="1"/>
        <v>-20</v>
      </c>
      <c r="L64" s="152"/>
      <c r="M64" s="154">
        <f t="shared" si="2"/>
        <v>0</v>
      </c>
    </row>
    <row r="65" spans="1:13">
      <c r="A65" s="50"/>
      <c r="B65" s="41" t="str">
        <f t="shared" si="6"/>
        <v/>
      </c>
      <c r="C65" s="42"/>
      <c r="D65" s="42"/>
      <c r="E65" s="42"/>
      <c r="F65" s="42"/>
      <c r="G65" s="138"/>
      <c r="H65" s="155">
        <v>60</v>
      </c>
      <c r="I65" s="156" t="str">
        <f t="shared" si="4"/>
        <v/>
      </c>
      <c r="J65" s="155">
        <f t="shared" si="5"/>
        <v>-2</v>
      </c>
      <c r="K65" s="155">
        <f t="shared" si="1"/>
        <v>-20</v>
      </c>
      <c r="L65" s="155"/>
      <c r="M65" s="157">
        <f t="shared" si="2"/>
        <v>0</v>
      </c>
    </row>
    <row r="66" spans="1:13">
      <c r="A66" s="168"/>
      <c r="B66" s="35"/>
      <c r="G66" s="138"/>
      <c r="H66" s="152">
        <v>61</v>
      </c>
      <c r="I66" s="153" t="str">
        <f t="shared" si="4"/>
        <v/>
      </c>
      <c r="J66" s="152">
        <f t="shared" si="5"/>
        <v>-2</v>
      </c>
      <c r="K66" s="152">
        <f t="shared" si="1"/>
        <v>-20</v>
      </c>
      <c r="L66" s="152"/>
      <c r="M66" s="154">
        <f t="shared" si="2"/>
        <v>0</v>
      </c>
    </row>
    <row r="67" spans="1:13">
      <c r="A67" s="168"/>
      <c r="B67" s="41"/>
      <c r="G67" s="138"/>
      <c r="H67" s="152">
        <v>62</v>
      </c>
      <c r="I67" s="153" t="str">
        <f t="shared" si="4"/>
        <v/>
      </c>
      <c r="J67" s="152">
        <f t="shared" si="5"/>
        <v>-2</v>
      </c>
      <c r="K67" s="152">
        <f t="shared" si="1"/>
        <v>-20</v>
      </c>
      <c r="L67" s="152"/>
      <c r="M67" s="154">
        <f t="shared" si="2"/>
        <v>0</v>
      </c>
    </row>
    <row r="68" spans="1:13">
      <c r="A68" s="168"/>
      <c r="B68" s="35"/>
      <c r="G68" s="138"/>
      <c r="H68" s="152">
        <v>63</v>
      </c>
      <c r="I68" s="153" t="str">
        <f t="shared" si="4"/>
        <v/>
      </c>
      <c r="J68" s="152">
        <f t="shared" si="5"/>
        <v>-2</v>
      </c>
      <c r="K68" s="152">
        <f t="shared" si="1"/>
        <v>-20</v>
      </c>
      <c r="L68" s="152"/>
      <c r="M68" s="154">
        <f t="shared" si="2"/>
        <v>0</v>
      </c>
    </row>
    <row r="69" spans="1:13">
      <c r="A69" s="168"/>
      <c r="B69" s="41"/>
      <c r="G69" s="138"/>
      <c r="H69" s="152">
        <v>64</v>
      </c>
      <c r="I69" s="153" t="str">
        <f t="shared" si="4"/>
        <v/>
      </c>
      <c r="J69" s="152">
        <f t="shared" si="5"/>
        <v>-2</v>
      </c>
      <c r="K69" s="152">
        <f t="shared" si="1"/>
        <v>-20</v>
      </c>
      <c r="L69" s="152"/>
      <c r="M69" s="154">
        <f t="shared" si="2"/>
        <v>0</v>
      </c>
    </row>
    <row r="70" spans="1:13">
      <c r="A70" s="168"/>
      <c r="G70" s="138"/>
      <c r="H70" s="152">
        <v>65</v>
      </c>
      <c r="I70" s="153" t="str">
        <f t="shared" si="4"/>
        <v/>
      </c>
      <c r="J70" s="152">
        <f t="shared" si="5"/>
        <v>-3</v>
      </c>
      <c r="K70" s="152">
        <f t="shared" ref="K70:K133" si="7">J70*$J$2</f>
        <v>-30</v>
      </c>
      <c r="L70" s="152"/>
      <c r="M70" s="154">
        <f t="shared" ref="M70:M133" si="8">IF(I70&lt;&gt;"",K70+I70+L70,0)</f>
        <v>0</v>
      </c>
    </row>
    <row r="71" spans="1:13">
      <c r="A71" s="168"/>
      <c r="G71" s="138"/>
      <c r="H71" s="152">
        <v>66</v>
      </c>
      <c r="I71" s="153" t="str">
        <f t="shared" ref="I71:I134" si="9">IF(H71&lt;$H$2+1,($I$2-($I$2-1)*(LOG(H71)/LOG($H$2))),"")</f>
        <v/>
      </c>
      <c r="J71" s="152">
        <f t="shared" ref="J71:J134" si="10">INT(LOG($H$2,2))-ROUNDUP(LOG(H71,2),0)+IF(OR($H$2=1,$H$2=2,$H$2=4,$H$2=8,$H$2=16,$H$2=32,$H$2=64,$H$2=128,$H$2=256),0,1)</f>
        <v>-3</v>
      </c>
      <c r="K71" s="152">
        <f t="shared" si="7"/>
        <v>-30</v>
      </c>
      <c r="L71" s="152"/>
      <c r="M71" s="154">
        <f t="shared" si="8"/>
        <v>0</v>
      </c>
    </row>
    <row r="72" spans="1:13">
      <c r="A72" s="168"/>
      <c r="G72" s="138"/>
      <c r="H72" s="152">
        <v>67</v>
      </c>
      <c r="I72" s="153" t="str">
        <f t="shared" si="9"/>
        <v/>
      </c>
      <c r="J72" s="152">
        <f t="shared" si="10"/>
        <v>-3</v>
      </c>
      <c r="K72" s="152">
        <f t="shared" si="7"/>
        <v>-30</v>
      </c>
      <c r="L72" s="152"/>
      <c r="M72" s="154">
        <f t="shared" si="8"/>
        <v>0</v>
      </c>
    </row>
    <row r="73" spans="1:13">
      <c r="A73" s="168"/>
      <c r="G73" s="138"/>
      <c r="H73" s="152">
        <v>68</v>
      </c>
      <c r="I73" s="153" t="str">
        <f t="shared" si="9"/>
        <v/>
      </c>
      <c r="J73" s="152">
        <f t="shared" si="10"/>
        <v>-3</v>
      </c>
      <c r="K73" s="152">
        <f t="shared" si="7"/>
        <v>-30</v>
      </c>
      <c r="L73" s="152"/>
      <c r="M73" s="154">
        <f t="shared" si="8"/>
        <v>0</v>
      </c>
    </row>
    <row r="74" spans="1:13">
      <c r="A74" s="168"/>
      <c r="G74" s="138"/>
      <c r="H74" s="152">
        <v>69</v>
      </c>
      <c r="I74" s="153" t="str">
        <f t="shared" si="9"/>
        <v/>
      </c>
      <c r="J74" s="152">
        <f t="shared" si="10"/>
        <v>-3</v>
      </c>
      <c r="K74" s="152">
        <f t="shared" si="7"/>
        <v>-30</v>
      </c>
      <c r="L74" s="152"/>
      <c r="M74" s="154">
        <f t="shared" si="8"/>
        <v>0</v>
      </c>
    </row>
    <row r="75" spans="1:13">
      <c r="A75" s="168"/>
      <c r="G75" s="138"/>
      <c r="H75" s="152">
        <v>70</v>
      </c>
      <c r="I75" s="153" t="str">
        <f t="shared" si="9"/>
        <v/>
      </c>
      <c r="J75" s="152">
        <f t="shared" si="10"/>
        <v>-3</v>
      </c>
      <c r="K75" s="152">
        <f t="shared" si="7"/>
        <v>-30</v>
      </c>
      <c r="L75" s="152"/>
      <c r="M75" s="154">
        <f t="shared" si="8"/>
        <v>0</v>
      </c>
    </row>
    <row r="76" spans="1:13">
      <c r="A76" s="168"/>
      <c r="G76" s="138"/>
      <c r="H76" s="152">
        <v>71</v>
      </c>
      <c r="I76" s="153" t="str">
        <f t="shared" si="9"/>
        <v/>
      </c>
      <c r="J76" s="152">
        <f t="shared" si="10"/>
        <v>-3</v>
      </c>
      <c r="K76" s="152">
        <f t="shared" si="7"/>
        <v>-30</v>
      </c>
      <c r="L76" s="152"/>
      <c r="M76" s="154">
        <f t="shared" si="8"/>
        <v>0</v>
      </c>
    </row>
    <row r="77" spans="1:13">
      <c r="A77" s="168"/>
      <c r="G77" s="138"/>
      <c r="H77" s="152">
        <v>72</v>
      </c>
      <c r="I77" s="153" t="str">
        <f t="shared" si="9"/>
        <v/>
      </c>
      <c r="J77" s="152">
        <f t="shared" si="10"/>
        <v>-3</v>
      </c>
      <c r="K77" s="152">
        <f t="shared" si="7"/>
        <v>-30</v>
      </c>
      <c r="L77" s="152"/>
      <c r="M77" s="154">
        <f t="shared" si="8"/>
        <v>0</v>
      </c>
    </row>
    <row r="78" spans="1:13">
      <c r="A78" s="168"/>
      <c r="G78" s="138"/>
      <c r="H78" s="152">
        <v>73</v>
      </c>
      <c r="I78" s="153" t="str">
        <f t="shared" si="9"/>
        <v/>
      </c>
      <c r="J78" s="152">
        <f t="shared" si="10"/>
        <v>-3</v>
      </c>
      <c r="K78" s="152">
        <f t="shared" si="7"/>
        <v>-30</v>
      </c>
      <c r="L78" s="152"/>
      <c r="M78" s="154">
        <f t="shared" si="8"/>
        <v>0</v>
      </c>
    </row>
    <row r="79" spans="1:13">
      <c r="A79" s="168"/>
      <c r="G79" s="138"/>
      <c r="H79" s="152">
        <v>74</v>
      </c>
      <c r="I79" s="153" t="str">
        <f t="shared" si="9"/>
        <v/>
      </c>
      <c r="J79" s="152">
        <f t="shared" si="10"/>
        <v>-3</v>
      </c>
      <c r="K79" s="152">
        <f t="shared" si="7"/>
        <v>-30</v>
      </c>
      <c r="L79" s="152"/>
      <c r="M79" s="154">
        <f t="shared" si="8"/>
        <v>0</v>
      </c>
    </row>
    <row r="80" spans="1:13">
      <c r="A80" s="168"/>
      <c r="G80" s="138"/>
      <c r="H80" s="152">
        <v>75</v>
      </c>
      <c r="I80" s="153" t="str">
        <f t="shared" si="9"/>
        <v/>
      </c>
      <c r="J80" s="152">
        <f t="shared" si="10"/>
        <v>-3</v>
      </c>
      <c r="K80" s="152">
        <f t="shared" si="7"/>
        <v>-30</v>
      </c>
      <c r="L80" s="152"/>
      <c r="M80" s="154">
        <f t="shared" si="8"/>
        <v>0</v>
      </c>
    </row>
    <row r="81" spans="1:13">
      <c r="A81" s="168"/>
      <c r="G81" s="138"/>
      <c r="H81" s="152">
        <v>76</v>
      </c>
      <c r="I81" s="153" t="str">
        <f t="shared" si="9"/>
        <v/>
      </c>
      <c r="J81" s="152">
        <f t="shared" si="10"/>
        <v>-3</v>
      </c>
      <c r="K81" s="152">
        <f t="shared" si="7"/>
        <v>-30</v>
      </c>
      <c r="L81" s="152"/>
      <c r="M81" s="154">
        <f t="shared" si="8"/>
        <v>0</v>
      </c>
    </row>
    <row r="82" spans="1:13">
      <c r="A82" s="168"/>
      <c r="G82" s="138"/>
      <c r="H82" s="152">
        <v>77</v>
      </c>
      <c r="I82" s="153" t="str">
        <f t="shared" si="9"/>
        <v/>
      </c>
      <c r="J82" s="152">
        <f t="shared" si="10"/>
        <v>-3</v>
      </c>
      <c r="K82" s="152">
        <f t="shared" si="7"/>
        <v>-30</v>
      </c>
      <c r="L82" s="152"/>
      <c r="M82" s="154">
        <f t="shared" si="8"/>
        <v>0</v>
      </c>
    </row>
    <row r="83" spans="1:13">
      <c r="A83" s="168"/>
      <c r="G83" s="138"/>
      <c r="H83" s="152">
        <v>78</v>
      </c>
      <c r="I83" s="153" t="str">
        <f t="shared" si="9"/>
        <v/>
      </c>
      <c r="J83" s="152">
        <f t="shared" si="10"/>
        <v>-3</v>
      </c>
      <c r="K83" s="152">
        <f t="shared" si="7"/>
        <v>-30</v>
      </c>
      <c r="L83" s="152"/>
      <c r="M83" s="154">
        <f t="shared" si="8"/>
        <v>0</v>
      </c>
    </row>
    <row r="84" spans="1:13">
      <c r="A84" s="168"/>
      <c r="G84" s="138"/>
      <c r="H84" s="152">
        <v>79</v>
      </c>
      <c r="I84" s="153" t="str">
        <f t="shared" si="9"/>
        <v/>
      </c>
      <c r="J84" s="152">
        <f t="shared" si="10"/>
        <v>-3</v>
      </c>
      <c r="K84" s="152">
        <f t="shared" si="7"/>
        <v>-30</v>
      </c>
      <c r="L84" s="152"/>
      <c r="M84" s="154">
        <f t="shared" si="8"/>
        <v>0</v>
      </c>
    </row>
    <row r="85" spans="1:13">
      <c r="A85" s="168"/>
      <c r="G85" s="138"/>
      <c r="H85" s="152">
        <v>80</v>
      </c>
      <c r="I85" s="153" t="str">
        <f t="shared" si="9"/>
        <v/>
      </c>
      <c r="J85" s="152">
        <f t="shared" si="10"/>
        <v>-3</v>
      </c>
      <c r="K85" s="152">
        <f t="shared" si="7"/>
        <v>-30</v>
      </c>
      <c r="L85" s="152"/>
      <c r="M85" s="154">
        <f t="shared" si="8"/>
        <v>0</v>
      </c>
    </row>
    <row r="86" spans="1:13">
      <c r="A86" s="168"/>
      <c r="G86" s="138"/>
      <c r="H86" s="152">
        <v>81</v>
      </c>
      <c r="I86" s="153" t="str">
        <f t="shared" si="9"/>
        <v/>
      </c>
      <c r="J86" s="152">
        <f t="shared" si="10"/>
        <v>-3</v>
      </c>
      <c r="K86" s="152">
        <f t="shared" si="7"/>
        <v>-30</v>
      </c>
      <c r="L86" s="152"/>
      <c r="M86" s="154">
        <f t="shared" si="8"/>
        <v>0</v>
      </c>
    </row>
    <row r="87" spans="1:13">
      <c r="A87" s="168"/>
      <c r="G87" s="138"/>
      <c r="H87" s="152">
        <v>82</v>
      </c>
      <c r="I87" s="153" t="str">
        <f t="shared" si="9"/>
        <v/>
      </c>
      <c r="J87" s="152">
        <f t="shared" si="10"/>
        <v>-3</v>
      </c>
      <c r="K87" s="152">
        <f t="shared" si="7"/>
        <v>-30</v>
      </c>
      <c r="L87" s="152"/>
      <c r="M87" s="154">
        <f t="shared" si="8"/>
        <v>0</v>
      </c>
    </row>
    <row r="88" spans="1:13">
      <c r="A88" s="168"/>
      <c r="G88" s="138"/>
      <c r="H88" s="152">
        <v>83</v>
      </c>
      <c r="I88" s="153" t="str">
        <f t="shared" si="9"/>
        <v/>
      </c>
      <c r="J88" s="152">
        <f t="shared" si="10"/>
        <v>-3</v>
      </c>
      <c r="K88" s="152">
        <f t="shared" si="7"/>
        <v>-30</v>
      </c>
      <c r="L88" s="152"/>
      <c r="M88" s="154">
        <f t="shared" si="8"/>
        <v>0</v>
      </c>
    </row>
    <row r="89" spans="1:13">
      <c r="A89" s="168"/>
      <c r="G89" s="138"/>
      <c r="H89" s="152">
        <v>84</v>
      </c>
      <c r="I89" s="153" t="str">
        <f t="shared" si="9"/>
        <v/>
      </c>
      <c r="J89" s="152">
        <f t="shared" si="10"/>
        <v>-3</v>
      </c>
      <c r="K89" s="152">
        <f t="shared" si="7"/>
        <v>-30</v>
      </c>
      <c r="L89" s="152"/>
      <c r="M89" s="154">
        <f t="shared" si="8"/>
        <v>0</v>
      </c>
    </row>
    <row r="90" spans="1:13">
      <c r="A90" s="168"/>
      <c r="G90" s="138"/>
      <c r="H90" s="152">
        <v>85</v>
      </c>
      <c r="I90" s="153" t="str">
        <f t="shared" si="9"/>
        <v/>
      </c>
      <c r="J90" s="152">
        <f t="shared" si="10"/>
        <v>-3</v>
      </c>
      <c r="K90" s="152">
        <f t="shared" si="7"/>
        <v>-30</v>
      </c>
      <c r="L90" s="152"/>
      <c r="M90" s="154">
        <f t="shared" si="8"/>
        <v>0</v>
      </c>
    </row>
    <row r="91" spans="1:13">
      <c r="A91" s="168"/>
      <c r="G91" s="138"/>
      <c r="H91" s="152">
        <v>86</v>
      </c>
      <c r="I91" s="153" t="str">
        <f t="shared" si="9"/>
        <v/>
      </c>
      <c r="J91" s="152">
        <f t="shared" si="10"/>
        <v>-3</v>
      </c>
      <c r="K91" s="152">
        <f t="shared" si="7"/>
        <v>-30</v>
      </c>
      <c r="L91" s="152"/>
      <c r="M91" s="154">
        <f t="shared" si="8"/>
        <v>0</v>
      </c>
    </row>
    <row r="92" spans="1:13">
      <c r="A92" s="168"/>
      <c r="G92" s="138"/>
      <c r="H92" s="152">
        <v>87</v>
      </c>
      <c r="I92" s="153" t="str">
        <f t="shared" si="9"/>
        <v/>
      </c>
      <c r="J92" s="152">
        <f t="shared" si="10"/>
        <v>-3</v>
      </c>
      <c r="K92" s="152">
        <f t="shared" si="7"/>
        <v>-30</v>
      </c>
      <c r="L92" s="152"/>
      <c r="M92" s="154">
        <f t="shared" si="8"/>
        <v>0</v>
      </c>
    </row>
    <row r="93" spans="1:13">
      <c r="A93" s="168"/>
      <c r="G93" s="138"/>
      <c r="H93" s="152">
        <v>88</v>
      </c>
      <c r="I93" s="153" t="str">
        <f t="shared" si="9"/>
        <v/>
      </c>
      <c r="J93" s="152">
        <f t="shared" si="10"/>
        <v>-3</v>
      </c>
      <c r="K93" s="152">
        <f t="shared" si="7"/>
        <v>-30</v>
      </c>
      <c r="L93" s="152"/>
      <c r="M93" s="154">
        <f t="shared" si="8"/>
        <v>0</v>
      </c>
    </row>
    <row r="94" spans="1:13">
      <c r="A94" s="168"/>
      <c r="G94" s="138"/>
      <c r="H94" s="152">
        <v>89</v>
      </c>
      <c r="I94" s="153" t="str">
        <f t="shared" si="9"/>
        <v/>
      </c>
      <c r="J94" s="152">
        <f t="shared" si="10"/>
        <v>-3</v>
      </c>
      <c r="K94" s="152">
        <f t="shared" si="7"/>
        <v>-30</v>
      </c>
      <c r="L94" s="152"/>
      <c r="M94" s="154">
        <f t="shared" si="8"/>
        <v>0</v>
      </c>
    </row>
    <row r="95" spans="1:13">
      <c r="A95" s="168"/>
      <c r="G95" s="138"/>
      <c r="H95" s="152">
        <v>90</v>
      </c>
      <c r="I95" s="153" t="str">
        <f t="shared" si="9"/>
        <v/>
      </c>
      <c r="J95" s="152">
        <f t="shared" si="10"/>
        <v>-3</v>
      </c>
      <c r="K95" s="152">
        <f t="shared" si="7"/>
        <v>-30</v>
      </c>
      <c r="L95" s="152"/>
      <c r="M95" s="154">
        <f t="shared" si="8"/>
        <v>0</v>
      </c>
    </row>
    <row r="96" spans="1:13">
      <c r="A96" s="168"/>
      <c r="G96" s="138"/>
      <c r="H96" s="152">
        <v>91</v>
      </c>
      <c r="I96" s="153" t="str">
        <f t="shared" si="9"/>
        <v/>
      </c>
      <c r="J96" s="152">
        <f t="shared" si="10"/>
        <v>-3</v>
      </c>
      <c r="K96" s="152">
        <f t="shared" si="7"/>
        <v>-30</v>
      </c>
      <c r="L96" s="152"/>
      <c r="M96" s="154">
        <f t="shared" si="8"/>
        <v>0</v>
      </c>
    </row>
    <row r="97" spans="1:13">
      <c r="A97" s="168"/>
      <c r="G97" s="138"/>
      <c r="H97" s="152">
        <v>92</v>
      </c>
      <c r="I97" s="153" t="str">
        <f t="shared" si="9"/>
        <v/>
      </c>
      <c r="J97" s="152">
        <f t="shared" si="10"/>
        <v>-3</v>
      </c>
      <c r="K97" s="152">
        <f t="shared" si="7"/>
        <v>-30</v>
      </c>
      <c r="L97" s="152"/>
      <c r="M97" s="154">
        <f t="shared" si="8"/>
        <v>0</v>
      </c>
    </row>
    <row r="98" spans="1:13">
      <c r="A98" s="168"/>
      <c r="G98" s="138"/>
      <c r="H98" s="152">
        <v>93</v>
      </c>
      <c r="I98" s="153" t="str">
        <f t="shared" si="9"/>
        <v/>
      </c>
      <c r="J98" s="152">
        <f t="shared" si="10"/>
        <v>-3</v>
      </c>
      <c r="K98" s="152">
        <f t="shared" si="7"/>
        <v>-30</v>
      </c>
      <c r="L98" s="152"/>
      <c r="M98" s="154">
        <f t="shared" si="8"/>
        <v>0</v>
      </c>
    </row>
    <row r="99" spans="1:13">
      <c r="A99" s="168"/>
      <c r="G99" s="138"/>
      <c r="H99" s="152">
        <v>94</v>
      </c>
      <c r="I99" s="153" t="str">
        <f t="shared" si="9"/>
        <v/>
      </c>
      <c r="J99" s="152">
        <f t="shared" si="10"/>
        <v>-3</v>
      </c>
      <c r="K99" s="152">
        <f t="shared" si="7"/>
        <v>-30</v>
      </c>
      <c r="L99" s="152"/>
      <c r="M99" s="154">
        <f t="shared" si="8"/>
        <v>0</v>
      </c>
    </row>
    <row r="100" spans="1:13">
      <c r="A100" s="168"/>
      <c r="G100" s="138"/>
      <c r="H100" s="152">
        <v>95</v>
      </c>
      <c r="I100" s="153" t="str">
        <f t="shared" si="9"/>
        <v/>
      </c>
      <c r="J100" s="152">
        <f t="shared" si="10"/>
        <v>-3</v>
      </c>
      <c r="K100" s="152">
        <f t="shared" si="7"/>
        <v>-30</v>
      </c>
      <c r="L100" s="152"/>
      <c r="M100" s="154">
        <f t="shared" si="8"/>
        <v>0</v>
      </c>
    </row>
    <row r="101" spans="1:13">
      <c r="A101" s="168"/>
      <c r="G101" s="138"/>
      <c r="H101" s="152">
        <v>96</v>
      </c>
      <c r="I101" s="153" t="str">
        <f t="shared" si="9"/>
        <v/>
      </c>
      <c r="J101" s="152">
        <f t="shared" si="10"/>
        <v>-3</v>
      </c>
      <c r="K101" s="152">
        <f t="shared" si="7"/>
        <v>-30</v>
      </c>
      <c r="L101" s="152"/>
      <c r="M101" s="154">
        <f t="shared" si="8"/>
        <v>0</v>
      </c>
    </row>
    <row r="102" spans="1:13">
      <c r="A102" s="168"/>
      <c r="G102" s="138"/>
      <c r="H102" s="152">
        <v>97</v>
      </c>
      <c r="I102" s="153" t="str">
        <f t="shared" si="9"/>
        <v/>
      </c>
      <c r="J102" s="152">
        <f t="shared" si="10"/>
        <v>-3</v>
      </c>
      <c r="K102" s="152">
        <f t="shared" si="7"/>
        <v>-30</v>
      </c>
      <c r="L102" s="152"/>
      <c r="M102" s="154">
        <f t="shared" si="8"/>
        <v>0</v>
      </c>
    </row>
    <row r="103" spans="1:13">
      <c r="A103" s="168"/>
      <c r="G103" s="138"/>
      <c r="H103" s="152">
        <v>98</v>
      </c>
      <c r="I103" s="153" t="str">
        <f t="shared" si="9"/>
        <v/>
      </c>
      <c r="J103" s="152">
        <f t="shared" si="10"/>
        <v>-3</v>
      </c>
      <c r="K103" s="152">
        <f t="shared" si="7"/>
        <v>-30</v>
      </c>
      <c r="L103" s="152"/>
      <c r="M103" s="154">
        <f t="shared" si="8"/>
        <v>0</v>
      </c>
    </row>
    <row r="104" spans="1:13">
      <c r="A104" s="168"/>
      <c r="G104" s="138"/>
      <c r="H104" s="152">
        <v>99</v>
      </c>
      <c r="I104" s="153" t="str">
        <f t="shared" si="9"/>
        <v/>
      </c>
      <c r="J104" s="152">
        <f t="shared" si="10"/>
        <v>-3</v>
      </c>
      <c r="K104" s="152">
        <f t="shared" si="7"/>
        <v>-30</v>
      </c>
      <c r="L104" s="152"/>
      <c r="M104" s="154">
        <f t="shared" si="8"/>
        <v>0</v>
      </c>
    </row>
    <row r="105" spans="1:13">
      <c r="A105" s="168"/>
      <c r="G105" s="138"/>
      <c r="H105" s="152">
        <v>100</v>
      </c>
      <c r="I105" s="153" t="str">
        <f t="shared" si="9"/>
        <v/>
      </c>
      <c r="J105" s="152">
        <f t="shared" si="10"/>
        <v>-3</v>
      </c>
      <c r="K105" s="152">
        <f t="shared" si="7"/>
        <v>-30</v>
      </c>
      <c r="L105" s="152"/>
      <c r="M105" s="154">
        <f t="shared" si="8"/>
        <v>0</v>
      </c>
    </row>
    <row r="106" spans="1:13">
      <c r="A106" s="168"/>
      <c r="G106" s="138"/>
      <c r="H106" s="152">
        <v>101</v>
      </c>
      <c r="I106" s="153" t="str">
        <f t="shared" si="9"/>
        <v/>
      </c>
      <c r="J106" s="152">
        <f t="shared" si="10"/>
        <v>-3</v>
      </c>
      <c r="K106" s="152">
        <f t="shared" si="7"/>
        <v>-30</v>
      </c>
      <c r="L106" s="152"/>
      <c r="M106" s="154">
        <f t="shared" si="8"/>
        <v>0</v>
      </c>
    </row>
    <row r="107" spans="1:13">
      <c r="A107" s="168"/>
      <c r="G107" s="138"/>
      <c r="H107" s="152">
        <v>102</v>
      </c>
      <c r="I107" s="153" t="str">
        <f t="shared" si="9"/>
        <v/>
      </c>
      <c r="J107" s="152">
        <f t="shared" si="10"/>
        <v>-3</v>
      </c>
      <c r="K107" s="152">
        <f t="shared" si="7"/>
        <v>-30</v>
      </c>
      <c r="L107" s="152"/>
      <c r="M107" s="154">
        <f t="shared" si="8"/>
        <v>0</v>
      </c>
    </row>
    <row r="108" spans="1:13">
      <c r="A108" s="168"/>
      <c r="G108" s="138"/>
      <c r="H108" s="152">
        <v>103</v>
      </c>
      <c r="I108" s="153" t="str">
        <f t="shared" si="9"/>
        <v/>
      </c>
      <c r="J108" s="152">
        <f t="shared" si="10"/>
        <v>-3</v>
      </c>
      <c r="K108" s="152">
        <f t="shared" si="7"/>
        <v>-30</v>
      </c>
      <c r="L108" s="152"/>
      <c r="M108" s="154">
        <f t="shared" si="8"/>
        <v>0</v>
      </c>
    </row>
    <row r="109" spans="1:13">
      <c r="A109" s="168"/>
      <c r="G109" s="138"/>
      <c r="H109" s="152">
        <v>104</v>
      </c>
      <c r="I109" s="153" t="str">
        <f t="shared" si="9"/>
        <v/>
      </c>
      <c r="J109" s="152">
        <f t="shared" si="10"/>
        <v>-3</v>
      </c>
      <c r="K109" s="152">
        <f t="shared" si="7"/>
        <v>-30</v>
      </c>
      <c r="L109" s="152"/>
      <c r="M109" s="154">
        <f t="shared" si="8"/>
        <v>0</v>
      </c>
    </row>
    <row r="110" spans="1:13">
      <c r="A110" s="168"/>
      <c r="G110" s="138"/>
      <c r="H110" s="152">
        <v>105</v>
      </c>
      <c r="I110" s="153" t="str">
        <f t="shared" si="9"/>
        <v/>
      </c>
      <c r="J110" s="152">
        <f t="shared" si="10"/>
        <v>-3</v>
      </c>
      <c r="K110" s="152">
        <f t="shared" si="7"/>
        <v>-30</v>
      </c>
      <c r="L110" s="152"/>
      <c r="M110" s="154">
        <f t="shared" si="8"/>
        <v>0</v>
      </c>
    </row>
    <row r="111" spans="1:13">
      <c r="A111" s="168"/>
      <c r="G111" s="138"/>
      <c r="H111" s="152">
        <v>106</v>
      </c>
      <c r="I111" s="153" t="str">
        <f t="shared" si="9"/>
        <v/>
      </c>
      <c r="J111" s="152">
        <f t="shared" si="10"/>
        <v>-3</v>
      </c>
      <c r="K111" s="152">
        <f t="shared" si="7"/>
        <v>-30</v>
      </c>
      <c r="L111" s="152"/>
      <c r="M111" s="154">
        <f t="shared" si="8"/>
        <v>0</v>
      </c>
    </row>
    <row r="112" spans="1:13">
      <c r="A112" s="168"/>
      <c r="G112" s="138"/>
      <c r="H112" s="152">
        <v>107</v>
      </c>
      <c r="I112" s="153" t="str">
        <f t="shared" si="9"/>
        <v/>
      </c>
      <c r="J112" s="152">
        <f t="shared" si="10"/>
        <v>-3</v>
      </c>
      <c r="K112" s="152">
        <f t="shared" si="7"/>
        <v>-30</v>
      </c>
      <c r="L112" s="152"/>
      <c r="M112" s="154">
        <f t="shared" si="8"/>
        <v>0</v>
      </c>
    </row>
    <row r="113" spans="1:13">
      <c r="A113" s="168"/>
      <c r="G113" s="138"/>
      <c r="H113" s="152">
        <v>108</v>
      </c>
      <c r="I113" s="153" t="str">
        <f t="shared" si="9"/>
        <v/>
      </c>
      <c r="J113" s="152">
        <f t="shared" si="10"/>
        <v>-3</v>
      </c>
      <c r="K113" s="152">
        <f t="shared" si="7"/>
        <v>-30</v>
      </c>
      <c r="L113" s="152"/>
      <c r="M113" s="154">
        <f t="shared" si="8"/>
        <v>0</v>
      </c>
    </row>
    <row r="114" spans="1:13">
      <c r="A114" s="168"/>
      <c r="G114" s="138"/>
      <c r="H114" s="152">
        <v>109</v>
      </c>
      <c r="I114" s="153" t="str">
        <f t="shared" si="9"/>
        <v/>
      </c>
      <c r="J114" s="152">
        <f t="shared" si="10"/>
        <v>-3</v>
      </c>
      <c r="K114" s="152">
        <f t="shared" si="7"/>
        <v>-30</v>
      </c>
      <c r="L114" s="152"/>
      <c r="M114" s="154">
        <f t="shared" si="8"/>
        <v>0</v>
      </c>
    </row>
    <row r="115" spans="1:13">
      <c r="A115" s="168"/>
      <c r="G115" s="138"/>
      <c r="H115" s="152">
        <v>110</v>
      </c>
      <c r="I115" s="153" t="str">
        <f t="shared" si="9"/>
        <v/>
      </c>
      <c r="J115" s="152">
        <f t="shared" si="10"/>
        <v>-3</v>
      </c>
      <c r="K115" s="152">
        <f t="shared" si="7"/>
        <v>-30</v>
      </c>
      <c r="L115" s="152"/>
      <c r="M115" s="154">
        <f t="shared" si="8"/>
        <v>0</v>
      </c>
    </row>
    <row r="116" spans="1:13">
      <c r="A116" s="168"/>
      <c r="G116" s="138"/>
      <c r="H116" s="152">
        <v>111</v>
      </c>
      <c r="I116" s="153" t="str">
        <f t="shared" si="9"/>
        <v/>
      </c>
      <c r="J116" s="152">
        <f t="shared" si="10"/>
        <v>-3</v>
      </c>
      <c r="K116" s="152">
        <f t="shared" si="7"/>
        <v>-30</v>
      </c>
      <c r="L116" s="152"/>
      <c r="M116" s="154">
        <f t="shared" si="8"/>
        <v>0</v>
      </c>
    </row>
    <row r="117" spans="1:13">
      <c r="A117" s="168"/>
      <c r="G117" s="138"/>
      <c r="H117" s="152">
        <v>112</v>
      </c>
      <c r="I117" s="153" t="str">
        <f t="shared" si="9"/>
        <v/>
      </c>
      <c r="J117" s="152">
        <f t="shared" si="10"/>
        <v>-3</v>
      </c>
      <c r="K117" s="152">
        <f t="shared" si="7"/>
        <v>-30</v>
      </c>
      <c r="L117" s="152"/>
      <c r="M117" s="154">
        <f t="shared" si="8"/>
        <v>0</v>
      </c>
    </row>
    <row r="118" spans="1:13">
      <c r="A118" s="168"/>
      <c r="G118" s="138"/>
      <c r="H118" s="152">
        <v>113</v>
      </c>
      <c r="I118" s="153" t="str">
        <f t="shared" si="9"/>
        <v/>
      </c>
      <c r="J118" s="152">
        <f t="shared" si="10"/>
        <v>-3</v>
      </c>
      <c r="K118" s="152">
        <f t="shared" si="7"/>
        <v>-30</v>
      </c>
      <c r="L118" s="152"/>
      <c r="M118" s="154">
        <f t="shared" si="8"/>
        <v>0</v>
      </c>
    </row>
    <row r="119" spans="1:13">
      <c r="A119" s="168"/>
      <c r="G119" s="138"/>
      <c r="H119" s="152">
        <v>114</v>
      </c>
      <c r="I119" s="153" t="str">
        <f t="shared" si="9"/>
        <v/>
      </c>
      <c r="J119" s="152">
        <f t="shared" si="10"/>
        <v>-3</v>
      </c>
      <c r="K119" s="152">
        <f t="shared" si="7"/>
        <v>-30</v>
      </c>
      <c r="L119" s="152"/>
      <c r="M119" s="154">
        <f t="shared" si="8"/>
        <v>0</v>
      </c>
    </row>
    <row r="120" spans="1:13">
      <c r="A120" s="168"/>
      <c r="G120" s="138"/>
      <c r="H120" s="152">
        <v>115</v>
      </c>
      <c r="I120" s="153" t="str">
        <f t="shared" si="9"/>
        <v/>
      </c>
      <c r="J120" s="152">
        <f t="shared" si="10"/>
        <v>-3</v>
      </c>
      <c r="K120" s="152">
        <f t="shared" si="7"/>
        <v>-30</v>
      </c>
      <c r="L120" s="152"/>
      <c r="M120" s="154">
        <f t="shared" si="8"/>
        <v>0</v>
      </c>
    </row>
    <row r="121" spans="1:13">
      <c r="A121" s="168"/>
      <c r="G121" s="138"/>
      <c r="H121" s="152">
        <v>116</v>
      </c>
      <c r="I121" s="153" t="str">
        <f t="shared" si="9"/>
        <v/>
      </c>
      <c r="J121" s="152">
        <f t="shared" si="10"/>
        <v>-3</v>
      </c>
      <c r="K121" s="152">
        <f t="shared" si="7"/>
        <v>-30</v>
      </c>
      <c r="L121" s="152"/>
      <c r="M121" s="154">
        <f t="shared" si="8"/>
        <v>0</v>
      </c>
    </row>
    <row r="122" spans="1:13">
      <c r="A122" s="168"/>
      <c r="G122" s="138"/>
      <c r="H122" s="152">
        <v>117</v>
      </c>
      <c r="I122" s="153" t="str">
        <f t="shared" si="9"/>
        <v/>
      </c>
      <c r="J122" s="152">
        <f t="shared" si="10"/>
        <v>-3</v>
      </c>
      <c r="K122" s="152">
        <f t="shared" si="7"/>
        <v>-30</v>
      </c>
      <c r="L122" s="152"/>
      <c r="M122" s="154">
        <f t="shared" si="8"/>
        <v>0</v>
      </c>
    </row>
    <row r="123" spans="1:13">
      <c r="A123" s="168"/>
      <c r="G123" s="138"/>
      <c r="H123" s="152">
        <v>118</v>
      </c>
      <c r="I123" s="153" t="str">
        <f t="shared" si="9"/>
        <v/>
      </c>
      <c r="J123" s="152">
        <f t="shared" si="10"/>
        <v>-3</v>
      </c>
      <c r="K123" s="152">
        <f t="shared" si="7"/>
        <v>-30</v>
      </c>
      <c r="L123" s="152"/>
      <c r="M123" s="154">
        <f t="shared" si="8"/>
        <v>0</v>
      </c>
    </row>
    <row r="124" spans="1:13">
      <c r="A124" s="168"/>
      <c r="G124" s="138"/>
      <c r="H124" s="152">
        <v>119</v>
      </c>
      <c r="I124" s="153" t="str">
        <f t="shared" si="9"/>
        <v/>
      </c>
      <c r="J124" s="152">
        <f t="shared" si="10"/>
        <v>-3</v>
      </c>
      <c r="K124" s="152">
        <f t="shared" si="7"/>
        <v>-30</v>
      </c>
      <c r="L124" s="152"/>
      <c r="M124" s="154">
        <f t="shared" si="8"/>
        <v>0</v>
      </c>
    </row>
    <row r="125" spans="1:13">
      <c r="A125" s="168"/>
      <c r="G125" s="138"/>
      <c r="H125" s="152">
        <v>120</v>
      </c>
      <c r="I125" s="153" t="str">
        <f t="shared" si="9"/>
        <v/>
      </c>
      <c r="J125" s="152">
        <f t="shared" si="10"/>
        <v>-3</v>
      </c>
      <c r="K125" s="152">
        <f t="shared" si="7"/>
        <v>-30</v>
      </c>
      <c r="L125" s="152"/>
      <c r="M125" s="154">
        <f t="shared" si="8"/>
        <v>0</v>
      </c>
    </row>
    <row r="126" spans="1:13">
      <c r="A126" s="168"/>
      <c r="G126" s="138"/>
      <c r="H126" s="152">
        <v>121</v>
      </c>
      <c r="I126" s="153" t="str">
        <f t="shared" si="9"/>
        <v/>
      </c>
      <c r="J126" s="152">
        <f t="shared" si="10"/>
        <v>-3</v>
      </c>
      <c r="K126" s="152">
        <f t="shared" si="7"/>
        <v>-30</v>
      </c>
      <c r="L126" s="152"/>
      <c r="M126" s="154">
        <f t="shared" si="8"/>
        <v>0</v>
      </c>
    </row>
    <row r="127" spans="1:13">
      <c r="A127" s="168"/>
      <c r="G127" s="138"/>
      <c r="H127" s="152">
        <v>122</v>
      </c>
      <c r="I127" s="153" t="str">
        <f t="shared" si="9"/>
        <v/>
      </c>
      <c r="J127" s="152">
        <f t="shared" si="10"/>
        <v>-3</v>
      </c>
      <c r="K127" s="152">
        <f t="shared" si="7"/>
        <v>-30</v>
      </c>
      <c r="L127" s="152"/>
      <c r="M127" s="154">
        <f t="shared" si="8"/>
        <v>0</v>
      </c>
    </row>
    <row r="128" spans="1:13">
      <c r="A128" s="168"/>
      <c r="G128" s="138"/>
      <c r="H128" s="152">
        <v>123</v>
      </c>
      <c r="I128" s="153" t="str">
        <f t="shared" si="9"/>
        <v/>
      </c>
      <c r="J128" s="152">
        <f t="shared" si="10"/>
        <v>-3</v>
      </c>
      <c r="K128" s="152">
        <f t="shared" si="7"/>
        <v>-30</v>
      </c>
      <c r="L128" s="152"/>
      <c r="M128" s="154">
        <f t="shared" si="8"/>
        <v>0</v>
      </c>
    </row>
    <row r="129" spans="1:13">
      <c r="A129" s="168"/>
      <c r="G129" s="138"/>
      <c r="H129" s="152">
        <v>124</v>
      </c>
      <c r="I129" s="153" t="str">
        <f t="shared" si="9"/>
        <v/>
      </c>
      <c r="J129" s="152">
        <f t="shared" si="10"/>
        <v>-3</v>
      </c>
      <c r="K129" s="152">
        <f t="shared" si="7"/>
        <v>-30</v>
      </c>
      <c r="L129" s="152"/>
      <c r="M129" s="154">
        <f t="shared" si="8"/>
        <v>0</v>
      </c>
    </row>
    <row r="130" spans="1:13">
      <c r="A130" s="168"/>
      <c r="G130" s="138"/>
      <c r="H130" s="152">
        <v>125</v>
      </c>
      <c r="I130" s="153" t="str">
        <f t="shared" si="9"/>
        <v/>
      </c>
      <c r="J130" s="152">
        <f t="shared" si="10"/>
        <v>-3</v>
      </c>
      <c r="K130" s="152">
        <f t="shared" si="7"/>
        <v>-30</v>
      </c>
      <c r="L130" s="152"/>
      <c r="M130" s="154">
        <f t="shared" si="8"/>
        <v>0</v>
      </c>
    </row>
    <row r="131" spans="1:13">
      <c r="A131" s="168"/>
      <c r="G131" s="138"/>
      <c r="H131" s="152">
        <v>126</v>
      </c>
      <c r="I131" s="153" t="str">
        <f t="shared" si="9"/>
        <v/>
      </c>
      <c r="J131" s="152">
        <f t="shared" si="10"/>
        <v>-3</v>
      </c>
      <c r="K131" s="152">
        <f t="shared" si="7"/>
        <v>-30</v>
      </c>
      <c r="L131" s="152"/>
      <c r="M131" s="154">
        <f t="shared" si="8"/>
        <v>0</v>
      </c>
    </row>
    <row r="132" spans="1:13">
      <c r="A132" s="168"/>
      <c r="G132" s="138"/>
      <c r="H132" s="152">
        <v>127</v>
      </c>
      <c r="I132" s="153" t="str">
        <f t="shared" si="9"/>
        <v/>
      </c>
      <c r="J132" s="152">
        <f t="shared" si="10"/>
        <v>-3</v>
      </c>
      <c r="K132" s="152">
        <f t="shared" si="7"/>
        <v>-30</v>
      </c>
      <c r="L132" s="152"/>
      <c r="M132" s="154">
        <f t="shared" si="8"/>
        <v>0</v>
      </c>
    </row>
    <row r="133" spans="1:13">
      <c r="A133" s="168"/>
      <c r="G133" s="138"/>
      <c r="H133" s="152">
        <v>128</v>
      </c>
      <c r="I133" s="153" t="str">
        <f t="shared" si="9"/>
        <v/>
      </c>
      <c r="J133" s="152">
        <f t="shared" si="10"/>
        <v>-3</v>
      </c>
      <c r="K133" s="152">
        <f t="shared" si="7"/>
        <v>-30</v>
      </c>
      <c r="L133" s="152"/>
      <c r="M133" s="154">
        <f t="shared" si="8"/>
        <v>0</v>
      </c>
    </row>
    <row r="134" spans="1:13">
      <c r="A134" s="168"/>
      <c r="G134" s="138"/>
      <c r="H134" s="152">
        <v>129</v>
      </c>
      <c r="I134" s="153" t="str">
        <f t="shared" si="9"/>
        <v/>
      </c>
      <c r="J134" s="152">
        <f t="shared" si="10"/>
        <v>-4</v>
      </c>
      <c r="K134" s="152">
        <f t="shared" ref="K134:K197" si="11">J134*$J$2</f>
        <v>-40</v>
      </c>
      <c r="L134" s="152"/>
      <c r="M134" s="154">
        <f t="shared" ref="M134:M197" si="12">IF(I134&lt;&gt;"",K134+I134+L134,0)</f>
        <v>0</v>
      </c>
    </row>
    <row r="135" spans="1:13">
      <c r="A135" s="168"/>
      <c r="G135" s="138"/>
      <c r="H135" s="152">
        <v>130</v>
      </c>
      <c r="I135" s="153" t="str">
        <f t="shared" ref="I135:I198" si="13">IF(H135&lt;$H$2+1,($I$2-($I$2-1)*(LOG(H135)/LOG($H$2))),"")</f>
        <v/>
      </c>
      <c r="J135" s="152">
        <f t="shared" ref="J135:J198" si="14">INT(LOG($H$2,2))-ROUNDUP(LOG(H135,2),0)+IF(OR($H$2=1,$H$2=2,$H$2=4,$H$2=8,$H$2=16,$H$2=32,$H$2=64,$H$2=128,$H$2=256),0,1)</f>
        <v>-4</v>
      </c>
      <c r="K135" s="152">
        <f t="shared" si="11"/>
        <v>-40</v>
      </c>
      <c r="L135" s="152"/>
      <c r="M135" s="154">
        <f t="shared" si="12"/>
        <v>0</v>
      </c>
    </row>
    <row r="136" spans="1:13">
      <c r="A136" s="168"/>
      <c r="G136" s="138"/>
      <c r="H136" s="152">
        <v>131</v>
      </c>
      <c r="I136" s="153" t="str">
        <f t="shared" si="13"/>
        <v/>
      </c>
      <c r="J136" s="152">
        <f t="shared" si="14"/>
        <v>-4</v>
      </c>
      <c r="K136" s="152">
        <f t="shared" si="11"/>
        <v>-40</v>
      </c>
      <c r="L136" s="152"/>
      <c r="M136" s="154">
        <f t="shared" si="12"/>
        <v>0</v>
      </c>
    </row>
    <row r="137" spans="1:13">
      <c r="A137" s="168"/>
      <c r="G137" s="138"/>
      <c r="H137" s="152">
        <v>132</v>
      </c>
      <c r="I137" s="153" t="str">
        <f t="shared" si="13"/>
        <v/>
      </c>
      <c r="J137" s="152">
        <f t="shared" si="14"/>
        <v>-4</v>
      </c>
      <c r="K137" s="152">
        <f t="shared" si="11"/>
        <v>-40</v>
      </c>
      <c r="L137" s="152"/>
      <c r="M137" s="154">
        <f t="shared" si="12"/>
        <v>0</v>
      </c>
    </row>
    <row r="138" spans="1:13">
      <c r="A138" s="168"/>
      <c r="G138" s="138"/>
      <c r="H138" s="152">
        <v>133</v>
      </c>
      <c r="I138" s="153" t="str">
        <f t="shared" si="13"/>
        <v/>
      </c>
      <c r="J138" s="152">
        <f t="shared" si="14"/>
        <v>-4</v>
      </c>
      <c r="K138" s="152">
        <f t="shared" si="11"/>
        <v>-40</v>
      </c>
      <c r="L138" s="152"/>
      <c r="M138" s="154">
        <f t="shared" si="12"/>
        <v>0</v>
      </c>
    </row>
    <row r="139" spans="1:13">
      <c r="A139" s="168"/>
      <c r="G139" s="138"/>
      <c r="H139" s="152">
        <v>134</v>
      </c>
      <c r="I139" s="153" t="str">
        <f t="shared" si="13"/>
        <v/>
      </c>
      <c r="J139" s="152">
        <f t="shared" si="14"/>
        <v>-4</v>
      </c>
      <c r="K139" s="152">
        <f t="shared" si="11"/>
        <v>-40</v>
      </c>
      <c r="L139" s="152"/>
      <c r="M139" s="154">
        <f t="shared" si="12"/>
        <v>0</v>
      </c>
    </row>
    <row r="140" spans="1:13">
      <c r="A140" s="168"/>
      <c r="G140" s="138"/>
      <c r="H140" s="152">
        <v>135</v>
      </c>
      <c r="I140" s="153" t="str">
        <f t="shared" si="13"/>
        <v/>
      </c>
      <c r="J140" s="152">
        <f t="shared" si="14"/>
        <v>-4</v>
      </c>
      <c r="K140" s="152">
        <f t="shared" si="11"/>
        <v>-40</v>
      </c>
      <c r="L140" s="152"/>
      <c r="M140" s="154">
        <f t="shared" si="12"/>
        <v>0</v>
      </c>
    </row>
    <row r="141" spans="1:13">
      <c r="A141" s="168"/>
      <c r="G141" s="138"/>
      <c r="H141" s="152">
        <v>136</v>
      </c>
      <c r="I141" s="153" t="str">
        <f t="shared" si="13"/>
        <v/>
      </c>
      <c r="J141" s="152">
        <f t="shared" si="14"/>
        <v>-4</v>
      </c>
      <c r="K141" s="152">
        <f t="shared" si="11"/>
        <v>-40</v>
      </c>
      <c r="L141" s="152"/>
      <c r="M141" s="154">
        <f t="shared" si="12"/>
        <v>0</v>
      </c>
    </row>
    <row r="142" spans="1:13">
      <c r="A142" s="168"/>
      <c r="G142" s="138"/>
      <c r="H142" s="152">
        <v>137</v>
      </c>
      <c r="I142" s="153" t="str">
        <f t="shared" si="13"/>
        <v/>
      </c>
      <c r="J142" s="152">
        <f t="shared" si="14"/>
        <v>-4</v>
      </c>
      <c r="K142" s="152">
        <f t="shared" si="11"/>
        <v>-40</v>
      </c>
      <c r="L142" s="152"/>
      <c r="M142" s="154">
        <f t="shared" si="12"/>
        <v>0</v>
      </c>
    </row>
    <row r="143" spans="1:13">
      <c r="A143" s="168"/>
      <c r="G143" s="138"/>
      <c r="H143" s="152">
        <v>138</v>
      </c>
      <c r="I143" s="153" t="str">
        <f t="shared" si="13"/>
        <v/>
      </c>
      <c r="J143" s="152">
        <f t="shared" si="14"/>
        <v>-4</v>
      </c>
      <c r="K143" s="152">
        <f t="shared" si="11"/>
        <v>-40</v>
      </c>
      <c r="L143" s="152"/>
      <c r="M143" s="154">
        <f t="shared" si="12"/>
        <v>0</v>
      </c>
    </row>
    <row r="144" spans="1:13">
      <c r="A144" s="168"/>
      <c r="G144" s="138"/>
      <c r="H144" s="152">
        <v>139</v>
      </c>
      <c r="I144" s="153" t="str">
        <f t="shared" si="13"/>
        <v/>
      </c>
      <c r="J144" s="152">
        <f t="shared" si="14"/>
        <v>-4</v>
      </c>
      <c r="K144" s="152">
        <f t="shared" si="11"/>
        <v>-40</v>
      </c>
      <c r="L144" s="152"/>
      <c r="M144" s="154">
        <f t="shared" si="12"/>
        <v>0</v>
      </c>
    </row>
    <row r="145" spans="1:13">
      <c r="A145" s="168"/>
      <c r="G145" s="138"/>
      <c r="H145" s="152">
        <v>140</v>
      </c>
      <c r="I145" s="153" t="str">
        <f t="shared" si="13"/>
        <v/>
      </c>
      <c r="J145" s="152">
        <f t="shared" si="14"/>
        <v>-4</v>
      </c>
      <c r="K145" s="152">
        <f t="shared" si="11"/>
        <v>-40</v>
      </c>
      <c r="L145" s="152"/>
      <c r="M145" s="154">
        <f t="shared" si="12"/>
        <v>0</v>
      </c>
    </row>
    <row r="146" spans="1:13">
      <c r="A146" s="168"/>
      <c r="G146" s="138"/>
      <c r="H146" s="152">
        <v>141</v>
      </c>
      <c r="I146" s="153" t="str">
        <f t="shared" si="13"/>
        <v/>
      </c>
      <c r="J146" s="152">
        <f t="shared" si="14"/>
        <v>-4</v>
      </c>
      <c r="K146" s="152">
        <f t="shared" si="11"/>
        <v>-40</v>
      </c>
      <c r="L146" s="152"/>
      <c r="M146" s="154">
        <f t="shared" si="12"/>
        <v>0</v>
      </c>
    </row>
    <row r="147" spans="1:13">
      <c r="A147" s="168"/>
      <c r="G147" s="138"/>
      <c r="H147" s="152">
        <v>142</v>
      </c>
      <c r="I147" s="153" t="str">
        <f t="shared" si="13"/>
        <v/>
      </c>
      <c r="J147" s="152">
        <f t="shared" si="14"/>
        <v>-4</v>
      </c>
      <c r="K147" s="152">
        <f t="shared" si="11"/>
        <v>-40</v>
      </c>
      <c r="L147" s="152"/>
      <c r="M147" s="154">
        <f t="shared" si="12"/>
        <v>0</v>
      </c>
    </row>
    <row r="148" spans="1:13">
      <c r="A148" s="168"/>
      <c r="G148" s="138"/>
      <c r="H148" s="152">
        <v>143</v>
      </c>
      <c r="I148" s="153" t="str">
        <f t="shared" si="13"/>
        <v/>
      </c>
      <c r="J148" s="152">
        <f t="shared" si="14"/>
        <v>-4</v>
      </c>
      <c r="K148" s="152">
        <f t="shared" si="11"/>
        <v>-40</v>
      </c>
      <c r="L148" s="152"/>
      <c r="M148" s="154">
        <f t="shared" si="12"/>
        <v>0</v>
      </c>
    </row>
    <row r="149" spans="1:13">
      <c r="A149" s="168"/>
      <c r="G149" s="138"/>
      <c r="H149" s="152">
        <v>144</v>
      </c>
      <c r="I149" s="153" t="str">
        <f t="shared" si="13"/>
        <v/>
      </c>
      <c r="J149" s="152">
        <f t="shared" si="14"/>
        <v>-4</v>
      </c>
      <c r="K149" s="152">
        <f t="shared" si="11"/>
        <v>-40</v>
      </c>
      <c r="L149" s="152"/>
      <c r="M149" s="154">
        <f t="shared" si="12"/>
        <v>0</v>
      </c>
    </row>
    <row r="150" spans="1:13">
      <c r="A150" s="168"/>
      <c r="G150" s="138"/>
      <c r="H150" s="152">
        <v>145</v>
      </c>
      <c r="I150" s="153" t="str">
        <f t="shared" si="13"/>
        <v/>
      </c>
      <c r="J150" s="152">
        <f t="shared" si="14"/>
        <v>-4</v>
      </c>
      <c r="K150" s="152">
        <f t="shared" si="11"/>
        <v>-40</v>
      </c>
      <c r="L150" s="152"/>
      <c r="M150" s="154">
        <f t="shared" si="12"/>
        <v>0</v>
      </c>
    </row>
    <row r="151" spans="1:13">
      <c r="A151" s="168"/>
      <c r="G151" s="138"/>
      <c r="H151" s="152">
        <v>146</v>
      </c>
      <c r="I151" s="153" t="str">
        <f t="shared" si="13"/>
        <v/>
      </c>
      <c r="J151" s="152">
        <f t="shared" si="14"/>
        <v>-4</v>
      </c>
      <c r="K151" s="152">
        <f t="shared" si="11"/>
        <v>-40</v>
      </c>
      <c r="L151" s="152"/>
      <c r="M151" s="154">
        <f t="shared" si="12"/>
        <v>0</v>
      </c>
    </row>
    <row r="152" spans="1:13">
      <c r="A152" s="168"/>
      <c r="G152" s="138"/>
      <c r="H152" s="152">
        <v>147</v>
      </c>
      <c r="I152" s="153" t="str">
        <f t="shared" si="13"/>
        <v/>
      </c>
      <c r="J152" s="152">
        <f t="shared" si="14"/>
        <v>-4</v>
      </c>
      <c r="K152" s="152">
        <f t="shared" si="11"/>
        <v>-40</v>
      </c>
      <c r="L152" s="152"/>
      <c r="M152" s="154">
        <f t="shared" si="12"/>
        <v>0</v>
      </c>
    </row>
    <row r="153" spans="1:13">
      <c r="A153" s="168"/>
      <c r="G153" s="138"/>
      <c r="H153" s="152">
        <v>148</v>
      </c>
      <c r="I153" s="153" t="str">
        <f t="shared" si="13"/>
        <v/>
      </c>
      <c r="J153" s="152">
        <f t="shared" si="14"/>
        <v>-4</v>
      </c>
      <c r="K153" s="152">
        <f t="shared" si="11"/>
        <v>-40</v>
      </c>
      <c r="L153" s="152"/>
      <c r="M153" s="154">
        <f t="shared" si="12"/>
        <v>0</v>
      </c>
    </row>
    <row r="154" spans="1:13">
      <c r="A154" s="168"/>
      <c r="G154" s="138"/>
      <c r="H154" s="152">
        <v>149</v>
      </c>
      <c r="I154" s="153" t="str">
        <f t="shared" si="13"/>
        <v/>
      </c>
      <c r="J154" s="152">
        <f t="shared" si="14"/>
        <v>-4</v>
      </c>
      <c r="K154" s="152">
        <f t="shared" si="11"/>
        <v>-40</v>
      </c>
      <c r="L154" s="152"/>
      <c r="M154" s="154">
        <f t="shared" si="12"/>
        <v>0</v>
      </c>
    </row>
    <row r="155" spans="1:13">
      <c r="A155" s="168"/>
      <c r="G155" s="138"/>
      <c r="H155" s="152">
        <v>150</v>
      </c>
      <c r="I155" s="153" t="str">
        <f t="shared" si="13"/>
        <v/>
      </c>
      <c r="J155" s="152">
        <f t="shared" si="14"/>
        <v>-4</v>
      </c>
      <c r="K155" s="152">
        <f t="shared" si="11"/>
        <v>-40</v>
      </c>
      <c r="L155" s="152"/>
      <c r="M155" s="154">
        <f t="shared" si="12"/>
        <v>0</v>
      </c>
    </row>
    <row r="156" spans="1:13">
      <c r="A156" s="168"/>
      <c r="G156" s="138"/>
      <c r="H156" s="152">
        <v>151</v>
      </c>
      <c r="I156" s="153" t="str">
        <f t="shared" si="13"/>
        <v/>
      </c>
      <c r="J156" s="152">
        <f t="shared" si="14"/>
        <v>-4</v>
      </c>
      <c r="K156" s="152">
        <f t="shared" si="11"/>
        <v>-40</v>
      </c>
      <c r="L156" s="152"/>
      <c r="M156" s="154">
        <f t="shared" si="12"/>
        <v>0</v>
      </c>
    </row>
    <row r="157" spans="1:13">
      <c r="A157" s="168"/>
      <c r="G157" s="138"/>
      <c r="H157" s="152">
        <v>152</v>
      </c>
      <c r="I157" s="153" t="str">
        <f t="shared" si="13"/>
        <v/>
      </c>
      <c r="J157" s="152">
        <f t="shared" si="14"/>
        <v>-4</v>
      </c>
      <c r="K157" s="152">
        <f t="shared" si="11"/>
        <v>-40</v>
      </c>
      <c r="L157" s="152"/>
      <c r="M157" s="154">
        <f t="shared" si="12"/>
        <v>0</v>
      </c>
    </row>
    <row r="158" spans="1:13">
      <c r="A158" s="168"/>
      <c r="G158" s="138"/>
      <c r="H158" s="152">
        <v>153</v>
      </c>
      <c r="I158" s="153" t="str">
        <f t="shared" si="13"/>
        <v/>
      </c>
      <c r="J158" s="152">
        <f t="shared" si="14"/>
        <v>-4</v>
      </c>
      <c r="K158" s="152">
        <f t="shared" si="11"/>
        <v>-40</v>
      </c>
      <c r="L158" s="152"/>
      <c r="M158" s="154">
        <f t="shared" si="12"/>
        <v>0</v>
      </c>
    </row>
    <row r="159" spans="1:13">
      <c r="A159" s="168"/>
      <c r="G159" s="138"/>
      <c r="H159" s="152">
        <v>154</v>
      </c>
      <c r="I159" s="153" t="str">
        <f t="shared" si="13"/>
        <v/>
      </c>
      <c r="J159" s="152">
        <f t="shared" si="14"/>
        <v>-4</v>
      </c>
      <c r="K159" s="152">
        <f t="shared" si="11"/>
        <v>-40</v>
      </c>
      <c r="L159" s="152"/>
      <c r="M159" s="154">
        <f t="shared" si="12"/>
        <v>0</v>
      </c>
    </row>
    <row r="160" spans="1:13">
      <c r="A160" s="168"/>
      <c r="G160" s="138"/>
      <c r="H160" s="152">
        <v>155</v>
      </c>
      <c r="I160" s="153" t="str">
        <f t="shared" si="13"/>
        <v/>
      </c>
      <c r="J160" s="152">
        <f t="shared" si="14"/>
        <v>-4</v>
      </c>
      <c r="K160" s="152">
        <f t="shared" si="11"/>
        <v>-40</v>
      </c>
      <c r="L160" s="152"/>
      <c r="M160" s="154">
        <f t="shared" si="12"/>
        <v>0</v>
      </c>
    </row>
    <row r="161" spans="1:13">
      <c r="A161" s="168"/>
      <c r="G161" s="138"/>
      <c r="H161" s="152">
        <v>156</v>
      </c>
      <c r="I161" s="153" t="str">
        <f t="shared" si="13"/>
        <v/>
      </c>
      <c r="J161" s="152">
        <f t="shared" si="14"/>
        <v>-4</v>
      </c>
      <c r="K161" s="152">
        <f t="shared" si="11"/>
        <v>-40</v>
      </c>
      <c r="L161" s="152"/>
      <c r="M161" s="154">
        <f t="shared" si="12"/>
        <v>0</v>
      </c>
    </row>
    <row r="162" spans="1:13">
      <c r="A162" s="168"/>
      <c r="G162" s="138"/>
      <c r="H162" s="152">
        <v>157</v>
      </c>
      <c r="I162" s="153" t="str">
        <f t="shared" si="13"/>
        <v/>
      </c>
      <c r="J162" s="152">
        <f t="shared" si="14"/>
        <v>-4</v>
      </c>
      <c r="K162" s="152">
        <f t="shared" si="11"/>
        <v>-40</v>
      </c>
      <c r="L162" s="152"/>
      <c r="M162" s="154">
        <f t="shared" si="12"/>
        <v>0</v>
      </c>
    </row>
    <row r="163" spans="1:13">
      <c r="A163" s="168"/>
      <c r="G163" s="138"/>
      <c r="H163" s="152">
        <v>158</v>
      </c>
      <c r="I163" s="153" t="str">
        <f t="shared" si="13"/>
        <v/>
      </c>
      <c r="J163" s="152">
        <f t="shared" si="14"/>
        <v>-4</v>
      </c>
      <c r="K163" s="152">
        <f t="shared" si="11"/>
        <v>-40</v>
      </c>
      <c r="L163" s="152"/>
      <c r="M163" s="154">
        <f t="shared" si="12"/>
        <v>0</v>
      </c>
    </row>
    <row r="164" spans="1:13">
      <c r="A164" s="168"/>
      <c r="G164" s="138"/>
      <c r="H164" s="152">
        <v>159</v>
      </c>
      <c r="I164" s="153" t="str">
        <f t="shared" si="13"/>
        <v/>
      </c>
      <c r="J164" s="152">
        <f t="shared" si="14"/>
        <v>-4</v>
      </c>
      <c r="K164" s="152">
        <f t="shared" si="11"/>
        <v>-40</v>
      </c>
      <c r="L164" s="152"/>
      <c r="M164" s="154">
        <f t="shared" si="12"/>
        <v>0</v>
      </c>
    </row>
    <row r="165" spans="1:13">
      <c r="A165" s="168"/>
      <c r="G165" s="138"/>
      <c r="H165" s="152">
        <v>160</v>
      </c>
      <c r="I165" s="153" t="str">
        <f t="shared" si="13"/>
        <v/>
      </c>
      <c r="J165" s="152">
        <f t="shared" si="14"/>
        <v>-4</v>
      </c>
      <c r="K165" s="152">
        <f t="shared" si="11"/>
        <v>-40</v>
      </c>
      <c r="L165" s="152"/>
      <c r="M165" s="154">
        <f t="shared" si="12"/>
        <v>0</v>
      </c>
    </row>
    <row r="166" spans="1:13">
      <c r="A166" s="168"/>
      <c r="G166" s="138"/>
      <c r="H166" s="152">
        <v>161</v>
      </c>
      <c r="I166" s="153" t="str">
        <f t="shared" si="13"/>
        <v/>
      </c>
      <c r="J166" s="152">
        <f t="shared" si="14"/>
        <v>-4</v>
      </c>
      <c r="K166" s="152">
        <f t="shared" si="11"/>
        <v>-40</v>
      </c>
      <c r="L166" s="152"/>
      <c r="M166" s="154">
        <f t="shared" si="12"/>
        <v>0</v>
      </c>
    </row>
    <row r="167" spans="1:13">
      <c r="A167" s="168"/>
      <c r="G167" s="138"/>
      <c r="H167" s="152">
        <v>162</v>
      </c>
      <c r="I167" s="153" t="str">
        <f t="shared" si="13"/>
        <v/>
      </c>
      <c r="J167" s="152">
        <f t="shared" si="14"/>
        <v>-4</v>
      </c>
      <c r="K167" s="152">
        <f t="shared" si="11"/>
        <v>-40</v>
      </c>
      <c r="L167" s="152"/>
      <c r="M167" s="154">
        <f t="shared" si="12"/>
        <v>0</v>
      </c>
    </row>
    <row r="168" spans="1:13">
      <c r="A168" s="168"/>
      <c r="G168" s="138"/>
      <c r="H168" s="152">
        <v>163</v>
      </c>
      <c r="I168" s="153" t="str">
        <f t="shared" si="13"/>
        <v/>
      </c>
      <c r="J168" s="152">
        <f t="shared" si="14"/>
        <v>-4</v>
      </c>
      <c r="K168" s="152">
        <f t="shared" si="11"/>
        <v>-40</v>
      </c>
      <c r="L168" s="152"/>
      <c r="M168" s="154">
        <f t="shared" si="12"/>
        <v>0</v>
      </c>
    </row>
    <row r="169" spans="1:13">
      <c r="A169" s="168"/>
      <c r="G169" s="138"/>
      <c r="H169" s="152">
        <v>164</v>
      </c>
      <c r="I169" s="153" t="str">
        <f t="shared" si="13"/>
        <v/>
      </c>
      <c r="J169" s="152">
        <f t="shared" si="14"/>
        <v>-4</v>
      </c>
      <c r="K169" s="152">
        <f t="shared" si="11"/>
        <v>-40</v>
      </c>
      <c r="L169" s="152"/>
      <c r="M169" s="154">
        <f t="shared" si="12"/>
        <v>0</v>
      </c>
    </row>
    <row r="170" spans="1:13">
      <c r="A170" s="168"/>
      <c r="G170" s="138"/>
      <c r="H170" s="152">
        <v>165</v>
      </c>
      <c r="I170" s="153" t="str">
        <f t="shared" si="13"/>
        <v/>
      </c>
      <c r="J170" s="152">
        <f t="shared" si="14"/>
        <v>-4</v>
      </c>
      <c r="K170" s="152">
        <f t="shared" si="11"/>
        <v>-40</v>
      </c>
      <c r="L170" s="152"/>
      <c r="M170" s="154">
        <f t="shared" si="12"/>
        <v>0</v>
      </c>
    </row>
    <row r="171" spans="1:13">
      <c r="A171" s="168"/>
      <c r="G171" s="138"/>
      <c r="H171" s="152">
        <v>166</v>
      </c>
      <c r="I171" s="153" t="str">
        <f t="shared" si="13"/>
        <v/>
      </c>
      <c r="J171" s="152">
        <f t="shared" si="14"/>
        <v>-4</v>
      </c>
      <c r="K171" s="152">
        <f t="shared" si="11"/>
        <v>-40</v>
      </c>
      <c r="L171" s="152"/>
      <c r="M171" s="154">
        <f t="shared" si="12"/>
        <v>0</v>
      </c>
    </row>
    <row r="172" spans="1:13">
      <c r="A172" s="168"/>
      <c r="G172" s="138"/>
      <c r="H172" s="152">
        <v>167</v>
      </c>
      <c r="I172" s="153" t="str">
        <f t="shared" si="13"/>
        <v/>
      </c>
      <c r="J172" s="152">
        <f t="shared" si="14"/>
        <v>-4</v>
      </c>
      <c r="K172" s="152">
        <f t="shared" si="11"/>
        <v>-40</v>
      </c>
      <c r="L172" s="152"/>
      <c r="M172" s="154">
        <f t="shared" si="12"/>
        <v>0</v>
      </c>
    </row>
    <row r="173" spans="1:13">
      <c r="A173" s="168"/>
      <c r="G173" s="138"/>
      <c r="H173" s="152">
        <v>168</v>
      </c>
      <c r="I173" s="153" t="str">
        <f t="shared" si="13"/>
        <v/>
      </c>
      <c r="J173" s="152">
        <f t="shared" si="14"/>
        <v>-4</v>
      </c>
      <c r="K173" s="152">
        <f t="shared" si="11"/>
        <v>-40</v>
      </c>
      <c r="L173" s="152"/>
      <c r="M173" s="154">
        <f t="shared" si="12"/>
        <v>0</v>
      </c>
    </row>
    <row r="174" spans="1:13">
      <c r="A174" s="168"/>
      <c r="G174" s="138"/>
      <c r="H174" s="152">
        <v>169</v>
      </c>
      <c r="I174" s="153" t="str">
        <f t="shared" si="13"/>
        <v/>
      </c>
      <c r="J174" s="152">
        <f t="shared" si="14"/>
        <v>-4</v>
      </c>
      <c r="K174" s="152">
        <f t="shared" si="11"/>
        <v>-40</v>
      </c>
      <c r="L174" s="152"/>
      <c r="M174" s="154">
        <f t="shared" si="12"/>
        <v>0</v>
      </c>
    </row>
    <row r="175" spans="1:13">
      <c r="A175" s="168"/>
      <c r="G175" s="138"/>
      <c r="H175" s="152">
        <v>170</v>
      </c>
      <c r="I175" s="153" t="str">
        <f t="shared" si="13"/>
        <v/>
      </c>
      <c r="J175" s="152">
        <f t="shared" si="14"/>
        <v>-4</v>
      </c>
      <c r="K175" s="152">
        <f t="shared" si="11"/>
        <v>-40</v>
      </c>
      <c r="L175" s="152"/>
      <c r="M175" s="154">
        <f t="shared" si="12"/>
        <v>0</v>
      </c>
    </row>
    <row r="176" spans="1:13">
      <c r="A176" s="168"/>
      <c r="G176" s="138"/>
      <c r="H176" s="152">
        <v>171</v>
      </c>
      <c r="I176" s="153" t="str">
        <f t="shared" si="13"/>
        <v/>
      </c>
      <c r="J176" s="152">
        <f t="shared" si="14"/>
        <v>-4</v>
      </c>
      <c r="K176" s="152">
        <f t="shared" si="11"/>
        <v>-40</v>
      </c>
      <c r="L176" s="152"/>
      <c r="M176" s="154">
        <f t="shared" si="12"/>
        <v>0</v>
      </c>
    </row>
    <row r="177" spans="1:13">
      <c r="A177" s="168"/>
      <c r="G177" s="138"/>
      <c r="H177" s="152">
        <v>172</v>
      </c>
      <c r="I177" s="153" t="str">
        <f t="shared" si="13"/>
        <v/>
      </c>
      <c r="J177" s="152">
        <f t="shared" si="14"/>
        <v>-4</v>
      </c>
      <c r="K177" s="152">
        <f t="shared" si="11"/>
        <v>-40</v>
      </c>
      <c r="L177" s="152"/>
      <c r="M177" s="154">
        <f t="shared" si="12"/>
        <v>0</v>
      </c>
    </row>
    <row r="178" spans="1:13">
      <c r="A178" s="168"/>
      <c r="G178" s="138"/>
      <c r="H178" s="152">
        <v>173</v>
      </c>
      <c r="I178" s="153" t="str">
        <f t="shared" si="13"/>
        <v/>
      </c>
      <c r="J178" s="152">
        <f t="shared" si="14"/>
        <v>-4</v>
      </c>
      <c r="K178" s="152">
        <f t="shared" si="11"/>
        <v>-40</v>
      </c>
      <c r="L178" s="152"/>
      <c r="M178" s="154">
        <f t="shared" si="12"/>
        <v>0</v>
      </c>
    </row>
    <row r="179" spans="1:13">
      <c r="A179" s="168"/>
      <c r="G179" s="138"/>
      <c r="H179" s="152">
        <v>174</v>
      </c>
      <c r="I179" s="153" t="str">
        <f t="shared" si="13"/>
        <v/>
      </c>
      <c r="J179" s="152">
        <f t="shared" si="14"/>
        <v>-4</v>
      </c>
      <c r="K179" s="152">
        <f t="shared" si="11"/>
        <v>-40</v>
      </c>
      <c r="L179" s="152"/>
      <c r="M179" s="154">
        <f t="shared" si="12"/>
        <v>0</v>
      </c>
    </row>
    <row r="180" spans="1:13">
      <c r="A180" s="168"/>
      <c r="G180" s="138"/>
      <c r="H180" s="152">
        <v>175</v>
      </c>
      <c r="I180" s="153" t="str">
        <f t="shared" si="13"/>
        <v/>
      </c>
      <c r="J180" s="152">
        <f t="shared" si="14"/>
        <v>-4</v>
      </c>
      <c r="K180" s="152">
        <f t="shared" si="11"/>
        <v>-40</v>
      </c>
      <c r="L180" s="152"/>
      <c r="M180" s="154">
        <f t="shared" si="12"/>
        <v>0</v>
      </c>
    </row>
    <row r="181" spans="1:13">
      <c r="A181" s="168"/>
      <c r="G181" s="138"/>
      <c r="H181" s="152">
        <v>176</v>
      </c>
      <c r="I181" s="153" t="str">
        <f t="shared" si="13"/>
        <v/>
      </c>
      <c r="J181" s="152">
        <f t="shared" si="14"/>
        <v>-4</v>
      </c>
      <c r="K181" s="152">
        <f t="shared" si="11"/>
        <v>-40</v>
      </c>
      <c r="L181" s="152"/>
      <c r="M181" s="154">
        <f t="shared" si="12"/>
        <v>0</v>
      </c>
    </row>
    <row r="182" spans="1:13">
      <c r="A182" s="168"/>
      <c r="G182" s="138"/>
      <c r="H182" s="152">
        <v>177</v>
      </c>
      <c r="I182" s="153" t="str">
        <f t="shared" si="13"/>
        <v/>
      </c>
      <c r="J182" s="152">
        <f t="shared" si="14"/>
        <v>-4</v>
      </c>
      <c r="K182" s="152">
        <f t="shared" si="11"/>
        <v>-40</v>
      </c>
      <c r="L182" s="152"/>
      <c r="M182" s="154">
        <f t="shared" si="12"/>
        <v>0</v>
      </c>
    </row>
    <row r="183" spans="1:13">
      <c r="A183" s="168"/>
      <c r="G183" s="138"/>
      <c r="H183" s="152">
        <v>178</v>
      </c>
      <c r="I183" s="153" t="str">
        <f t="shared" si="13"/>
        <v/>
      </c>
      <c r="J183" s="152">
        <f t="shared" si="14"/>
        <v>-4</v>
      </c>
      <c r="K183" s="152">
        <f t="shared" si="11"/>
        <v>-40</v>
      </c>
      <c r="L183" s="152"/>
      <c r="M183" s="154">
        <f t="shared" si="12"/>
        <v>0</v>
      </c>
    </row>
    <row r="184" spans="1:13">
      <c r="A184" s="168"/>
      <c r="G184" s="138"/>
      <c r="H184" s="152">
        <v>179</v>
      </c>
      <c r="I184" s="153" t="str">
        <f t="shared" si="13"/>
        <v/>
      </c>
      <c r="J184" s="152">
        <f t="shared" si="14"/>
        <v>-4</v>
      </c>
      <c r="K184" s="152">
        <f t="shared" si="11"/>
        <v>-40</v>
      </c>
      <c r="L184" s="152"/>
      <c r="M184" s="154">
        <f t="shared" si="12"/>
        <v>0</v>
      </c>
    </row>
    <row r="185" spans="1:13">
      <c r="A185" s="168"/>
      <c r="G185" s="138"/>
      <c r="H185" s="152">
        <v>180</v>
      </c>
      <c r="I185" s="153" t="str">
        <f t="shared" si="13"/>
        <v/>
      </c>
      <c r="J185" s="152">
        <f t="shared" si="14"/>
        <v>-4</v>
      </c>
      <c r="K185" s="152">
        <f t="shared" si="11"/>
        <v>-40</v>
      </c>
      <c r="L185" s="152"/>
      <c r="M185" s="154">
        <f t="shared" si="12"/>
        <v>0</v>
      </c>
    </row>
    <row r="186" spans="1:13">
      <c r="A186" s="168"/>
      <c r="G186" s="138"/>
      <c r="H186" s="152">
        <v>181</v>
      </c>
      <c r="I186" s="153" t="str">
        <f t="shared" si="13"/>
        <v/>
      </c>
      <c r="J186" s="152">
        <f t="shared" si="14"/>
        <v>-4</v>
      </c>
      <c r="K186" s="152">
        <f t="shared" si="11"/>
        <v>-40</v>
      </c>
      <c r="L186" s="152"/>
      <c r="M186" s="154">
        <f t="shared" si="12"/>
        <v>0</v>
      </c>
    </row>
    <row r="187" spans="1:13">
      <c r="A187" s="168"/>
      <c r="G187" s="138"/>
      <c r="H187" s="152">
        <v>182</v>
      </c>
      <c r="I187" s="153" t="str">
        <f t="shared" si="13"/>
        <v/>
      </c>
      <c r="J187" s="152">
        <f t="shared" si="14"/>
        <v>-4</v>
      </c>
      <c r="K187" s="152">
        <f t="shared" si="11"/>
        <v>-40</v>
      </c>
      <c r="L187" s="152"/>
      <c r="M187" s="154">
        <f t="shared" si="12"/>
        <v>0</v>
      </c>
    </row>
    <row r="188" spans="1:13">
      <c r="A188" s="168"/>
      <c r="G188" s="138"/>
      <c r="H188" s="152">
        <v>183</v>
      </c>
      <c r="I188" s="153" t="str">
        <f t="shared" si="13"/>
        <v/>
      </c>
      <c r="J188" s="152">
        <f t="shared" si="14"/>
        <v>-4</v>
      </c>
      <c r="K188" s="152">
        <f t="shared" si="11"/>
        <v>-40</v>
      </c>
      <c r="L188" s="152"/>
      <c r="M188" s="154">
        <f t="shared" si="12"/>
        <v>0</v>
      </c>
    </row>
    <row r="189" spans="1:13">
      <c r="A189" s="168"/>
      <c r="G189" s="138"/>
      <c r="H189" s="152">
        <v>184</v>
      </c>
      <c r="I189" s="153" t="str">
        <f t="shared" si="13"/>
        <v/>
      </c>
      <c r="J189" s="152">
        <f t="shared" si="14"/>
        <v>-4</v>
      </c>
      <c r="K189" s="152">
        <f t="shared" si="11"/>
        <v>-40</v>
      </c>
      <c r="L189" s="152"/>
      <c r="M189" s="154">
        <f t="shared" si="12"/>
        <v>0</v>
      </c>
    </row>
    <row r="190" spans="1:13">
      <c r="A190" s="168"/>
      <c r="G190" s="138"/>
      <c r="H190" s="152">
        <v>185</v>
      </c>
      <c r="I190" s="153" t="str">
        <f t="shared" si="13"/>
        <v/>
      </c>
      <c r="J190" s="152">
        <f t="shared" si="14"/>
        <v>-4</v>
      </c>
      <c r="K190" s="152">
        <f t="shared" si="11"/>
        <v>-40</v>
      </c>
      <c r="L190" s="152"/>
      <c r="M190" s="154">
        <f t="shared" si="12"/>
        <v>0</v>
      </c>
    </row>
    <row r="191" spans="1:13">
      <c r="A191" s="168"/>
      <c r="G191" s="138"/>
      <c r="H191" s="152">
        <v>186</v>
      </c>
      <c r="I191" s="153" t="str">
        <f t="shared" si="13"/>
        <v/>
      </c>
      <c r="J191" s="152">
        <f t="shared" si="14"/>
        <v>-4</v>
      </c>
      <c r="K191" s="152">
        <f t="shared" si="11"/>
        <v>-40</v>
      </c>
      <c r="L191" s="152"/>
      <c r="M191" s="154">
        <f t="shared" si="12"/>
        <v>0</v>
      </c>
    </row>
    <row r="192" spans="1:13">
      <c r="A192" s="168"/>
      <c r="G192" s="138"/>
      <c r="H192" s="152">
        <v>187</v>
      </c>
      <c r="I192" s="153" t="str">
        <f t="shared" si="13"/>
        <v/>
      </c>
      <c r="J192" s="152">
        <f t="shared" si="14"/>
        <v>-4</v>
      </c>
      <c r="K192" s="152">
        <f t="shared" si="11"/>
        <v>-40</v>
      </c>
      <c r="L192" s="152"/>
      <c r="M192" s="154">
        <f t="shared" si="12"/>
        <v>0</v>
      </c>
    </row>
    <row r="193" spans="1:13">
      <c r="A193" s="168"/>
      <c r="G193" s="138"/>
      <c r="H193" s="152">
        <v>188</v>
      </c>
      <c r="I193" s="153" t="str">
        <f t="shared" si="13"/>
        <v/>
      </c>
      <c r="J193" s="152">
        <f t="shared" si="14"/>
        <v>-4</v>
      </c>
      <c r="K193" s="152">
        <f t="shared" si="11"/>
        <v>-40</v>
      </c>
      <c r="L193" s="152"/>
      <c r="M193" s="154">
        <f t="shared" si="12"/>
        <v>0</v>
      </c>
    </row>
    <row r="194" spans="1:13">
      <c r="A194" s="168"/>
      <c r="G194" s="138"/>
      <c r="H194" s="152">
        <v>189</v>
      </c>
      <c r="I194" s="153" t="str">
        <f t="shared" si="13"/>
        <v/>
      </c>
      <c r="J194" s="152">
        <f t="shared" si="14"/>
        <v>-4</v>
      </c>
      <c r="K194" s="152">
        <f t="shared" si="11"/>
        <v>-40</v>
      </c>
      <c r="L194" s="152"/>
      <c r="M194" s="154">
        <f t="shared" si="12"/>
        <v>0</v>
      </c>
    </row>
    <row r="195" spans="1:13">
      <c r="A195" s="168"/>
      <c r="G195" s="138"/>
      <c r="H195" s="152">
        <v>190</v>
      </c>
      <c r="I195" s="153" t="str">
        <f t="shared" si="13"/>
        <v/>
      </c>
      <c r="J195" s="152">
        <f t="shared" si="14"/>
        <v>-4</v>
      </c>
      <c r="K195" s="152">
        <f t="shared" si="11"/>
        <v>-40</v>
      </c>
      <c r="L195" s="152"/>
      <c r="M195" s="154">
        <f t="shared" si="12"/>
        <v>0</v>
      </c>
    </row>
    <row r="196" spans="1:13">
      <c r="A196" s="168"/>
      <c r="G196" s="138"/>
      <c r="H196" s="152">
        <v>191</v>
      </c>
      <c r="I196" s="153" t="str">
        <f t="shared" si="13"/>
        <v/>
      </c>
      <c r="J196" s="152">
        <f t="shared" si="14"/>
        <v>-4</v>
      </c>
      <c r="K196" s="152">
        <f t="shared" si="11"/>
        <v>-40</v>
      </c>
      <c r="L196" s="152"/>
      <c r="M196" s="154">
        <f t="shared" si="12"/>
        <v>0</v>
      </c>
    </row>
    <row r="197" spans="1:13">
      <c r="A197" s="168"/>
      <c r="G197" s="138"/>
      <c r="H197" s="152">
        <v>192</v>
      </c>
      <c r="I197" s="153" t="str">
        <f t="shared" si="13"/>
        <v/>
      </c>
      <c r="J197" s="152">
        <f t="shared" si="14"/>
        <v>-4</v>
      </c>
      <c r="K197" s="152">
        <f t="shared" si="11"/>
        <v>-40</v>
      </c>
      <c r="L197" s="152"/>
      <c r="M197" s="154">
        <f t="shared" si="12"/>
        <v>0</v>
      </c>
    </row>
    <row r="198" spans="1:13">
      <c r="A198" s="168"/>
      <c r="G198" s="138"/>
      <c r="H198" s="152">
        <v>193</v>
      </c>
      <c r="I198" s="153" t="str">
        <f t="shared" si="13"/>
        <v/>
      </c>
      <c r="J198" s="152">
        <f t="shared" si="14"/>
        <v>-4</v>
      </c>
      <c r="K198" s="152">
        <f t="shared" ref="K198:K261" si="15">J198*$J$2</f>
        <v>-40</v>
      </c>
      <c r="L198" s="152"/>
      <c r="M198" s="154">
        <f t="shared" ref="M198:M261" si="16">IF(I198&lt;&gt;"",K198+I198+L198,0)</f>
        <v>0</v>
      </c>
    </row>
    <row r="199" spans="1:13">
      <c r="A199" s="168"/>
      <c r="G199" s="138"/>
      <c r="H199" s="152">
        <v>194</v>
      </c>
      <c r="I199" s="153" t="str">
        <f t="shared" ref="I199:I262" si="17">IF(H199&lt;$H$2+1,($I$2-($I$2-1)*(LOG(H199)/LOG($H$2))),"")</f>
        <v/>
      </c>
      <c r="J199" s="152">
        <f t="shared" ref="J199:J262" si="18">INT(LOG($H$2,2))-ROUNDUP(LOG(H199,2),0)+IF(OR($H$2=1,$H$2=2,$H$2=4,$H$2=8,$H$2=16,$H$2=32,$H$2=64,$H$2=128,$H$2=256),0,1)</f>
        <v>-4</v>
      </c>
      <c r="K199" s="152">
        <f t="shared" si="15"/>
        <v>-40</v>
      </c>
      <c r="L199" s="152"/>
      <c r="M199" s="154">
        <f t="shared" si="16"/>
        <v>0</v>
      </c>
    </row>
    <row r="200" spans="1:13">
      <c r="A200" s="168"/>
      <c r="G200" s="138"/>
      <c r="H200" s="152">
        <v>195</v>
      </c>
      <c r="I200" s="153" t="str">
        <f t="shared" si="17"/>
        <v/>
      </c>
      <c r="J200" s="152">
        <f t="shared" si="18"/>
        <v>-4</v>
      </c>
      <c r="K200" s="152">
        <f t="shared" si="15"/>
        <v>-40</v>
      </c>
      <c r="L200" s="152"/>
      <c r="M200" s="154">
        <f t="shared" si="16"/>
        <v>0</v>
      </c>
    </row>
    <row r="201" spans="1:13">
      <c r="A201" s="168"/>
      <c r="G201" s="138"/>
      <c r="H201" s="152">
        <v>196</v>
      </c>
      <c r="I201" s="153" t="str">
        <f t="shared" si="17"/>
        <v/>
      </c>
      <c r="J201" s="152">
        <f t="shared" si="18"/>
        <v>-4</v>
      </c>
      <c r="K201" s="152">
        <f t="shared" si="15"/>
        <v>-40</v>
      </c>
      <c r="L201" s="152"/>
      <c r="M201" s="154">
        <f t="shared" si="16"/>
        <v>0</v>
      </c>
    </row>
    <row r="202" spans="1:13">
      <c r="A202" s="168"/>
      <c r="G202" s="138"/>
      <c r="H202" s="152">
        <v>197</v>
      </c>
      <c r="I202" s="153" t="str">
        <f t="shared" si="17"/>
        <v/>
      </c>
      <c r="J202" s="152">
        <f t="shared" si="18"/>
        <v>-4</v>
      </c>
      <c r="K202" s="152">
        <f t="shared" si="15"/>
        <v>-40</v>
      </c>
      <c r="L202" s="152"/>
      <c r="M202" s="154">
        <f t="shared" si="16"/>
        <v>0</v>
      </c>
    </row>
    <row r="203" spans="1:13">
      <c r="A203" s="168"/>
      <c r="G203" s="138"/>
      <c r="H203" s="152">
        <v>198</v>
      </c>
      <c r="I203" s="153" t="str">
        <f t="shared" si="17"/>
        <v/>
      </c>
      <c r="J203" s="152">
        <f t="shared" si="18"/>
        <v>-4</v>
      </c>
      <c r="K203" s="152">
        <f t="shared" si="15"/>
        <v>-40</v>
      </c>
      <c r="L203" s="152"/>
      <c r="M203" s="154">
        <f t="shared" si="16"/>
        <v>0</v>
      </c>
    </row>
    <row r="204" spans="1:13">
      <c r="A204" s="168"/>
      <c r="G204" s="138"/>
      <c r="H204" s="152">
        <v>199</v>
      </c>
      <c r="I204" s="153" t="str">
        <f t="shared" si="17"/>
        <v/>
      </c>
      <c r="J204" s="152">
        <f t="shared" si="18"/>
        <v>-4</v>
      </c>
      <c r="K204" s="152">
        <f t="shared" si="15"/>
        <v>-40</v>
      </c>
      <c r="L204" s="152"/>
      <c r="M204" s="154">
        <f t="shared" si="16"/>
        <v>0</v>
      </c>
    </row>
    <row r="205" spans="1:13">
      <c r="A205" s="168"/>
      <c r="G205" s="138"/>
      <c r="H205" s="152">
        <v>200</v>
      </c>
      <c r="I205" s="153" t="str">
        <f t="shared" si="17"/>
        <v/>
      </c>
      <c r="J205" s="152">
        <f t="shared" si="18"/>
        <v>-4</v>
      </c>
      <c r="K205" s="152">
        <f t="shared" si="15"/>
        <v>-40</v>
      </c>
      <c r="L205" s="152"/>
      <c r="M205" s="154">
        <f t="shared" si="16"/>
        <v>0</v>
      </c>
    </row>
    <row r="206" spans="1:13">
      <c r="A206" s="168"/>
      <c r="G206" s="138"/>
      <c r="H206" s="152">
        <v>201</v>
      </c>
      <c r="I206" s="153" t="str">
        <f t="shared" si="17"/>
        <v/>
      </c>
      <c r="J206" s="152">
        <f t="shared" si="18"/>
        <v>-4</v>
      </c>
      <c r="K206" s="152">
        <f t="shared" si="15"/>
        <v>-40</v>
      </c>
      <c r="L206" s="152"/>
      <c r="M206" s="154">
        <f t="shared" si="16"/>
        <v>0</v>
      </c>
    </row>
    <row r="207" spans="1:13">
      <c r="A207" s="168"/>
      <c r="G207" s="138"/>
      <c r="H207" s="152">
        <v>202</v>
      </c>
      <c r="I207" s="153" t="str">
        <f t="shared" si="17"/>
        <v/>
      </c>
      <c r="J207" s="152">
        <f t="shared" si="18"/>
        <v>-4</v>
      </c>
      <c r="K207" s="152">
        <f t="shared" si="15"/>
        <v>-40</v>
      </c>
      <c r="L207" s="152"/>
      <c r="M207" s="154">
        <f t="shared" si="16"/>
        <v>0</v>
      </c>
    </row>
    <row r="208" spans="1:13">
      <c r="A208" s="168"/>
      <c r="G208" s="138"/>
      <c r="H208" s="152">
        <v>203</v>
      </c>
      <c r="I208" s="153" t="str">
        <f t="shared" si="17"/>
        <v/>
      </c>
      <c r="J208" s="152">
        <f t="shared" si="18"/>
        <v>-4</v>
      </c>
      <c r="K208" s="152">
        <f t="shared" si="15"/>
        <v>-40</v>
      </c>
      <c r="L208" s="152"/>
      <c r="M208" s="154">
        <f t="shared" si="16"/>
        <v>0</v>
      </c>
    </row>
    <row r="209" spans="1:13">
      <c r="A209" s="168"/>
      <c r="G209" s="138"/>
      <c r="H209" s="152">
        <v>204</v>
      </c>
      <c r="I209" s="153" t="str">
        <f t="shared" si="17"/>
        <v/>
      </c>
      <c r="J209" s="152">
        <f t="shared" si="18"/>
        <v>-4</v>
      </c>
      <c r="K209" s="152">
        <f t="shared" si="15"/>
        <v>-40</v>
      </c>
      <c r="L209" s="152"/>
      <c r="M209" s="154">
        <f t="shared" si="16"/>
        <v>0</v>
      </c>
    </row>
    <row r="210" spans="1:13">
      <c r="A210" s="168"/>
      <c r="G210" s="138"/>
      <c r="H210" s="152">
        <v>205</v>
      </c>
      <c r="I210" s="153" t="str">
        <f t="shared" si="17"/>
        <v/>
      </c>
      <c r="J210" s="152">
        <f t="shared" si="18"/>
        <v>-4</v>
      </c>
      <c r="K210" s="152">
        <f t="shared" si="15"/>
        <v>-40</v>
      </c>
      <c r="L210" s="152"/>
      <c r="M210" s="154">
        <f t="shared" si="16"/>
        <v>0</v>
      </c>
    </row>
    <row r="211" spans="1:13">
      <c r="A211" s="168"/>
      <c r="G211" s="138"/>
      <c r="H211" s="152">
        <v>206</v>
      </c>
      <c r="I211" s="153" t="str">
        <f t="shared" si="17"/>
        <v/>
      </c>
      <c r="J211" s="152">
        <f t="shared" si="18"/>
        <v>-4</v>
      </c>
      <c r="K211" s="152">
        <f t="shared" si="15"/>
        <v>-40</v>
      </c>
      <c r="L211" s="152"/>
      <c r="M211" s="154">
        <f t="shared" si="16"/>
        <v>0</v>
      </c>
    </row>
    <row r="212" spans="1:13">
      <c r="A212" s="168"/>
      <c r="G212" s="138"/>
      <c r="H212" s="152">
        <v>207</v>
      </c>
      <c r="I212" s="153" t="str">
        <f t="shared" si="17"/>
        <v/>
      </c>
      <c r="J212" s="152">
        <f t="shared" si="18"/>
        <v>-4</v>
      </c>
      <c r="K212" s="152">
        <f t="shared" si="15"/>
        <v>-40</v>
      </c>
      <c r="L212" s="152"/>
      <c r="M212" s="154">
        <f t="shared" si="16"/>
        <v>0</v>
      </c>
    </row>
    <row r="213" spans="1:13">
      <c r="A213" s="168"/>
      <c r="G213" s="138"/>
      <c r="H213" s="152">
        <v>208</v>
      </c>
      <c r="I213" s="153" t="str">
        <f t="shared" si="17"/>
        <v/>
      </c>
      <c r="J213" s="152">
        <f t="shared" si="18"/>
        <v>-4</v>
      </c>
      <c r="K213" s="152">
        <f t="shared" si="15"/>
        <v>-40</v>
      </c>
      <c r="L213" s="152"/>
      <c r="M213" s="154">
        <f t="shared" si="16"/>
        <v>0</v>
      </c>
    </row>
    <row r="214" spans="1:13">
      <c r="A214" s="168"/>
      <c r="G214" s="138"/>
      <c r="H214" s="152">
        <v>209</v>
      </c>
      <c r="I214" s="153" t="str">
        <f t="shared" si="17"/>
        <v/>
      </c>
      <c r="J214" s="152">
        <f t="shared" si="18"/>
        <v>-4</v>
      </c>
      <c r="K214" s="152">
        <f t="shared" si="15"/>
        <v>-40</v>
      </c>
      <c r="L214" s="152"/>
      <c r="M214" s="154">
        <f t="shared" si="16"/>
        <v>0</v>
      </c>
    </row>
    <row r="215" spans="1:13">
      <c r="A215" s="168"/>
      <c r="G215" s="138"/>
      <c r="H215" s="152">
        <v>210</v>
      </c>
      <c r="I215" s="153" t="str">
        <f t="shared" si="17"/>
        <v/>
      </c>
      <c r="J215" s="152">
        <f t="shared" si="18"/>
        <v>-4</v>
      </c>
      <c r="K215" s="152">
        <f t="shared" si="15"/>
        <v>-40</v>
      </c>
      <c r="L215" s="152"/>
      <c r="M215" s="154">
        <f t="shared" si="16"/>
        <v>0</v>
      </c>
    </row>
    <row r="216" spans="1:13">
      <c r="A216" s="168"/>
      <c r="G216" s="138"/>
      <c r="H216" s="152">
        <v>211</v>
      </c>
      <c r="I216" s="153" t="str">
        <f t="shared" si="17"/>
        <v/>
      </c>
      <c r="J216" s="152">
        <f t="shared" si="18"/>
        <v>-4</v>
      </c>
      <c r="K216" s="152">
        <f t="shared" si="15"/>
        <v>-40</v>
      </c>
      <c r="L216" s="152"/>
      <c r="M216" s="154">
        <f t="shared" si="16"/>
        <v>0</v>
      </c>
    </row>
    <row r="217" spans="1:13">
      <c r="A217" s="168"/>
      <c r="G217" s="138"/>
      <c r="H217" s="152">
        <v>212</v>
      </c>
      <c r="I217" s="153" t="str">
        <f t="shared" si="17"/>
        <v/>
      </c>
      <c r="J217" s="152">
        <f t="shared" si="18"/>
        <v>-4</v>
      </c>
      <c r="K217" s="152">
        <f t="shared" si="15"/>
        <v>-40</v>
      </c>
      <c r="L217" s="152"/>
      <c r="M217" s="154">
        <f t="shared" si="16"/>
        <v>0</v>
      </c>
    </row>
    <row r="218" spans="1:13">
      <c r="A218" s="168"/>
      <c r="G218" s="138"/>
      <c r="H218" s="152">
        <v>213</v>
      </c>
      <c r="I218" s="153" t="str">
        <f t="shared" si="17"/>
        <v/>
      </c>
      <c r="J218" s="152">
        <f t="shared" si="18"/>
        <v>-4</v>
      </c>
      <c r="K218" s="152">
        <f t="shared" si="15"/>
        <v>-40</v>
      </c>
      <c r="L218" s="152"/>
      <c r="M218" s="154">
        <f t="shared" si="16"/>
        <v>0</v>
      </c>
    </row>
    <row r="219" spans="1:13">
      <c r="A219" s="168"/>
      <c r="G219" s="138"/>
      <c r="H219" s="152">
        <v>214</v>
      </c>
      <c r="I219" s="153" t="str">
        <f t="shared" si="17"/>
        <v/>
      </c>
      <c r="J219" s="152">
        <f t="shared" si="18"/>
        <v>-4</v>
      </c>
      <c r="K219" s="152">
        <f t="shared" si="15"/>
        <v>-40</v>
      </c>
      <c r="L219" s="152"/>
      <c r="M219" s="154">
        <f t="shared" si="16"/>
        <v>0</v>
      </c>
    </row>
    <row r="220" spans="1:13">
      <c r="A220" s="168"/>
      <c r="G220" s="138"/>
      <c r="H220" s="152">
        <v>215</v>
      </c>
      <c r="I220" s="153" t="str">
        <f t="shared" si="17"/>
        <v/>
      </c>
      <c r="J220" s="152">
        <f t="shared" si="18"/>
        <v>-4</v>
      </c>
      <c r="K220" s="152">
        <f t="shared" si="15"/>
        <v>-40</v>
      </c>
      <c r="L220" s="152"/>
      <c r="M220" s="154">
        <f t="shared" si="16"/>
        <v>0</v>
      </c>
    </row>
    <row r="221" spans="1:13">
      <c r="A221" s="168"/>
      <c r="G221" s="138"/>
      <c r="H221" s="152">
        <v>216</v>
      </c>
      <c r="I221" s="153" t="str">
        <f t="shared" si="17"/>
        <v/>
      </c>
      <c r="J221" s="152">
        <f t="shared" si="18"/>
        <v>-4</v>
      </c>
      <c r="K221" s="152">
        <f t="shared" si="15"/>
        <v>-40</v>
      </c>
      <c r="L221" s="152"/>
      <c r="M221" s="154">
        <f t="shared" si="16"/>
        <v>0</v>
      </c>
    </row>
    <row r="222" spans="1:13">
      <c r="A222" s="168"/>
      <c r="G222" s="138"/>
      <c r="H222" s="152">
        <v>217</v>
      </c>
      <c r="I222" s="153" t="str">
        <f t="shared" si="17"/>
        <v/>
      </c>
      <c r="J222" s="152">
        <f t="shared" si="18"/>
        <v>-4</v>
      </c>
      <c r="K222" s="152">
        <f t="shared" si="15"/>
        <v>-40</v>
      </c>
      <c r="L222" s="152"/>
      <c r="M222" s="154">
        <f t="shared" si="16"/>
        <v>0</v>
      </c>
    </row>
    <row r="223" spans="1:13">
      <c r="A223" s="168"/>
      <c r="G223" s="138"/>
      <c r="H223" s="152">
        <v>218</v>
      </c>
      <c r="I223" s="153" t="str">
        <f t="shared" si="17"/>
        <v/>
      </c>
      <c r="J223" s="152">
        <f t="shared" si="18"/>
        <v>-4</v>
      </c>
      <c r="K223" s="152">
        <f t="shared" si="15"/>
        <v>-40</v>
      </c>
      <c r="L223" s="152"/>
      <c r="M223" s="154">
        <f t="shared" si="16"/>
        <v>0</v>
      </c>
    </row>
    <row r="224" spans="1:13">
      <c r="A224" s="168"/>
      <c r="G224" s="138"/>
      <c r="H224" s="152">
        <v>219</v>
      </c>
      <c r="I224" s="153" t="str">
        <f t="shared" si="17"/>
        <v/>
      </c>
      <c r="J224" s="152">
        <f t="shared" si="18"/>
        <v>-4</v>
      </c>
      <c r="K224" s="152">
        <f t="shared" si="15"/>
        <v>-40</v>
      </c>
      <c r="L224" s="152"/>
      <c r="M224" s="154">
        <f t="shared" si="16"/>
        <v>0</v>
      </c>
    </row>
    <row r="225" spans="1:13">
      <c r="A225" s="168"/>
      <c r="G225" s="138"/>
      <c r="H225" s="152">
        <v>220</v>
      </c>
      <c r="I225" s="153" t="str">
        <f t="shared" si="17"/>
        <v/>
      </c>
      <c r="J225" s="152">
        <f t="shared" si="18"/>
        <v>-4</v>
      </c>
      <c r="K225" s="152">
        <f t="shared" si="15"/>
        <v>-40</v>
      </c>
      <c r="L225" s="152"/>
      <c r="M225" s="154">
        <f t="shared" si="16"/>
        <v>0</v>
      </c>
    </row>
    <row r="226" spans="1:13">
      <c r="A226" s="168"/>
      <c r="G226" s="138"/>
      <c r="H226" s="152">
        <v>221</v>
      </c>
      <c r="I226" s="153" t="str">
        <f t="shared" si="17"/>
        <v/>
      </c>
      <c r="J226" s="152">
        <f t="shared" si="18"/>
        <v>-4</v>
      </c>
      <c r="K226" s="152">
        <f t="shared" si="15"/>
        <v>-40</v>
      </c>
      <c r="L226" s="152"/>
      <c r="M226" s="154">
        <f t="shared" si="16"/>
        <v>0</v>
      </c>
    </row>
    <row r="227" spans="1:13">
      <c r="A227" s="168"/>
      <c r="G227" s="138"/>
      <c r="H227" s="152">
        <v>222</v>
      </c>
      <c r="I227" s="153" t="str">
        <f t="shared" si="17"/>
        <v/>
      </c>
      <c r="J227" s="152">
        <f t="shared" si="18"/>
        <v>-4</v>
      </c>
      <c r="K227" s="152">
        <f t="shared" si="15"/>
        <v>-40</v>
      </c>
      <c r="L227" s="152"/>
      <c r="M227" s="154">
        <f t="shared" si="16"/>
        <v>0</v>
      </c>
    </row>
    <row r="228" spans="1:13">
      <c r="A228" s="168"/>
      <c r="G228" s="138"/>
      <c r="H228" s="152">
        <v>223</v>
      </c>
      <c r="I228" s="153" t="str">
        <f t="shared" si="17"/>
        <v/>
      </c>
      <c r="J228" s="152">
        <f t="shared" si="18"/>
        <v>-4</v>
      </c>
      <c r="K228" s="152">
        <f t="shared" si="15"/>
        <v>-40</v>
      </c>
      <c r="L228" s="152"/>
      <c r="M228" s="154">
        <f t="shared" si="16"/>
        <v>0</v>
      </c>
    </row>
    <row r="229" spans="1:13">
      <c r="A229" s="168"/>
      <c r="G229" s="138"/>
      <c r="H229" s="152">
        <v>224</v>
      </c>
      <c r="I229" s="153" t="str">
        <f t="shared" si="17"/>
        <v/>
      </c>
      <c r="J229" s="152">
        <f t="shared" si="18"/>
        <v>-4</v>
      </c>
      <c r="K229" s="152">
        <f t="shared" si="15"/>
        <v>-40</v>
      </c>
      <c r="L229" s="152"/>
      <c r="M229" s="154">
        <f t="shared" si="16"/>
        <v>0</v>
      </c>
    </row>
    <row r="230" spans="1:13">
      <c r="A230" s="168"/>
      <c r="G230" s="138"/>
      <c r="H230" s="152">
        <v>225</v>
      </c>
      <c r="I230" s="153" t="str">
        <f t="shared" si="17"/>
        <v/>
      </c>
      <c r="J230" s="152">
        <f t="shared" si="18"/>
        <v>-4</v>
      </c>
      <c r="K230" s="152">
        <f t="shared" si="15"/>
        <v>-40</v>
      </c>
      <c r="L230" s="152"/>
      <c r="M230" s="154">
        <f t="shared" si="16"/>
        <v>0</v>
      </c>
    </row>
    <row r="231" spans="1:13">
      <c r="A231" s="168"/>
      <c r="G231" s="138"/>
      <c r="H231" s="152">
        <v>226</v>
      </c>
      <c r="I231" s="153" t="str">
        <f t="shared" si="17"/>
        <v/>
      </c>
      <c r="J231" s="152">
        <f t="shared" si="18"/>
        <v>-4</v>
      </c>
      <c r="K231" s="152">
        <f t="shared" si="15"/>
        <v>-40</v>
      </c>
      <c r="L231" s="152"/>
      <c r="M231" s="154">
        <f t="shared" si="16"/>
        <v>0</v>
      </c>
    </row>
    <row r="232" spans="1:13">
      <c r="A232" s="168"/>
      <c r="G232" s="138"/>
      <c r="H232" s="152">
        <v>227</v>
      </c>
      <c r="I232" s="153" t="str">
        <f t="shared" si="17"/>
        <v/>
      </c>
      <c r="J232" s="152">
        <f t="shared" si="18"/>
        <v>-4</v>
      </c>
      <c r="K232" s="152">
        <f t="shared" si="15"/>
        <v>-40</v>
      </c>
      <c r="L232" s="152"/>
      <c r="M232" s="154">
        <f t="shared" si="16"/>
        <v>0</v>
      </c>
    </row>
    <row r="233" spans="1:13">
      <c r="A233" s="168"/>
      <c r="G233" s="138"/>
      <c r="H233" s="152">
        <v>228</v>
      </c>
      <c r="I233" s="153" t="str">
        <f t="shared" si="17"/>
        <v/>
      </c>
      <c r="J233" s="152">
        <f t="shared" si="18"/>
        <v>-4</v>
      </c>
      <c r="K233" s="152">
        <f t="shared" si="15"/>
        <v>-40</v>
      </c>
      <c r="L233" s="152"/>
      <c r="M233" s="154">
        <f t="shared" si="16"/>
        <v>0</v>
      </c>
    </row>
    <row r="234" spans="1:13">
      <c r="A234" s="168"/>
      <c r="G234" s="138"/>
      <c r="H234" s="152">
        <v>229</v>
      </c>
      <c r="I234" s="153" t="str">
        <f t="shared" si="17"/>
        <v/>
      </c>
      <c r="J234" s="152">
        <f t="shared" si="18"/>
        <v>-4</v>
      </c>
      <c r="K234" s="152">
        <f t="shared" si="15"/>
        <v>-40</v>
      </c>
      <c r="L234" s="152"/>
      <c r="M234" s="154">
        <f t="shared" si="16"/>
        <v>0</v>
      </c>
    </row>
    <row r="235" spans="1:13">
      <c r="A235" s="168"/>
      <c r="G235" s="138"/>
      <c r="H235" s="152">
        <v>230</v>
      </c>
      <c r="I235" s="153" t="str">
        <f t="shared" si="17"/>
        <v/>
      </c>
      <c r="J235" s="152">
        <f t="shared" si="18"/>
        <v>-4</v>
      </c>
      <c r="K235" s="152">
        <f t="shared" si="15"/>
        <v>-40</v>
      </c>
      <c r="L235" s="152"/>
      <c r="M235" s="154">
        <f t="shared" si="16"/>
        <v>0</v>
      </c>
    </row>
    <row r="236" spans="1:13">
      <c r="A236" s="168"/>
      <c r="G236" s="138"/>
      <c r="H236" s="152">
        <v>231</v>
      </c>
      <c r="I236" s="153" t="str">
        <f t="shared" si="17"/>
        <v/>
      </c>
      <c r="J236" s="152">
        <f t="shared" si="18"/>
        <v>-4</v>
      </c>
      <c r="K236" s="152">
        <f t="shared" si="15"/>
        <v>-40</v>
      </c>
      <c r="L236" s="152"/>
      <c r="M236" s="154">
        <f t="shared" si="16"/>
        <v>0</v>
      </c>
    </row>
    <row r="237" spans="1:13">
      <c r="A237" s="168"/>
      <c r="G237" s="138"/>
      <c r="H237" s="152">
        <v>232</v>
      </c>
      <c r="I237" s="153" t="str">
        <f t="shared" si="17"/>
        <v/>
      </c>
      <c r="J237" s="152">
        <f t="shared" si="18"/>
        <v>-4</v>
      </c>
      <c r="K237" s="152">
        <f t="shared" si="15"/>
        <v>-40</v>
      </c>
      <c r="L237" s="152"/>
      <c r="M237" s="154">
        <f t="shared" si="16"/>
        <v>0</v>
      </c>
    </row>
    <row r="238" spans="1:13">
      <c r="A238" s="168"/>
      <c r="G238" s="138"/>
      <c r="H238" s="152">
        <v>233</v>
      </c>
      <c r="I238" s="153" t="str">
        <f t="shared" si="17"/>
        <v/>
      </c>
      <c r="J238" s="152">
        <f t="shared" si="18"/>
        <v>-4</v>
      </c>
      <c r="K238" s="152">
        <f t="shared" si="15"/>
        <v>-40</v>
      </c>
      <c r="L238" s="152"/>
      <c r="M238" s="154">
        <f t="shared" si="16"/>
        <v>0</v>
      </c>
    </row>
    <row r="239" spans="1:13">
      <c r="A239" s="168"/>
      <c r="G239" s="138"/>
      <c r="H239" s="152">
        <v>234</v>
      </c>
      <c r="I239" s="153" t="str">
        <f t="shared" si="17"/>
        <v/>
      </c>
      <c r="J239" s="152">
        <f t="shared" si="18"/>
        <v>-4</v>
      </c>
      <c r="K239" s="152">
        <f t="shared" si="15"/>
        <v>-40</v>
      </c>
      <c r="L239" s="152"/>
      <c r="M239" s="154">
        <f t="shared" si="16"/>
        <v>0</v>
      </c>
    </row>
    <row r="240" spans="1:13">
      <c r="A240" s="168"/>
      <c r="G240" s="138"/>
      <c r="H240" s="152">
        <v>235</v>
      </c>
      <c r="I240" s="153" t="str">
        <f t="shared" si="17"/>
        <v/>
      </c>
      <c r="J240" s="152">
        <f t="shared" si="18"/>
        <v>-4</v>
      </c>
      <c r="K240" s="152">
        <f t="shared" si="15"/>
        <v>-40</v>
      </c>
      <c r="L240" s="152"/>
      <c r="M240" s="154">
        <f t="shared" si="16"/>
        <v>0</v>
      </c>
    </row>
    <row r="241" spans="1:13">
      <c r="A241" s="168"/>
      <c r="G241" s="138"/>
      <c r="H241" s="152">
        <v>236</v>
      </c>
      <c r="I241" s="153" t="str">
        <f t="shared" si="17"/>
        <v/>
      </c>
      <c r="J241" s="152">
        <f t="shared" si="18"/>
        <v>-4</v>
      </c>
      <c r="K241" s="152">
        <f t="shared" si="15"/>
        <v>-40</v>
      </c>
      <c r="L241" s="152"/>
      <c r="M241" s="154">
        <f t="shared" si="16"/>
        <v>0</v>
      </c>
    </row>
    <row r="242" spans="1:13">
      <c r="A242" s="168"/>
      <c r="G242" s="138"/>
      <c r="H242" s="152">
        <v>237</v>
      </c>
      <c r="I242" s="153" t="str">
        <f t="shared" si="17"/>
        <v/>
      </c>
      <c r="J242" s="152">
        <f t="shared" si="18"/>
        <v>-4</v>
      </c>
      <c r="K242" s="152">
        <f t="shared" si="15"/>
        <v>-40</v>
      </c>
      <c r="L242" s="152"/>
      <c r="M242" s="154">
        <f t="shared" si="16"/>
        <v>0</v>
      </c>
    </row>
    <row r="243" spans="1:13">
      <c r="A243" s="168"/>
      <c r="G243" s="138"/>
      <c r="H243" s="152">
        <v>238</v>
      </c>
      <c r="I243" s="153" t="str">
        <f t="shared" si="17"/>
        <v/>
      </c>
      <c r="J243" s="152">
        <f t="shared" si="18"/>
        <v>-4</v>
      </c>
      <c r="K243" s="152">
        <f t="shared" si="15"/>
        <v>-40</v>
      </c>
      <c r="L243" s="152"/>
      <c r="M243" s="154">
        <f t="shared" si="16"/>
        <v>0</v>
      </c>
    </row>
    <row r="244" spans="1:13">
      <c r="A244" s="168"/>
      <c r="G244" s="138"/>
      <c r="H244" s="152">
        <v>239</v>
      </c>
      <c r="I244" s="153" t="str">
        <f t="shared" si="17"/>
        <v/>
      </c>
      <c r="J244" s="152">
        <f t="shared" si="18"/>
        <v>-4</v>
      </c>
      <c r="K244" s="152">
        <f t="shared" si="15"/>
        <v>-40</v>
      </c>
      <c r="L244" s="152"/>
      <c r="M244" s="154">
        <f t="shared" si="16"/>
        <v>0</v>
      </c>
    </row>
    <row r="245" spans="1:13">
      <c r="A245" s="168"/>
      <c r="G245" s="138"/>
      <c r="H245" s="152">
        <v>240</v>
      </c>
      <c r="I245" s="153" t="str">
        <f t="shared" si="17"/>
        <v/>
      </c>
      <c r="J245" s="152">
        <f t="shared" si="18"/>
        <v>-4</v>
      </c>
      <c r="K245" s="152">
        <f t="shared" si="15"/>
        <v>-40</v>
      </c>
      <c r="L245" s="152"/>
      <c r="M245" s="154">
        <f t="shared" si="16"/>
        <v>0</v>
      </c>
    </row>
    <row r="246" spans="1:13">
      <c r="A246" s="168"/>
      <c r="G246" s="138"/>
      <c r="H246" s="152">
        <v>241</v>
      </c>
      <c r="I246" s="153" t="str">
        <f t="shared" si="17"/>
        <v/>
      </c>
      <c r="J246" s="152">
        <f t="shared" si="18"/>
        <v>-4</v>
      </c>
      <c r="K246" s="152">
        <f t="shared" si="15"/>
        <v>-40</v>
      </c>
      <c r="L246" s="152"/>
      <c r="M246" s="154">
        <f t="shared" si="16"/>
        <v>0</v>
      </c>
    </row>
    <row r="247" spans="1:13">
      <c r="A247" s="168"/>
      <c r="G247" s="138"/>
      <c r="H247" s="152">
        <v>242</v>
      </c>
      <c r="I247" s="153" t="str">
        <f t="shared" si="17"/>
        <v/>
      </c>
      <c r="J247" s="152">
        <f t="shared" si="18"/>
        <v>-4</v>
      </c>
      <c r="K247" s="152">
        <f t="shared" si="15"/>
        <v>-40</v>
      </c>
      <c r="L247" s="152"/>
      <c r="M247" s="154">
        <f t="shared" si="16"/>
        <v>0</v>
      </c>
    </row>
    <row r="248" spans="1:13">
      <c r="A248" s="168"/>
      <c r="G248" s="138"/>
      <c r="H248" s="152">
        <v>243</v>
      </c>
      <c r="I248" s="153" t="str">
        <f t="shared" si="17"/>
        <v/>
      </c>
      <c r="J248" s="152">
        <f t="shared" si="18"/>
        <v>-4</v>
      </c>
      <c r="K248" s="152">
        <f t="shared" si="15"/>
        <v>-40</v>
      </c>
      <c r="L248" s="152"/>
      <c r="M248" s="154">
        <f t="shared" si="16"/>
        <v>0</v>
      </c>
    </row>
    <row r="249" spans="1:13">
      <c r="A249" s="168"/>
      <c r="G249" s="138"/>
      <c r="H249" s="152">
        <v>244</v>
      </c>
      <c r="I249" s="153" t="str">
        <f t="shared" si="17"/>
        <v/>
      </c>
      <c r="J249" s="152">
        <f t="shared" si="18"/>
        <v>-4</v>
      </c>
      <c r="K249" s="152">
        <f t="shared" si="15"/>
        <v>-40</v>
      </c>
      <c r="L249" s="152"/>
      <c r="M249" s="154">
        <f t="shared" si="16"/>
        <v>0</v>
      </c>
    </row>
    <row r="250" spans="1:13">
      <c r="A250" s="168"/>
      <c r="G250" s="138"/>
      <c r="H250" s="152">
        <v>245</v>
      </c>
      <c r="I250" s="153" t="str">
        <f t="shared" si="17"/>
        <v/>
      </c>
      <c r="J250" s="152">
        <f t="shared" si="18"/>
        <v>-4</v>
      </c>
      <c r="K250" s="152">
        <f t="shared" si="15"/>
        <v>-40</v>
      </c>
      <c r="L250" s="152"/>
      <c r="M250" s="154">
        <f t="shared" si="16"/>
        <v>0</v>
      </c>
    </row>
    <row r="251" spans="1:13">
      <c r="A251" s="168"/>
      <c r="G251" s="138"/>
      <c r="H251" s="152">
        <v>246</v>
      </c>
      <c r="I251" s="153" t="str">
        <f t="shared" si="17"/>
        <v/>
      </c>
      <c r="J251" s="152">
        <f t="shared" si="18"/>
        <v>-4</v>
      </c>
      <c r="K251" s="152">
        <f t="shared" si="15"/>
        <v>-40</v>
      </c>
      <c r="L251" s="152"/>
      <c r="M251" s="154">
        <f t="shared" si="16"/>
        <v>0</v>
      </c>
    </row>
    <row r="252" spans="1:13">
      <c r="A252" s="168"/>
      <c r="G252" s="138"/>
      <c r="H252" s="152">
        <v>247</v>
      </c>
      <c r="I252" s="153" t="str">
        <f t="shared" si="17"/>
        <v/>
      </c>
      <c r="J252" s="152">
        <f t="shared" si="18"/>
        <v>-4</v>
      </c>
      <c r="K252" s="152">
        <f t="shared" si="15"/>
        <v>-40</v>
      </c>
      <c r="L252" s="152"/>
      <c r="M252" s="154">
        <f t="shared" si="16"/>
        <v>0</v>
      </c>
    </row>
    <row r="253" spans="1:13">
      <c r="A253" s="168"/>
      <c r="G253" s="138"/>
      <c r="H253" s="152">
        <v>248</v>
      </c>
      <c r="I253" s="153" t="str">
        <f t="shared" si="17"/>
        <v/>
      </c>
      <c r="J253" s="152">
        <f t="shared" si="18"/>
        <v>-4</v>
      </c>
      <c r="K253" s="152">
        <f t="shared" si="15"/>
        <v>-40</v>
      </c>
      <c r="L253" s="152"/>
      <c r="M253" s="154">
        <f t="shared" si="16"/>
        <v>0</v>
      </c>
    </row>
    <row r="254" spans="1:13">
      <c r="A254" s="168"/>
      <c r="G254" s="138"/>
      <c r="H254" s="152">
        <v>249</v>
      </c>
      <c r="I254" s="153" t="str">
        <f t="shared" si="17"/>
        <v/>
      </c>
      <c r="J254" s="152">
        <f t="shared" si="18"/>
        <v>-4</v>
      </c>
      <c r="K254" s="152">
        <f t="shared" si="15"/>
        <v>-40</v>
      </c>
      <c r="L254" s="152"/>
      <c r="M254" s="154">
        <f t="shared" si="16"/>
        <v>0</v>
      </c>
    </row>
    <row r="255" spans="1:13">
      <c r="A255" s="168"/>
      <c r="G255" s="138"/>
      <c r="H255" s="152">
        <v>250</v>
      </c>
      <c r="I255" s="153" t="str">
        <f t="shared" si="17"/>
        <v/>
      </c>
      <c r="J255" s="152">
        <f t="shared" si="18"/>
        <v>-4</v>
      </c>
      <c r="K255" s="152">
        <f t="shared" si="15"/>
        <v>-40</v>
      </c>
      <c r="L255" s="152"/>
      <c r="M255" s="154">
        <f t="shared" si="16"/>
        <v>0</v>
      </c>
    </row>
    <row r="256" spans="1:13">
      <c r="A256" s="168"/>
      <c r="G256" s="138"/>
      <c r="H256" s="152">
        <v>251</v>
      </c>
      <c r="I256" s="153" t="str">
        <f t="shared" si="17"/>
        <v/>
      </c>
      <c r="J256" s="152">
        <f t="shared" si="18"/>
        <v>-4</v>
      </c>
      <c r="K256" s="152">
        <f t="shared" si="15"/>
        <v>-40</v>
      </c>
      <c r="L256" s="152"/>
      <c r="M256" s="154">
        <f t="shared" si="16"/>
        <v>0</v>
      </c>
    </row>
    <row r="257" spans="1:13">
      <c r="A257" s="168"/>
      <c r="G257" s="138"/>
      <c r="H257" s="152">
        <v>252</v>
      </c>
      <c r="I257" s="153" t="str">
        <f t="shared" si="17"/>
        <v/>
      </c>
      <c r="J257" s="152">
        <f t="shared" si="18"/>
        <v>-4</v>
      </c>
      <c r="K257" s="152">
        <f t="shared" si="15"/>
        <v>-40</v>
      </c>
      <c r="L257" s="152"/>
      <c r="M257" s="154">
        <f t="shared" si="16"/>
        <v>0</v>
      </c>
    </row>
    <row r="258" spans="1:13">
      <c r="A258" s="168"/>
      <c r="G258" s="138"/>
      <c r="H258" s="152">
        <v>253</v>
      </c>
      <c r="I258" s="153" t="str">
        <f t="shared" si="17"/>
        <v/>
      </c>
      <c r="J258" s="152">
        <f t="shared" si="18"/>
        <v>-4</v>
      </c>
      <c r="K258" s="152">
        <f t="shared" si="15"/>
        <v>-40</v>
      </c>
      <c r="L258" s="152"/>
      <c r="M258" s="154">
        <f t="shared" si="16"/>
        <v>0</v>
      </c>
    </row>
    <row r="259" spans="1:13">
      <c r="A259" s="168"/>
      <c r="G259" s="138"/>
      <c r="H259" s="152">
        <v>254</v>
      </c>
      <c r="I259" s="153" t="str">
        <f t="shared" si="17"/>
        <v/>
      </c>
      <c r="J259" s="152">
        <f t="shared" si="18"/>
        <v>-4</v>
      </c>
      <c r="K259" s="152">
        <f t="shared" si="15"/>
        <v>-40</v>
      </c>
      <c r="L259" s="152"/>
      <c r="M259" s="154">
        <f t="shared" si="16"/>
        <v>0</v>
      </c>
    </row>
    <row r="260" spans="1:13">
      <c r="A260" s="168"/>
      <c r="G260" s="138"/>
      <c r="H260" s="152">
        <v>255</v>
      </c>
      <c r="I260" s="153" t="str">
        <f t="shared" si="17"/>
        <v/>
      </c>
      <c r="J260" s="152">
        <f t="shared" si="18"/>
        <v>-4</v>
      </c>
      <c r="K260" s="152">
        <f t="shared" si="15"/>
        <v>-40</v>
      </c>
      <c r="L260" s="152"/>
      <c r="M260" s="154">
        <f t="shared" si="16"/>
        <v>0</v>
      </c>
    </row>
    <row r="261" spans="1:13">
      <c r="A261" s="168"/>
      <c r="G261" s="138"/>
      <c r="H261" s="152">
        <v>256</v>
      </c>
      <c r="I261" s="153" t="str">
        <f t="shared" si="17"/>
        <v/>
      </c>
      <c r="J261" s="152">
        <f t="shared" si="18"/>
        <v>-4</v>
      </c>
      <c r="K261" s="152">
        <f t="shared" si="15"/>
        <v>-40</v>
      </c>
      <c r="L261" s="152"/>
      <c r="M261" s="154">
        <f t="shared" si="16"/>
        <v>0</v>
      </c>
    </row>
    <row r="262" spans="1:13">
      <c r="A262" s="168"/>
      <c r="G262" s="138"/>
      <c r="H262" s="152">
        <v>257</v>
      </c>
      <c r="I262" s="153" t="str">
        <f t="shared" si="17"/>
        <v/>
      </c>
      <c r="J262" s="152">
        <f t="shared" si="18"/>
        <v>-5</v>
      </c>
      <c r="K262" s="152">
        <f t="shared" ref="K262:K305" si="19">J262*$J$2</f>
        <v>-50</v>
      </c>
      <c r="L262" s="152"/>
      <c r="M262" s="154">
        <f t="shared" ref="M262:M305" si="20">IF(I262&lt;&gt;"",K262+I262+L262,0)</f>
        <v>0</v>
      </c>
    </row>
    <row r="263" spans="1:13">
      <c r="A263" s="168"/>
      <c r="G263" s="138"/>
      <c r="H263" s="152">
        <v>258</v>
      </c>
      <c r="I263" s="153" t="str">
        <f t="shared" ref="I263:I305" si="21">IF(H263&lt;$H$2+1,($I$2-($I$2-1)*(LOG(H263)/LOG($H$2))),"")</f>
        <v/>
      </c>
      <c r="J263" s="152">
        <f t="shared" ref="J263:J305" si="22">INT(LOG($H$2,2))-ROUNDUP(LOG(H263,2),0)+IF(OR($H$2=1,$H$2=2,$H$2=4,$H$2=8,$H$2=16,$H$2=32,$H$2=64,$H$2=128,$H$2=256),0,1)</f>
        <v>-5</v>
      </c>
      <c r="K263" s="152">
        <f t="shared" si="19"/>
        <v>-50</v>
      </c>
      <c r="L263" s="152"/>
      <c r="M263" s="154">
        <f t="shared" si="20"/>
        <v>0</v>
      </c>
    </row>
    <row r="264" spans="1:13">
      <c r="A264" s="168"/>
      <c r="G264" s="138"/>
      <c r="H264" s="152">
        <v>259</v>
      </c>
      <c r="I264" s="153" t="str">
        <f t="shared" si="21"/>
        <v/>
      </c>
      <c r="J264" s="152">
        <f t="shared" si="22"/>
        <v>-5</v>
      </c>
      <c r="K264" s="152">
        <f t="shared" si="19"/>
        <v>-50</v>
      </c>
      <c r="L264" s="152"/>
      <c r="M264" s="154">
        <f t="shared" si="20"/>
        <v>0</v>
      </c>
    </row>
    <row r="265" spans="1:13">
      <c r="A265" s="168"/>
      <c r="G265" s="138"/>
      <c r="H265" s="152">
        <v>260</v>
      </c>
      <c r="I265" s="153" t="str">
        <f t="shared" si="21"/>
        <v/>
      </c>
      <c r="J265" s="152">
        <f t="shared" si="22"/>
        <v>-5</v>
      </c>
      <c r="K265" s="152">
        <f t="shared" si="19"/>
        <v>-50</v>
      </c>
      <c r="L265" s="152"/>
      <c r="M265" s="154">
        <f t="shared" si="20"/>
        <v>0</v>
      </c>
    </row>
    <row r="266" spans="1:13">
      <c r="A266" s="168"/>
      <c r="G266" s="138"/>
      <c r="H266" s="152">
        <v>261</v>
      </c>
      <c r="I266" s="153" t="str">
        <f t="shared" si="21"/>
        <v/>
      </c>
      <c r="J266" s="152">
        <f t="shared" si="22"/>
        <v>-5</v>
      </c>
      <c r="K266" s="152">
        <f t="shared" si="19"/>
        <v>-50</v>
      </c>
      <c r="L266" s="152"/>
      <c r="M266" s="154">
        <f t="shared" si="20"/>
        <v>0</v>
      </c>
    </row>
    <row r="267" spans="1:13">
      <c r="A267" s="168"/>
      <c r="G267" s="138"/>
      <c r="H267" s="152">
        <v>262</v>
      </c>
      <c r="I267" s="153" t="str">
        <f t="shared" si="21"/>
        <v/>
      </c>
      <c r="J267" s="152">
        <f t="shared" si="22"/>
        <v>-5</v>
      </c>
      <c r="K267" s="152">
        <f t="shared" si="19"/>
        <v>-50</v>
      </c>
      <c r="L267" s="152"/>
      <c r="M267" s="154">
        <f t="shared" si="20"/>
        <v>0</v>
      </c>
    </row>
    <row r="268" spans="1:13">
      <c r="A268" s="168"/>
      <c r="G268" s="138"/>
      <c r="H268" s="152">
        <v>263</v>
      </c>
      <c r="I268" s="153" t="str">
        <f t="shared" si="21"/>
        <v/>
      </c>
      <c r="J268" s="152">
        <f t="shared" si="22"/>
        <v>-5</v>
      </c>
      <c r="K268" s="152">
        <f t="shared" si="19"/>
        <v>-50</v>
      </c>
      <c r="L268" s="152"/>
      <c r="M268" s="154">
        <f t="shared" si="20"/>
        <v>0</v>
      </c>
    </row>
    <row r="269" spans="1:13">
      <c r="A269" s="168"/>
      <c r="G269" s="138"/>
      <c r="H269" s="152">
        <v>264</v>
      </c>
      <c r="I269" s="153" t="str">
        <f t="shared" si="21"/>
        <v/>
      </c>
      <c r="J269" s="152">
        <f t="shared" si="22"/>
        <v>-5</v>
      </c>
      <c r="K269" s="152">
        <f t="shared" si="19"/>
        <v>-50</v>
      </c>
      <c r="L269" s="152"/>
      <c r="M269" s="154">
        <f t="shared" si="20"/>
        <v>0</v>
      </c>
    </row>
    <row r="270" spans="1:13">
      <c r="A270" s="168"/>
      <c r="G270" s="138"/>
      <c r="H270" s="152">
        <v>265</v>
      </c>
      <c r="I270" s="153" t="str">
        <f t="shared" si="21"/>
        <v/>
      </c>
      <c r="J270" s="152">
        <f t="shared" si="22"/>
        <v>-5</v>
      </c>
      <c r="K270" s="152">
        <f t="shared" si="19"/>
        <v>-50</v>
      </c>
      <c r="L270" s="152"/>
      <c r="M270" s="154">
        <f t="shared" si="20"/>
        <v>0</v>
      </c>
    </row>
    <row r="271" spans="1:13">
      <c r="A271" s="168"/>
      <c r="G271" s="138"/>
      <c r="H271" s="152">
        <v>266</v>
      </c>
      <c r="I271" s="153" t="str">
        <f t="shared" si="21"/>
        <v/>
      </c>
      <c r="J271" s="152">
        <f t="shared" si="22"/>
        <v>-5</v>
      </c>
      <c r="K271" s="152">
        <f t="shared" si="19"/>
        <v>-50</v>
      </c>
      <c r="L271" s="152"/>
      <c r="M271" s="154">
        <f t="shared" si="20"/>
        <v>0</v>
      </c>
    </row>
    <row r="272" spans="1:13">
      <c r="A272" s="168"/>
      <c r="G272" s="138"/>
      <c r="H272" s="152">
        <v>267</v>
      </c>
      <c r="I272" s="153" t="str">
        <f t="shared" si="21"/>
        <v/>
      </c>
      <c r="J272" s="152">
        <f t="shared" si="22"/>
        <v>-5</v>
      </c>
      <c r="K272" s="152">
        <f t="shared" si="19"/>
        <v>-50</v>
      </c>
      <c r="L272" s="152"/>
      <c r="M272" s="154">
        <f t="shared" si="20"/>
        <v>0</v>
      </c>
    </row>
    <row r="273" spans="1:13">
      <c r="A273" s="168"/>
      <c r="G273" s="138"/>
      <c r="H273" s="152">
        <v>268</v>
      </c>
      <c r="I273" s="153" t="str">
        <f t="shared" si="21"/>
        <v/>
      </c>
      <c r="J273" s="152">
        <f t="shared" si="22"/>
        <v>-5</v>
      </c>
      <c r="K273" s="152">
        <f t="shared" si="19"/>
        <v>-50</v>
      </c>
      <c r="L273" s="152"/>
      <c r="M273" s="154">
        <f t="shared" si="20"/>
        <v>0</v>
      </c>
    </row>
    <row r="274" spans="1:13">
      <c r="A274" s="168"/>
      <c r="G274" s="138"/>
      <c r="H274" s="152">
        <v>269</v>
      </c>
      <c r="I274" s="153" t="str">
        <f t="shared" si="21"/>
        <v/>
      </c>
      <c r="J274" s="152">
        <f t="shared" si="22"/>
        <v>-5</v>
      </c>
      <c r="K274" s="152">
        <f t="shared" si="19"/>
        <v>-50</v>
      </c>
      <c r="L274" s="152"/>
      <c r="M274" s="154">
        <f t="shared" si="20"/>
        <v>0</v>
      </c>
    </row>
    <row r="275" spans="1:13">
      <c r="A275" s="168"/>
      <c r="G275" s="138"/>
      <c r="H275" s="152">
        <v>270</v>
      </c>
      <c r="I275" s="153" t="str">
        <f t="shared" si="21"/>
        <v/>
      </c>
      <c r="J275" s="152">
        <f t="shared" si="22"/>
        <v>-5</v>
      </c>
      <c r="K275" s="152">
        <f t="shared" si="19"/>
        <v>-50</v>
      </c>
      <c r="L275" s="152"/>
      <c r="M275" s="154">
        <f t="shared" si="20"/>
        <v>0</v>
      </c>
    </row>
    <row r="276" spans="1:13">
      <c r="A276" s="168"/>
      <c r="G276" s="138"/>
      <c r="H276" s="152">
        <v>271</v>
      </c>
      <c r="I276" s="153" t="str">
        <f t="shared" si="21"/>
        <v/>
      </c>
      <c r="J276" s="152">
        <f t="shared" si="22"/>
        <v>-5</v>
      </c>
      <c r="K276" s="152">
        <f t="shared" si="19"/>
        <v>-50</v>
      </c>
      <c r="L276" s="152"/>
      <c r="M276" s="154">
        <f t="shared" si="20"/>
        <v>0</v>
      </c>
    </row>
    <row r="277" spans="1:13">
      <c r="A277" s="168"/>
      <c r="G277" s="138"/>
      <c r="H277" s="152">
        <v>272</v>
      </c>
      <c r="I277" s="153" t="str">
        <f t="shared" si="21"/>
        <v/>
      </c>
      <c r="J277" s="152">
        <f t="shared" si="22"/>
        <v>-5</v>
      </c>
      <c r="K277" s="152">
        <f t="shared" si="19"/>
        <v>-50</v>
      </c>
      <c r="L277" s="152"/>
      <c r="M277" s="154">
        <f t="shared" si="20"/>
        <v>0</v>
      </c>
    </row>
    <row r="278" spans="1:13">
      <c r="A278" s="168"/>
      <c r="G278" s="138"/>
      <c r="H278" s="152">
        <v>273</v>
      </c>
      <c r="I278" s="153" t="str">
        <f t="shared" si="21"/>
        <v/>
      </c>
      <c r="J278" s="152">
        <f t="shared" si="22"/>
        <v>-5</v>
      </c>
      <c r="K278" s="152">
        <f t="shared" si="19"/>
        <v>-50</v>
      </c>
      <c r="L278" s="152"/>
      <c r="M278" s="154">
        <f t="shared" si="20"/>
        <v>0</v>
      </c>
    </row>
    <row r="279" spans="1:13">
      <c r="A279" s="168"/>
      <c r="G279" s="138"/>
      <c r="H279" s="152">
        <v>274</v>
      </c>
      <c r="I279" s="153" t="str">
        <f t="shared" si="21"/>
        <v/>
      </c>
      <c r="J279" s="152">
        <f t="shared" si="22"/>
        <v>-5</v>
      </c>
      <c r="K279" s="152">
        <f t="shared" si="19"/>
        <v>-50</v>
      </c>
      <c r="L279" s="152"/>
      <c r="M279" s="154">
        <f t="shared" si="20"/>
        <v>0</v>
      </c>
    </row>
    <row r="280" spans="1:13">
      <c r="A280" s="168"/>
      <c r="G280" s="138"/>
      <c r="H280" s="152">
        <v>275</v>
      </c>
      <c r="I280" s="153" t="str">
        <f t="shared" si="21"/>
        <v/>
      </c>
      <c r="J280" s="152">
        <f t="shared" si="22"/>
        <v>-5</v>
      </c>
      <c r="K280" s="152">
        <f t="shared" si="19"/>
        <v>-50</v>
      </c>
      <c r="L280" s="152"/>
      <c r="M280" s="154">
        <f t="shared" si="20"/>
        <v>0</v>
      </c>
    </row>
    <row r="281" spans="1:13">
      <c r="A281" s="168"/>
      <c r="G281" s="138"/>
      <c r="H281" s="152">
        <v>276</v>
      </c>
      <c r="I281" s="153" t="str">
        <f t="shared" si="21"/>
        <v/>
      </c>
      <c r="J281" s="152">
        <f t="shared" si="22"/>
        <v>-5</v>
      </c>
      <c r="K281" s="152">
        <f t="shared" si="19"/>
        <v>-50</v>
      </c>
      <c r="L281" s="152"/>
      <c r="M281" s="154">
        <f t="shared" si="20"/>
        <v>0</v>
      </c>
    </row>
    <row r="282" spans="1:13">
      <c r="A282" s="168"/>
      <c r="G282" s="138"/>
      <c r="H282" s="152">
        <v>277</v>
      </c>
      <c r="I282" s="153" t="str">
        <f t="shared" si="21"/>
        <v/>
      </c>
      <c r="J282" s="152">
        <f t="shared" si="22"/>
        <v>-5</v>
      </c>
      <c r="K282" s="152">
        <f t="shared" si="19"/>
        <v>-50</v>
      </c>
      <c r="L282" s="152"/>
      <c r="M282" s="154">
        <f t="shared" si="20"/>
        <v>0</v>
      </c>
    </row>
    <row r="283" spans="1:13">
      <c r="A283" s="168"/>
      <c r="G283" s="138"/>
      <c r="H283" s="152">
        <v>278</v>
      </c>
      <c r="I283" s="153" t="str">
        <f t="shared" si="21"/>
        <v/>
      </c>
      <c r="J283" s="152">
        <f t="shared" si="22"/>
        <v>-5</v>
      </c>
      <c r="K283" s="152">
        <f t="shared" si="19"/>
        <v>-50</v>
      </c>
      <c r="L283" s="152"/>
      <c r="M283" s="154">
        <f t="shared" si="20"/>
        <v>0</v>
      </c>
    </row>
    <row r="284" spans="1:13">
      <c r="A284" s="168"/>
      <c r="G284" s="138"/>
      <c r="H284" s="152">
        <v>279</v>
      </c>
      <c r="I284" s="153" t="str">
        <f t="shared" si="21"/>
        <v/>
      </c>
      <c r="J284" s="152">
        <f t="shared" si="22"/>
        <v>-5</v>
      </c>
      <c r="K284" s="152">
        <f t="shared" si="19"/>
        <v>-50</v>
      </c>
      <c r="L284" s="152"/>
      <c r="M284" s="154">
        <f t="shared" si="20"/>
        <v>0</v>
      </c>
    </row>
    <row r="285" spans="1:13">
      <c r="A285" s="168"/>
      <c r="G285" s="138"/>
      <c r="H285" s="152">
        <v>280</v>
      </c>
      <c r="I285" s="153" t="str">
        <f t="shared" si="21"/>
        <v/>
      </c>
      <c r="J285" s="152">
        <f t="shared" si="22"/>
        <v>-5</v>
      </c>
      <c r="K285" s="152">
        <f t="shared" si="19"/>
        <v>-50</v>
      </c>
      <c r="L285" s="152"/>
      <c r="M285" s="154">
        <f t="shared" si="20"/>
        <v>0</v>
      </c>
    </row>
    <row r="286" spans="1:13">
      <c r="A286" s="168"/>
      <c r="G286" s="138"/>
      <c r="H286" s="152">
        <v>281</v>
      </c>
      <c r="I286" s="153" t="str">
        <f t="shared" si="21"/>
        <v/>
      </c>
      <c r="J286" s="152">
        <f t="shared" si="22"/>
        <v>-5</v>
      </c>
      <c r="K286" s="152">
        <f t="shared" si="19"/>
        <v>-50</v>
      </c>
      <c r="L286" s="152"/>
      <c r="M286" s="154">
        <f t="shared" si="20"/>
        <v>0</v>
      </c>
    </row>
    <row r="287" spans="1:13">
      <c r="A287" s="168"/>
      <c r="G287" s="138"/>
      <c r="H287" s="152">
        <v>282</v>
      </c>
      <c r="I287" s="153" t="str">
        <f t="shared" si="21"/>
        <v/>
      </c>
      <c r="J287" s="152">
        <f t="shared" si="22"/>
        <v>-5</v>
      </c>
      <c r="K287" s="152">
        <f t="shared" si="19"/>
        <v>-50</v>
      </c>
      <c r="L287" s="152"/>
      <c r="M287" s="154">
        <f t="shared" si="20"/>
        <v>0</v>
      </c>
    </row>
    <row r="288" spans="1:13">
      <c r="A288" s="168"/>
      <c r="G288" s="138"/>
      <c r="H288" s="152">
        <v>283</v>
      </c>
      <c r="I288" s="153" t="str">
        <f t="shared" si="21"/>
        <v/>
      </c>
      <c r="J288" s="152">
        <f t="shared" si="22"/>
        <v>-5</v>
      </c>
      <c r="K288" s="152">
        <f t="shared" si="19"/>
        <v>-50</v>
      </c>
      <c r="L288" s="152"/>
      <c r="M288" s="154">
        <f t="shared" si="20"/>
        <v>0</v>
      </c>
    </row>
    <row r="289" spans="1:13">
      <c r="A289" s="168"/>
      <c r="G289" s="138"/>
      <c r="H289" s="152">
        <v>284</v>
      </c>
      <c r="I289" s="153" t="str">
        <f t="shared" si="21"/>
        <v/>
      </c>
      <c r="J289" s="152">
        <f t="shared" si="22"/>
        <v>-5</v>
      </c>
      <c r="K289" s="152">
        <f t="shared" si="19"/>
        <v>-50</v>
      </c>
      <c r="L289" s="152"/>
      <c r="M289" s="154">
        <f t="shared" si="20"/>
        <v>0</v>
      </c>
    </row>
    <row r="290" spans="1:13">
      <c r="A290" s="168"/>
      <c r="G290" s="138"/>
      <c r="H290" s="152">
        <v>285</v>
      </c>
      <c r="I290" s="153" t="str">
        <f t="shared" si="21"/>
        <v/>
      </c>
      <c r="J290" s="152">
        <f t="shared" si="22"/>
        <v>-5</v>
      </c>
      <c r="K290" s="152">
        <f t="shared" si="19"/>
        <v>-50</v>
      </c>
      <c r="L290" s="152"/>
      <c r="M290" s="154">
        <f t="shared" si="20"/>
        <v>0</v>
      </c>
    </row>
    <row r="291" spans="1:13">
      <c r="A291" s="168"/>
      <c r="G291" s="138"/>
      <c r="H291" s="152">
        <v>286</v>
      </c>
      <c r="I291" s="153" t="str">
        <f t="shared" si="21"/>
        <v/>
      </c>
      <c r="J291" s="152">
        <f t="shared" si="22"/>
        <v>-5</v>
      </c>
      <c r="K291" s="152">
        <f t="shared" si="19"/>
        <v>-50</v>
      </c>
      <c r="L291" s="152"/>
      <c r="M291" s="154">
        <f t="shared" si="20"/>
        <v>0</v>
      </c>
    </row>
    <row r="292" spans="1:13">
      <c r="A292" s="168"/>
      <c r="G292" s="138"/>
      <c r="H292" s="152">
        <v>287</v>
      </c>
      <c r="I292" s="153" t="str">
        <f t="shared" si="21"/>
        <v/>
      </c>
      <c r="J292" s="152">
        <f t="shared" si="22"/>
        <v>-5</v>
      </c>
      <c r="K292" s="152">
        <f t="shared" si="19"/>
        <v>-50</v>
      </c>
      <c r="L292" s="152"/>
      <c r="M292" s="154">
        <f t="shared" si="20"/>
        <v>0</v>
      </c>
    </row>
    <row r="293" spans="1:13">
      <c r="A293" s="168"/>
      <c r="G293" s="138"/>
      <c r="H293" s="152">
        <v>288</v>
      </c>
      <c r="I293" s="153" t="str">
        <f t="shared" si="21"/>
        <v/>
      </c>
      <c r="J293" s="152">
        <f t="shared" si="22"/>
        <v>-5</v>
      </c>
      <c r="K293" s="152">
        <f t="shared" si="19"/>
        <v>-50</v>
      </c>
      <c r="L293" s="152"/>
      <c r="M293" s="154">
        <f t="shared" si="20"/>
        <v>0</v>
      </c>
    </row>
    <row r="294" spans="1:13">
      <c r="A294" s="168"/>
      <c r="G294" s="138"/>
      <c r="H294" s="152">
        <v>289</v>
      </c>
      <c r="I294" s="153" t="str">
        <f t="shared" si="21"/>
        <v/>
      </c>
      <c r="J294" s="152">
        <f t="shared" si="22"/>
        <v>-5</v>
      </c>
      <c r="K294" s="152">
        <f t="shared" si="19"/>
        <v>-50</v>
      </c>
      <c r="L294" s="152"/>
      <c r="M294" s="154">
        <f t="shared" si="20"/>
        <v>0</v>
      </c>
    </row>
    <row r="295" spans="1:13">
      <c r="A295" s="168"/>
      <c r="G295" s="138"/>
      <c r="H295" s="152">
        <v>290</v>
      </c>
      <c r="I295" s="153" t="str">
        <f t="shared" si="21"/>
        <v/>
      </c>
      <c r="J295" s="152">
        <f t="shared" si="22"/>
        <v>-5</v>
      </c>
      <c r="K295" s="152">
        <f t="shared" si="19"/>
        <v>-50</v>
      </c>
      <c r="L295" s="152"/>
      <c r="M295" s="154">
        <f t="shared" si="20"/>
        <v>0</v>
      </c>
    </row>
    <row r="296" spans="1:13">
      <c r="A296" s="168"/>
      <c r="G296" s="138"/>
      <c r="H296" s="152">
        <v>291</v>
      </c>
      <c r="I296" s="153" t="str">
        <f t="shared" si="21"/>
        <v/>
      </c>
      <c r="J296" s="152">
        <f t="shared" si="22"/>
        <v>-5</v>
      </c>
      <c r="K296" s="152">
        <f t="shared" si="19"/>
        <v>-50</v>
      </c>
      <c r="L296" s="152"/>
      <c r="M296" s="154">
        <f t="shared" si="20"/>
        <v>0</v>
      </c>
    </row>
    <row r="297" spans="1:13">
      <c r="A297" s="168"/>
      <c r="G297" s="138"/>
      <c r="H297" s="152">
        <v>292</v>
      </c>
      <c r="I297" s="153" t="str">
        <f t="shared" si="21"/>
        <v/>
      </c>
      <c r="J297" s="152">
        <f t="shared" si="22"/>
        <v>-5</v>
      </c>
      <c r="K297" s="152">
        <f t="shared" si="19"/>
        <v>-50</v>
      </c>
      <c r="L297" s="152"/>
      <c r="M297" s="154">
        <f t="shared" si="20"/>
        <v>0</v>
      </c>
    </row>
    <row r="298" spans="1:13">
      <c r="A298" s="168"/>
      <c r="G298" s="138"/>
      <c r="H298" s="152">
        <v>293</v>
      </c>
      <c r="I298" s="153" t="str">
        <f t="shared" si="21"/>
        <v/>
      </c>
      <c r="J298" s="152">
        <f t="shared" si="22"/>
        <v>-5</v>
      </c>
      <c r="K298" s="152">
        <f t="shared" si="19"/>
        <v>-50</v>
      </c>
      <c r="L298" s="152"/>
      <c r="M298" s="154">
        <f t="shared" si="20"/>
        <v>0</v>
      </c>
    </row>
    <row r="299" spans="1:13">
      <c r="A299" s="168"/>
      <c r="G299" s="138"/>
      <c r="H299" s="152">
        <v>294</v>
      </c>
      <c r="I299" s="153" t="str">
        <f t="shared" si="21"/>
        <v/>
      </c>
      <c r="J299" s="152">
        <f t="shared" si="22"/>
        <v>-5</v>
      </c>
      <c r="K299" s="152">
        <f t="shared" si="19"/>
        <v>-50</v>
      </c>
      <c r="L299" s="152"/>
      <c r="M299" s="154">
        <f t="shared" si="20"/>
        <v>0</v>
      </c>
    </row>
    <row r="300" spans="1:13">
      <c r="A300" s="168"/>
      <c r="G300" s="138"/>
      <c r="H300" s="152">
        <v>295</v>
      </c>
      <c r="I300" s="153" t="str">
        <f t="shared" si="21"/>
        <v/>
      </c>
      <c r="J300" s="152">
        <f t="shared" si="22"/>
        <v>-5</v>
      </c>
      <c r="K300" s="152">
        <f t="shared" si="19"/>
        <v>-50</v>
      </c>
      <c r="L300" s="152"/>
      <c r="M300" s="154">
        <f t="shared" si="20"/>
        <v>0</v>
      </c>
    </row>
    <row r="301" spans="1:13">
      <c r="A301" s="168"/>
      <c r="G301" s="138"/>
      <c r="H301" s="152">
        <v>296</v>
      </c>
      <c r="I301" s="153" t="str">
        <f t="shared" si="21"/>
        <v/>
      </c>
      <c r="J301" s="152">
        <f t="shared" si="22"/>
        <v>-5</v>
      </c>
      <c r="K301" s="152">
        <f t="shared" si="19"/>
        <v>-50</v>
      </c>
      <c r="L301" s="152"/>
      <c r="M301" s="154">
        <f t="shared" si="20"/>
        <v>0</v>
      </c>
    </row>
    <row r="302" spans="1:13">
      <c r="A302" s="168"/>
      <c r="G302" s="138"/>
      <c r="H302" s="152">
        <v>297</v>
      </c>
      <c r="I302" s="153" t="str">
        <f t="shared" si="21"/>
        <v/>
      </c>
      <c r="J302" s="152">
        <f t="shared" si="22"/>
        <v>-5</v>
      </c>
      <c r="K302" s="152">
        <f t="shared" si="19"/>
        <v>-50</v>
      </c>
      <c r="L302" s="152"/>
      <c r="M302" s="154">
        <f t="shared" si="20"/>
        <v>0</v>
      </c>
    </row>
    <row r="303" spans="1:13">
      <c r="A303" s="168"/>
      <c r="G303" s="138"/>
      <c r="H303" s="152">
        <v>298</v>
      </c>
      <c r="I303" s="153" t="str">
        <f t="shared" si="21"/>
        <v/>
      </c>
      <c r="J303" s="152">
        <f t="shared" si="22"/>
        <v>-5</v>
      </c>
      <c r="K303" s="152">
        <f t="shared" si="19"/>
        <v>-50</v>
      </c>
      <c r="L303" s="152"/>
      <c r="M303" s="154">
        <f t="shared" si="20"/>
        <v>0</v>
      </c>
    </row>
    <row r="304" spans="1:13">
      <c r="A304" s="168"/>
      <c r="G304" s="138"/>
      <c r="H304" s="152">
        <v>299</v>
      </c>
      <c r="I304" s="153" t="str">
        <f t="shared" si="21"/>
        <v/>
      </c>
      <c r="J304" s="152">
        <f t="shared" si="22"/>
        <v>-5</v>
      </c>
      <c r="K304" s="152">
        <f t="shared" si="19"/>
        <v>-50</v>
      </c>
      <c r="L304" s="152"/>
      <c r="M304" s="154">
        <f t="shared" si="20"/>
        <v>0</v>
      </c>
    </row>
    <row r="305" spans="1:16">
      <c r="A305" s="168"/>
      <c r="G305" s="138"/>
      <c r="H305" s="152">
        <v>300</v>
      </c>
      <c r="I305" s="153" t="str">
        <f t="shared" si="21"/>
        <v/>
      </c>
      <c r="J305" s="152">
        <f t="shared" si="22"/>
        <v>-5</v>
      </c>
      <c r="K305" s="152">
        <f t="shared" si="19"/>
        <v>-50</v>
      </c>
      <c r="L305" s="152"/>
      <c r="M305" s="154">
        <f t="shared" si="20"/>
        <v>0</v>
      </c>
    </row>
    <row r="306" spans="1:16">
      <c r="A306" s="170"/>
    </row>
    <row r="314" spans="1:16">
      <c r="L314" s="173"/>
      <c r="P314" s="163"/>
    </row>
    <row r="315" spans="1:16">
      <c r="L315" s="173"/>
      <c r="P315" s="163"/>
    </row>
    <row r="316" spans="1:16">
      <c r="L316" s="173"/>
      <c r="P316" s="163"/>
    </row>
    <row r="317" spans="1:16">
      <c r="L317" s="173"/>
      <c r="P317" s="163"/>
    </row>
  </sheetData>
  <mergeCells count="2">
    <mergeCell ref="C2:D2"/>
    <mergeCell ref="C3:D3"/>
  </mergeCells>
  <conditionalFormatting sqref="J6:K305">
    <cfRule type="cellIs" dxfId="28" priority="1" operator="lessThanOrEqual">
      <formula>0</formula>
    </cfRule>
  </conditionalFormatting>
  <dataValidations count="1">
    <dataValidation type="list" allowBlank="1" showInputMessage="1" showErrorMessage="1" sqref="C38:C69" xr:uid="{09430E67-F8FE-48E7-BA7B-2F3A7C51C4D9}">
      <formula1>#REF!</formula1>
    </dataValidation>
  </dataValidations>
  <hyperlinks>
    <hyperlink ref="C2:D2" r:id="rId1" display="KRAKÓW" xr:uid="{D2C9C3F7-50E9-4F8B-AE58-D38C96410E8F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7DFB9-CCC0-4770-A57D-6A324D34B310}">
  <sheetPr>
    <tabColor rgb="FF92D050"/>
  </sheetPr>
  <dimension ref="A1:AL317"/>
  <sheetViews>
    <sheetView workbookViewId="0">
      <selection activeCell="C17" sqref="C17"/>
    </sheetView>
  </sheetViews>
  <sheetFormatPr defaultColWidth="8.85546875" defaultRowHeight="14.25"/>
  <cols>
    <col min="1" max="1" width="8" style="169" customWidth="1"/>
    <col min="2" max="2" width="8.28515625" style="169" customWidth="1"/>
    <col min="3" max="3" width="34.7109375" style="169" customWidth="1"/>
    <col min="4" max="4" width="11.28515625" style="169" customWidth="1"/>
    <col min="5" max="6" width="8.85546875" style="169"/>
    <col min="7" max="7" width="0.85546875" style="169" customWidth="1"/>
    <col min="8" max="8" width="8.85546875" style="171"/>
    <col min="9" max="9" width="11" style="171" customWidth="1"/>
    <col min="10" max="10" width="15.28515625" style="171" customWidth="1"/>
    <col min="11" max="11" width="8.7109375" style="171" customWidth="1"/>
    <col min="12" max="12" width="11" style="171" customWidth="1"/>
    <col min="13" max="13" width="11.7109375" style="172" customWidth="1"/>
    <col min="14" max="15" width="13.85546875" style="138" customWidth="1"/>
    <col min="16" max="18" width="8.85546875" style="138"/>
    <col min="19" max="20" width="8.85546875" style="143"/>
    <col min="21" max="21" width="12.140625" style="143" customWidth="1"/>
    <col min="22" max="22" width="27.42578125" style="143" customWidth="1"/>
    <col min="23" max="38" width="8.85546875" style="143"/>
    <col min="39" max="16384" width="8.85546875" style="169"/>
  </cols>
  <sheetData>
    <row r="1" spans="1:36">
      <c r="A1" s="138"/>
      <c r="B1" s="138"/>
      <c r="C1" s="138"/>
      <c r="D1" s="138"/>
      <c r="E1" s="138"/>
      <c r="F1" s="138"/>
      <c r="G1" s="138"/>
      <c r="H1" s="139" t="s">
        <v>34</v>
      </c>
      <c r="I1" s="140" t="s">
        <v>35</v>
      </c>
      <c r="J1" s="140" t="s">
        <v>36</v>
      </c>
      <c r="K1" s="141" t="s">
        <v>37</v>
      </c>
      <c r="L1" s="142"/>
      <c r="M1" s="142"/>
    </row>
    <row r="2" spans="1:36" ht="14.45" customHeight="1">
      <c r="A2" s="138"/>
      <c r="B2" s="21" t="s">
        <v>38</v>
      </c>
      <c r="C2" s="284" t="s">
        <v>97</v>
      </c>
      <c r="D2" s="284"/>
      <c r="E2" s="22"/>
      <c r="F2" s="22"/>
      <c r="G2" s="22"/>
      <c r="H2" s="144">
        <v>12</v>
      </c>
      <c r="I2" s="145">
        <v>50</v>
      </c>
      <c r="J2" s="145">
        <v>10</v>
      </c>
      <c r="K2" s="146">
        <f>3*H2^(1/3)</f>
        <v>6.8682854553199917</v>
      </c>
      <c r="L2" s="142"/>
      <c r="M2" s="142"/>
    </row>
    <row r="3" spans="1:36" ht="14.45" customHeight="1">
      <c r="A3" s="138"/>
      <c r="B3" s="147" t="s">
        <v>40</v>
      </c>
      <c r="C3" s="285" t="s">
        <v>98</v>
      </c>
      <c r="D3" s="285"/>
      <c r="E3" s="27"/>
      <c r="F3" s="27"/>
      <c r="G3" s="27"/>
      <c r="H3" s="142"/>
      <c r="I3" s="142"/>
      <c r="J3" s="148"/>
      <c r="K3" s="142"/>
      <c r="L3" s="142"/>
      <c r="M3" s="142"/>
    </row>
    <row r="4" spans="1:36" ht="10.15" customHeight="1">
      <c r="A4" s="29"/>
      <c r="B4" s="27"/>
      <c r="C4" s="29"/>
      <c r="D4" s="29"/>
      <c r="E4" s="29"/>
      <c r="F4" s="29"/>
      <c r="G4" s="29"/>
      <c r="H4" s="142"/>
      <c r="I4" s="142"/>
      <c r="J4" s="148"/>
      <c r="K4" s="142"/>
      <c r="L4" s="142"/>
      <c r="M4" s="142"/>
    </row>
    <row r="5" spans="1:36" ht="34.700000000000003">
      <c r="A5" s="1" t="s">
        <v>42</v>
      </c>
      <c r="B5" s="30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9"/>
      <c r="H5" s="149" t="s">
        <v>48</v>
      </c>
      <c r="I5" s="150" t="s">
        <v>49</v>
      </c>
      <c r="J5" s="151" t="s">
        <v>50</v>
      </c>
      <c r="K5" s="150" t="s">
        <v>51</v>
      </c>
      <c r="L5" s="150" t="s">
        <v>52</v>
      </c>
      <c r="M5" s="149" t="s">
        <v>53</v>
      </c>
    </row>
    <row r="6" spans="1:36" ht="14.45" customHeight="1">
      <c r="A6" s="34">
        <f>M6</f>
        <v>110.60485636595998</v>
      </c>
      <c r="B6" s="35">
        <f t="shared" ref="B6:B17" si="0">IF(H6&gt;$H$2,"",(ROW()-5))</f>
        <v>1</v>
      </c>
      <c r="C6" s="36" t="s">
        <v>21</v>
      </c>
      <c r="D6" s="36" t="s">
        <v>71</v>
      </c>
      <c r="E6" s="36"/>
      <c r="F6" s="36"/>
      <c r="G6" s="29"/>
      <c r="H6" s="152">
        <v>1</v>
      </c>
      <c r="I6" s="153">
        <f>IF(H2=1,50,IF(H6&lt;$H$2+1,($I$2-($I$2-1)*(LOG(H6)/LOG($H$2))),""))</f>
        <v>50</v>
      </c>
      <c r="J6" s="152">
        <f>INT(LOG($H$2,2))-ROUNDUP(LOG(H6,2),0)+IF(OR($H$2=1,$H$2=2,$H$2=4,$H$2=8,$H$2=16,$H$2=32,$H$2=64,$H$2=128,$H$2=256),0,1)</f>
        <v>4</v>
      </c>
      <c r="K6" s="152">
        <f t="shared" ref="K6:K69" si="1">J6*$J$2</f>
        <v>40</v>
      </c>
      <c r="L6" s="154">
        <f>3*K2</f>
        <v>20.604856365959975</v>
      </c>
      <c r="M6" s="154">
        <f t="shared" ref="M6:M69" si="2">IF(I6&lt;&gt;"",K6+I6+L6,0)</f>
        <v>110.60485636595998</v>
      </c>
    </row>
    <row r="7" spans="1:36" ht="14.45" customHeight="1">
      <c r="A7" s="40">
        <f t="shared" ref="A7:A37" si="3">M7</f>
        <v>80.068366573734622</v>
      </c>
      <c r="B7" s="41">
        <f t="shared" si="0"/>
        <v>2</v>
      </c>
      <c r="C7" s="42" t="s">
        <v>23</v>
      </c>
      <c r="D7" s="42" t="s">
        <v>54</v>
      </c>
      <c r="E7" s="42"/>
      <c r="F7" s="42"/>
      <c r="G7" s="29"/>
      <c r="H7" s="155">
        <v>2</v>
      </c>
      <c r="I7" s="156">
        <f t="shared" ref="I7:I70" si="4">IF(H7&lt;$H$2+1,($I$2-($I$2-1)*(LOG(H7)/LOG($H$2))),"")</f>
        <v>36.331795663094638</v>
      </c>
      <c r="J7" s="155">
        <f t="shared" ref="J7:J70" si="5">INT(LOG($H$2,2))-ROUNDUP(LOG(H7,2),0)+IF(OR($H$2=1,$H$2=2,$H$2=4,$H$2=8,$H$2=16,$H$2=32,$H$2=64,$H$2=128,$H$2=256),0,1)</f>
        <v>3</v>
      </c>
      <c r="K7" s="155">
        <f t="shared" si="1"/>
        <v>30</v>
      </c>
      <c r="L7" s="157">
        <f>2*K2</f>
        <v>13.736570910639983</v>
      </c>
      <c r="M7" s="157">
        <f t="shared" si="2"/>
        <v>80.068366573734622</v>
      </c>
    </row>
    <row r="8" spans="1:36" ht="14.45" customHeight="1">
      <c r="A8" s="34">
        <f t="shared" si="3"/>
        <v>55.204694129130715</v>
      </c>
      <c r="B8" s="35">
        <f t="shared" si="0"/>
        <v>3</v>
      </c>
      <c r="C8" s="36" t="s">
        <v>20</v>
      </c>
      <c r="D8" s="36" t="s">
        <v>99</v>
      </c>
      <c r="E8" s="36"/>
      <c r="F8" s="36"/>
      <c r="G8" s="29"/>
      <c r="H8" s="152">
        <v>3</v>
      </c>
      <c r="I8" s="153">
        <f t="shared" si="4"/>
        <v>28.336408673810727</v>
      </c>
      <c r="J8" s="152">
        <f t="shared" si="5"/>
        <v>2</v>
      </c>
      <c r="K8" s="152">
        <f t="shared" si="1"/>
        <v>20</v>
      </c>
      <c r="L8" s="154">
        <f>K2</f>
        <v>6.8682854553199917</v>
      </c>
      <c r="M8" s="154">
        <f t="shared" si="2"/>
        <v>55.204694129130715</v>
      </c>
    </row>
    <row r="9" spans="1:36" ht="14.45" customHeight="1">
      <c r="A9" s="40">
        <f t="shared" si="3"/>
        <v>42.663591326189277</v>
      </c>
      <c r="B9" s="41">
        <f t="shared" si="0"/>
        <v>4</v>
      </c>
      <c r="C9" s="42" t="s">
        <v>19</v>
      </c>
      <c r="D9" s="42" t="s">
        <v>54</v>
      </c>
      <c r="E9" s="42"/>
      <c r="F9" s="42"/>
      <c r="G9" s="29"/>
      <c r="H9" s="155">
        <v>4</v>
      </c>
      <c r="I9" s="156">
        <f t="shared" si="4"/>
        <v>22.663591326189277</v>
      </c>
      <c r="J9" s="155">
        <f t="shared" si="5"/>
        <v>2</v>
      </c>
      <c r="K9" s="155">
        <f t="shared" si="1"/>
        <v>20</v>
      </c>
      <c r="L9" s="157"/>
      <c r="M9" s="157">
        <f t="shared" si="2"/>
        <v>42.663591326189277</v>
      </c>
      <c r="V9" s="158"/>
      <c r="Z9" s="159"/>
      <c r="AA9" s="159"/>
      <c r="AG9" s="160"/>
      <c r="AH9" s="143" t="s">
        <v>57</v>
      </c>
      <c r="AI9" s="143">
        <v>23</v>
      </c>
    </row>
    <row r="10" spans="1:36" ht="14.45" customHeight="1">
      <c r="A10" s="34">
        <f t="shared" si="3"/>
        <v>28.263412343478148</v>
      </c>
      <c r="B10" s="35">
        <f t="shared" si="0"/>
        <v>5</v>
      </c>
      <c r="C10" s="36" t="s">
        <v>24</v>
      </c>
      <c r="D10" s="36" t="s">
        <v>56</v>
      </c>
      <c r="E10" s="36"/>
      <c r="F10" s="36"/>
      <c r="G10" s="29"/>
      <c r="H10" s="152">
        <v>5</v>
      </c>
      <c r="I10" s="153">
        <f t="shared" si="4"/>
        <v>18.263412343478148</v>
      </c>
      <c r="J10" s="152">
        <f t="shared" si="5"/>
        <v>1</v>
      </c>
      <c r="K10" s="152">
        <f t="shared" si="1"/>
        <v>10</v>
      </c>
      <c r="L10" s="152"/>
      <c r="M10" s="154">
        <f t="shared" si="2"/>
        <v>28.263412343478148</v>
      </c>
      <c r="V10" s="158"/>
      <c r="Z10" s="159"/>
      <c r="AA10" s="159"/>
      <c r="AG10" s="160"/>
      <c r="AH10" s="143" t="s">
        <v>58</v>
      </c>
      <c r="AI10" s="143">
        <v>45</v>
      </c>
    </row>
    <row r="11" spans="1:36" ht="14.45" customHeight="1">
      <c r="A11" s="40">
        <f t="shared" si="3"/>
        <v>24.668204336905362</v>
      </c>
      <c r="B11" s="41">
        <f t="shared" si="0"/>
        <v>6</v>
      </c>
      <c r="C11" s="42" t="s">
        <v>25</v>
      </c>
      <c r="D11" s="42" t="s">
        <v>59</v>
      </c>
      <c r="E11" s="42"/>
      <c r="F11" s="42"/>
      <c r="G11" s="29"/>
      <c r="H11" s="155">
        <v>6</v>
      </c>
      <c r="I11" s="156">
        <f t="shared" si="4"/>
        <v>14.668204336905362</v>
      </c>
      <c r="J11" s="155">
        <f t="shared" si="5"/>
        <v>1</v>
      </c>
      <c r="K11" s="155">
        <f t="shared" si="1"/>
        <v>10</v>
      </c>
      <c r="L11" s="155"/>
      <c r="M11" s="157">
        <f t="shared" si="2"/>
        <v>24.668204336905362</v>
      </c>
      <c r="V11" s="161"/>
      <c r="Z11" s="159"/>
      <c r="AA11" s="159"/>
      <c r="AG11" s="160"/>
      <c r="AH11" s="143" t="s">
        <v>60</v>
      </c>
      <c r="AI11" s="143">
        <v>50</v>
      </c>
    </row>
    <row r="12" spans="1:36" ht="14.45" customHeight="1">
      <c r="A12" s="34">
        <f t="shared" si="3"/>
        <v>21.628499279099643</v>
      </c>
      <c r="B12" s="35">
        <f t="shared" si="0"/>
        <v>7</v>
      </c>
      <c r="C12" s="36" t="s">
        <v>100</v>
      </c>
      <c r="D12" s="36" t="s">
        <v>54</v>
      </c>
      <c r="E12" s="36"/>
      <c r="F12" s="36"/>
      <c r="G12" s="29"/>
      <c r="H12" s="152">
        <v>7</v>
      </c>
      <c r="I12" s="153">
        <f t="shared" si="4"/>
        <v>11.628499279099643</v>
      </c>
      <c r="J12" s="152">
        <f t="shared" si="5"/>
        <v>1</v>
      </c>
      <c r="K12" s="152">
        <f t="shared" si="1"/>
        <v>10</v>
      </c>
      <c r="L12" s="152"/>
      <c r="M12" s="154">
        <f t="shared" si="2"/>
        <v>21.628499279099643</v>
      </c>
      <c r="Z12" s="159"/>
      <c r="AA12" s="159"/>
      <c r="AG12" s="160"/>
      <c r="AH12" s="143" t="s">
        <v>61</v>
      </c>
      <c r="AI12" s="143">
        <f>AI11-1</f>
        <v>49</v>
      </c>
    </row>
    <row r="13" spans="1:36" ht="14.45" customHeight="1">
      <c r="A13" s="50">
        <f t="shared" si="3"/>
        <v>18.995386989283922</v>
      </c>
      <c r="B13" s="41">
        <f t="shared" si="0"/>
        <v>8</v>
      </c>
      <c r="C13" s="42" t="s">
        <v>22</v>
      </c>
      <c r="D13" s="42" t="s">
        <v>54</v>
      </c>
      <c r="E13" s="42"/>
      <c r="F13" s="42"/>
      <c r="G13" s="29"/>
      <c r="H13" s="155">
        <v>8</v>
      </c>
      <c r="I13" s="156">
        <f t="shared" si="4"/>
        <v>8.9953869892839222</v>
      </c>
      <c r="J13" s="155">
        <f t="shared" si="5"/>
        <v>1</v>
      </c>
      <c r="K13" s="155">
        <f t="shared" si="1"/>
        <v>10</v>
      </c>
      <c r="L13" s="155"/>
      <c r="M13" s="157">
        <f t="shared" si="2"/>
        <v>18.995386989283922</v>
      </c>
      <c r="X13" s="158"/>
      <c r="AG13" s="160"/>
      <c r="AH13" s="143" t="s">
        <v>62</v>
      </c>
      <c r="AI13" s="143">
        <f>LOG(AI9)</f>
        <v>1.3617278360175928</v>
      </c>
    </row>
    <row r="14" spans="1:36" ht="38.85">
      <c r="A14" s="51">
        <f t="shared" si="3"/>
        <v>6.6728173476214536</v>
      </c>
      <c r="B14" s="35">
        <f t="shared" si="0"/>
        <v>9</v>
      </c>
      <c r="C14" s="36" t="s">
        <v>27</v>
      </c>
      <c r="D14" s="36" t="s">
        <v>54</v>
      </c>
      <c r="E14" s="36"/>
      <c r="F14" s="36"/>
      <c r="G14" s="29"/>
      <c r="H14" s="152">
        <v>9</v>
      </c>
      <c r="I14" s="153">
        <f t="shared" si="4"/>
        <v>6.6728173476214536</v>
      </c>
      <c r="J14" s="152">
        <f t="shared" si="5"/>
        <v>0</v>
      </c>
      <c r="K14" s="152">
        <f t="shared" si="1"/>
        <v>0</v>
      </c>
      <c r="L14" s="152"/>
      <c r="M14" s="154">
        <f t="shared" si="2"/>
        <v>6.6728173476214536</v>
      </c>
      <c r="X14" s="162"/>
      <c r="Z14" s="159"/>
      <c r="AA14" s="159"/>
      <c r="AG14" s="160"/>
      <c r="AH14" s="143" t="s">
        <v>64</v>
      </c>
      <c r="AI14" s="143">
        <f>LOG(AI10)</f>
        <v>1.6532125137753437</v>
      </c>
    </row>
    <row r="15" spans="1:36" ht="38.85">
      <c r="A15" s="50">
        <f t="shared" si="3"/>
        <v>4.5952080065727898</v>
      </c>
      <c r="B15" s="41">
        <f t="shared" si="0"/>
        <v>10</v>
      </c>
      <c r="C15" s="42" t="s">
        <v>28</v>
      </c>
      <c r="D15" s="42" t="s">
        <v>54</v>
      </c>
      <c r="E15" s="42"/>
      <c r="F15" s="42"/>
      <c r="G15" s="29"/>
      <c r="H15" s="155">
        <v>10</v>
      </c>
      <c r="I15" s="156">
        <f t="shared" si="4"/>
        <v>4.5952080065727898</v>
      </c>
      <c r="J15" s="155">
        <f t="shared" si="5"/>
        <v>0</v>
      </c>
      <c r="K15" s="155">
        <f t="shared" si="1"/>
        <v>0</v>
      </c>
      <c r="L15" s="155"/>
      <c r="M15" s="157">
        <f t="shared" si="2"/>
        <v>4.5952080065727898</v>
      </c>
      <c r="X15" s="158"/>
      <c r="Z15" s="159"/>
      <c r="AA15" s="159"/>
    </row>
    <row r="16" spans="1:36" ht="51.6">
      <c r="A16" s="51">
        <f t="shared" si="3"/>
        <v>2.7157817469141534</v>
      </c>
      <c r="B16" s="35">
        <f t="shared" si="0"/>
        <v>11</v>
      </c>
      <c r="C16" s="36" t="s">
        <v>101</v>
      </c>
      <c r="D16" s="36" t="s">
        <v>79</v>
      </c>
      <c r="E16" s="36"/>
      <c r="F16" s="36"/>
      <c r="G16" s="29"/>
      <c r="H16" s="152">
        <v>11</v>
      </c>
      <c r="I16" s="153">
        <f t="shared" si="4"/>
        <v>2.7157817469141534</v>
      </c>
      <c r="J16" s="152">
        <f t="shared" si="5"/>
        <v>0</v>
      </c>
      <c r="K16" s="152">
        <f t="shared" si="1"/>
        <v>0</v>
      </c>
      <c r="L16" s="152"/>
      <c r="M16" s="154">
        <f t="shared" si="2"/>
        <v>2.7157817469141534</v>
      </c>
      <c r="R16" s="163"/>
      <c r="Z16" s="159"/>
      <c r="AA16" s="159"/>
      <c r="AH16" s="164" t="s">
        <v>66</v>
      </c>
      <c r="AI16" s="143">
        <f>AI11-AI12*AI13/AI14</f>
        <v>9.6393909380186855</v>
      </c>
      <c r="AJ16" s="143" t="s">
        <v>67</v>
      </c>
    </row>
    <row r="17" spans="1:19" ht="25.9">
      <c r="A17" s="50">
        <f t="shared" si="3"/>
        <v>1</v>
      </c>
      <c r="B17" s="41">
        <f t="shared" si="0"/>
        <v>12</v>
      </c>
      <c r="C17" s="42" t="s">
        <v>31</v>
      </c>
      <c r="D17" s="42" t="s">
        <v>102</v>
      </c>
      <c r="E17" s="42"/>
      <c r="F17" s="42"/>
      <c r="G17" s="29"/>
      <c r="H17" s="155">
        <v>12</v>
      </c>
      <c r="I17" s="156">
        <f t="shared" si="4"/>
        <v>1</v>
      </c>
      <c r="J17" s="155">
        <f t="shared" si="5"/>
        <v>0</v>
      </c>
      <c r="K17" s="155">
        <f t="shared" si="1"/>
        <v>0</v>
      </c>
      <c r="L17" s="155"/>
      <c r="M17" s="157">
        <f t="shared" si="2"/>
        <v>1</v>
      </c>
    </row>
    <row r="18" spans="1:19">
      <c r="A18" s="51">
        <f t="shared" si="3"/>
        <v>0</v>
      </c>
      <c r="B18" s="35" t="str">
        <f t="shared" ref="B18:B65" si="6">IF(H18&gt;$H$2,"",(ROW()-5))</f>
        <v/>
      </c>
      <c r="C18" s="36"/>
      <c r="D18" s="36"/>
      <c r="E18" s="36"/>
      <c r="F18" s="36"/>
      <c r="G18" s="29"/>
      <c r="H18" s="152">
        <v>13</v>
      </c>
      <c r="I18" s="153" t="str">
        <f t="shared" si="4"/>
        <v/>
      </c>
      <c r="J18" s="152">
        <f t="shared" si="5"/>
        <v>0</v>
      </c>
      <c r="K18" s="152">
        <f t="shared" si="1"/>
        <v>0</v>
      </c>
      <c r="L18" s="152"/>
      <c r="M18" s="154">
        <f t="shared" si="2"/>
        <v>0</v>
      </c>
    </row>
    <row r="19" spans="1:19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55">
        <v>14</v>
      </c>
      <c r="I19" s="156" t="str">
        <f t="shared" si="4"/>
        <v/>
      </c>
      <c r="J19" s="155">
        <f t="shared" si="5"/>
        <v>0</v>
      </c>
      <c r="K19" s="155">
        <f t="shared" si="1"/>
        <v>0</v>
      </c>
      <c r="L19" s="155"/>
      <c r="M19" s="157">
        <f t="shared" si="2"/>
        <v>0</v>
      </c>
    </row>
    <row r="20" spans="1:19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152">
        <v>15</v>
      </c>
      <c r="I20" s="153" t="str">
        <f t="shared" si="4"/>
        <v/>
      </c>
      <c r="J20" s="152">
        <f t="shared" si="5"/>
        <v>0</v>
      </c>
      <c r="K20" s="152">
        <f t="shared" si="1"/>
        <v>0</v>
      </c>
      <c r="L20" s="152"/>
      <c r="M20" s="154">
        <f t="shared" si="2"/>
        <v>0</v>
      </c>
      <c r="R20" s="165"/>
      <c r="S20" s="166"/>
    </row>
    <row r="21" spans="1:19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55">
        <v>16</v>
      </c>
      <c r="I21" s="156" t="str">
        <f t="shared" si="4"/>
        <v/>
      </c>
      <c r="J21" s="155">
        <f t="shared" si="5"/>
        <v>0</v>
      </c>
      <c r="K21" s="155">
        <f t="shared" si="1"/>
        <v>0</v>
      </c>
      <c r="L21" s="155"/>
      <c r="M21" s="157">
        <f t="shared" si="2"/>
        <v>0</v>
      </c>
    </row>
    <row r="22" spans="1:19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152">
        <v>17</v>
      </c>
      <c r="I22" s="153" t="str">
        <f t="shared" si="4"/>
        <v/>
      </c>
      <c r="J22" s="152">
        <f t="shared" si="5"/>
        <v>-1</v>
      </c>
      <c r="K22" s="152">
        <f t="shared" si="1"/>
        <v>-10</v>
      </c>
      <c r="L22" s="152"/>
      <c r="M22" s="154">
        <f t="shared" si="2"/>
        <v>0</v>
      </c>
    </row>
    <row r="23" spans="1:19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55">
        <v>18</v>
      </c>
      <c r="I23" s="156" t="str">
        <f t="shared" si="4"/>
        <v/>
      </c>
      <c r="J23" s="155">
        <f t="shared" si="5"/>
        <v>-1</v>
      </c>
      <c r="K23" s="155">
        <f t="shared" si="1"/>
        <v>-10</v>
      </c>
      <c r="L23" s="155"/>
      <c r="M23" s="157">
        <f t="shared" si="2"/>
        <v>0</v>
      </c>
    </row>
    <row r="24" spans="1:19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152">
        <v>19</v>
      </c>
      <c r="I24" s="153" t="str">
        <f t="shared" si="4"/>
        <v/>
      </c>
      <c r="J24" s="152">
        <f t="shared" si="5"/>
        <v>-1</v>
      </c>
      <c r="K24" s="152">
        <f t="shared" si="1"/>
        <v>-10</v>
      </c>
      <c r="L24" s="152"/>
      <c r="M24" s="154">
        <f t="shared" si="2"/>
        <v>0</v>
      </c>
      <c r="R24" s="165"/>
      <c r="S24" s="166"/>
    </row>
    <row r="25" spans="1:19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55">
        <v>20</v>
      </c>
      <c r="I25" s="156" t="str">
        <f t="shared" si="4"/>
        <v/>
      </c>
      <c r="J25" s="155">
        <f t="shared" si="5"/>
        <v>-1</v>
      </c>
      <c r="K25" s="155">
        <f t="shared" si="1"/>
        <v>-10</v>
      </c>
      <c r="L25" s="155"/>
      <c r="M25" s="157">
        <f t="shared" si="2"/>
        <v>0</v>
      </c>
    </row>
    <row r="26" spans="1:19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152">
        <v>21</v>
      </c>
      <c r="I26" s="153" t="str">
        <f t="shared" si="4"/>
        <v/>
      </c>
      <c r="J26" s="152">
        <f t="shared" si="5"/>
        <v>-1</v>
      </c>
      <c r="K26" s="152">
        <f t="shared" si="1"/>
        <v>-10</v>
      </c>
      <c r="L26" s="152"/>
      <c r="M26" s="154">
        <f t="shared" si="2"/>
        <v>0</v>
      </c>
    </row>
    <row r="27" spans="1:19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55">
        <v>22</v>
      </c>
      <c r="I27" s="156" t="str">
        <f t="shared" si="4"/>
        <v/>
      </c>
      <c r="J27" s="155">
        <f t="shared" si="5"/>
        <v>-1</v>
      </c>
      <c r="K27" s="155">
        <f t="shared" si="1"/>
        <v>-10</v>
      </c>
      <c r="L27" s="155"/>
      <c r="M27" s="157">
        <f t="shared" si="2"/>
        <v>0</v>
      </c>
    </row>
    <row r="28" spans="1:19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152">
        <v>23</v>
      </c>
      <c r="I28" s="153" t="str">
        <f t="shared" si="4"/>
        <v/>
      </c>
      <c r="J28" s="152">
        <f t="shared" si="5"/>
        <v>-1</v>
      </c>
      <c r="K28" s="152">
        <f t="shared" si="1"/>
        <v>-10</v>
      </c>
      <c r="L28" s="152"/>
      <c r="M28" s="154">
        <f t="shared" si="2"/>
        <v>0</v>
      </c>
      <c r="R28" s="165"/>
      <c r="S28" s="166"/>
    </row>
    <row r="29" spans="1:19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38"/>
      <c r="H29" s="155">
        <v>24</v>
      </c>
      <c r="I29" s="156" t="str">
        <f t="shared" si="4"/>
        <v/>
      </c>
      <c r="J29" s="155">
        <f t="shared" si="5"/>
        <v>-1</v>
      </c>
      <c r="K29" s="155">
        <f t="shared" si="1"/>
        <v>-10</v>
      </c>
      <c r="L29" s="155"/>
      <c r="M29" s="157">
        <f t="shared" si="2"/>
        <v>0</v>
      </c>
    </row>
    <row r="30" spans="1:19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38"/>
      <c r="H30" s="152">
        <v>25</v>
      </c>
      <c r="I30" s="153" t="str">
        <f t="shared" si="4"/>
        <v/>
      </c>
      <c r="J30" s="152">
        <f t="shared" si="5"/>
        <v>-1</v>
      </c>
      <c r="K30" s="152">
        <f t="shared" si="1"/>
        <v>-10</v>
      </c>
      <c r="L30" s="152"/>
      <c r="M30" s="154">
        <f t="shared" si="2"/>
        <v>0</v>
      </c>
    </row>
    <row r="31" spans="1:19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38"/>
      <c r="H31" s="155">
        <v>26</v>
      </c>
      <c r="I31" s="156" t="str">
        <f t="shared" si="4"/>
        <v/>
      </c>
      <c r="J31" s="155">
        <f t="shared" si="5"/>
        <v>-1</v>
      </c>
      <c r="K31" s="155">
        <f t="shared" si="1"/>
        <v>-10</v>
      </c>
      <c r="L31" s="155"/>
      <c r="M31" s="157">
        <f t="shared" si="2"/>
        <v>0</v>
      </c>
    </row>
    <row r="32" spans="1:19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38"/>
      <c r="H32" s="152">
        <v>27</v>
      </c>
      <c r="I32" s="153" t="str">
        <f t="shared" si="4"/>
        <v/>
      </c>
      <c r="J32" s="152">
        <f t="shared" si="5"/>
        <v>-1</v>
      </c>
      <c r="K32" s="152">
        <f t="shared" si="1"/>
        <v>-10</v>
      </c>
      <c r="L32" s="152"/>
      <c r="M32" s="154">
        <f t="shared" si="2"/>
        <v>0</v>
      </c>
      <c r="R32" s="165"/>
      <c r="S32" s="166"/>
    </row>
    <row r="33" spans="1:21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38"/>
      <c r="H33" s="155">
        <v>28</v>
      </c>
      <c r="I33" s="156" t="str">
        <f t="shared" si="4"/>
        <v/>
      </c>
      <c r="J33" s="155">
        <f t="shared" si="5"/>
        <v>-1</v>
      </c>
      <c r="K33" s="155">
        <f t="shared" si="1"/>
        <v>-10</v>
      </c>
      <c r="L33" s="155"/>
      <c r="M33" s="157">
        <f t="shared" si="2"/>
        <v>0</v>
      </c>
    </row>
    <row r="34" spans="1:21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38"/>
      <c r="H34" s="152">
        <v>29</v>
      </c>
      <c r="I34" s="153" t="str">
        <f t="shared" si="4"/>
        <v/>
      </c>
      <c r="J34" s="152">
        <f t="shared" si="5"/>
        <v>-1</v>
      </c>
      <c r="K34" s="152">
        <f t="shared" si="1"/>
        <v>-10</v>
      </c>
      <c r="L34" s="152"/>
      <c r="M34" s="154">
        <f t="shared" si="2"/>
        <v>0</v>
      </c>
    </row>
    <row r="35" spans="1:21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38"/>
      <c r="H35" s="155">
        <v>30</v>
      </c>
      <c r="I35" s="156" t="str">
        <f t="shared" si="4"/>
        <v/>
      </c>
      <c r="J35" s="155">
        <f t="shared" si="5"/>
        <v>-1</v>
      </c>
      <c r="K35" s="155">
        <f t="shared" si="1"/>
        <v>-10</v>
      </c>
      <c r="L35" s="155"/>
      <c r="M35" s="157">
        <f t="shared" si="2"/>
        <v>0</v>
      </c>
    </row>
    <row r="36" spans="1:21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38"/>
      <c r="H36" s="152">
        <v>31</v>
      </c>
      <c r="I36" s="153" t="str">
        <f t="shared" si="4"/>
        <v/>
      </c>
      <c r="J36" s="152">
        <f t="shared" si="5"/>
        <v>-1</v>
      </c>
      <c r="K36" s="152">
        <f t="shared" si="1"/>
        <v>-10</v>
      </c>
      <c r="L36" s="152"/>
      <c r="M36" s="154">
        <f t="shared" si="2"/>
        <v>0</v>
      </c>
      <c r="R36" s="165"/>
      <c r="S36" s="166"/>
    </row>
    <row r="37" spans="1:21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38"/>
      <c r="H37" s="155">
        <v>32</v>
      </c>
      <c r="I37" s="156" t="str">
        <f t="shared" si="4"/>
        <v/>
      </c>
      <c r="J37" s="155">
        <f t="shared" si="5"/>
        <v>-1</v>
      </c>
      <c r="K37" s="155">
        <f t="shared" si="1"/>
        <v>-10</v>
      </c>
      <c r="L37" s="155"/>
      <c r="M37" s="157">
        <f t="shared" si="2"/>
        <v>0</v>
      </c>
    </row>
    <row r="38" spans="1:21">
      <c r="A38" s="51"/>
      <c r="B38" s="35" t="str">
        <f t="shared" si="6"/>
        <v/>
      </c>
      <c r="C38" s="36"/>
      <c r="D38" s="36"/>
      <c r="E38" s="36"/>
      <c r="F38" s="36"/>
      <c r="G38" s="138"/>
      <c r="H38" s="152">
        <v>33</v>
      </c>
      <c r="I38" s="153" t="str">
        <f t="shared" si="4"/>
        <v/>
      </c>
      <c r="J38" s="152">
        <f t="shared" si="5"/>
        <v>-2</v>
      </c>
      <c r="K38" s="152">
        <f t="shared" si="1"/>
        <v>-20</v>
      </c>
      <c r="L38" s="152"/>
      <c r="M38" s="154">
        <f t="shared" si="2"/>
        <v>0</v>
      </c>
    </row>
    <row r="39" spans="1:21">
      <c r="A39" s="50"/>
      <c r="B39" s="41" t="str">
        <f t="shared" si="6"/>
        <v/>
      </c>
      <c r="C39" s="42"/>
      <c r="D39" s="42"/>
      <c r="E39" s="42"/>
      <c r="F39" s="42"/>
      <c r="G39" s="138"/>
      <c r="H39" s="155">
        <v>34</v>
      </c>
      <c r="I39" s="156" t="str">
        <f t="shared" si="4"/>
        <v/>
      </c>
      <c r="J39" s="155">
        <f t="shared" si="5"/>
        <v>-2</v>
      </c>
      <c r="K39" s="155">
        <f t="shared" si="1"/>
        <v>-20</v>
      </c>
      <c r="L39" s="155"/>
      <c r="M39" s="157">
        <f t="shared" si="2"/>
        <v>0</v>
      </c>
    </row>
    <row r="40" spans="1:21">
      <c r="A40" s="51"/>
      <c r="B40" s="35" t="str">
        <f t="shared" si="6"/>
        <v/>
      </c>
      <c r="C40" s="36"/>
      <c r="D40" s="36"/>
      <c r="E40" s="36"/>
      <c r="F40" s="36"/>
      <c r="G40" s="138"/>
      <c r="H40" s="152">
        <v>35</v>
      </c>
      <c r="I40" s="153" t="str">
        <f t="shared" si="4"/>
        <v/>
      </c>
      <c r="J40" s="152">
        <f t="shared" si="5"/>
        <v>-2</v>
      </c>
      <c r="K40" s="152">
        <f t="shared" si="1"/>
        <v>-20</v>
      </c>
      <c r="L40" s="152"/>
      <c r="M40" s="154">
        <f t="shared" si="2"/>
        <v>0</v>
      </c>
    </row>
    <row r="41" spans="1:21">
      <c r="A41" s="50"/>
      <c r="B41" s="41" t="str">
        <f t="shared" si="6"/>
        <v/>
      </c>
      <c r="C41" s="42"/>
      <c r="D41" s="42"/>
      <c r="E41" s="42"/>
      <c r="F41" s="42"/>
      <c r="G41" s="138"/>
      <c r="H41" s="155">
        <v>36</v>
      </c>
      <c r="I41" s="156" t="str">
        <f t="shared" si="4"/>
        <v/>
      </c>
      <c r="J41" s="155">
        <f t="shared" si="5"/>
        <v>-2</v>
      </c>
      <c r="K41" s="155">
        <f t="shared" si="1"/>
        <v>-20</v>
      </c>
      <c r="L41" s="155"/>
      <c r="M41" s="157">
        <f t="shared" si="2"/>
        <v>0</v>
      </c>
      <c r="S41" s="167"/>
    </row>
    <row r="42" spans="1:21">
      <c r="A42" s="51"/>
      <c r="B42" s="35" t="str">
        <f t="shared" si="6"/>
        <v/>
      </c>
      <c r="C42" s="36"/>
      <c r="D42" s="36"/>
      <c r="E42" s="36"/>
      <c r="F42" s="36"/>
      <c r="G42" s="138"/>
      <c r="H42" s="152">
        <v>37</v>
      </c>
      <c r="I42" s="153" t="str">
        <f t="shared" si="4"/>
        <v/>
      </c>
      <c r="J42" s="152">
        <f t="shared" si="5"/>
        <v>-2</v>
      </c>
      <c r="K42" s="152">
        <f t="shared" si="1"/>
        <v>-20</v>
      </c>
      <c r="L42" s="152"/>
      <c r="M42" s="154">
        <f t="shared" si="2"/>
        <v>0</v>
      </c>
    </row>
    <row r="43" spans="1:21">
      <c r="A43" s="50"/>
      <c r="B43" s="41" t="str">
        <f t="shared" si="6"/>
        <v/>
      </c>
      <c r="C43" s="42"/>
      <c r="D43" s="42"/>
      <c r="E43" s="42"/>
      <c r="F43" s="42"/>
      <c r="G43" s="138"/>
      <c r="H43" s="155">
        <v>38</v>
      </c>
      <c r="I43" s="156" t="str">
        <f t="shared" si="4"/>
        <v/>
      </c>
      <c r="J43" s="155">
        <f t="shared" si="5"/>
        <v>-2</v>
      </c>
      <c r="K43" s="155">
        <f t="shared" si="1"/>
        <v>-20</v>
      </c>
      <c r="L43" s="155"/>
      <c r="M43" s="157">
        <f t="shared" si="2"/>
        <v>0</v>
      </c>
    </row>
    <row r="44" spans="1:21">
      <c r="A44" s="51"/>
      <c r="B44" s="35" t="str">
        <f t="shared" si="6"/>
        <v/>
      </c>
      <c r="C44" s="36"/>
      <c r="D44" s="36"/>
      <c r="E44" s="36"/>
      <c r="F44" s="36"/>
      <c r="G44" s="138"/>
      <c r="H44" s="152">
        <v>39</v>
      </c>
      <c r="I44" s="153" t="str">
        <f t="shared" si="4"/>
        <v/>
      </c>
      <c r="J44" s="152">
        <f t="shared" si="5"/>
        <v>-2</v>
      </c>
      <c r="K44" s="152">
        <f t="shared" si="1"/>
        <v>-20</v>
      </c>
      <c r="L44" s="152"/>
      <c r="M44" s="154">
        <f t="shared" si="2"/>
        <v>0</v>
      </c>
    </row>
    <row r="45" spans="1:21">
      <c r="A45" s="50"/>
      <c r="B45" s="41" t="str">
        <f t="shared" si="6"/>
        <v/>
      </c>
      <c r="C45" s="42"/>
      <c r="D45" s="42"/>
      <c r="E45" s="42"/>
      <c r="F45" s="42"/>
      <c r="G45" s="138"/>
      <c r="H45" s="155">
        <v>40</v>
      </c>
      <c r="I45" s="156" t="str">
        <f t="shared" si="4"/>
        <v/>
      </c>
      <c r="J45" s="155">
        <f t="shared" si="5"/>
        <v>-2</v>
      </c>
      <c r="K45" s="155">
        <f t="shared" si="1"/>
        <v>-20</v>
      </c>
      <c r="L45" s="155"/>
      <c r="M45" s="157">
        <f t="shared" si="2"/>
        <v>0</v>
      </c>
    </row>
    <row r="46" spans="1:21">
      <c r="A46" s="51"/>
      <c r="B46" s="35" t="str">
        <f t="shared" si="6"/>
        <v/>
      </c>
      <c r="C46" s="36"/>
      <c r="D46" s="36"/>
      <c r="E46" s="36"/>
      <c r="F46" s="36"/>
      <c r="G46" s="138"/>
      <c r="H46" s="152">
        <v>41</v>
      </c>
      <c r="I46" s="153" t="str">
        <f t="shared" si="4"/>
        <v/>
      </c>
      <c r="J46" s="152">
        <f t="shared" si="5"/>
        <v>-2</v>
      </c>
      <c r="K46" s="152">
        <f t="shared" si="1"/>
        <v>-20</v>
      </c>
      <c r="L46" s="152"/>
      <c r="M46" s="154">
        <f t="shared" si="2"/>
        <v>0</v>
      </c>
      <c r="R46" s="138">
        <f>LOG($H$2,2)</f>
        <v>3.5849625007211565</v>
      </c>
      <c r="T46" s="143">
        <f>LOG(H38,2)</f>
        <v>5.0443941193584534</v>
      </c>
      <c r="U46" s="143">
        <f>R46-T46</f>
        <v>-1.4594316186372969</v>
      </c>
    </row>
    <row r="47" spans="1:21">
      <c r="A47" s="50"/>
      <c r="B47" s="41" t="str">
        <f t="shared" si="6"/>
        <v/>
      </c>
      <c r="C47" s="42"/>
      <c r="D47" s="42"/>
      <c r="E47" s="42"/>
      <c r="F47" s="42"/>
      <c r="G47" s="138"/>
      <c r="H47" s="155">
        <v>42</v>
      </c>
      <c r="I47" s="156" t="str">
        <f t="shared" si="4"/>
        <v/>
      </c>
      <c r="J47" s="155">
        <f t="shared" si="5"/>
        <v>-2</v>
      </c>
      <c r="K47" s="155">
        <f t="shared" si="1"/>
        <v>-20</v>
      </c>
      <c r="L47" s="155"/>
      <c r="M47" s="157">
        <f t="shared" si="2"/>
        <v>0</v>
      </c>
    </row>
    <row r="48" spans="1:21">
      <c r="A48" s="51"/>
      <c r="B48" s="35" t="str">
        <f t="shared" si="6"/>
        <v/>
      </c>
      <c r="C48" s="36"/>
      <c r="D48" s="36"/>
      <c r="E48" s="36"/>
      <c r="F48" s="36"/>
      <c r="G48" s="138"/>
      <c r="H48" s="152">
        <v>43</v>
      </c>
      <c r="I48" s="153" t="str">
        <f t="shared" si="4"/>
        <v/>
      </c>
      <c r="J48" s="152">
        <f t="shared" si="5"/>
        <v>-2</v>
      </c>
      <c r="K48" s="152">
        <f t="shared" si="1"/>
        <v>-20</v>
      </c>
      <c r="L48" s="152"/>
      <c r="M48" s="154">
        <f t="shared" si="2"/>
        <v>0</v>
      </c>
    </row>
    <row r="49" spans="1:13">
      <c r="A49" s="50"/>
      <c r="B49" s="41" t="str">
        <f t="shared" si="6"/>
        <v/>
      </c>
      <c r="C49" s="42"/>
      <c r="D49" s="42"/>
      <c r="E49" s="42"/>
      <c r="F49" s="42"/>
      <c r="G49" s="138"/>
      <c r="H49" s="155">
        <v>44</v>
      </c>
      <c r="I49" s="156" t="str">
        <f t="shared" si="4"/>
        <v/>
      </c>
      <c r="J49" s="155">
        <f t="shared" si="5"/>
        <v>-2</v>
      </c>
      <c r="K49" s="155">
        <f t="shared" si="1"/>
        <v>-20</v>
      </c>
      <c r="L49" s="155"/>
      <c r="M49" s="157">
        <f t="shared" si="2"/>
        <v>0</v>
      </c>
    </row>
    <row r="50" spans="1:13">
      <c r="A50" s="51"/>
      <c r="B50" s="35" t="str">
        <f t="shared" si="6"/>
        <v/>
      </c>
      <c r="C50" s="36"/>
      <c r="D50" s="36"/>
      <c r="E50" s="36"/>
      <c r="F50" s="36"/>
      <c r="G50" s="138"/>
      <c r="H50" s="152">
        <v>45</v>
      </c>
      <c r="I50" s="153" t="str">
        <f t="shared" si="4"/>
        <v/>
      </c>
      <c r="J50" s="152">
        <f t="shared" si="5"/>
        <v>-2</v>
      </c>
      <c r="K50" s="152">
        <f t="shared" si="1"/>
        <v>-20</v>
      </c>
      <c r="L50" s="152"/>
      <c r="M50" s="154">
        <f t="shared" si="2"/>
        <v>0</v>
      </c>
    </row>
    <row r="51" spans="1:13">
      <c r="A51" s="50"/>
      <c r="B51" s="41" t="str">
        <f t="shared" si="6"/>
        <v/>
      </c>
      <c r="C51" s="42"/>
      <c r="D51" s="42"/>
      <c r="E51" s="42"/>
      <c r="F51" s="42"/>
      <c r="G51" s="138"/>
      <c r="H51" s="155">
        <v>46</v>
      </c>
      <c r="I51" s="156" t="str">
        <f t="shared" si="4"/>
        <v/>
      </c>
      <c r="J51" s="155">
        <f t="shared" si="5"/>
        <v>-2</v>
      </c>
      <c r="K51" s="155">
        <f t="shared" si="1"/>
        <v>-20</v>
      </c>
      <c r="L51" s="155"/>
      <c r="M51" s="157">
        <f t="shared" si="2"/>
        <v>0</v>
      </c>
    </row>
    <row r="52" spans="1:13">
      <c r="A52" s="51"/>
      <c r="B52" s="35" t="str">
        <f t="shared" si="6"/>
        <v/>
      </c>
      <c r="C52" s="36"/>
      <c r="D52" s="36"/>
      <c r="E52" s="36"/>
      <c r="F52" s="36"/>
      <c r="G52" s="138"/>
      <c r="H52" s="152">
        <v>47</v>
      </c>
      <c r="I52" s="153" t="str">
        <f t="shared" si="4"/>
        <v/>
      </c>
      <c r="J52" s="152">
        <f t="shared" si="5"/>
        <v>-2</v>
      </c>
      <c r="K52" s="152">
        <f t="shared" si="1"/>
        <v>-20</v>
      </c>
      <c r="L52" s="152"/>
      <c r="M52" s="154">
        <f t="shared" si="2"/>
        <v>0</v>
      </c>
    </row>
    <row r="53" spans="1:13">
      <c r="A53" s="50"/>
      <c r="B53" s="41" t="str">
        <f t="shared" si="6"/>
        <v/>
      </c>
      <c r="C53" s="42"/>
      <c r="D53" s="42"/>
      <c r="E53" s="42"/>
      <c r="F53" s="42"/>
      <c r="G53" s="138"/>
      <c r="H53" s="155">
        <v>48</v>
      </c>
      <c r="I53" s="156" t="str">
        <f t="shared" si="4"/>
        <v/>
      </c>
      <c r="J53" s="155">
        <f t="shared" si="5"/>
        <v>-2</v>
      </c>
      <c r="K53" s="155">
        <f t="shared" si="1"/>
        <v>-20</v>
      </c>
      <c r="L53" s="155"/>
      <c r="M53" s="157">
        <f t="shared" si="2"/>
        <v>0</v>
      </c>
    </row>
    <row r="54" spans="1:13">
      <c r="A54" s="51"/>
      <c r="B54" s="35" t="str">
        <f t="shared" si="6"/>
        <v/>
      </c>
      <c r="C54" s="36"/>
      <c r="D54" s="36"/>
      <c r="E54" s="36"/>
      <c r="F54" s="36"/>
      <c r="G54" s="138"/>
      <c r="H54" s="152">
        <v>49</v>
      </c>
      <c r="I54" s="153" t="str">
        <f t="shared" si="4"/>
        <v/>
      </c>
      <c r="J54" s="152">
        <f t="shared" si="5"/>
        <v>-2</v>
      </c>
      <c r="K54" s="152">
        <f t="shared" si="1"/>
        <v>-20</v>
      </c>
      <c r="L54" s="152"/>
      <c r="M54" s="154">
        <f t="shared" si="2"/>
        <v>0</v>
      </c>
    </row>
    <row r="55" spans="1:13">
      <c r="A55" s="50"/>
      <c r="B55" s="41" t="str">
        <f t="shared" si="6"/>
        <v/>
      </c>
      <c r="C55" s="42"/>
      <c r="D55" s="42"/>
      <c r="E55" s="42"/>
      <c r="F55" s="42"/>
      <c r="G55" s="138"/>
      <c r="H55" s="155">
        <v>50</v>
      </c>
      <c r="I55" s="156" t="str">
        <f t="shared" si="4"/>
        <v/>
      </c>
      <c r="J55" s="155">
        <f t="shared" si="5"/>
        <v>-2</v>
      </c>
      <c r="K55" s="155">
        <f t="shared" si="1"/>
        <v>-20</v>
      </c>
      <c r="L55" s="155"/>
      <c r="M55" s="157">
        <f t="shared" si="2"/>
        <v>0</v>
      </c>
    </row>
    <row r="56" spans="1:13">
      <c r="A56" s="51"/>
      <c r="B56" s="35" t="str">
        <f t="shared" si="6"/>
        <v/>
      </c>
      <c r="C56" s="36"/>
      <c r="D56" s="36"/>
      <c r="E56" s="36"/>
      <c r="F56" s="36"/>
      <c r="G56" s="138"/>
      <c r="H56" s="152">
        <v>51</v>
      </c>
      <c r="I56" s="153" t="str">
        <f t="shared" si="4"/>
        <v/>
      </c>
      <c r="J56" s="152">
        <f t="shared" si="5"/>
        <v>-2</v>
      </c>
      <c r="K56" s="152">
        <f t="shared" si="1"/>
        <v>-20</v>
      </c>
      <c r="L56" s="152"/>
      <c r="M56" s="154">
        <f t="shared" si="2"/>
        <v>0</v>
      </c>
    </row>
    <row r="57" spans="1:13">
      <c r="A57" s="50"/>
      <c r="B57" s="41" t="str">
        <f t="shared" si="6"/>
        <v/>
      </c>
      <c r="C57" s="42"/>
      <c r="D57" s="42"/>
      <c r="E57" s="42"/>
      <c r="F57" s="42"/>
      <c r="G57" s="138"/>
      <c r="H57" s="155">
        <v>52</v>
      </c>
      <c r="I57" s="156" t="str">
        <f t="shared" si="4"/>
        <v/>
      </c>
      <c r="J57" s="155">
        <f t="shared" si="5"/>
        <v>-2</v>
      </c>
      <c r="K57" s="155">
        <f t="shared" si="1"/>
        <v>-20</v>
      </c>
      <c r="L57" s="155"/>
      <c r="M57" s="157">
        <f t="shared" si="2"/>
        <v>0</v>
      </c>
    </row>
    <row r="58" spans="1:13">
      <c r="A58" s="51"/>
      <c r="B58" s="35" t="str">
        <f t="shared" si="6"/>
        <v/>
      </c>
      <c r="C58" s="36"/>
      <c r="D58" s="36"/>
      <c r="E58" s="36"/>
      <c r="F58" s="36"/>
      <c r="G58" s="138"/>
      <c r="H58" s="152">
        <v>53</v>
      </c>
      <c r="I58" s="153" t="str">
        <f t="shared" si="4"/>
        <v/>
      </c>
      <c r="J58" s="152">
        <f t="shared" si="5"/>
        <v>-2</v>
      </c>
      <c r="K58" s="152">
        <f t="shared" si="1"/>
        <v>-20</v>
      </c>
      <c r="L58" s="152"/>
      <c r="M58" s="154">
        <f t="shared" si="2"/>
        <v>0</v>
      </c>
    </row>
    <row r="59" spans="1:13">
      <c r="A59" s="50"/>
      <c r="B59" s="41" t="str">
        <f t="shared" si="6"/>
        <v/>
      </c>
      <c r="C59" s="42"/>
      <c r="D59" s="42"/>
      <c r="E59" s="42"/>
      <c r="F59" s="42"/>
      <c r="G59" s="138"/>
      <c r="H59" s="155">
        <v>54</v>
      </c>
      <c r="I59" s="156" t="str">
        <f t="shared" si="4"/>
        <v/>
      </c>
      <c r="J59" s="155">
        <f t="shared" si="5"/>
        <v>-2</v>
      </c>
      <c r="K59" s="155">
        <f t="shared" si="1"/>
        <v>-20</v>
      </c>
      <c r="L59" s="155"/>
      <c r="M59" s="157">
        <f t="shared" si="2"/>
        <v>0</v>
      </c>
    </row>
    <row r="60" spans="1:13">
      <c r="A60" s="51"/>
      <c r="B60" s="35" t="str">
        <f t="shared" si="6"/>
        <v/>
      </c>
      <c r="C60" s="36"/>
      <c r="D60" s="36"/>
      <c r="E60" s="36"/>
      <c r="F60" s="36"/>
      <c r="G60" s="138"/>
      <c r="H60" s="152">
        <v>55</v>
      </c>
      <c r="I60" s="153" t="str">
        <f t="shared" si="4"/>
        <v/>
      </c>
      <c r="J60" s="152">
        <f t="shared" si="5"/>
        <v>-2</v>
      </c>
      <c r="K60" s="152">
        <f t="shared" si="1"/>
        <v>-20</v>
      </c>
      <c r="L60" s="152"/>
      <c r="M60" s="154">
        <f t="shared" si="2"/>
        <v>0</v>
      </c>
    </row>
    <row r="61" spans="1:13">
      <c r="A61" s="50"/>
      <c r="B61" s="41" t="str">
        <f t="shared" si="6"/>
        <v/>
      </c>
      <c r="C61" s="42"/>
      <c r="D61" s="42"/>
      <c r="E61" s="42"/>
      <c r="F61" s="42"/>
      <c r="G61" s="138"/>
      <c r="H61" s="155">
        <v>56</v>
      </c>
      <c r="I61" s="156" t="str">
        <f t="shared" si="4"/>
        <v/>
      </c>
      <c r="J61" s="155">
        <f t="shared" si="5"/>
        <v>-2</v>
      </c>
      <c r="K61" s="155">
        <f t="shared" si="1"/>
        <v>-20</v>
      </c>
      <c r="L61" s="155"/>
      <c r="M61" s="157">
        <f t="shared" si="2"/>
        <v>0</v>
      </c>
    </row>
    <row r="62" spans="1:13">
      <c r="A62" s="51"/>
      <c r="B62" s="35" t="str">
        <f t="shared" si="6"/>
        <v/>
      </c>
      <c r="C62" s="36"/>
      <c r="D62" s="36"/>
      <c r="E62" s="36"/>
      <c r="F62" s="36"/>
      <c r="G62" s="138"/>
      <c r="H62" s="152">
        <v>57</v>
      </c>
      <c r="I62" s="153" t="str">
        <f t="shared" si="4"/>
        <v/>
      </c>
      <c r="J62" s="152">
        <f t="shared" si="5"/>
        <v>-2</v>
      </c>
      <c r="K62" s="152">
        <f t="shared" si="1"/>
        <v>-20</v>
      </c>
      <c r="L62" s="152"/>
      <c r="M62" s="154">
        <f t="shared" si="2"/>
        <v>0</v>
      </c>
    </row>
    <row r="63" spans="1:13">
      <c r="A63" s="50"/>
      <c r="B63" s="41" t="str">
        <f t="shared" si="6"/>
        <v/>
      </c>
      <c r="C63" s="42"/>
      <c r="D63" s="42"/>
      <c r="E63" s="42"/>
      <c r="F63" s="42"/>
      <c r="G63" s="138"/>
      <c r="H63" s="155">
        <v>58</v>
      </c>
      <c r="I63" s="156" t="str">
        <f t="shared" si="4"/>
        <v/>
      </c>
      <c r="J63" s="155">
        <f t="shared" si="5"/>
        <v>-2</v>
      </c>
      <c r="K63" s="155">
        <f t="shared" si="1"/>
        <v>-20</v>
      </c>
      <c r="L63" s="155"/>
      <c r="M63" s="157">
        <f t="shared" si="2"/>
        <v>0</v>
      </c>
    </row>
    <row r="64" spans="1:13">
      <c r="A64" s="51"/>
      <c r="B64" s="35" t="str">
        <f t="shared" si="6"/>
        <v/>
      </c>
      <c r="C64" s="36"/>
      <c r="D64" s="36"/>
      <c r="E64" s="36"/>
      <c r="F64" s="36"/>
      <c r="G64" s="138"/>
      <c r="H64" s="152">
        <v>59</v>
      </c>
      <c r="I64" s="153" t="str">
        <f t="shared" si="4"/>
        <v/>
      </c>
      <c r="J64" s="152">
        <f t="shared" si="5"/>
        <v>-2</v>
      </c>
      <c r="K64" s="152">
        <f t="shared" si="1"/>
        <v>-20</v>
      </c>
      <c r="L64" s="152"/>
      <c r="M64" s="154">
        <f t="shared" si="2"/>
        <v>0</v>
      </c>
    </row>
    <row r="65" spans="1:13">
      <c r="A65" s="50"/>
      <c r="B65" s="41" t="str">
        <f t="shared" si="6"/>
        <v/>
      </c>
      <c r="C65" s="42"/>
      <c r="D65" s="42"/>
      <c r="E65" s="42"/>
      <c r="F65" s="42"/>
      <c r="G65" s="138"/>
      <c r="H65" s="155">
        <v>60</v>
      </c>
      <c r="I65" s="156" t="str">
        <f t="shared" si="4"/>
        <v/>
      </c>
      <c r="J65" s="155">
        <f t="shared" si="5"/>
        <v>-2</v>
      </c>
      <c r="K65" s="155">
        <f t="shared" si="1"/>
        <v>-20</v>
      </c>
      <c r="L65" s="155"/>
      <c r="M65" s="157">
        <f t="shared" si="2"/>
        <v>0</v>
      </c>
    </row>
    <row r="66" spans="1:13">
      <c r="A66" s="168"/>
      <c r="B66" s="35"/>
      <c r="G66" s="138"/>
      <c r="H66" s="152">
        <v>61</v>
      </c>
      <c r="I66" s="153" t="str">
        <f t="shared" si="4"/>
        <v/>
      </c>
      <c r="J66" s="152">
        <f t="shared" si="5"/>
        <v>-2</v>
      </c>
      <c r="K66" s="152">
        <f t="shared" si="1"/>
        <v>-20</v>
      </c>
      <c r="L66" s="152"/>
      <c r="M66" s="154">
        <f t="shared" si="2"/>
        <v>0</v>
      </c>
    </row>
    <row r="67" spans="1:13">
      <c r="A67" s="168"/>
      <c r="B67" s="41"/>
      <c r="G67" s="138"/>
      <c r="H67" s="152">
        <v>62</v>
      </c>
      <c r="I67" s="153" t="str">
        <f t="shared" si="4"/>
        <v/>
      </c>
      <c r="J67" s="152">
        <f t="shared" si="5"/>
        <v>-2</v>
      </c>
      <c r="K67" s="152">
        <f t="shared" si="1"/>
        <v>-20</v>
      </c>
      <c r="L67" s="152"/>
      <c r="M67" s="154">
        <f t="shared" si="2"/>
        <v>0</v>
      </c>
    </row>
    <row r="68" spans="1:13">
      <c r="A68" s="168"/>
      <c r="B68" s="35"/>
      <c r="G68" s="138"/>
      <c r="H68" s="152">
        <v>63</v>
      </c>
      <c r="I68" s="153" t="str">
        <f t="shared" si="4"/>
        <v/>
      </c>
      <c r="J68" s="152">
        <f t="shared" si="5"/>
        <v>-2</v>
      </c>
      <c r="K68" s="152">
        <f t="shared" si="1"/>
        <v>-20</v>
      </c>
      <c r="L68" s="152"/>
      <c r="M68" s="154">
        <f t="shared" si="2"/>
        <v>0</v>
      </c>
    </row>
    <row r="69" spans="1:13">
      <c r="A69" s="168"/>
      <c r="B69" s="41"/>
      <c r="G69" s="138"/>
      <c r="H69" s="152">
        <v>64</v>
      </c>
      <c r="I69" s="153" t="str">
        <f t="shared" si="4"/>
        <v/>
      </c>
      <c r="J69" s="152">
        <f t="shared" si="5"/>
        <v>-2</v>
      </c>
      <c r="K69" s="152">
        <f t="shared" si="1"/>
        <v>-20</v>
      </c>
      <c r="L69" s="152"/>
      <c r="M69" s="154">
        <f t="shared" si="2"/>
        <v>0</v>
      </c>
    </row>
    <row r="70" spans="1:13">
      <c r="A70" s="168"/>
      <c r="G70" s="138"/>
      <c r="H70" s="152">
        <v>65</v>
      </c>
      <c r="I70" s="153" t="str">
        <f t="shared" si="4"/>
        <v/>
      </c>
      <c r="J70" s="152">
        <f t="shared" si="5"/>
        <v>-3</v>
      </c>
      <c r="K70" s="152">
        <f t="shared" ref="K70:K133" si="7">J70*$J$2</f>
        <v>-30</v>
      </c>
      <c r="L70" s="152"/>
      <c r="M70" s="154">
        <f t="shared" ref="M70:M133" si="8">IF(I70&lt;&gt;"",K70+I70+L70,0)</f>
        <v>0</v>
      </c>
    </row>
    <row r="71" spans="1:13">
      <c r="A71" s="168"/>
      <c r="G71" s="138"/>
      <c r="H71" s="152">
        <v>66</v>
      </c>
      <c r="I71" s="153" t="str">
        <f t="shared" ref="I71:I134" si="9">IF(H71&lt;$H$2+1,($I$2-($I$2-1)*(LOG(H71)/LOG($H$2))),"")</f>
        <v/>
      </c>
      <c r="J71" s="152">
        <f t="shared" ref="J71:J134" si="10">INT(LOG($H$2,2))-ROUNDUP(LOG(H71,2),0)+IF(OR($H$2=1,$H$2=2,$H$2=4,$H$2=8,$H$2=16,$H$2=32,$H$2=64,$H$2=128,$H$2=256),0,1)</f>
        <v>-3</v>
      </c>
      <c r="K71" s="152">
        <f t="shared" si="7"/>
        <v>-30</v>
      </c>
      <c r="L71" s="152"/>
      <c r="M71" s="154">
        <f t="shared" si="8"/>
        <v>0</v>
      </c>
    </row>
    <row r="72" spans="1:13">
      <c r="A72" s="168"/>
      <c r="G72" s="138"/>
      <c r="H72" s="152">
        <v>67</v>
      </c>
      <c r="I72" s="153" t="str">
        <f t="shared" si="9"/>
        <v/>
      </c>
      <c r="J72" s="152">
        <f t="shared" si="10"/>
        <v>-3</v>
      </c>
      <c r="K72" s="152">
        <f t="shared" si="7"/>
        <v>-30</v>
      </c>
      <c r="L72" s="152"/>
      <c r="M72" s="154">
        <f t="shared" si="8"/>
        <v>0</v>
      </c>
    </row>
    <row r="73" spans="1:13">
      <c r="A73" s="168"/>
      <c r="G73" s="138"/>
      <c r="H73" s="152">
        <v>68</v>
      </c>
      <c r="I73" s="153" t="str">
        <f t="shared" si="9"/>
        <v/>
      </c>
      <c r="J73" s="152">
        <f t="shared" si="10"/>
        <v>-3</v>
      </c>
      <c r="K73" s="152">
        <f t="shared" si="7"/>
        <v>-30</v>
      </c>
      <c r="L73" s="152"/>
      <c r="M73" s="154">
        <f t="shared" si="8"/>
        <v>0</v>
      </c>
    </row>
    <row r="74" spans="1:13">
      <c r="A74" s="168"/>
      <c r="G74" s="138"/>
      <c r="H74" s="152">
        <v>69</v>
      </c>
      <c r="I74" s="153" t="str">
        <f t="shared" si="9"/>
        <v/>
      </c>
      <c r="J74" s="152">
        <f t="shared" si="10"/>
        <v>-3</v>
      </c>
      <c r="K74" s="152">
        <f t="shared" si="7"/>
        <v>-30</v>
      </c>
      <c r="L74" s="152"/>
      <c r="M74" s="154">
        <f t="shared" si="8"/>
        <v>0</v>
      </c>
    </row>
    <row r="75" spans="1:13">
      <c r="A75" s="168"/>
      <c r="G75" s="138"/>
      <c r="H75" s="152">
        <v>70</v>
      </c>
      <c r="I75" s="153" t="str">
        <f t="shared" si="9"/>
        <v/>
      </c>
      <c r="J75" s="152">
        <f t="shared" si="10"/>
        <v>-3</v>
      </c>
      <c r="K75" s="152">
        <f t="shared" si="7"/>
        <v>-30</v>
      </c>
      <c r="L75" s="152"/>
      <c r="M75" s="154">
        <f t="shared" si="8"/>
        <v>0</v>
      </c>
    </row>
    <row r="76" spans="1:13">
      <c r="A76" s="168"/>
      <c r="G76" s="138"/>
      <c r="H76" s="152">
        <v>71</v>
      </c>
      <c r="I76" s="153" t="str">
        <f t="shared" si="9"/>
        <v/>
      </c>
      <c r="J76" s="152">
        <f t="shared" si="10"/>
        <v>-3</v>
      </c>
      <c r="K76" s="152">
        <f t="shared" si="7"/>
        <v>-30</v>
      </c>
      <c r="L76" s="152"/>
      <c r="M76" s="154">
        <f t="shared" si="8"/>
        <v>0</v>
      </c>
    </row>
    <row r="77" spans="1:13">
      <c r="A77" s="168"/>
      <c r="G77" s="138"/>
      <c r="H77" s="152">
        <v>72</v>
      </c>
      <c r="I77" s="153" t="str">
        <f t="shared" si="9"/>
        <v/>
      </c>
      <c r="J77" s="152">
        <f t="shared" si="10"/>
        <v>-3</v>
      </c>
      <c r="K77" s="152">
        <f t="shared" si="7"/>
        <v>-30</v>
      </c>
      <c r="L77" s="152"/>
      <c r="M77" s="154">
        <f t="shared" si="8"/>
        <v>0</v>
      </c>
    </row>
    <row r="78" spans="1:13">
      <c r="A78" s="168"/>
      <c r="G78" s="138"/>
      <c r="H78" s="152">
        <v>73</v>
      </c>
      <c r="I78" s="153" t="str">
        <f t="shared" si="9"/>
        <v/>
      </c>
      <c r="J78" s="152">
        <f t="shared" si="10"/>
        <v>-3</v>
      </c>
      <c r="K78" s="152">
        <f t="shared" si="7"/>
        <v>-30</v>
      </c>
      <c r="L78" s="152"/>
      <c r="M78" s="154">
        <f t="shared" si="8"/>
        <v>0</v>
      </c>
    </row>
    <row r="79" spans="1:13">
      <c r="A79" s="168"/>
      <c r="G79" s="138"/>
      <c r="H79" s="152">
        <v>74</v>
      </c>
      <c r="I79" s="153" t="str">
        <f t="shared" si="9"/>
        <v/>
      </c>
      <c r="J79" s="152">
        <f t="shared" si="10"/>
        <v>-3</v>
      </c>
      <c r="K79" s="152">
        <f t="shared" si="7"/>
        <v>-30</v>
      </c>
      <c r="L79" s="152"/>
      <c r="M79" s="154">
        <f t="shared" si="8"/>
        <v>0</v>
      </c>
    </row>
    <row r="80" spans="1:13">
      <c r="A80" s="168"/>
      <c r="G80" s="138"/>
      <c r="H80" s="152">
        <v>75</v>
      </c>
      <c r="I80" s="153" t="str">
        <f t="shared" si="9"/>
        <v/>
      </c>
      <c r="J80" s="152">
        <f t="shared" si="10"/>
        <v>-3</v>
      </c>
      <c r="K80" s="152">
        <f t="shared" si="7"/>
        <v>-30</v>
      </c>
      <c r="L80" s="152"/>
      <c r="M80" s="154">
        <f t="shared" si="8"/>
        <v>0</v>
      </c>
    </row>
    <row r="81" spans="1:13">
      <c r="A81" s="168"/>
      <c r="G81" s="138"/>
      <c r="H81" s="152">
        <v>76</v>
      </c>
      <c r="I81" s="153" t="str">
        <f t="shared" si="9"/>
        <v/>
      </c>
      <c r="J81" s="152">
        <f t="shared" si="10"/>
        <v>-3</v>
      </c>
      <c r="K81" s="152">
        <f t="shared" si="7"/>
        <v>-30</v>
      </c>
      <c r="L81" s="152"/>
      <c r="M81" s="154">
        <f t="shared" si="8"/>
        <v>0</v>
      </c>
    </row>
    <row r="82" spans="1:13">
      <c r="A82" s="168"/>
      <c r="G82" s="138"/>
      <c r="H82" s="152">
        <v>77</v>
      </c>
      <c r="I82" s="153" t="str">
        <f t="shared" si="9"/>
        <v/>
      </c>
      <c r="J82" s="152">
        <f t="shared" si="10"/>
        <v>-3</v>
      </c>
      <c r="K82" s="152">
        <f t="shared" si="7"/>
        <v>-30</v>
      </c>
      <c r="L82" s="152"/>
      <c r="M82" s="154">
        <f t="shared" si="8"/>
        <v>0</v>
      </c>
    </row>
    <row r="83" spans="1:13">
      <c r="A83" s="168"/>
      <c r="G83" s="138"/>
      <c r="H83" s="152">
        <v>78</v>
      </c>
      <c r="I83" s="153" t="str">
        <f t="shared" si="9"/>
        <v/>
      </c>
      <c r="J83" s="152">
        <f t="shared" si="10"/>
        <v>-3</v>
      </c>
      <c r="K83" s="152">
        <f t="shared" si="7"/>
        <v>-30</v>
      </c>
      <c r="L83" s="152"/>
      <c r="M83" s="154">
        <f t="shared" si="8"/>
        <v>0</v>
      </c>
    </row>
    <row r="84" spans="1:13">
      <c r="A84" s="168"/>
      <c r="G84" s="138"/>
      <c r="H84" s="152">
        <v>79</v>
      </c>
      <c r="I84" s="153" t="str">
        <f t="shared" si="9"/>
        <v/>
      </c>
      <c r="J84" s="152">
        <f t="shared" si="10"/>
        <v>-3</v>
      </c>
      <c r="K84" s="152">
        <f t="shared" si="7"/>
        <v>-30</v>
      </c>
      <c r="L84" s="152"/>
      <c r="M84" s="154">
        <f t="shared" si="8"/>
        <v>0</v>
      </c>
    </row>
    <row r="85" spans="1:13">
      <c r="A85" s="168"/>
      <c r="G85" s="138"/>
      <c r="H85" s="152">
        <v>80</v>
      </c>
      <c r="I85" s="153" t="str">
        <f t="shared" si="9"/>
        <v/>
      </c>
      <c r="J85" s="152">
        <f t="shared" si="10"/>
        <v>-3</v>
      </c>
      <c r="K85" s="152">
        <f t="shared" si="7"/>
        <v>-30</v>
      </c>
      <c r="L85" s="152"/>
      <c r="M85" s="154">
        <f t="shared" si="8"/>
        <v>0</v>
      </c>
    </row>
    <row r="86" spans="1:13">
      <c r="A86" s="168"/>
      <c r="G86" s="138"/>
      <c r="H86" s="152">
        <v>81</v>
      </c>
      <c r="I86" s="153" t="str">
        <f t="shared" si="9"/>
        <v/>
      </c>
      <c r="J86" s="152">
        <f t="shared" si="10"/>
        <v>-3</v>
      </c>
      <c r="K86" s="152">
        <f t="shared" si="7"/>
        <v>-30</v>
      </c>
      <c r="L86" s="152"/>
      <c r="M86" s="154">
        <f t="shared" si="8"/>
        <v>0</v>
      </c>
    </row>
    <row r="87" spans="1:13">
      <c r="A87" s="168"/>
      <c r="G87" s="138"/>
      <c r="H87" s="152">
        <v>82</v>
      </c>
      <c r="I87" s="153" t="str">
        <f t="shared" si="9"/>
        <v/>
      </c>
      <c r="J87" s="152">
        <f t="shared" si="10"/>
        <v>-3</v>
      </c>
      <c r="K87" s="152">
        <f t="shared" si="7"/>
        <v>-30</v>
      </c>
      <c r="L87" s="152"/>
      <c r="M87" s="154">
        <f t="shared" si="8"/>
        <v>0</v>
      </c>
    </row>
    <row r="88" spans="1:13">
      <c r="A88" s="168"/>
      <c r="G88" s="138"/>
      <c r="H88" s="152">
        <v>83</v>
      </c>
      <c r="I88" s="153" t="str">
        <f t="shared" si="9"/>
        <v/>
      </c>
      <c r="J88" s="152">
        <f t="shared" si="10"/>
        <v>-3</v>
      </c>
      <c r="K88" s="152">
        <f t="shared" si="7"/>
        <v>-30</v>
      </c>
      <c r="L88" s="152"/>
      <c r="M88" s="154">
        <f t="shared" si="8"/>
        <v>0</v>
      </c>
    </row>
    <row r="89" spans="1:13">
      <c r="A89" s="168"/>
      <c r="G89" s="138"/>
      <c r="H89" s="152">
        <v>84</v>
      </c>
      <c r="I89" s="153" t="str">
        <f t="shared" si="9"/>
        <v/>
      </c>
      <c r="J89" s="152">
        <f t="shared" si="10"/>
        <v>-3</v>
      </c>
      <c r="K89" s="152">
        <f t="shared" si="7"/>
        <v>-30</v>
      </c>
      <c r="L89" s="152"/>
      <c r="M89" s="154">
        <f t="shared" si="8"/>
        <v>0</v>
      </c>
    </row>
    <row r="90" spans="1:13">
      <c r="A90" s="168"/>
      <c r="G90" s="138"/>
      <c r="H90" s="152">
        <v>85</v>
      </c>
      <c r="I90" s="153" t="str">
        <f t="shared" si="9"/>
        <v/>
      </c>
      <c r="J90" s="152">
        <f t="shared" si="10"/>
        <v>-3</v>
      </c>
      <c r="K90" s="152">
        <f t="shared" si="7"/>
        <v>-30</v>
      </c>
      <c r="L90" s="152"/>
      <c r="M90" s="154">
        <f t="shared" si="8"/>
        <v>0</v>
      </c>
    </row>
    <row r="91" spans="1:13">
      <c r="A91" s="168"/>
      <c r="G91" s="138"/>
      <c r="H91" s="152">
        <v>86</v>
      </c>
      <c r="I91" s="153" t="str">
        <f t="shared" si="9"/>
        <v/>
      </c>
      <c r="J91" s="152">
        <f t="shared" si="10"/>
        <v>-3</v>
      </c>
      <c r="K91" s="152">
        <f t="shared" si="7"/>
        <v>-30</v>
      </c>
      <c r="L91" s="152"/>
      <c r="M91" s="154">
        <f t="shared" si="8"/>
        <v>0</v>
      </c>
    </row>
    <row r="92" spans="1:13">
      <c r="A92" s="168"/>
      <c r="G92" s="138"/>
      <c r="H92" s="152">
        <v>87</v>
      </c>
      <c r="I92" s="153" t="str">
        <f t="shared" si="9"/>
        <v/>
      </c>
      <c r="J92" s="152">
        <f t="shared" si="10"/>
        <v>-3</v>
      </c>
      <c r="K92" s="152">
        <f t="shared" si="7"/>
        <v>-30</v>
      </c>
      <c r="L92" s="152"/>
      <c r="M92" s="154">
        <f t="shared" si="8"/>
        <v>0</v>
      </c>
    </row>
    <row r="93" spans="1:13">
      <c r="A93" s="168"/>
      <c r="G93" s="138"/>
      <c r="H93" s="152">
        <v>88</v>
      </c>
      <c r="I93" s="153" t="str">
        <f t="shared" si="9"/>
        <v/>
      </c>
      <c r="J93" s="152">
        <f t="shared" si="10"/>
        <v>-3</v>
      </c>
      <c r="K93" s="152">
        <f t="shared" si="7"/>
        <v>-30</v>
      </c>
      <c r="L93" s="152"/>
      <c r="M93" s="154">
        <f t="shared" si="8"/>
        <v>0</v>
      </c>
    </row>
    <row r="94" spans="1:13">
      <c r="A94" s="168"/>
      <c r="G94" s="138"/>
      <c r="H94" s="152">
        <v>89</v>
      </c>
      <c r="I94" s="153" t="str">
        <f t="shared" si="9"/>
        <v/>
      </c>
      <c r="J94" s="152">
        <f t="shared" si="10"/>
        <v>-3</v>
      </c>
      <c r="K94" s="152">
        <f t="shared" si="7"/>
        <v>-30</v>
      </c>
      <c r="L94" s="152"/>
      <c r="M94" s="154">
        <f t="shared" si="8"/>
        <v>0</v>
      </c>
    </row>
    <row r="95" spans="1:13">
      <c r="A95" s="168"/>
      <c r="G95" s="138"/>
      <c r="H95" s="152">
        <v>90</v>
      </c>
      <c r="I95" s="153" t="str">
        <f t="shared" si="9"/>
        <v/>
      </c>
      <c r="J95" s="152">
        <f t="shared" si="10"/>
        <v>-3</v>
      </c>
      <c r="K95" s="152">
        <f t="shared" si="7"/>
        <v>-30</v>
      </c>
      <c r="L95" s="152"/>
      <c r="M95" s="154">
        <f t="shared" si="8"/>
        <v>0</v>
      </c>
    </row>
    <row r="96" spans="1:13">
      <c r="A96" s="168"/>
      <c r="G96" s="138"/>
      <c r="H96" s="152">
        <v>91</v>
      </c>
      <c r="I96" s="153" t="str">
        <f t="shared" si="9"/>
        <v/>
      </c>
      <c r="J96" s="152">
        <f t="shared" si="10"/>
        <v>-3</v>
      </c>
      <c r="K96" s="152">
        <f t="shared" si="7"/>
        <v>-30</v>
      </c>
      <c r="L96" s="152"/>
      <c r="M96" s="154">
        <f t="shared" si="8"/>
        <v>0</v>
      </c>
    </row>
    <row r="97" spans="1:13">
      <c r="A97" s="168"/>
      <c r="G97" s="138"/>
      <c r="H97" s="152">
        <v>92</v>
      </c>
      <c r="I97" s="153" t="str">
        <f t="shared" si="9"/>
        <v/>
      </c>
      <c r="J97" s="152">
        <f t="shared" si="10"/>
        <v>-3</v>
      </c>
      <c r="K97" s="152">
        <f t="shared" si="7"/>
        <v>-30</v>
      </c>
      <c r="L97" s="152"/>
      <c r="M97" s="154">
        <f t="shared" si="8"/>
        <v>0</v>
      </c>
    </row>
    <row r="98" spans="1:13">
      <c r="A98" s="168"/>
      <c r="G98" s="138"/>
      <c r="H98" s="152">
        <v>93</v>
      </c>
      <c r="I98" s="153" t="str">
        <f t="shared" si="9"/>
        <v/>
      </c>
      <c r="J98" s="152">
        <f t="shared" si="10"/>
        <v>-3</v>
      </c>
      <c r="K98" s="152">
        <f t="shared" si="7"/>
        <v>-30</v>
      </c>
      <c r="L98" s="152"/>
      <c r="M98" s="154">
        <f t="shared" si="8"/>
        <v>0</v>
      </c>
    </row>
    <row r="99" spans="1:13">
      <c r="A99" s="168"/>
      <c r="G99" s="138"/>
      <c r="H99" s="152">
        <v>94</v>
      </c>
      <c r="I99" s="153" t="str">
        <f t="shared" si="9"/>
        <v/>
      </c>
      <c r="J99" s="152">
        <f t="shared" si="10"/>
        <v>-3</v>
      </c>
      <c r="K99" s="152">
        <f t="shared" si="7"/>
        <v>-30</v>
      </c>
      <c r="L99" s="152"/>
      <c r="M99" s="154">
        <f t="shared" si="8"/>
        <v>0</v>
      </c>
    </row>
    <row r="100" spans="1:13">
      <c r="A100" s="168"/>
      <c r="G100" s="138"/>
      <c r="H100" s="152">
        <v>95</v>
      </c>
      <c r="I100" s="153" t="str">
        <f t="shared" si="9"/>
        <v/>
      </c>
      <c r="J100" s="152">
        <f t="shared" si="10"/>
        <v>-3</v>
      </c>
      <c r="K100" s="152">
        <f t="shared" si="7"/>
        <v>-30</v>
      </c>
      <c r="L100" s="152"/>
      <c r="M100" s="154">
        <f t="shared" si="8"/>
        <v>0</v>
      </c>
    </row>
    <row r="101" spans="1:13">
      <c r="A101" s="168"/>
      <c r="G101" s="138"/>
      <c r="H101" s="152">
        <v>96</v>
      </c>
      <c r="I101" s="153" t="str">
        <f t="shared" si="9"/>
        <v/>
      </c>
      <c r="J101" s="152">
        <f t="shared" si="10"/>
        <v>-3</v>
      </c>
      <c r="K101" s="152">
        <f t="shared" si="7"/>
        <v>-30</v>
      </c>
      <c r="L101" s="152"/>
      <c r="M101" s="154">
        <f t="shared" si="8"/>
        <v>0</v>
      </c>
    </row>
    <row r="102" spans="1:13">
      <c r="A102" s="168"/>
      <c r="G102" s="138"/>
      <c r="H102" s="152">
        <v>97</v>
      </c>
      <c r="I102" s="153" t="str">
        <f t="shared" si="9"/>
        <v/>
      </c>
      <c r="J102" s="152">
        <f t="shared" si="10"/>
        <v>-3</v>
      </c>
      <c r="K102" s="152">
        <f t="shared" si="7"/>
        <v>-30</v>
      </c>
      <c r="L102" s="152"/>
      <c r="M102" s="154">
        <f t="shared" si="8"/>
        <v>0</v>
      </c>
    </row>
    <row r="103" spans="1:13">
      <c r="A103" s="168"/>
      <c r="G103" s="138"/>
      <c r="H103" s="152">
        <v>98</v>
      </c>
      <c r="I103" s="153" t="str">
        <f t="shared" si="9"/>
        <v/>
      </c>
      <c r="J103" s="152">
        <f t="shared" si="10"/>
        <v>-3</v>
      </c>
      <c r="K103" s="152">
        <f t="shared" si="7"/>
        <v>-30</v>
      </c>
      <c r="L103" s="152"/>
      <c r="M103" s="154">
        <f t="shared" si="8"/>
        <v>0</v>
      </c>
    </row>
    <row r="104" spans="1:13">
      <c r="A104" s="168"/>
      <c r="G104" s="138"/>
      <c r="H104" s="152">
        <v>99</v>
      </c>
      <c r="I104" s="153" t="str">
        <f t="shared" si="9"/>
        <v/>
      </c>
      <c r="J104" s="152">
        <f t="shared" si="10"/>
        <v>-3</v>
      </c>
      <c r="K104" s="152">
        <f t="shared" si="7"/>
        <v>-30</v>
      </c>
      <c r="L104" s="152"/>
      <c r="M104" s="154">
        <f t="shared" si="8"/>
        <v>0</v>
      </c>
    </row>
    <row r="105" spans="1:13">
      <c r="A105" s="168"/>
      <c r="G105" s="138"/>
      <c r="H105" s="152">
        <v>100</v>
      </c>
      <c r="I105" s="153" t="str">
        <f t="shared" si="9"/>
        <v/>
      </c>
      <c r="J105" s="152">
        <f t="shared" si="10"/>
        <v>-3</v>
      </c>
      <c r="K105" s="152">
        <f t="shared" si="7"/>
        <v>-30</v>
      </c>
      <c r="L105" s="152"/>
      <c r="M105" s="154">
        <f t="shared" si="8"/>
        <v>0</v>
      </c>
    </row>
    <row r="106" spans="1:13">
      <c r="A106" s="168"/>
      <c r="G106" s="138"/>
      <c r="H106" s="152">
        <v>101</v>
      </c>
      <c r="I106" s="153" t="str">
        <f t="shared" si="9"/>
        <v/>
      </c>
      <c r="J106" s="152">
        <f t="shared" si="10"/>
        <v>-3</v>
      </c>
      <c r="K106" s="152">
        <f t="shared" si="7"/>
        <v>-30</v>
      </c>
      <c r="L106" s="152"/>
      <c r="M106" s="154">
        <f t="shared" si="8"/>
        <v>0</v>
      </c>
    </row>
    <row r="107" spans="1:13">
      <c r="A107" s="168"/>
      <c r="G107" s="138"/>
      <c r="H107" s="152">
        <v>102</v>
      </c>
      <c r="I107" s="153" t="str">
        <f t="shared" si="9"/>
        <v/>
      </c>
      <c r="J107" s="152">
        <f t="shared" si="10"/>
        <v>-3</v>
      </c>
      <c r="K107" s="152">
        <f t="shared" si="7"/>
        <v>-30</v>
      </c>
      <c r="L107" s="152"/>
      <c r="M107" s="154">
        <f t="shared" si="8"/>
        <v>0</v>
      </c>
    </row>
    <row r="108" spans="1:13">
      <c r="A108" s="168"/>
      <c r="G108" s="138"/>
      <c r="H108" s="152">
        <v>103</v>
      </c>
      <c r="I108" s="153" t="str">
        <f t="shared" si="9"/>
        <v/>
      </c>
      <c r="J108" s="152">
        <f t="shared" si="10"/>
        <v>-3</v>
      </c>
      <c r="K108" s="152">
        <f t="shared" si="7"/>
        <v>-30</v>
      </c>
      <c r="L108" s="152"/>
      <c r="M108" s="154">
        <f t="shared" si="8"/>
        <v>0</v>
      </c>
    </row>
    <row r="109" spans="1:13">
      <c r="A109" s="168"/>
      <c r="G109" s="138"/>
      <c r="H109" s="152">
        <v>104</v>
      </c>
      <c r="I109" s="153" t="str">
        <f t="shared" si="9"/>
        <v/>
      </c>
      <c r="J109" s="152">
        <f t="shared" si="10"/>
        <v>-3</v>
      </c>
      <c r="K109" s="152">
        <f t="shared" si="7"/>
        <v>-30</v>
      </c>
      <c r="L109" s="152"/>
      <c r="M109" s="154">
        <f t="shared" si="8"/>
        <v>0</v>
      </c>
    </row>
    <row r="110" spans="1:13">
      <c r="A110" s="168"/>
      <c r="G110" s="138"/>
      <c r="H110" s="152">
        <v>105</v>
      </c>
      <c r="I110" s="153" t="str">
        <f t="shared" si="9"/>
        <v/>
      </c>
      <c r="J110" s="152">
        <f t="shared" si="10"/>
        <v>-3</v>
      </c>
      <c r="K110" s="152">
        <f t="shared" si="7"/>
        <v>-30</v>
      </c>
      <c r="L110" s="152"/>
      <c r="M110" s="154">
        <f t="shared" si="8"/>
        <v>0</v>
      </c>
    </row>
    <row r="111" spans="1:13">
      <c r="A111" s="168"/>
      <c r="G111" s="138"/>
      <c r="H111" s="152">
        <v>106</v>
      </c>
      <c r="I111" s="153" t="str">
        <f t="shared" si="9"/>
        <v/>
      </c>
      <c r="J111" s="152">
        <f t="shared" si="10"/>
        <v>-3</v>
      </c>
      <c r="K111" s="152">
        <f t="shared" si="7"/>
        <v>-30</v>
      </c>
      <c r="L111" s="152"/>
      <c r="M111" s="154">
        <f t="shared" si="8"/>
        <v>0</v>
      </c>
    </row>
    <row r="112" spans="1:13">
      <c r="A112" s="168"/>
      <c r="G112" s="138"/>
      <c r="H112" s="152">
        <v>107</v>
      </c>
      <c r="I112" s="153" t="str">
        <f t="shared" si="9"/>
        <v/>
      </c>
      <c r="J112" s="152">
        <f t="shared" si="10"/>
        <v>-3</v>
      </c>
      <c r="K112" s="152">
        <f t="shared" si="7"/>
        <v>-30</v>
      </c>
      <c r="L112" s="152"/>
      <c r="M112" s="154">
        <f t="shared" si="8"/>
        <v>0</v>
      </c>
    </row>
    <row r="113" spans="1:13">
      <c r="A113" s="168"/>
      <c r="G113" s="138"/>
      <c r="H113" s="152">
        <v>108</v>
      </c>
      <c r="I113" s="153" t="str">
        <f t="shared" si="9"/>
        <v/>
      </c>
      <c r="J113" s="152">
        <f t="shared" si="10"/>
        <v>-3</v>
      </c>
      <c r="K113" s="152">
        <f t="shared" si="7"/>
        <v>-30</v>
      </c>
      <c r="L113" s="152"/>
      <c r="M113" s="154">
        <f t="shared" si="8"/>
        <v>0</v>
      </c>
    </row>
    <row r="114" spans="1:13">
      <c r="A114" s="168"/>
      <c r="G114" s="138"/>
      <c r="H114" s="152">
        <v>109</v>
      </c>
      <c r="I114" s="153" t="str">
        <f t="shared" si="9"/>
        <v/>
      </c>
      <c r="J114" s="152">
        <f t="shared" si="10"/>
        <v>-3</v>
      </c>
      <c r="K114" s="152">
        <f t="shared" si="7"/>
        <v>-30</v>
      </c>
      <c r="L114" s="152"/>
      <c r="M114" s="154">
        <f t="shared" si="8"/>
        <v>0</v>
      </c>
    </row>
    <row r="115" spans="1:13">
      <c r="A115" s="168"/>
      <c r="G115" s="138"/>
      <c r="H115" s="152">
        <v>110</v>
      </c>
      <c r="I115" s="153" t="str">
        <f t="shared" si="9"/>
        <v/>
      </c>
      <c r="J115" s="152">
        <f t="shared" si="10"/>
        <v>-3</v>
      </c>
      <c r="K115" s="152">
        <f t="shared" si="7"/>
        <v>-30</v>
      </c>
      <c r="L115" s="152"/>
      <c r="M115" s="154">
        <f t="shared" si="8"/>
        <v>0</v>
      </c>
    </row>
    <row r="116" spans="1:13">
      <c r="A116" s="168"/>
      <c r="G116" s="138"/>
      <c r="H116" s="152">
        <v>111</v>
      </c>
      <c r="I116" s="153" t="str">
        <f t="shared" si="9"/>
        <v/>
      </c>
      <c r="J116" s="152">
        <f t="shared" si="10"/>
        <v>-3</v>
      </c>
      <c r="K116" s="152">
        <f t="shared" si="7"/>
        <v>-30</v>
      </c>
      <c r="L116" s="152"/>
      <c r="M116" s="154">
        <f t="shared" si="8"/>
        <v>0</v>
      </c>
    </row>
    <row r="117" spans="1:13">
      <c r="A117" s="168"/>
      <c r="G117" s="138"/>
      <c r="H117" s="152">
        <v>112</v>
      </c>
      <c r="I117" s="153" t="str">
        <f t="shared" si="9"/>
        <v/>
      </c>
      <c r="J117" s="152">
        <f t="shared" si="10"/>
        <v>-3</v>
      </c>
      <c r="K117" s="152">
        <f t="shared" si="7"/>
        <v>-30</v>
      </c>
      <c r="L117" s="152"/>
      <c r="M117" s="154">
        <f t="shared" si="8"/>
        <v>0</v>
      </c>
    </row>
    <row r="118" spans="1:13">
      <c r="A118" s="168"/>
      <c r="G118" s="138"/>
      <c r="H118" s="152">
        <v>113</v>
      </c>
      <c r="I118" s="153" t="str">
        <f t="shared" si="9"/>
        <v/>
      </c>
      <c r="J118" s="152">
        <f t="shared" si="10"/>
        <v>-3</v>
      </c>
      <c r="K118" s="152">
        <f t="shared" si="7"/>
        <v>-30</v>
      </c>
      <c r="L118" s="152"/>
      <c r="M118" s="154">
        <f t="shared" si="8"/>
        <v>0</v>
      </c>
    </row>
    <row r="119" spans="1:13">
      <c r="A119" s="168"/>
      <c r="G119" s="138"/>
      <c r="H119" s="152">
        <v>114</v>
      </c>
      <c r="I119" s="153" t="str">
        <f t="shared" si="9"/>
        <v/>
      </c>
      <c r="J119" s="152">
        <f t="shared" si="10"/>
        <v>-3</v>
      </c>
      <c r="K119" s="152">
        <f t="shared" si="7"/>
        <v>-30</v>
      </c>
      <c r="L119" s="152"/>
      <c r="M119" s="154">
        <f t="shared" si="8"/>
        <v>0</v>
      </c>
    </row>
    <row r="120" spans="1:13">
      <c r="A120" s="168"/>
      <c r="G120" s="138"/>
      <c r="H120" s="152">
        <v>115</v>
      </c>
      <c r="I120" s="153" t="str">
        <f t="shared" si="9"/>
        <v/>
      </c>
      <c r="J120" s="152">
        <f t="shared" si="10"/>
        <v>-3</v>
      </c>
      <c r="K120" s="152">
        <f t="shared" si="7"/>
        <v>-30</v>
      </c>
      <c r="L120" s="152"/>
      <c r="M120" s="154">
        <f t="shared" si="8"/>
        <v>0</v>
      </c>
    </row>
    <row r="121" spans="1:13">
      <c r="A121" s="168"/>
      <c r="G121" s="138"/>
      <c r="H121" s="152">
        <v>116</v>
      </c>
      <c r="I121" s="153" t="str">
        <f t="shared" si="9"/>
        <v/>
      </c>
      <c r="J121" s="152">
        <f t="shared" si="10"/>
        <v>-3</v>
      </c>
      <c r="K121" s="152">
        <f t="shared" si="7"/>
        <v>-30</v>
      </c>
      <c r="L121" s="152"/>
      <c r="M121" s="154">
        <f t="shared" si="8"/>
        <v>0</v>
      </c>
    </row>
    <row r="122" spans="1:13">
      <c r="A122" s="168"/>
      <c r="G122" s="138"/>
      <c r="H122" s="152">
        <v>117</v>
      </c>
      <c r="I122" s="153" t="str">
        <f t="shared" si="9"/>
        <v/>
      </c>
      <c r="J122" s="152">
        <f t="shared" si="10"/>
        <v>-3</v>
      </c>
      <c r="K122" s="152">
        <f t="shared" si="7"/>
        <v>-30</v>
      </c>
      <c r="L122" s="152"/>
      <c r="M122" s="154">
        <f t="shared" si="8"/>
        <v>0</v>
      </c>
    </row>
    <row r="123" spans="1:13">
      <c r="A123" s="168"/>
      <c r="G123" s="138"/>
      <c r="H123" s="152">
        <v>118</v>
      </c>
      <c r="I123" s="153" t="str">
        <f t="shared" si="9"/>
        <v/>
      </c>
      <c r="J123" s="152">
        <f t="shared" si="10"/>
        <v>-3</v>
      </c>
      <c r="K123" s="152">
        <f t="shared" si="7"/>
        <v>-30</v>
      </c>
      <c r="L123" s="152"/>
      <c r="M123" s="154">
        <f t="shared" si="8"/>
        <v>0</v>
      </c>
    </row>
    <row r="124" spans="1:13">
      <c r="A124" s="168"/>
      <c r="G124" s="138"/>
      <c r="H124" s="152">
        <v>119</v>
      </c>
      <c r="I124" s="153" t="str">
        <f t="shared" si="9"/>
        <v/>
      </c>
      <c r="J124" s="152">
        <f t="shared" si="10"/>
        <v>-3</v>
      </c>
      <c r="K124" s="152">
        <f t="shared" si="7"/>
        <v>-30</v>
      </c>
      <c r="L124" s="152"/>
      <c r="M124" s="154">
        <f t="shared" si="8"/>
        <v>0</v>
      </c>
    </row>
    <row r="125" spans="1:13">
      <c r="A125" s="168"/>
      <c r="G125" s="138"/>
      <c r="H125" s="152">
        <v>120</v>
      </c>
      <c r="I125" s="153" t="str">
        <f t="shared" si="9"/>
        <v/>
      </c>
      <c r="J125" s="152">
        <f t="shared" si="10"/>
        <v>-3</v>
      </c>
      <c r="K125" s="152">
        <f t="shared" si="7"/>
        <v>-30</v>
      </c>
      <c r="L125" s="152"/>
      <c r="M125" s="154">
        <f t="shared" si="8"/>
        <v>0</v>
      </c>
    </row>
    <row r="126" spans="1:13">
      <c r="A126" s="168"/>
      <c r="G126" s="138"/>
      <c r="H126" s="152">
        <v>121</v>
      </c>
      <c r="I126" s="153" t="str">
        <f t="shared" si="9"/>
        <v/>
      </c>
      <c r="J126" s="152">
        <f t="shared" si="10"/>
        <v>-3</v>
      </c>
      <c r="K126" s="152">
        <f t="shared" si="7"/>
        <v>-30</v>
      </c>
      <c r="L126" s="152"/>
      <c r="M126" s="154">
        <f t="shared" si="8"/>
        <v>0</v>
      </c>
    </row>
    <row r="127" spans="1:13">
      <c r="A127" s="168"/>
      <c r="G127" s="138"/>
      <c r="H127" s="152">
        <v>122</v>
      </c>
      <c r="I127" s="153" t="str">
        <f t="shared" si="9"/>
        <v/>
      </c>
      <c r="J127" s="152">
        <f t="shared" si="10"/>
        <v>-3</v>
      </c>
      <c r="K127" s="152">
        <f t="shared" si="7"/>
        <v>-30</v>
      </c>
      <c r="L127" s="152"/>
      <c r="M127" s="154">
        <f t="shared" si="8"/>
        <v>0</v>
      </c>
    </row>
    <row r="128" spans="1:13">
      <c r="A128" s="168"/>
      <c r="G128" s="138"/>
      <c r="H128" s="152">
        <v>123</v>
      </c>
      <c r="I128" s="153" t="str">
        <f t="shared" si="9"/>
        <v/>
      </c>
      <c r="J128" s="152">
        <f t="shared" si="10"/>
        <v>-3</v>
      </c>
      <c r="K128" s="152">
        <f t="shared" si="7"/>
        <v>-30</v>
      </c>
      <c r="L128" s="152"/>
      <c r="M128" s="154">
        <f t="shared" si="8"/>
        <v>0</v>
      </c>
    </row>
    <row r="129" spans="1:13">
      <c r="A129" s="168"/>
      <c r="G129" s="138"/>
      <c r="H129" s="152">
        <v>124</v>
      </c>
      <c r="I129" s="153" t="str">
        <f t="shared" si="9"/>
        <v/>
      </c>
      <c r="J129" s="152">
        <f t="shared" si="10"/>
        <v>-3</v>
      </c>
      <c r="K129" s="152">
        <f t="shared" si="7"/>
        <v>-30</v>
      </c>
      <c r="L129" s="152"/>
      <c r="M129" s="154">
        <f t="shared" si="8"/>
        <v>0</v>
      </c>
    </row>
    <row r="130" spans="1:13">
      <c r="A130" s="168"/>
      <c r="G130" s="138"/>
      <c r="H130" s="152">
        <v>125</v>
      </c>
      <c r="I130" s="153" t="str">
        <f t="shared" si="9"/>
        <v/>
      </c>
      <c r="J130" s="152">
        <f t="shared" si="10"/>
        <v>-3</v>
      </c>
      <c r="K130" s="152">
        <f t="shared" si="7"/>
        <v>-30</v>
      </c>
      <c r="L130" s="152"/>
      <c r="M130" s="154">
        <f t="shared" si="8"/>
        <v>0</v>
      </c>
    </row>
    <row r="131" spans="1:13">
      <c r="A131" s="168"/>
      <c r="G131" s="138"/>
      <c r="H131" s="152">
        <v>126</v>
      </c>
      <c r="I131" s="153" t="str">
        <f t="shared" si="9"/>
        <v/>
      </c>
      <c r="J131" s="152">
        <f t="shared" si="10"/>
        <v>-3</v>
      </c>
      <c r="K131" s="152">
        <f t="shared" si="7"/>
        <v>-30</v>
      </c>
      <c r="L131" s="152"/>
      <c r="M131" s="154">
        <f t="shared" si="8"/>
        <v>0</v>
      </c>
    </row>
    <row r="132" spans="1:13">
      <c r="A132" s="168"/>
      <c r="G132" s="138"/>
      <c r="H132" s="152">
        <v>127</v>
      </c>
      <c r="I132" s="153" t="str">
        <f t="shared" si="9"/>
        <v/>
      </c>
      <c r="J132" s="152">
        <f t="shared" si="10"/>
        <v>-3</v>
      </c>
      <c r="K132" s="152">
        <f t="shared" si="7"/>
        <v>-30</v>
      </c>
      <c r="L132" s="152"/>
      <c r="M132" s="154">
        <f t="shared" si="8"/>
        <v>0</v>
      </c>
    </row>
    <row r="133" spans="1:13">
      <c r="A133" s="168"/>
      <c r="G133" s="138"/>
      <c r="H133" s="152">
        <v>128</v>
      </c>
      <c r="I133" s="153" t="str">
        <f t="shared" si="9"/>
        <v/>
      </c>
      <c r="J133" s="152">
        <f t="shared" si="10"/>
        <v>-3</v>
      </c>
      <c r="K133" s="152">
        <f t="shared" si="7"/>
        <v>-30</v>
      </c>
      <c r="L133" s="152"/>
      <c r="M133" s="154">
        <f t="shared" si="8"/>
        <v>0</v>
      </c>
    </row>
    <row r="134" spans="1:13">
      <c r="A134" s="168"/>
      <c r="G134" s="138"/>
      <c r="H134" s="152">
        <v>129</v>
      </c>
      <c r="I134" s="153" t="str">
        <f t="shared" si="9"/>
        <v/>
      </c>
      <c r="J134" s="152">
        <f t="shared" si="10"/>
        <v>-4</v>
      </c>
      <c r="K134" s="152">
        <f t="shared" ref="K134:K197" si="11">J134*$J$2</f>
        <v>-40</v>
      </c>
      <c r="L134" s="152"/>
      <c r="M134" s="154">
        <f t="shared" ref="M134:M197" si="12">IF(I134&lt;&gt;"",K134+I134+L134,0)</f>
        <v>0</v>
      </c>
    </row>
    <row r="135" spans="1:13">
      <c r="A135" s="168"/>
      <c r="G135" s="138"/>
      <c r="H135" s="152">
        <v>130</v>
      </c>
      <c r="I135" s="153" t="str">
        <f t="shared" ref="I135:I198" si="13">IF(H135&lt;$H$2+1,($I$2-($I$2-1)*(LOG(H135)/LOG($H$2))),"")</f>
        <v/>
      </c>
      <c r="J135" s="152">
        <f t="shared" ref="J135:J198" si="14">INT(LOG($H$2,2))-ROUNDUP(LOG(H135,2),0)+IF(OR($H$2=1,$H$2=2,$H$2=4,$H$2=8,$H$2=16,$H$2=32,$H$2=64,$H$2=128,$H$2=256),0,1)</f>
        <v>-4</v>
      </c>
      <c r="K135" s="152">
        <f t="shared" si="11"/>
        <v>-40</v>
      </c>
      <c r="L135" s="152"/>
      <c r="M135" s="154">
        <f t="shared" si="12"/>
        <v>0</v>
      </c>
    </row>
    <row r="136" spans="1:13">
      <c r="A136" s="168"/>
      <c r="G136" s="138"/>
      <c r="H136" s="152">
        <v>131</v>
      </c>
      <c r="I136" s="153" t="str">
        <f t="shared" si="13"/>
        <v/>
      </c>
      <c r="J136" s="152">
        <f t="shared" si="14"/>
        <v>-4</v>
      </c>
      <c r="K136" s="152">
        <f t="shared" si="11"/>
        <v>-40</v>
      </c>
      <c r="L136" s="152"/>
      <c r="M136" s="154">
        <f t="shared" si="12"/>
        <v>0</v>
      </c>
    </row>
    <row r="137" spans="1:13">
      <c r="A137" s="168"/>
      <c r="G137" s="138"/>
      <c r="H137" s="152">
        <v>132</v>
      </c>
      <c r="I137" s="153" t="str">
        <f t="shared" si="13"/>
        <v/>
      </c>
      <c r="J137" s="152">
        <f t="shared" si="14"/>
        <v>-4</v>
      </c>
      <c r="K137" s="152">
        <f t="shared" si="11"/>
        <v>-40</v>
      </c>
      <c r="L137" s="152"/>
      <c r="M137" s="154">
        <f t="shared" si="12"/>
        <v>0</v>
      </c>
    </row>
    <row r="138" spans="1:13">
      <c r="A138" s="168"/>
      <c r="G138" s="138"/>
      <c r="H138" s="152">
        <v>133</v>
      </c>
      <c r="I138" s="153" t="str">
        <f t="shared" si="13"/>
        <v/>
      </c>
      <c r="J138" s="152">
        <f t="shared" si="14"/>
        <v>-4</v>
      </c>
      <c r="K138" s="152">
        <f t="shared" si="11"/>
        <v>-40</v>
      </c>
      <c r="L138" s="152"/>
      <c r="M138" s="154">
        <f t="shared" si="12"/>
        <v>0</v>
      </c>
    </row>
    <row r="139" spans="1:13">
      <c r="A139" s="168"/>
      <c r="G139" s="138"/>
      <c r="H139" s="152">
        <v>134</v>
      </c>
      <c r="I139" s="153" t="str">
        <f t="shared" si="13"/>
        <v/>
      </c>
      <c r="J139" s="152">
        <f t="shared" si="14"/>
        <v>-4</v>
      </c>
      <c r="K139" s="152">
        <f t="shared" si="11"/>
        <v>-40</v>
      </c>
      <c r="L139" s="152"/>
      <c r="M139" s="154">
        <f t="shared" si="12"/>
        <v>0</v>
      </c>
    </row>
    <row r="140" spans="1:13">
      <c r="A140" s="168"/>
      <c r="G140" s="138"/>
      <c r="H140" s="152">
        <v>135</v>
      </c>
      <c r="I140" s="153" t="str">
        <f t="shared" si="13"/>
        <v/>
      </c>
      <c r="J140" s="152">
        <f t="shared" si="14"/>
        <v>-4</v>
      </c>
      <c r="K140" s="152">
        <f t="shared" si="11"/>
        <v>-40</v>
      </c>
      <c r="L140" s="152"/>
      <c r="M140" s="154">
        <f t="shared" si="12"/>
        <v>0</v>
      </c>
    </row>
    <row r="141" spans="1:13">
      <c r="A141" s="168"/>
      <c r="G141" s="138"/>
      <c r="H141" s="152">
        <v>136</v>
      </c>
      <c r="I141" s="153" t="str">
        <f t="shared" si="13"/>
        <v/>
      </c>
      <c r="J141" s="152">
        <f t="shared" si="14"/>
        <v>-4</v>
      </c>
      <c r="K141" s="152">
        <f t="shared" si="11"/>
        <v>-40</v>
      </c>
      <c r="L141" s="152"/>
      <c r="M141" s="154">
        <f t="shared" si="12"/>
        <v>0</v>
      </c>
    </row>
    <row r="142" spans="1:13">
      <c r="A142" s="168"/>
      <c r="G142" s="138"/>
      <c r="H142" s="152">
        <v>137</v>
      </c>
      <c r="I142" s="153" t="str">
        <f t="shared" si="13"/>
        <v/>
      </c>
      <c r="J142" s="152">
        <f t="shared" si="14"/>
        <v>-4</v>
      </c>
      <c r="K142" s="152">
        <f t="shared" si="11"/>
        <v>-40</v>
      </c>
      <c r="L142" s="152"/>
      <c r="M142" s="154">
        <f t="shared" si="12"/>
        <v>0</v>
      </c>
    </row>
    <row r="143" spans="1:13">
      <c r="A143" s="168"/>
      <c r="G143" s="138"/>
      <c r="H143" s="152">
        <v>138</v>
      </c>
      <c r="I143" s="153" t="str">
        <f t="shared" si="13"/>
        <v/>
      </c>
      <c r="J143" s="152">
        <f t="shared" si="14"/>
        <v>-4</v>
      </c>
      <c r="K143" s="152">
        <f t="shared" si="11"/>
        <v>-40</v>
      </c>
      <c r="L143" s="152"/>
      <c r="M143" s="154">
        <f t="shared" si="12"/>
        <v>0</v>
      </c>
    </row>
    <row r="144" spans="1:13">
      <c r="A144" s="168"/>
      <c r="G144" s="138"/>
      <c r="H144" s="152">
        <v>139</v>
      </c>
      <c r="I144" s="153" t="str">
        <f t="shared" si="13"/>
        <v/>
      </c>
      <c r="J144" s="152">
        <f t="shared" si="14"/>
        <v>-4</v>
      </c>
      <c r="K144" s="152">
        <f t="shared" si="11"/>
        <v>-40</v>
      </c>
      <c r="L144" s="152"/>
      <c r="M144" s="154">
        <f t="shared" si="12"/>
        <v>0</v>
      </c>
    </row>
    <row r="145" spans="1:13">
      <c r="A145" s="168"/>
      <c r="G145" s="138"/>
      <c r="H145" s="152">
        <v>140</v>
      </c>
      <c r="I145" s="153" t="str">
        <f t="shared" si="13"/>
        <v/>
      </c>
      <c r="J145" s="152">
        <f t="shared" si="14"/>
        <v>-4</v>
      </c>
      <c r="K145" s="152">
        <f t="shared" si="11"/>
        <v>-40</v>
      </c>
      <c r="L145" s="152"/>
      <c r="M145" s="154">
        <f t="shared" si="12"/>
        <v>0</v>
      </c>
    </row>
    <row r="146" spans="1:13">
      <c r="A146" s="168"/>
      <c r="G146" s="138"/>
      <c r="H146" s="152">
        <v>141</v>
      </c>
      <c r="I146" s="153" t="str">
        <f t="shared" si="13"/>
        <v/>
      </c>
      <c r="J146" s="152">
        <f t="shared" si="14"/>
        <v>-4</v>
      </c>
      <c r="K146" s="152">
        <f t="shared" si="11"/>
        <v>-40</v>
      </c>
      <c r="L146" s="152"/>
      <c r="M146" s="154">
        <f t="shared" si="12"/>
        <v>0</v>
      </c>
    </row>
    <row r="147" spans="1:13">
      <c r="A147" s="168"/>
      <c r="G147" s="138"/>
      <c r="H147" s="152">
        <v>142</v>
      </c>
      <c r="I147" s="153" t="str">
        <f t="shared" si="13"/>
        <v/>
      </c>
      <c r="J147" s="152">
        <f t="shared" si="14"/>
        <v>-4</v>
      </c>
      <c r="K147" s="152">
        <f t="shared" si="11"/>
        <v>-40</v>
      </c>
      <c r="L147" s="152"/>
      <c r="M147" s="154">
        <f t="shared" si="12"/>
        <v>0</v>
      </c>
    </row>
    <row r="148" spans="1:13">
      <c r="A148" s="168"/>
      <c r="G148" s="138"/>
      <c r="H148" s="152">
        <v>143</v>
      </c>
      <c r="I148" s="153" t="str">
        <f t="shared" si="13"/>
        <v/>
      </c>
      <c r="J148" s="152">
        <f t="shared" si="14"/>
        <v>-4</v>
      </c>
      <c r="K148" s="152">
        <f t="shared" si="11"/>
        <v>-40</v>
      </c>
      <c r="L148" s="152"/>
      <c r="M148" s="154">
        <f t="shared" si="12"/>
        <v>0</v>
      </c>
    </row>
    <row r="149" spans="1:13">
      <c r="A149" s="168"/>
      <c r="G149" s="138"/>
      <c r="H149" s="152">
        <v>144</v>
      </c>
      <c r="I149" s="153" t="str">
        <f t="shared" si="13"/>
        <v/>
      </c>
      <c r="J149" s="152">
        <f t="shared" si="14"/>
        <v>-4</v>
      </c>
      <c r="K149" s="152">
        <f t="shared" si="11"/>
        <v>-40</v>
      </c>
      <c r="L149" s="152"/>
      <c r="M149" s="154">
        <f t="shared" si="12"/>
        <v>0</v>
      </c>
    </row>
    <row r="150" spans="1:13">
      <c r="A150" s="168"/>
      <c r="G150" s="138"/>
      <c r="H150" s="152">
        <v>145</v>
      </c>
      <c r="I150" s="153" t="str">
        <f t="shared" si="13"/>
        <v/>
      </c>
      <c r="J150" s="152">
        <f t="shared" si="14"/>
        <v>-4</v>
      </c>
      <c r="K150" s="152">
        <f t="shared" si="11"/>
        <v>-40</v>
      </c>
      <c r="L150" s="152"/>
      <c r="M150" s="154">
        <f t="shared" si="12"/>
        <v>0</v>
      </c>
    </row>
    <row r="151" spans="1:13">
      <c r="A151" s="168"/>
      <c r="G151" s="138"/>
      <c r="H151" s="152">
        <v>146</v>
      </c>
      <c r="I151" s="153" t="str">
        <f t="shared" si="13"/>
        <v/>
      </c>
      <c r="J151" s="152">
        <f t="shared" si="14"/>
        <v>-4</v>
      </c>
      <c r="K151" s="152">
        <f t="shared" si="11"/>
        <v>-40</v>
      </c>
      <c r="L151" s="152"/>
      <c r="M151" s="154">
        <f t="shared" si="12"/>
        <v>0</v>
      </c>
    </row>
    <row r="152" spans="1:13">
      <c r="A152" s="168"/>
      <c r="G152" s="138"/>
      <c r="H152" s="152">
        <v>147</v>
      </c>
      <c r="I152" s="153" t="str">
        <f t="shared" si="13"/>
        <v/>
      </c>
      <c r="J152" s="152">
        <f t="shared" si="14"/>
        <v>-4</v>
      </c>
      <c r="K152" s="152">
        <f t="shared" si="11"/>
        <v>-40</v>
      </c>
      <c r="L152" s="152"/>
      <c r="M152" s="154">
        <f t="shared" si="12"/>
        <v>0</v>
      </c>
    </row>
    <row r="153" spans="1:13">
      <c r="A153" s="168"/>
      <c r="G153" s="138"/>
      <c r="H153" s="152">
        <v>148</v>
      </c>
      <c r="I153" s="153" t="str">
        <f t="shared" si="13"/>
        <v/>
      </c>
      <c r="J153" s="152">
        <f t="shared" si="14"/>
        <v>-4</v>
      </c>
      <c r="K153" s="152">
        <f t="shared" si="11"/>
        <v>-40</v>
      </c>
      <c r="L153" s="152"/>
      <c r="M153" s="154">
        <f t="shared" si="12"/>
        <v>0</v>
      </c>
    </row>
    <row r="154" spans="1:13">
      <c r="A154" s="168"/>
      <c r="G154" s="138"/>
      <c r="H154" s="152">
        <v>149</v>
      </c>
      <c r="I154" s="153" t="str">
        <f t="shared" si="13"/>
        <v/>
      </c>
      <c r="J154" s="152">
        <f t="shared" si="14"/>
        <v>-4</v>
      </c>
      <c r="K154" s="152">
        <f t="shared" si="11"/>
        <v>-40</v>
      </c>
      <c r="L154" s="152"/>
      <c r="M154" s="154">
        <f t="shared" si="12"/>
        <v>0</v>
      </c>
    </row>
    <row r="155" spans="1:13">
      <c r="A155" s="168"/>
      <c r="G155" s="138"/>
      <c r="H155" s="152">
        <v>150</v>
      </c>
      <c r="I155" s="153" t="str">
        <f t="shared" si="13"/>
        <v/>
      </c>
      <c r="J155" s="152">
        <f t="shared" si="14"/>
        <v>-4</v>
      </c>
      <c r="K155" s="152">
        <f t="shared" si="11"/>
        <v>-40</v>
      </c>
      <c r="L155" s="152"/>
      <c r="M155" s="154">
        <f t="shared" si="12"/>
        <v>0</v>
      </c>
    </row>
    <row r="156" spans="1:13">
      <c r="A156" s="168"/>
      <c r="G156" s="138"/>
      <c r="H156" s="152">
        <v>151</v>
      </c>
      <c r="I156" s="153" t="str">
        <f t="shared" si="13"/>
        <v/>
      </c>
      <c r="J156" s="152">
        <f t="shared" si="14"/>
        <v>-4</v>
      </c>
      <c r="K156" s="152">
        <f t="shared" si="11"/>
        <v>-40</v>
      </c>
      <c r="L156" s="152"/>
      <c r="M156" s="154">
        <f t="shared" si="12"/>
        <v>0</v>
      </c>
    </row>
    <row r="157" spans="1:13">
      <c r="A157" s="168"/>
      <c r="G157" s="138"/>
      <c r="H157" s="152">
        <v>152</v>
      </c>
      <c r="I157" s="153" t="str">
        <f t="shared" si="13"/>
        <v/>
      </c>
      <c r="J157" s="152">
        <f t="shared" si="14"/>
        <v>-4</v>
      </c>
      <c r="K157" s="152">
        <f t="shared" si="11"/>
        <v>-40</v>
      </c>
      <c r="L157" s="152"/>
      <c r="M157" s="154">
        <f t="shared" si="12"/>
        <v>0</v>
      </c>
    </row>
    <row r="158" spans="1:13">
      <c r="A158" s="168"/>
      <c r="G158" s="138"/>
      <c r="H158" s="152">
        <v>153</v>
      </c>
      <c r="I158" s="153" t="str">
        <f t="shared" si="13"/>
        <v/>
      </c>
      <c r="J158" s="152">
        <f t="shared" si="14"/>
        <v>-4</v>
      </c>
      <c r="K158" s="152">
        <f t="shared" si="11"/>
        <v>-40</v>
      </c>
      <c r="L158" s="152"/>
      <c r="M158" s="154">
        <f t="shared" si="12"/>
        <v>0</v>
      </c>
    </row>
    <row r="159" spans="1:13">
      <c r="A159" s="168"/>
      <c r="G159" s="138"/>
      <c r="H159" s="152">
        <v>154</v>
      </c>
      <c r="I159" s="153" t="str">
        <f t="shared" si="13"/>
        <v/>
      </c>
      <c r="J159" s="152">
        <f t="shared" si="14"/>
        <v>-4</v>
      </c>
      <c r="K159" s="152">
        <f t="shared" si="11"/>
        <v>-40</v>
      </c>
      <c r="L159" s="152"/>
      <c r="M159" s="154">
        <f t="shared" si="12"/>
        <v>0</v>
      </c>
    </row>
    <row r="160" spans="1:13">
      <c r="A160" s="168"/>
      <c r="G160" s="138"/>
      <c r="H160" s="152">
        <v>155</v>
      </c>
      <c r="I160" s="153" t="str">
        <f t="shared" si="13"/>
        <v/>
      </c>
      <c r="J160" s="152">
        <f t="shared" si="14"/>
        <v>-4</v>
      </c>
      <c r="K160" s="152">
        <f t="shared" si="11"/>
        <v>-40</v>
      </c>
      <c r="L160" s="152"/>
      <c r="M160" s="154">
        <f t="shared" si="12"/>
        <v>0</v>
      </c>
    </row>
    <row r="161" spans="1:13">
      <c r="A161" s="168"/>
      <c r="G161" s="138"/>
      <c r="H161" s="152">
        <v>156</v>
      </c>
      <c r="I161" s="153" t="str">
        <f t="shared" si="13"/>
        <v/>
      </c>
      <c r="J161" s="152">
        <f t="shared" si="14"/>
        <v>-4</v>
      </c>
      <c r="K161" s="152">
        <f t="shared" si="11"/>
        <v>-40</v>
      </c>
      <c r="L161" s="152"/>
      <c r="M161" s="154">
        <f t="shared" si="12"/>
        <v>0</v>
      </c>
    </row>
    <row r="162" spans="1:13">
      <c r="A162" s="168"/>
      <c r="G162" s="138"/>
      <c r="H162" s="152">
        <v>157</v>
      </c>
      <c r="I162" s="153" t="str">
        <f t="shared" si="13"/>
        <v/>
      </c>
      <c r="J162" s="152">
        <f t="shared" si="14"/>
        <v>-4</v>
      </c>
      <c r="K162" s="152">
        <f t="shared" si="11"/>
        <v>-40</v>
      </c>
      <c r="L162" s="152"/>
      <c r="M162" s="154">
        <f t="shared" si="12"/>
        <v>0</v>
      </c>
    </row>
    <row r="163" spans="1:13">
      <c r="A163" s="168"/>
      <c r="G163" s="138"/>
      <c r="H163" s="152">
        <v>158</v>
      </c>
      <c r="I163" s="153" t="str">
        <f t="shared" si="13"/>
        <v/>
      </c>
      <c r="J163" s="152">
        <f t="shared" si="14"/>
        <v>-4</v>
      </c>
      <c r="K163" s="152">
        <f t="shared" si="11"/>
        <v>-40</v>
      </c>
      <c r="L163" s="152"/>
      <c r="M163" s="154">
        <f t="shared" si="12"/>
        <v>0</v>
      </c>
    </row>
    <row r="164" spans="1:13">
      <c r="A164" s="168"/>
      <c r="G164" s="138"/>
      <c r="H164" s="152">
        <v>159</v>
      </c>
      <c r="I164" s="153" t="str">
        <f t="shared" si="13"/>
        <v/>
      </c>
      <c r="J164" s="152">
        <f t="shared" si="14"/>
        <v>-4</v>
      </c>
      <c r="K164" s="152">
        <f t="shared" si="11"/>
        <v>-40</v>
      </c>
      <c r="L164" s="152"/>
      <c r="M164" s="154">
        <f t="shared" si="12"/>
        <v>0</v>
      </c>
    </row>
    <row r="165" spans="1:13">
      <c r="A165" s="168"/>
      <c r="G165" s="138"/>
      <c r="H165" s="152">
        <v>160</v>
      </c>
      <c r="I165" s="153" t="str">
        <f t="shared" si="13"/>
        <v/>
      </c>
      <c r="J165" s="152">
        <f t="shared" si="14"/>
        <v>-4</v>
      </c>
      <c r="K165" s="152">
        <f t="shared" si="11"/>
        <v>-40</v>
      </c>
      <c r="L165" s="152"/>
      <c r="M165" s="154">
        <f t="shared" si="12"/>
        <v>0</v>
      </c>
    </row>
    <row r="166" spans="1:13">
      <c r="A166" s="168"/>
      <c r="G166" s="138"/>
      <c r="H166" s="152">
        <v>161</v>
      </c>
      <c r="I166" s="153" t="str">
        <f t="shared" si="13"/>
        <v/>
      </c>
      <c r="J166" s="152">
        <f t="shared" si="14"/>
        <v>-4</v>
      </c>
      <c r="K166" s="152">
        <f t="shared" si="11"/>
        <v>-40</v>
      </c>
      <c r="L166" s="152"/>
      <c r="M166" s="154">
        <f t="shared" si="12"/>
        <v>0</v>
      </c>
    </row>
    <row r="167" spans="1:13">
      <c r="A167" s="168"/>
      <c r="G167" s="138"/>
      <c r="H167" s="152">
        <v>162</v>
      </c>
      <c r="I167" s="153" t="str">
        <f t="shared" si="13"/>
        <v/>
      </c>
      <c r="J167" s="152">
        <f t="shared" si="14"/>
        <v>-4</v>
      </c>
      <c r="K167" s="152">
        <f t="shared" si="11"/>
        <v>-40</v>
      </c>
      <c r="L167" s="152"/>
      <c r="M167" s="154">
        <f t="shared" si="12"/>
        <v>0</v>
      </c>
    </row>
    <row r="168" spans="1:13">
      <c r="A168" s="168"/>
      <c r="G168" s="138"/>
      <c r="H168" s="152">
        <v>163</v>
      </c>
      <c r="I168" s="153" t="str">
        <f t="shared" si="13"/>
        <v/>
      </c>
      <c r="J168" s="152">
        <f t="shared" si="14"/>
        <v>-4</v>
      </c>
      <c r="K168" s="152">
        <f t="shared" si="11"/>
        <v>-40</v>
      </c>
      <c r="L168" s="152"/>
      <c r="M168" s="154">
        <f t="shared" si="12"/>
        <v>0</v>
      </c>
    </row>
    <row r="169" spans="1:13">
      <c r="A169" s="168"/>
      <c r="G169" s="138"/>
      <c r="H169" s="152">
        <v>164</v>
      </c>
      <c r="I169" s="153" t="str">
        <f t="shared" si="13"/>
        <v/>
      </c>
      <c r="J169" s="152">
        <f t="shared" si="14"/>
        <v>-4</v>
      </c>
      <c r="K169" s="152">
        <f t="shared" si="11"/>
        <v>-40</v>
      </c>
      <c r="L169" s="152"/>
      <c r="M169" s="154">
        <f t="shared" si="12"/>
        <v>0</v>
      </c>
    </row>
    <row r="170" spans="1:13">
      <c r="A170" s="168"/>
      <c r="G170" s="138"/>
      <c r="H170" s="152">
        <v>165</v>
      </c>
      <c r="I170" s="153" t="str">
        <f t="shared" si="13"/>
        <v/>
      </c>
      <c r="J170" s="152">
        <f t="shared" si="14"/>
        <v>-4</v>
      </c>
      <c r="K170" s="152">
        <f t="shared" si="11"/>
        <v>-40</v>
      </c>
      <c r="L170" s="152"/>
      <c r="M170" s="154">
        <f t="shared" si="12"/>
        <v>0</v>
      </c>
    </row>
    <row r="171" spans="1:13">
      <c r="A171" s="168"/>
      <c r="G171" s="138"/>
      <c r="H171" s="152">
        <v>166</v>
      </c>
      <c r="I171" s="153" t="str">
        <f t="shared" si="13"/>
        <v/>
      </c>
      <c r="J171" s="152">
        <f t="shared" si="14"/>
        <v>-4</v>
      </c>
      <c r="K171" s="152">
        <f t="shared" si="11"/>
        <v>-40</v>
      </c>
      <c r="L171" s="152"/>
      <c r="M171" s="154">
        <f t="shared" si="12"/>
        <v>0</v>
      </c>
    </row>
    <row r="172" spans="1:13">
      <c r="A172" s="168"/>
      <c r="G172" s="138"/>
      <c r="H172" s="152">
        <v>167</v>
      </c>
      <c r="I172" s="153" t="str">
        <f t="shared" si="13"/>
        <v/>
      </c>
      <c r="J172" s="152">
        <f t="shared" si="14"/>
        <v>-4</v>
      </c>
      <c r="K172" s="152">
        <f t="shared" si="11"/>
        <v>-40</v>
      </c>
      <c r="L172" s="152"/>
      <c r="M172" s="154">
        <f t="shared" si="12"/>
        <v>0</v>
      </c>
    </row>
    <row r="173" spans="1:13">
      <c r="A173" s="168"/>
      <c r="G173" s="138"/>
      <c r="H173" s="152">
        <v>168</v>
      </c>
      <c r="I173" s="153" t="str">
        <f t="shared" si="13"/>
        <v/>
      </c>
      <c r="J173" s="152">
        <f t="shared" si="14"/>
        <v>-4</v>
      </c>
      <c r="K173" s="152">
        <f t="shared" si="11"/>
        <v>-40</v>
      </c>
      <c r="L173" s="152"/>
      <c r="M173" s="154">
        <f t="shared" si="12"/>
        <v>0</v>
      </c>
    </row>
    <row r="174" spans="1:13">
      <c r="A174" s="168"/>
      <c r="G174" s="138"/>
      <c r="H174" s="152">
        <v>169</v>
      </c>
      <c r="I174" s="153" t="str">
        <f t="shared" si="13"/>
        <v/>
      </c>
      <c r="J174" s="152">
        <f t="shared" si="14"/>
        <v>-4</v>
      </c>
      <c r="K174" s="152">
        <f t="shared" si="11"/>
        <v>-40</v>
      </c>
      <c r="L174" s="152"/>
      <c r="M174" s="154">
        <f t="shared" si="12"/>
        <v>0</v>
      </c>
    </row>
    <row r="175" spans="1:13">
      <c r="A175" s="168"/>
      <c r="G175" s="138"/>
      <c r="H175" s="152">
        <v>170</v>
      </c>
      <c r="I175" s="153" t="str">
        <f t="shared" si="13"/>
        <v/>
      </c>
      <c r="J175" s="152">
        <f t="shared" si="14"/>
        <v>-4</v>
      </c>
      <c r="K175" s="152">
        <f t="shared" si="11"/>
        <v>-40</v>
      </c>
      <c r="L175" s="152"/>
      <c r="M175" s="154">
        <f t="shared" si="12"/>
        <v>0</v>
      </c>
    </row>
    <row r="176" spans="1:13">
      <c r="A176" s="168"/>
      <c r="G176" s="138"/>
      <c r="H176" s="152">
        <v>171</v>
      </c>
      <c r="I176" s="153" t="str">
        <f t="shared" si="13"/>
        <v/>
      </c>
      <c r="J176" s="152">
        <f t="shared" si="14"/>
        <v>-4</v>
      </c>
      <c r="K176" s="152">
        <f t="shared" si="11"/>
        <v>-40</v>
      </c>
      <c r="L176" s="152"/>
      <c r="M176" s="154">
        <f t="shared" si="12"/>
        <v>0</v>
      </c>
    </row>
    <row r="177" spans="1:13">
      <c r="A177" s="168"/>
      <c r="G177" s="138"/>
      <c r="H177" s="152">
        <v>172</v>
      </c>
      <c r="I177" s="153" t="str">
        <f t="shared" si="13"/>
        <v/>
      </c>
      <c r="J177" s="152">
        <f t="shared" si="14"/>
        <v>-4</v>
      </c>
      <c r="K177" s="152">
        <f t="shared" si="11"/>
        <v>-40</v>
      </c>
      <c r="L177" s="152"/>
      <c r="M177" s="154">
        <f t="shared" si="12"/>
        <v>0</v>
      </c>
    </row>
    <row r="178" spans="1:13">
      <c r="A178" s="168"/>
      <c r="G178" s="138"/>
      <c r="H178" s="152">
        <v>173</v>
      </c>
      <c r="I178" s="153" t="str">
        <f t="shared" si="13"/>
        <v/>
      </c>
      <c r="J178" s="152">
        <f t="shared" si="14"/>
        <v>-4</v>
      </c>
      <c r="K178" s="152">
        <f t="shared" si="11"/>
        <v>-40</v>
      </c>
      <c r="L178" s="152"/>
      <c r="M178" s="154">
        <f t="shared" si="12"/>
        <v>0</v>
      </c>
    </row>
    <row r="179" spans="1:13">
      <c r="A179" s="168"/>
      <c r="G179" s="138"/>
      <c r="H179" s="152">
        <v>174</v>
      </c>
      <c r="I179" s="153" t="str">
        <f t="shared" si="13"/>
        <v/>
      </c>
      <c r="J179" s="152">
        <f t="shared" si="14"/>
        <v>-4</v>
      </c>
      <c r="K179" s="152">
        <f t="shared" si="11"/>
        <v>-40</v>
      </c>
      <c r="L179" s="152"/>
      <c r="M179" s="154">
        <f t="shared" si="12"/>
        <v>0</v>
      </c>
    </row>
    <row r="180" spans="1:13">
      <c r="A180" s="168"/>
      <c r="G180" s="138"/>
      <c r="H180" s="152">
        <v>175</v>
      </c>
      <c r="I180" s="153" t="str">
        <f t="shared" si="13"/>
        <v/>
      </c>
      <c r="J180" s="152">
        <f t="shared" si="14"/>
        <v>-4</v>
      </c>
      <c r="K180" s="152">
        <f t="shared" si="11"/>
        <v>-40</v>
      </c>
      <c r="L180" s="152"/>
      <c r="M180" s="154">
        <f t="shared" si="12"/>
        <v>0</v>
      </c>
    </row>
    <row r="181" spans="1:13">
      <c r="A181" s="168"/>
      <c r="G181" s="138"/>
      <c r="H181" s="152">
        <v>176</v>
      </c>
      <c r="I181" s="153" t="str">
        <f t="shared" si="13"/>
        <v/>
      </c>
      <c r="J181" s="152">
        <f t="shared" si="14"/>
        <v>-4</v>
      </c>
      <c r="K181" s="152">
        <f t="shared" si="11"/>
        <v>-40</v>
      </c>
      <c r="L181" s="152"/>
      <c r="M181" s="154">
        <f t="shared" si="12"/>
        <v>0</v>
      </c>
    </row>
    <row r="182" spans="1:13">
      <c r="A182" s="168"/>
      <c r="G182" s="138"/>
      <c r="H182" s="152">
        <v>177</v>
      </c>
      <c r="I182" s="153" t="str">
        <f t="shared" si="13"/>
        <v/>
      </c>
      <c r="J182" s="152">
        <f t="shared" si="14"/>
        <v>-4</v>
      </c>
      <c r="K182" s="152">
        <f t="shared" si="11"/>
        <v>-40</v>
      </c>
      <c r="L182" s="152"/>
      <c r="M182" s="154">
        <f t="shared" si="12"/>
        <v>0</v>
      </c>
    </row>
    <row r="183" spans="1:13">
      <c r="A183" s="168"/>
      <c r="G183" s="138"/>
      <c r="H183" s="152">
        <v>178</v>
      </c>
      <c r="I183" s="153" t="str">
        <f t="shared" si="13"/>
        <v/>
      </c>
      <c r="J183" s="152">
        <f t="shared" si="14"/>
        <v>-4</v>
      </c>
      <c r="K183" s="152">
        <f t="shared" si="11"/>
        <v>-40</v>
      </c>
      <c r="L183" s="152"/>
      <c r="M183" s="154">
        <f t="shared" si="12"/>
        <v>0</v>
      </c>
    </row>
    <row r="184" spans="1:13">
      <c r="A184" s="168"/>
      <c r="G184" s="138"/>
      <c r="H184" s="152">
        <v>179</v>
      </c>
      <c r="I184" s="153" t="str">
        <f t="shared" si="13"/>
        <v/>
      </c>
      <c r="J184" s="152">
        <f t="shared" si="14"/>
        <v>-4</v>
      </c>
      <c r="K184" s="152">
        <f t="shared" si="11"/>
        <v>-40</v>
      </c>
      <c r="L184" s="152"/>
      <c r="M184" s="154">
        <f t="shared" si="12"/>
        <v>0</v>
      </c>
    </row>
    <row r="185" spans="1:13">
      <c r="A185" s="168"/>
      <c r="G185" s="138"/>
      <c r="H185" s="152">
        <v>180</v>
      </c>
      <c r="I185" s="153" t="str">
        <f t="shared" si="13"/>
        <v/>
      </c>
      <c r="J185" s="152">
        <f t="shared" si="14"/>
        <v>-4</v>
      </c>
      <c r="K185" s="152">
        <f t="shared" si="11"/>
        <v>-40</v>
      </c>
      <c r="L185" s="152"/>
      <c r="M185" s="154">
        <f t="shared" si="12"/>
        <v>0</v>
      </c>
    </row>
    <row r="186" spans="1:13">
      <c r="A186" s="168"/>
      <c r="G186" s="138"/>
      <c r="H186" s="152">
        <v>181</v>
      </c>
      <c r="I186" s="153" t="str">
        <f t="shared" si="13"/>
        <v/>
      </c>
      <c r="J186" s="152">
        <f t="shared" si="14"/>
        <v>-4</v>
      </c>
      <c r="K186" s="152">
        <f t="shared" si="11"/>
        <v>-40</v>
      </c>
      <c r="L186" s="152"/>
      <c r="M186" s="154">
        <f t="shared" si="12"/>
        <v>0</v>
      </c>
    </row>
    <row r="187" spans="1:13">
      <c r="A187" s="168"/>
      <c r="G187" s="138"/>
      <c r="H187" s="152">
        <v>182</v>
      </c>
      <c r="I187" s="153" t="str">
        <f t="shared" si="13"/>
        <v/>
      </c>
      <c r="J187" s="152">
        <f t="shared" si="14"/>
        <v>-4</v>
      </c>
      <c r="K187" s="152">
        <f t="shared" si="11"/>
        <v>-40</v>
      </c>
      <c r="L187" s="152"/>
      <c r="M187" s="154">
        <f t="shared" si="12"/>
        <v>0</v>
      </c>
    </row>
    <row r="188" spans="1:13">
      <c r="A188" s="168"/>
      <c r="G188" s="138"/>
      <c r="H188" s="152">
        <v>183</v>
      </c>
      <c r="I188" s="153" t="str">
        <f t="shared" si="13"/>
        <v/>
      </c>
      <c r="J188" s="152">
        <f t="shared" si="14"/>
        <v>-4</v>
      </c>
      <c r="K188" s="152">
        <f t="shared" si="11"/>
        <v>-40</v>
      </c>
      <c r="L188" s="152"/>
      <c r="M188" s="154">
        <f t="shared" si="12"/>
        <v>0</v>
      </c>
    </row>
    <row r="189" spans="1:13">
      <c r="A189" s="168"/>
      <c r="G189" s="138"/>
      <c r="H189" s="152">
        <v>184</v>
      </c>
      <c r="I189" s="153" t="str">
        <f t="shared" si="13"/>
        <v/>
      </c>
      <c r="J189" s="152">
        <f t="shared" si="14"/>
        <v>-4</v>
      </c>
      <c r="K189" s="152">
        <f t="shared" si="11"/>
        <v>-40</v>
      </c>
      <c r="L189" s="152"/>
      <c r="M189" s="154">
        <f t="shared" si="12"/>
        <v>0</v>
      </c>
    </row>
    <row r="190" spans="1:13">
      <c r="A190" s="168"/>
      <c r="G190" s="138"/>
      <c r="H190" s="152">
        <v>185</v>
      </c>
      <c r="I190" s="153" t="str">
        <f t="shared" si="13"/>
        <v/>
      </c>
      <c r="J190" s="152">
        <f t="shared" si="14"/>
        <v>-4</v>
      </c>
      <c r="K190" s="152">
        <f t="shared" si="11"/>
        <v>-40</v>
      </c>
      <c r="L190" s="152"/>
      <c r="M190" s="154">
        <f t="shared" si="12"/>
        <v>0</v>
      </c>
    </row>
    <row r="191" spans="1:13">
      <c r="A191" s="168"/>
      <c r="G191" s="138"/>
      <c r="H191" s="152">
        <v>186</v>
      </c>
      <c r="I191" s="153" t="str">
        <f t="shared" si="13"/>
        <v/>
      </c>
      <c r="J191" s="152">
        <f t="shared" si="14"/>
        <v>-4</v>
      </c>
      <c r="K191" s="152">
        <f t="shared" si="11"/>
        <v>-40</v>
      </c>
      <c r="L191" s="152"/>
      <c r="M191" s="154">
        <f t="shared" si="12"/>
        <v>0</v>
      </c>
    </row>
    <row r="192" spans="1:13">
      <c r="A192" s="168"/>
      <c r="G192" s="138"/>
      <c r="H192" s="152">
        <v>187</v>
      </c>
      <c r="I192" s="153" t="str">
        <f t="shared" si="13"/>
        <v/>
      </c>
      <c r="J192" s="152">
        <f t="shared" si="14"/>
        <v>-4</v>
      </c>
      <c r="K192" s="152">
        <f t="shared" si="11"/>
        <v>-40</v>
      </c>
      <c r="L192" s="152"/>
      <c r="M192" s="154">
        <f t="shared" si="12"/>
        <v>0</v>
      </c>
    </row>
    <row r="193" spans="1:13">
      <c r="A193" s="168"/>
      <c r="G193" s="138"/>
      <c r="H193" s="152">
        <v>188</v>
      </c>
      <c r="I193" s="153" t="str">
        <f t="shared" si="13"/>
        <v/>
      </c>
      <c r="J193" s="152">
        <f t="shared" si="14"/>
        <v>-4</v>
      </c>
      <c r="K193" s="152">
        <f t="shared" si="11"/>
        <v>-40</v>
      </c>
      <c r="L193" s="152"/>
      <c r="M193" s="154">
        <f t="shared" si="12"/>
        <v>0</v>
      </c>
    </row>
    <row r="194" spans="1:13">
      <c r="A194" s="168"/>
      <c r="G194" s="138"/>
      <c r="H194" s="152">
        <v>189</v>
      </c>
      <c r="I194" s="153" t="str">
        <f t="shared" si="13"/>
        <v/>
      </c>
      <c r="J194" s="152">
        <f t="shared" si="14"/>
        <v>-4</v>
      </c>
      <c r="K194" s="152">
        <f t="shared" si="11"/>
        <v>-40</v>
      </c>
      <c r="L194" s="152"/>
      <c r="M194" s="154">
        <f t="shared" si="12"/>
        <v>0</v>
      </c>
    </row>
    <row r="195" spans="1:13">
      <c r="A195" s="168"/>
      <c r="G195" s="138"/>
      <c r="H195" s="152">
        <v>190</v>
      </c>
      <c r="I195" s="153" t="str">
        <f t="shared" si="13"/>
        <v/>
      </c>
      <c r="J195" s="152">
        <f t="shared" si="14"/>
        <v>-4</v>
      </c>
      <c r="K195" s="152">
        <f t="shared" si="11"/>
        <v>-40</v>
      </c>
      <c r="L195" s="152"/>
      <c r="M195" s="154">
        <f t="shared" si="12"/>
        <v>0</v>
      </c>
    </row>
    <row r="196" spans="1:13">
      <c r="A196" s="168"/>
      <c r="G196" s="138"/>
      <c r="H196" s="152">
        <v>191</v>
      </c>
      <c r="I196" s="153" t="str">
        <f t="shared" si="13"/>
        <v/>
      </c>
      <c r="J196" s="152">
        <f t="shared" si="14"/>
        <v>-4</v>
      </c>
      <c r="K196" s="152">
        <f t="shared" si="11"/>
        <v>-40</v>
      </c>
      <c r="L196" s="152"/>
      <c r="M196" s="154">
        <f t="shared" si="12"/>
        <v>0</v>
      </c>
    </row>
    <row r="197" spans="1:13">
      <c r="A197" s="168"/>
      <c r="G197" s="138"/>
      <c r="H197" s="152">
        <v>192</v>
      </c>
      <c r="I197" s="153" t="str">
        <f t="shared" si="13"/>
        <v/>
      </c>
      <c r="J197" s="152">
        <f t="shared" si="14"/>
        <v>-4</v>
      </c>
      <c r="K197" s="152">
        <f t="shared" si="11"/>
        <v>-40</v>
      </c>
      <c r="L197" s="152"/>
      <c r="M197" s="154">
        <f t="shared" si="12"/>
        <v>0</v>
      </c>
    </row>
    <row r="198" spans="1:13">
      <c r="A198" s="168"/>
      <c r="G198" s="138"/>
      <c r="H198" s="152">
        <v>193</v>
      </c>
      <c r="I198" s="153" t="str">
        <f t="shared" si="13"/>
        <v/>
      </c>
      <c r="J198" s="152">
        <f t="shared" si="14"/>
        <v>-4</v>
      </c>
      <c r="K198" s="152">
        <f t="shared" ref="K198:K261" si="15">J198*$J$2</f>
        <v>-40</v>
      </c>
      <c r="L198" s="152"/>
      <c r="M198" s="154">
        <f t="shared" ref="M198:M261" si="16">IF(I198&lt;&gt;"",K198+I198+L198,0)</f>
        <v>0</v>
      </c>
    </row>
    <row r="199" spans="1:13">
      <c r="A199" s="168"/>
      <c r="G199" s="138"/>
      <c r="H199" s="152">
        <v>194</v>
      </c>
      <c r="I199" s="153" t="str">
        <f t="shared" ref="I199:I262" si="17">IF(H199&lt;$H$2+1,($I$2-($I$2-1)*(LOG(H199)/LOG($H$2))),"")</f>
        <v/>
      </c>
      <c r="J199" s="152">
        <f t="shared" ref="J199:J262" si="18">INT(LOG($H$2,2))-ROUNDUP(LOG(H199,2),0)+IF(OR($H$2=1,$H$2=2,$H$2=4,$H$2=8,$H$2=16,$H$2=32,$H$2=64,$H$2=128,$H$2=256),0,1)</f>
        <v>-4</v>
      </c>
      <c r="K199" s="152">
        <f t="shared" si="15"/>
        <v>-40</v>
      </c>
      <c r="L199" s="152"/>
      <c r="M199" s="154">
        <f t="shared" si="16"/>
        <v>0</v>
      </c>
    </row>
    <row r="200" spans="1:13">
      <c r="A200" s="168"/>
      <c r="G200" s="138"/>
      <c r="H200" s="152">
        <v>195</v>
      </c>
      <c r="I200" s="153" t="str">
        <f t="shared" si="17"/>
        <v/>
      </c>
      <c r="J200" s="152">
        <f t="shared" si="18"/>
        <v>-4</v>
      </c>
      <c r="K200" s="152">
        <f t="shared" si="15"/>
        <v>-40</v>
      </c>
      <c r="L200" s="152"/>
      <c r="M200" s="154">
        <f t="shared" si="16"/>
        <v>0</v>
      </c>
    </row>
    <row r="201" spans="1:13">
      <c r="A201" s="168"/>
      <c r="G201" s="138"/>
      <c r="H201" s="152">
        <v>196</v>
      </c>
      <c r="I201" s="153" t="str">
        <f t="shared" si="17"/>
        <v/>
      </c>
      <c r="J201" s="152">
        <f t="shared" si="18"/>
        <v>-4</v>
      </c>
      <c r="K201" s="152">
        <f t="shared" si="15"/>
        <v>-40</v>
      </c>
      <c r="L201" s="152"/>
      <c r="M201" s="154">
        <f t="shared" si="16"/>
        <v>0</v>
      </c>
    </row>
    <row r="202" spans="1:13">
      <c r="A202" s="168"/>
      <c r="G202" s="138"/>
      <c r="H202" s="152">
        <v>197</v>
      </c>
      <c r="I202" s="153" t="str">
        <f t="shared" si="17"/>
        <v/>
      </c>
      <c r="J202" s="152">
        <f t="shared" si="18"/>
        <v>-4</v>
      </c>
      <c r="K202" s="152">
        <f t="shared" si="15"/>
        <v>-40</v>
      </c>
      <c r="L202" s="152"/>
      <c r="M202" s="154">
        <f t="shared" si="16"/>
        <v>0</v>
      </c>
    </row>
    <row r="203" spans="1:13">
      <c r="A203" s="168"/>
      <c r="G203" s="138"/>
      <c r="H203" s="152">
        <v>198</v>
      </c>
      <c r="I203" s="153" t="str">
        <f t="shared" si="17"/>
        <v/>
      </c>
      <c r="J203" s="152">
        <f t="shared" si="18"/>
        <v>-4</v>
      </c>
      <c r="K203" s="152">
        <f t="shared" si="15"/>
        <v>-40</v>
      </c>
      <c r="L203" s="152"/>
      <c r="M203" s="154">
        <f t="shared" si="16"/>
        <v>0</v>
      </c>
    </row>
    <row r="204" spans="1:13">
      <c r="A204" s="168"/>
      <c r="G204" s="138"/>
      <c r="H204" s="152">
        <v>199</v>
      </c>
      <c r="I204" s="153" t="str">
        <f t="shared" si="17"/>
        <v/>
      </c>
      <c r="J204" s="152">
        <f t="shared" si="18"/>
        <v>-4</v>
      </c>
      <c r="K204" s="152">
        <f t="shared" si="15"/>
        <v>-40</v>
      </c>
      <c r="L204" s="152"/>
      <c r="M204" s="154">
        <f t="shared" si="16"/>
        <v>0</v>
      </c>
    </row>
    <row r="205" spans="1:13">
      <c r="A205" s="168"/>
      <c r="G205" s="138"/>
      <c r="H205" s="152">
        <v>200</v>
      </c>
      <c r="I205" s="153" t="str">
        <f t="shared" si="17"/>
        <v/>
      </c>
      <c r="J205" s="152">
        <f t="shared" si="18"/>
        <v>-4</v>
      </c>
      <c r="K205" s="152">
        <f t="shared" si="15"/>
        <v>-40</v>
      </c>
      <c r="L205" s="152"/>
      <c r="M205" s="154">
        <f t="shared" si="16"/>
        <v>0</v>
      </c>
    </row>
    <row r="206" spans="1:13">
      <c r="A206" s="168"/>
      <c r="G206" s="138"/>
      <c r="H206" s="152">
        <v>201</v>
      </c>
      <c r="I206" s="153" t="str">
        <f t="shared" si="17"/>
        <v/>
      </c>
      <c r="J206" s="152">
        <f t="shared" si="18"/>
        <v>-4</v>
      </c>
      <c r="K206" s="152">
        <f t="shared" si="15"/>
        <v>-40</v>
      </c>
      <c r="L206" s="152"/>
      <c r="M206" s="154">
        <f t="shared" si="16"/>
        <v>0</v>
      </c>
    </row>
    <row r="207" spans="1:13">
      <c r="A207" s="168"/>
      <c r="G207" s="138"/>
      <c r="H207" s="152">
        <v>202</v>
      </c>
      <c r="I207" s="153" t="str">
        <f t="shared" si="17"/>
        <v/>
      </c>
      <c r="J207" s="152">
        <f t="shared" si="18"/>
        <v>-4</v>
      </c>
      <c r="K207" s="152">
        <f t="shared" si="15"/>
        <v>-40</v>
      </c>
      <c r="L207" s="152"/>
      <c r="M207" s="154">
        <f t="shared" si="16"/>
        <v>0</v>
      </c>
    </row>
    <row r="208" spans="1:13">
      <c r="A208" s="168"/>
      <c r="G208" s="138"/>
      <c r="H208" s="152">
        <v>203</v>
      </c>
      <c r="I208" s="153" t="str">
        <f t="shared" si="17"/>
        <v/>
      </c>
      <c r="J208" s="152">
        <f t="shared" si="18"/>
        <v>-4</v>
      </c>
      <c r="K208" s="152">
        <f t="shared" si="15"/>
        <v>-40</v>
      </c>
      <c r="L208" s="152"/>
      <c r="M208" s="154">
        <f t="shared" si="16"/>
        <v>0</v>
      </c>
    </row>
    <row r="209" spans="1:13">
      <c r="A209" s="168"/>
      <c r="G209" s="138"/>
      <c r="H209" s="152">
        <v>204</v>
      </c>
      <c r="I209" s="153" t="str">
        <f t="shared" si="17"/>
        <v/>
      </c>
      <c r="J209" s="152">
        <f t="shared" si="18"/>
        <v>-4</v>
      </c>
      <c r="K209" s="152">
        <f t="shared" si="15"/>
        <v>-40</v>
      </c>
      <c r="L209" s="152"/>
      <c r="M209" s="154">
        <f t="shared" si="16"/>
        <v>0</v>
      </c>
    </row>
    <row r="210" spans="1:13">
      <c r="A210" s="168"/>
      <c r="G210" s="138"/>
      <c r="H210" s="152">
        <v>205</v>
      </c>
      <c r="I210" s="153" t="str">
        <f t="shared" si="17"/>
        <v/>
      </c>
      <c r="J210" s="152">
        <f t="shared" si="18"/>
        <v>-4</v>
      </c>
      <c r="K210" s="152">
        <f t="shared" si="15"/>
        <v>-40</v>
      </c>
      <c r="L210" s="152"/>
      <c r="M210" s="154">
        <f t="shared" si="16"/>
        <v>0</v>
      </c>
    </row>
    <row r="211" spans="1:13">
      <c r="A211" s="168"/>
      <c r="G211" s="138"/>
      <c r="H211" s="152">
        <v>206</v>
      </c>
      <c r="I211" s="153" t="str">
        <f t="shared" si="17"/>
        <v/>
      </c>
      <c r="J211" s="152">
        <f t="shared" si="18"/>
        <v>-4</v>
      </c>
      <c r="K211" s="152">
        <f t="shared" si="15"/>
        <v>-40</v>
      </c>
      <c r="L211" s="152"/>
      <c r="M211" s="154">
        <f t="shared" si="16"/>
        <v>0</v>
      </c>
    </row>
    <row r="212" spans="1:13">
      <c r="A212" s="168"/>
      <c r="G212" s="138"/>
      <c r="H212" s="152">
        <v>207</v>
      </c>
      <c r="I212" s="153" t="str">
        <f t="shared" si="17"/>
        <v/>
      </c>
      <c r="J212" s="152">
        <f t="shared" si="18"/>
        <v>-4</v>
      </c>
      <c r="K212" s="152">
        <f t="shared" si="15"/>
        <v>-40</v>
      </c>
      <c r="L212" s="152"/>
      <c r="M212" s="154">
        <f t="shared" si="16"/>
        <v>0</v>
      </c>
    </row>
    <row r="213" spans="1:13">
      <c r="A213" s="168"/>
      <c r="G213" s="138"/>
      <c r="H213" s="152">
        <v>208</v>
      </c>
      <c r="I213" s="153" t="str">
        <f t="shared" si="17"/>
        <v/>
      </c>
      <c r="J213" s="152">
        <f t="shared" si="18"/>
        <v>-4</v>
      </c>
      <c r="K213" s="152">
        <f t="shared" si="15"/>
        <v>-40</v>
      </c>
      <c r="L213" s="152"/>
      <c r="M213" s="154">
        <f t="shared" si="16"/>
        <v>0</v>
      </c>
    </row>
    <row r="214" spans="1:13">
      <c r="A214" s="168"/>
      <c r="G214" s="138"/>
      <c r="H214" s="152">
        <v>209</v>
      </c>
      <c r="I214" s="153" t="str">
        <f t="shared" si="17"/>
        <v/>
      </c>
      <c r="J214" s="152">
        <f t="shared" si="18"/>
        <v>-4</v>
      </c>
      <c r="K214" s="152">
        <f t="shared" si="15"/>
        <v>-40</v>
      </c>
      <c r="L214" s="152"/>
      <c r="M214" s="154">
        <f t="shared" si="16"/>
        <v>0</v>
      </c>
    </row>
    <row r="215" spans="1:13">
      <c r="A215" s="168"/>
      <c r="G215" s="138"/>
      <c r="H215" s="152">
        <v>210</v>
      </c>
      <c r="I215" s="153" t="str">
        <f t="shared" si="17"/>
        <v/>
      </c>
      <c r="J215" s="152">
        <f t="shared" si="18"/>
        <v>-4</v>
      </c>
      <c r="K215" s="152">
        <f t="shared" si="15"/>
        <v>-40</v>
      </c>
      <c r="L215" s="152"/>
      <c r="M215" s="154">
        <f t="shared" si="16"/>
        <v>0</v>
      </c>
    </row>
    <row r="216" spans="1:13">
      <c r="A216" s="168"/>
      <c r="G216" s="138"/>
      <c r="H216" s="152">
        <v>211</v>
      </c>
      <c r="I216" s="153" t="str">
        <f t="shared" si="17"/>
        <v/>
      </c>
      <c r="J216" s="152">
        <f t="shared" si="18"/>
        <v>-4</v>
      </c>
      <c r="K216" s="152">
        <f t="shared" si="15"/>
        <v>-40</v>
      </c>
      <c r="L216" s="152"/>
      <c r="M216" s="154">
        <f t="shared" si="16"/>
        <v>0</v>
      </c>
    </row>
    <row r="217" spans="1:13">
      <c r="A217" s="168"/>
      <c r="G217" s="138"/>
      <c r="H217" s="152">
        <v>212</v>
      </c>
      <c r="I217" s="153" t="str">
        <f t="shared" si="17"/>
        <v/>
      </c>
      <c r="J217" s="152">
        <f t="shared" si="18"/>
        <v>-4</v>
      </c>
      <c r="K217" s="152">
        <f t="shared" si="15"/>
        <v>-40</v>
      </c>
      <c r="L217" s="152"/>
      <c r="M217" s="154">
        <f t="shared" si="16"/>
        <v>0</v>
      </c>
    </row>
    <row r="218" spans="1:13">
      <c r="A218" s="168"/>
      <c r="G218" s="138"/>
      <c r="H218" s="152">
        <v>213</v>
      </c>
      <c r="I218" s="153" t="str">
        <f t="shared" si="17"/>
        <v/>
      </c>
      <c r="J218" s="152">
        <f t="shared" si="18"/>
        <v>-4</v>
      </c>
      <c r="K218" s="152">
        <f t="shared" si="15"/>
        <v>-40</v>
      </c>
      <c r="L218" s="152"/>
      <c r="M218" s="154">
        <f t="shared" si="16"/>
        <v>0</v>
      </c>
    </row>
    <row r="219" spans="1:13">
      <c r="A219" s="168"/>
      <c r="G219" s="138"/>
      <c r="H219" s="152">
        <v>214</v>
      </c>
      <c r="I219" s="153" t="str">
        <f t="shared" si="17"/>
        <v/>
      </c>
      <c r="J219" s="152">
        <f t="shared" si="18"/>
        <v>-4</v>
      </c>
      <c r="K219" s="152">
        <f t="shared" si="15"/>
        <v>-40</v>
      </c>
      <c r="L219" s="152"/>
      <c r="M219" s="154">
        <f t="shared" si="16"/>
        <v>0</v>
      </c>
    </row>
    <row r="220" spans="1:13">
      <c r="A220" s="168"/>
      <c r="G220" s="138"/>
      <c r="H220" s="152">
        <v>215</v>
      </c>
      <c r="I220" s="153" t="str">
        <f t="shared" si="17"/>
        <v/>
      </c>
      <c r="J220" s="152">
        <f t="shared" si="18"/>
        <v>-4</v>
      </c>
      <c r="K220" s="152">
        <f t="shared" si="15"/>
        <v>-40</v>
      </c>
      <c r="L220" s="152"/>
      <c r="M220" s="154">
        <f t="shared" si="16"/>
        <v>0</v>
      </c>
    </row>
    <row r="221" spans="1:13">
      <c r="A221" s="168"/>
      <c r="G221" s="138"/>
      <c r="H221" s="152">
        <v>216</v>
      </c>
      <c r="I221" s="153" t="str">
        <f t="shared" si="17"/>
        <v/>
      </c>
      <c r="J221" s="152">
        <f t="shared" si="18"/>
        <v>-4</v>
      </c>
      <c r="K221" s="152">
        <f t="shared" si="15"/>
        <v>-40</v>
      </c>
      <c r="L221" s="152"/>
      <c r="M221" s="154">
        <f t="shared" si="16"/>
        <v>0</v>
      </c>
    </row>
    <row r="222" spans="1:13">
      <c r="A222" s="168"/>
      <c r="G222" s="138"/>
      <c r="H222" s="152">
        <v>217</v>
      </c>
      <c r="I222" s="153" t="str">
        <f t="shared" si="17"/>
        <v/>
      </c>
      <c r="J222" s="152">
        <f t="shared" si="18"/>
        <v>-4</v>
      </c>
      <c r="K222" s="152">
        <f t="shared" si="15"/>
        <v>-40</v>
      </c>
      <c r="L222" s="152"/>
      <c r="M222" s="154">
        <f t="shared" si="16"/>
        <v>0</v>
      </c>
    </row>
    <row r="223" spans="1:13">
      <c r="A223" s="168"/>
      <c r="G223" s="138"/>
      <c r="H223" s="152">
        <v>218</v>
      </c>
      <c r="I223" s="153" t="str">
        <f t="shared" si="17"/>
        <v/>
      </c>
      <c r="J223" s="152">
        <f t="shared" si="18"/>
        <v>-4</v>
      </c>
      <c r="K223" s="152">
        <f t="shared" si="15"/>
        <v>-40</v>
      </c>
      <c r="L223" s="152"/>
      <c r="M223" s="154">
        <f t="shared" si="16"/>
        <v>0</v>
      </c>
    </row>
    <row r="224" spans="1:13">
      <c r="A224" s="168"/>
      <c r="G224" s="138"/>
      <c r="H224" s="152">
        <v>219</v>
      </c>
      <c r="I224" s="153" t="str">
        <f t="shared" si="17"/>
        <v/>
      </c>
      <c r="J224" s="152">
        <f t="shared" si="18"/>
        <v>-4</v>
      </c>
      <c r="K224" s="152">
        <f t="shared" si="15"/>
        <v>-40</v>
      </c>
      <c r="L224" s="152"/>
      <c r="M224" s="154">
        <f t="shared" si="16"/>
        <v>0</v>
      </c>
    </row>
    <row r="225" spans="1:13">
      <c r="A225" s="168"/>
      <c r="G225" s="138"/>
      <c r="H225" s="152">
        <v>220</v>
      </c>
      <c r="I225" s="153" t="str">
        <f t="shared" si="17"/>
        <v/>
      </c>
      <c r="J225" s="152">
        <f t="shared" si="18"/>
        <v>-4</v>
      </c>
      <c r="K225" s="152">
        <f t="shared" si="15"/>
        <v>-40</v>
      </c>
      <c r="L225" s="152"/>
      <c r="M225" s="154">
        <f t="shared" si="16"/>
        <v>0</v>
      </c>
    </row>
    <row r="226" spans="1:13">
      <c r="A226" s="168"/>
      <c r="G226" s="138"/>
      <c r="H226" s="152">
        <v>221</v>
      </c>
      <c r="I226" s="153" t="str">
        <f t="shared" si="17"/>
        <v/>
      </c>
      <c r="J226" s="152">
        <f t="shared" si="18"/>
        <v>-4</v>
      </c>
      <c r="K226" s="152">
        <f t="shared" si="15"/>
        <v>-40</v>
      </c>
      <c r="L226" s="152"/>
      <c r="M226" s="154">
        <f t="shared" si="16"/>
        <v>0</v>
      </c>
    </row>
    <row r="227" spans="1:13">
      <c r="A227" s="168"/>
      <c r="G227" s="138"/>
      <c r="H227" s="152">
        <v>222</v>
      </c>
      <c r="I227" s="153" t="str">
        <f t="shared" si="17"/>
        <v/>
      </c>
      <c r="J227" s="152">
        <f t="shared" si="18"/>
        <v>-4</v>
      </c>
      <c r="K227" s="152">
        <f t="shared" si="15"/>
        <v>-40</v>
      </c>
      <c r="L227" s="152"/>
      <c r="M227" s="154">
        <f t="shared" si="16"/>
        <v>0</v>
      </c>
    </row>
    <row r="228" spans="1:13">
      <c r="A228" s="168"/>
      <c r="G228" s="138"/>
      <c r="H228" s="152">
        <v>223</v>
      </c>
      <c r="I228" s="153" t="str">
        <f t="shared" si="17"/>
        <v/>
      </c>
      <c r="J228" s="152">
        <f t="shared" si="18"/>
        <v>-4</v>
      </c>
      <c r="K228" s="152">
        <f t="shared" si="15"/>
        <v>-40</v>
      </c>
      <c r="L228" s="152"/>
      <c r="M228" s="154">
        <f t="shared" si="16"/>
        <v>0</v>
      </c>
    </row>
    <row r="229" spans="1:13">
      <c r="A229" s="168"/>
      <c r="G229" s="138"/>
      <c r="H229" s="152">
        <v>224</v>
      </c>
      <c r="I229" s="153" t="str">
        <f t="shared" si="17"/>
        <v/>
      </c>
      <c r="J229" s="152">
        <f t="shared" si="18"/>
        <v>-4</v>
      </c>
      <c r="K229" s="152">
        <f t="shared" si="15"/>
        <v>-40</v>
      </c>
      <c r="L229" s="152"/>
      <c r="M229" s="154">
        <f t="shared" si="16"/>
        <v>0</v>
      </c>
    </row>
    <row r="230" spans="1:13">
      <c r="A230" s="168"/>
      <c r="G230" s="138"/>
      <c r="H230" s="152">
        <v>225</v>
      </c>
      <c r="I230" s="153" t="str">
        <f t="shared" si="17"/>
        <v/>
      </c>
      <c r="J230" s="152">
        <f t="shared" si="18"/>
        <v>-4</v>
      </c>
      <c r="K230" s="152">
        <f t="shared" si="15"/>
        <v>-40</v>
      </c>
      <c r="L230" s="152"/>
      <c r="M230" s="154">
        <f t="shared" si="16"/>
        <v>0</v>
      </c>
    </row>
    <row r="231" spans="1:13">
      <c r="A231" s="168"/>
      <c r="G231" s="138"/>
      <c r="H231" s="152">
        <v>226</v>
      </c>
      <c r="I231" s="153" t="str">
        <f t="shared" si="17"/>
        <v/>
      </c>
      <c r="J231" s="152">
        <f t="shared" si="18"/>
        <v>-4</v>
      </c>
      <c r="K231" s="152">
        <f t="shared" si="15"/>
        <v>-40</v>
      </c>
      <c r="L231" s="152"/>
      <c r="M231" s="154">
        <f t="shared" si="16"/>
        <v>0</v>
      </c>
    </row>
    <row r="232" spans="1:13">
      <c r="A232" s="168"/>
      <c r="G232" s="138"/>
      <c r="H232" s="152">
        <v>227</v>
      </c>
      <c r="I232" s="153" t="str">
        <f t="shared" si="17"/>
        <v/>
      </c>
      <c r="J232" s="152">
        <f t="shared" si="18"/>
        <v>-4</v>
      </c>
      <c r="K232" s="152">
        <f t="shared" si="15"/>
        <v>-40</v>
      </c>
      <c r="L232" s="152"/>
      <c r="M232" s="154">
        <f t="shared" si="16"/>
        <v>0</v>
      </c>
    </row>
    <row r="233" spans="1:13">
      <c r="A233" s="168"/>
      <c r="G233" s="138"/>
      <c r="H233" s="152">
        <v>228</v>
      </c>
      <c r="I233" s="153" t="str">
        <f t="shared" si="17"/>
        <v/>
      </c>
      <c r="J233" s="152">
        <f t="shared" si="18"/>
        <v>-4</v>
      </c>
      <c r="K233" s="152">
        <f t="shared" si="15"/>
        <v>-40</v>
      </c>
      <c r="L233" s="152"/>
      <c r="M233" s="154">
        <f t="shared" si="16"/>
        <v>0</v>
      </c>
    </row>
    <row r="234" spans="1:13">
      <c r="A234" s="168"/>
      <c r="G234" s="138"/>
      <c r="H234" s="152">
        <v>229</v>
      </c>
      <c r="I234" s="153" t="str">
        <f t="shared" si="17"/>
        <v/>
      </c>
      <c r="J234" s="152">
        <f t="shared" si="18"/>
        <v>-4</v>
      </c>
      <c r="K234" s="152">
        <f t="shared" si="15"/>
        <v>-40</v>
      </c>
      <c r="L234" s="152"/>
      <c r="M234" s="154">
        <f t="shared" si="16"/>
        <v>0</v>
      </c>
    </row>
    <row r="235" spans="1:13">
      <c r="A235" s="168"/>
      <c r="G235" s="138"/>
      <c r="H235" s="152">
        <v>230</v>
      </c>
      <c r="I235" s="153" t="str">
        <f t="shared" si="17"/>
        <v/>
      </c>
      <c r="J235" s="152">
        <f t="shared" si="18"/>
        <v>-4</v>
      </c>
      <c r="K235" s="152">
        <f t="shared" si="15"/>
        <v>-40</v>
      </c>
      <c r="L235" s="152"/>
      <c r="M235" s="154">
        <f t="shared" si="16"/>
        <v>0</v>
      </c>
    </row>
    <row r="236" spans="1:13">
      <c r="A236" s="168"/>
      <c r="G236" s="138"/>
      <c r="H236" s="152">
        <v>231</v>
      </c>
      <c r="I236" s="153" t="str">
        <f t="shared" si="17"/>
        <v/>
      </c>
      <c r="J236" s="152">
        <f t="shared" si="18"/>
        <v>-4</v>
      </c>
      <c r="K236" s="152">
        <f t="shared" si="15"/>
        <v>-40</v>
      </c>
      <c r="L236" s="152"/>
      <c r="M236" s="154">
        <f t="shared" si="16"/>
        <v>0</v>
      </c>
    </row>
    <row r="237" spans="1:13">
      <c r="A237" s="168"/>
      <c r="G237" s="138"/>
      <c r="H237" s="152">
        <v>232</v>
      </c>
      <c r="I237" s="153" t="str">
        <f t="shared" si="17"/>
        <v/>
      </c>
      <c r="J237" s="152">
        <f t="shared" si="18"/>
        <v>-4</v>
      </c>
      <c r="K237" s="152">
        <f t="shared" si="15"/>
        <v>-40</v>
      </c>
      <c r="L237" s="152"/>
      <c r="M237" s="154">
        <f t="shared" si="16"/>
        <v>0</v>
      </c>
    </row>
    <row r="238" spans="1:13">
      <c r="A238" s="168"/>
      <c r="G238" s="138"/>
      <c r="H238" s="152">
        <v>233</v>
      </c>
      <c r="I238" s="153" t="str">
        <f t="shared" si="17"/>
        <v/>
      </c>
      <c r="J238" s="152">
        <f t="shared" si="18"/>
        <v>-4</v>
      </c>
      <c r="K238" s="152">
        <f t="shared" si="15"/>
        <v>-40</v>
      </c>
      <c r="L238" s="152"/>
      <c r="M238" s="154">
        <f t="shared" si="16"/>
        <v>0</v>
      </c>
    </row>
    <row r="239" spans="1:13">
      <c r="A239" s="168"/>
      <c r="G239" s="138"/>
      <c r="H239" s="152">
        <v>234</v>
      </c>
      <c r="I239" s="153" t="str">
        <f t="shared" si="17"/>
        <v/>
      </c>
      <c r="J239" s="152">
        <f t="shared" si="18"/>
        <v>-4</v>
      </c>
      <c r="K239" s="152">
        <f t="shared" si="15"/>
        <v>-40</v>
      </c>
      <c r="L239" s="152"/>
      <c r="M239" s="154">
        <f t="shared" si="16"/>
        <v>0</v>
      </c>
    </row>
    <row r="240" spans="1:13">
      <c r="A240" s="168"/>
      <c r="G240" s="138"/>
      <c r="H240" s="152">
        <v>235</v>
      </c>
      <c r="I240" s="153" t="str">
        <f t="shared" si="17"/>
        <v/>
      </c>
      <c r="J240" s="152">
        <f t="shared" si="18"/>
        <v>-4</v>
      </c>
      <c r="K240" s="152">
        <f t="shared" si="15"/>
        <v>-40</v>
      </c>
      <c r="L240" s="152"/>
      <c r="M240" s="154">
        <f t="shared" si="16"/>
        <v>0</v>
      </c>
    </row>
    <row r="241" spans="1:13">
      <c r="A241" s="168"/>
      <c r="G241" s="138"/>
      <c r="H241" s="152">
        <v>236</v>
      </c>
      <c r="I241" s="153" t="str">
        <f t="shared" si="17"/>
        <v/>
      </c>
      <c r="J241" s="152">
        <f t="shared" si="18"/>
        <v>-4</v>
      </c>
      <c r="K241" s="152">
        <f t="shared" si="15"/>
        <v>-40</v>
      </c>
      <c r="L241" s="152"/>
      <c r="M241" s="154">
        <f t="shared" si="16"/>
        <v>0</v>
      </c>
    </row>
    <row r="242" spans="1:13">
      <c r="A242" s="168"/>
      <c r="G242" s="138"/>
      <c r="H242" s="152">
        <v>237</v>
      </c>
      <c r="I242" s="153" t="str">
        <f t="shared" si="17"/>
        <v/>
      </c>
      <c r="J242" s="152">
        <f t="shared" si="18"/>
        <v>-4</v>
      </c>
      <c r="K242" s="152">
        <f t="shared" si="15"/>
        <v>-40</v>
      </c>
      <c r="L242" s="152"/>
      <c r="M242" s="154">
        <f t="shared" si="16"/>
        <v>0</v>
      </c>
    </row>
    <row r="243" spans="1:13">
      <c r="A243" s="168"/>
      <c r="G243" s="138"/>
      <c r="H243" s="152">
        <v>238</v>
      </c>
      <c r="I243" s="153" t="str">
        <f t="shared" si="17"/>
        <v/>
      </c>
      <c r="J243" s="152">
        <f t="shared" si="18"/>
        <v>-4</v>
      </c>
      <c r="K243" s="152">
        <f t="shared" si="15"/>
        <v>-40</v>
      </c>
      <c r="L243" s="152"/>
      <c r="M243" s="154">
        <f t="shared" si="16"/>
        <v>0</v>
      </c>
    </row>
    <row r="244" spans="1:13">
      <c r="A244" s="168"/>
      <c r="G244" s="138"/>
      <c r="H244" s="152">
        <v>239</v>
      </c>
      <c r="I244" s="153" t="str">
        <f t="shared" si="17"/>
        <v/>
      </c>
      <c r="J244" s="152">
        <f t="shared" si="18"/>
        <v>-4</v>
      </c>
      <c r="K244" s="152">
        <f t="shared" si="15"/>
        <v>-40</v>
      </c>
      <c r="L244" s="152"/>
      <c r="M244" s="154">
        <f t="shared" si="16"/>
        <v>0</v>
      </c>
    </row>
    <row r="245" spans="1:13">
      <c r="A245" s="168"/>
      <c r="G245" s="138"/>
      <c r="H245" s="152">
        <v>240</v>
      </c>
      <c r="I245" s="153" t="str">
        <f t="shared" si="17"/>
        <v/>
      </c>
      <c r="J245" s="152">
        <f t="shared" si="18"/>
        <v>-4</v>
      </c>
      <c r="K245" s="152">
        <f t="shared" si="15"/>
        <v>-40</v>
      </c>
      <c r="L245" s="152"/>
      <c r="M245" s="154">
        <f t="shared" si="16"/>
        <v>0</v>
      </c>
    </row>
    <row r="246" spans="1:13">
      <c r="A246" s="168"/>
      <c r="G246" s="138"/>
      <c r="H246" s="152">
        <v>241</v>
      </c>
      <c r="I246" s="153" t="str">
        <f t="shared" si="17"/>
        <v/>
      </c>
      <c r="J246" s="152">
        <f t="shared" si="18"/>
        <v>-4</v>
      </c>
      <c r="K246" s="152">
        <f t="shared" si="15"/>
        <v>-40</v>
      </c>
      <c r="L246" s="152"/>
      <c r="M246" s="154">
        <f t="shared" si="16"/>
        <v>0</v>
      </c>
    </row>
    <row r="247" spans="1:13">
      <c r="A247" s="168"/>
      <c r="G247" s="138"/>
      <c r="H247" s="152">
        <v>242</v>
      </c>
      <c r="I247" s="153" t="str">
        <f t="shared" si="17"/>
        <v/>
      </c>
      <c r="J247" s="152">
        <f t="shared" si="18"/>
        <v>-4</v>
      </c>
      <c r="K247" s="152">
        <f t="shared" si="15"/>
        <v>-40</v>
      </c>
      <c r="L247" s="152"/>
      <c r="M247" s="154">
        <f t="shared" si="16"/>
        <v>0</v>
      </c>
    </row>
    <row r="248" spans="1:13">
      <c r="A248" s="168"/>
      <c r="G248" s="138"/>
      <c r="H248" s="152">
        <v>243</v>
      </c>
      <c r="I248" s="153" t="str">
        <f t="shared" si="17"/>
        <v/>
      </c>
      <c r="J248" s="152">
        <f t="shared" si="18"/>
        <v>-4</v>
      </c>
      <c r="K248" s="152">
        <f t="shared" si="15"/>
        <v>-40</v>
      </c>
      <c r="L248" s="152"/>
      <c r="M248" s="154">
        <f t="shared" si="16"/>
        <v>0</v>
      </c>
    </row>
    <row r="249" spans="1:13">
      <c r="A249" s="168"/>
      <c r="G249" s="138"/>
      <c r="H249" s="152">
        <v>244</v>
      </c>
      <c r="I249" s="153" t="str">
        <f t="shared" si="17"/>
        <v/>
      </c>
      <c r="J249" s="152">
        <f t="shared" si="18"/>
        <v>-4</v>
      </c>
      <c r="K249" s="152">
        <f t="shared" si="15"/>
        <v>-40</v>
      </c>
      <c r="L249" s="152"/>
      <c r="M249" s="154">
        <f t="shared" si="16"/>
        <v>0</v>
      </c>
    </row>
    <row r="250" spans="1:13">
      <c r="A250" s="168"/>
      <c r="G250" s="138"/>
      <c r="H250" s="152">
        <v>245</v>
      </c>
      <c r="I250" s="153" t="str">
        <f t="shared" si="17"/>
        <v/>
      </c>
      <c r="J250" s="152">
        <f t="shared" si="18"/>
        <v>-4</v>
      </c>
      <c r="K250" s="152">
        <f t="shared" si="15"/>
        <v>-40</v>
      </c>
      <c r="L250" s="152"/>
      <c r="M250" s="154">
        <f t="shared" si="16"/>
        <v>0</v>
      </c>
    </row>
    <row r="251" spans="1:13">
      <c r="A251" s="168"/>
      <c r="G251" s="138"/>
      <c r="H251" s="152">
        <v>246</v>
      </c>
      <c r="I251" s="153" t="str">
        <f t="shared" si="17"/>
        <v/>
      </c>
      <c r="J251" s="152">
        <f t="shared" si="18"/>
        <v>-4</v>
      </c>
      <c r="K251" s="152">
        <f t="shared" si="15"/>
        <v>-40</v>
      </c>
      <c r="L251" s="152"/>
      <c r="M251" s="154">
        <f t="shared" si="16"/>
        <v>0</v>
      </c>
    </row>
    <row r="252" spans="1:13">
      <c r="A252" s="168"/>
      <c r="G252" s="138"/>
      <c r="H252" s="152">
        <v>247</v>
      </c>
      <c r="I252" s="153" t="str">
        <f t="shared" si="17"/>
        <v/>
      </c>
      <c r="J252" s="152">
        <f t="shared" si="18"/>
        <v>-4</v>
      </c>
      <c r="K252" s="152">
        <f t="shared" si="15"/>
        <v>-40</v>
      </c>
      <c r="L252" s="152"/>
      <c r="M252" s="154">
        <f t="shared" si="16"/>
        <v>0</v>
      </c>
    </row>
    <row r="253" spans="1:13">
      <c r="A253" s="168"/>
      <c r="G253" s="138"/>
      <c r="H253" s="152">
        <v>248</v>
      </c>
      <c r="I253" s="153" t="str">
        <f t="shared" si="17"/>
        <v/>
      </c>
      <c r="J253" s="152">
        <f t="shared" si="18"/>
        <v>-4</v>
      </c>
      <c r="K253" s="152">
        <f t="shared" si="15"/>
        <v>-40</v>
      </c>
      <c r="L253" s="152"/>
      <c r="M253" s="154">
        <f t="shared" si="16"/>
        <v>0</v>
      </c>
    </row>
    <row r="254" spans="1:13">
      <c r="A254" s="168"/>
      <c r="G254" s="138"/>
      <c r="H254" s="152">
        <v>249</v>
      </c>
      <c r="I254" s="153" t="str">
        <f t="shared" si="17"/>
        <v/>
      </c>
      <c r="J254" s="152">
        <f t="shared" si="18"/>
        <v>-4</v>
      </c>
      <c r="K254" s="152">
        <f t="shared" si="15"/>
        <v>-40</v>
      </c>
      <c r="L254" s="152"/>
      <c r="M254" s="154">
        <f t="shared" si="16"/>
        <v>0</v>
      </c>
    </row>
    <row r="255" spans="1:13">
      <c r="A255" s="168"/>
      <c r="G255" s="138"/>
      <c r="H255" s="152">
        <v>250</v>
      </c>
      <c r="I255" s="153" t="str">
        <f t="shared" si="17"/>
        <v/>
      </c>
      <c r="J255" s="152">
        <f t="shared" si="18"/>
        <v>-4</v>
      </c>
      <c r="K255" s="152">
        <f t="shared" si="15"/>
        <v>-40</v>
      </c>
      <c r="L255" s="152"/>
      <c r="M255" s="154">
        <f t="shared" si="16"/>
        <v>0</v>
      </c>
    </row>
    <row r="256" spans="1:13">
      <c r="A256" s="168"/>
      <c r="G256" s="138"/>
      <c r="H256" s="152">
        <v>251</v>
      </c>
      <c r="I256" s="153" t="str">
        <f t="shared" si="17"/>
        <v/>
      </c>
      <c r="J256" s="152">
        <f t="shared" si="18"/>
        <v>-4</v>
      </c>
      <c r="K256" s="152">
        <f t="shared" si="15"/>
        <v>-40</v>
      </c>
      <c r="L256" s="152"/>
      <c r="M256" s="154">
        <f t="shared" si="16"/>
        <v>0</v>
      </c>
    </row>
    <row r="257" spans="1:13">
      <c r="A257" s="168"/>
      <c r="G257" s="138"/>
      <c r="H257" s="152">
        <v>252</v>
      </c>
      <c r="I257" s="153" t="str">
        <f t="shared" si="17"/>
        <v/>
      </c>
      <c r="J257" s="152">
        <f t="shared" si="18"/>
        <v>-4</v>
      </c>
      <c r="K257" s="152">
        <f t="shared" si="15"/>
        <v>-40</v>
      </c>
      <c r="L257" s="152"/>
      <c r="M257" s="154">
        <f t="shared" si="16"/>
        <v>0</v>
      </c>
    </row>
    <row r="258" spans="1:13">
      <c r="A258" s="168"/>
      <c r="G258" s="138"/>
      <c r="H258" s="152">
        <v>253</v>
      </c>
      <c r="I258" s="153" t="str">
        <f t="shared" si="17"/>
        <v/>
      </c>
      <c r="J258" s="152">
        <f t="shared" si="18"/>
        <v>-4</v>
      </c>
      <c r="K258" s="152">
        <f t="shared" si="15"/>
        <v>-40</v>
      </c>
      <c r="L258" s="152"/>
      <c r="M258" s="154">
        <f t="shared" si="16"/>
        <v>0</v>
      </c>
    </row>
    <row r="259" spans="1:13">
      <c r="A259" s="168"/>
      <c r="G259" s="138"/>
      <c r="H259" s="152">
        <v>254</v>
      </c>
      <c r="I259" s="153" t="str">
        <f t="shared" si="17"/>
        <v/>
      </c>
      <c r="J259" s="152">
        <f t="shared" si="18"/>
        <v>-4</v>
      </c>
      <c r="K259" s="152">
        <f t="shared" si="15"/>
        <v>-40</v>
      </c>
      <c r="L259" s="152"/>
      <c r="M259" s="154">
        <f t="shared" si="16"/>
        <v>0</v>
      </c>
    </row>
    <row r="260" spans="1:13">
      <c r="A260" s="168"/>
      <c r="G260" s="138"/>
      <c r="H260" s="152">
        <v>255</v>
      </c>
      <c r="I260" s="153" t="str">
        <f t="shared" si="17"/>
        <v/>
      </c>
      <c r="J260" s="152">
        <f t="shared" si="18"/>
        <v>-4</v>
      </c>
      <c r="K260" s="152">
        <f t="shared" si="15"/>
        <v>-40</v>
      </c>
      <c r="L260" s="152"/>
      <c r="M260" s="154">
        <f t="shared" si="16"/>
        <v>0</v>
      </c>
    </row>
    <row r="261" spans="1:13">
      <c r="A261" s="168"/>
      <c r="G261" s="138"/>
      <c r="H261" s="152">
        <v>256</v>
      </c>
      <c r="I261" s="153" t="str">
        <f t="shared" si="17"/>
        <v/>
      </c>
      <c r="J261" s="152">
        <f t="shared" si="18"/>
        <v>-4</v>
      </c>
      <c r="K261" s="152">
        <f t="shared" si="15"/>
        <v>-40</v>
      </c>
      <c r="L261" s="152"/>
      <c r="M261" s="154">
        <f t="shared" si="16"/>
        <v>0</v>
      </c>
    </row>
    <row r="262" spans="1:13">
      <c r="A262" s="168"/>
      <c r="G262" s="138"/>
      <c r="H262" s="152">
        <v>257</v>
      </c>
      <c r="I262" s="153" t="str">
        <f t="shared" si="17"/>
        <v/>
      </c>
      <c r="J262" s="152">
        <f t="shared" si="18"/>
        <v>-5</v>
      </c>
      <c r="K262" s="152">
        <f t="shared" ref="K262:K305" si="19">J262*$J$2</f>
        <v>-50</v>
      </c>
      <c r="L262" s="152"/>
      <c r="M262" s="154">
        <f t="shared" ref="M262:M305" si="20">IF(I262&lt;&gt;"",K262+I262+L262,0)</f>
        <v>0</v>
      </c>
    </row>
    <row r="263" spans="1:13">
      <c r="A263" s="168"/>
      <c r="G263" s="138"/>
      <c r="H263" s="152">
        <v>258</v>
      </c>
      <c r="I263" s="153" t="str">
        <f t="shared" ref="I263:I305" si="21">IF(H263&lt;$H$2+1,($I$2-($I$2-1)*(LOG(H263)/LOG($H$2))),"")</f>
        <v/>
      </c>
      <c r="J263" s="152">
        <f t="shared" ref="J263:J305" si="22">INT(LOG($H$2,2))-ROUNDUP(LOG(H263,2),0)+IF(OR($H$2=1,$H$2=2,$H$2=4,$H$2=8,$H$2=16,$H$2=32,$H$2=64,$H$2=128,$H$2=256),0,1)</f>
        <v>-5</v>
      </c>
      <c r="K263" s="152">
        <f t="shared" si="19"/>
        <v>-50</v>
      </c>
      <c r="L263" s="152"/>
      <c r="M263" s="154">
        <f t="shared" si="20"/>
        <v>0</v>
      </c>
    </row>
    <row r="264" spans="1:13">
      <c r="A264" s="168"/>
      <c r="G264" s="138"/>
      <c r="H264" s="152">
        <v>259</v>
      </c>
      <c r="I264" s="153" t="str">
        <f t="shared" si="21"/>
        <v/>
      </c>
      <c r="J264" s="152">
        <f t="shared" si="22"/>
        <v>-5</v>
      </c>
      <c r="K264" s="152">
        <f t="shared" si="19"/>
        <v>-50</v>
      </c>
      <c r="L264" s="152"/>
      <c r="M264" s="154">
        <f t="shared" si="20"/>
        <v>0</v>
      </c>
    </row>
    <row r="265" spans="1:13">
      <c r="A265" s="168"/>
      <c r="G265" s="138"/>
      <c r="H265" s="152">
        <v>260</v>
      </c>
      <c r="I265" s="153" t="str">
        <f t="shared" si="21"/>
        <v/>
      </c>
      <c r="J265" s="152">
        <f t="shared" si="22"/>
        <v>-5</v>
      </c>
      <c r="K265" s="152">
        <f t="shared" si="19"/>
        <v>-50</v>
      </c>
      <c r="L265" s="152"/>
      <c r="M265" s="154">
        <f t="shared" si="20"/>
        <v>0</v>
      </c>
    </row>
    <row r="266" spans="1:13">
      <c r="A266" s="168"/>
      <c r="G266" s="138"/>
      <c r="H266" s="152">
        <v>261</v>
      </c>
      <c r="I266" s="153" t="str">
        <f t="shared" si="21"/>
        <v/>
      </c>
      <c r="J266" s="152">
        <f t="shared" si="22"/>
        <v>-5</v>
      </c>
      <c r="K266" s="152">
        <f t="shared" si="19"/>
        <v>-50</v>
      </c>
      <c r="L266" s="152"/>
      <c r="M266" s="154">
        <f t="shared" si="20"/>
        <v>0</v>
      </c>
    </row>
    <row r="267" spans="1:13">
      <c r="A267" s="168"/>
      <c r="G267" s="138"/>
      <c r="H267" s="152">
        <v>262</v>
      </c>
      <c r="I267" s="153" t="str">
        <f t="shared" si="21"/>
        <v/>
      </c>
      <c r="J267" s="152">
        <f t="shared" si="22"/>
        <v>-5</v>
      </c>
      <c r="K267" s="152">
        <f t="shared" si="19"/>
        <v>-50</v>
      </c>
      <c r="L267" s="152"/>
      <c r="M267" s="154">
        <f t="shared" si="20"/>
        <v>0</v>
      </c>
    </row>
    <row r="268" spans="1:13">
      <c r="A268" s="168"/>
      <c r="G268" s="138"/>
      <c r="H268" s="152">
        <v>263</v>
      </c>
      <c r="I268" s="153" t="str">
        <f t="shared" si="21"/>
        <v/>
      </c>
      <c r="J268" s="152">
        <f t="shared" si="22"/>
        <v>-5</v>
      </c>
      <c r="K268" s="152">
        <f t="shared" si="19"/>
        <v>-50</v>
      </c>
      <c r="L268" s="152"/>
      <c r="M268" s="154">
        <f t="shared" si="20"/>
        <v>0</v>
      </c>
    </row>
    <row r="269" spans="1:13">
      <c r="A269" s="168"/>
      <c r="G269" s="138"/>
      <c r="H269" s="152">
        <v>264</v>
      </c>
      <c r="I269" s="153" t="str">
        <f t="shared" si="21"/>
        <v/>
      </c>
      <c r="J269" s="152">
        <f t="shared" si="22"/>
        <v>-5</v>
      </c>
      <c r="K269" s="152">
        <f t="shared" si="19"/>
        <v>-50</v>
      </c>
      <c r="L269" s="152"/>
      <c r="M269" s="154">
        <f t="shared" si="20"/>
        <v>0</v>
      </c>
    </row>
    <row r="270" spans="1:13">
      <c r="A270" s="168"/>
      <c r="G270" s="138"/>
      <c r="H270" s="152">
        <v>265</v>
      </c>
      <c r="I270" s="153" t="str">
        <f t="shared" si="21"/>
        <v/>
      </c>
      <c r="J270" s="152">
        <f t="shared" si="22"/>
        <v>-5</v>
      </c>
      <c r="K270" s="152">
        <f t="shared" si="19"/>
        <v>-50</v>
      </c>
      <c r="L270" s="152"/>
      <c r="M270" s="154">
        <f t="shared" si="20"/>
        <v>0</v>
      </c>
    </row>
    <row r="271" spans="1:13">
      <c r="A271" s="168"/>
      <c r="G271" s="138"/>
      <c r="H271" s="152">
        <v>266</v>
      </c>
      <c r="I271" s="153" t="str">
        <f t="shared" si="21"/>
        <v/>
      </c>
      <c r="J271" s="152">
        <f t="shared" si="22"/>
        <v>-5</v>
      </c>
      <c r="K271" s="152">
        <f t="shared" si="19"/>
        <v>-50</v>
      </c>
      <c r="L271" s="152"/>
      <c r="M271" s="154">
        <f t="shared" si="20"/>
        <v>0</v>
      </c>
    </row>
    <row r="272" spans="1:13">
      <c r="A272" s="168"/>
      <c r="G272" s="138"/>
      <c r="H272" s="152">
        <v>267</v>
      </c>
      <c r="I272" s="153" t="str">
        <f t="shared" si="21"/>
        <v/>
      </c>
      <c r="J272" s="152">
        <f t="shared" si="22"/>
        <v>-5</v>
      </c>
      <c r="K272" s="152">
        <f t="shared" si="19"/>
        <v>-50</v>
      </c>
      <c r="L272" s="152"/>
      <c r="M272" s="154">
        <f t="shared" si="20"/>
        <v>0</v>
      </c>
    </row>
    <row r="273" spans="1:13">
      <c r="A273" s="168"/>
      <c r="G273" s="138"/>
      <c r="H273" s="152">
        <v>268</v>
      </c>
      <c r="I273" s="153" t="str">
        <f t="shared" si="21"/>
        <v/>
      </c>
      <c r="J273" s="152">
        <f t="shared" si="22"/>
        <v>-5</v>
      </c>
      <c r="K273" s="152">
        <f t="shared" si="19"/>
        <v>-50</v>
      </c>
      <c r="L273" s="152"/>
      <c r="M273" s="154">
        <f t="shared" si="20"/>
        <v>0</v>
      </c>
    </row>
    <row r="274" spans="1:13">
      <c r="A274" s="168"/>
      <c r="G274" s="138"/>
      <c r="H274" s="152">
        <v>269</v>
      </c>
      <c r="I274" s="153" t="str">
        <f t="shared" si="21"/>
        <v/>
      </c>
      <c r="J274" s="152">
        <f t="shared" si="22"/>
        <v>-5</v>
      </c>
      <c r="K274" s="152">
        <f t="shared" si="19"/>
        <v>-50</v>
      </c>
      <c r="L274" s="152"/>
      <c r="M274" s="154">
        <f t="shared" si="20"/>
        <v>0</v>
      </c>
    </row>
    <row r="275" spans="1:13">
      <c r="A275" s="168"/>
      <c r="G275" s="138"/>
      <c r="H275" s="152">
        <v>270</v>
      </c>
      <c r="I275" s="153" t="str">
        <f t="shared" si="21"/>
        <v/>
      </c>
      <c r="J275" s="152">
        <f t="shared" si="22"/>
        <v>-5</v>
      </c>
      <c r="K275" s="152">
        <f t="shared" si="19"/>
        <v>-50</v>
      </c>
      <c r="L275" s="152"/>
      <c r="M275" s="154">
        <f t="shared" si="20"/>
        <v>0</v>
      </c>
    </row>
    <row r="276" spans="1:13">
      <c r="A276" s="168"/>
      <c r="G276" s="138"/>
      <c r="H276" s="152">
        <v>271</v>
      </c>
      <c r="I276" s="153" t="str">
        <f t="shared" si="21"/>
        <v/>
      </c>
      <c r="J276" s="152">
        <f t="shared" si="22"/>
        <v>-5</v>
      </c>
      <c r="K276" s="152">
        <f t="shared" si="19"/>
        <v>-50</v>
      </c>
      <c r="L276" s="152"/>
      <c r="M276" s="154">
        <f t="shared" si="20"/>
        <v>0</v>
      </c>
    </row>
    <row r="277" spans="1:13">
      <c r="A277" s="168"/>
      <c r="G277" s="138"/>
      <c r="H277" s="152">
        <v>272</v>
      </c>
      <c r="I277" s="153" t="str">
        <f t="shared" si="21"/>
        <v/>
      </c>
      <c r="J277" s="152">
        <f t="shared" si="22"/>
        <v>-5</v>
      </c>
      <c r="K277" s="152">
        <f t="shared" si="19"/>
        <v>-50</v>
      </c>
      <c r="L277" s="152"/>
      <c r="M277" s="154">
        <f t="shared" si="20"/>
        <v>0</v>
      </c>
    </row>
    <row r="278" spans="1:13">
      <c r="A278" s="168"/>
      <c r="G278" s="138"/>
      <c r="H278" s="152">
        <v>273</v>
      </c>
      <c r="I278" s="153" t="str">
        <f t="shared" si="21"/>
        <v/>
      </c>
      <c r="J278" s="152">
        <f t="shared" si="22"/>
        <v>-5</v>
      </c>
      <c r="K278" s="152">
        <f t="shared" si="19"/>
        <v>-50</v>
      </c>
      <c r="L278" s="152"/>
      <c r="M278" s="154">
        <f t="shared" si="20"/>
        <v>0</v>
      </c>
    </row>
    <row r="279" spans="1:13">
      <c r="A279" s="168"/>
      <c r="G279" s="138"/>
      <c r="H279" s="152">
        <v>274</v>
      </c>
      <c r="I279" s="153" t="str">
        <f t="shared" si="21"/>
        <v/>
      </c>
      <c r="J279" s="152">
        <f t="shared" si="22"/>
        <v>-5</v>
      </c>
      <c r="K279" s="152">
        <f t="shared" si="19"/>
        <v>-50</v>
      </c>
      <c r="L279" s="152"/>
      <c r="M279" s="154">
        <f t="shared" si="20"/>
        <v>0</v>
      </c>
    </row>
    <row r="280" spans="1:13">
      <c r="A280" s="168"/>
      <c r="G280" s="138"/>
      <c r="H280" s="152">
        <v>275</v>
      </c>
      <c r="I280" s="153" t="str">
        <f t="shared" si="21"/>
        <v/>
      </c>
      <c r="J280" s="152">
        <f t="shared" si="22"/>
        <v>-5</v>
      </c>
      <c r="K280" s="152">
        <f t="shared" si="19"/>
        <v>-50</v>
      </c>
      <c r="L280" s="152"/>
      <c r="M280" s="154">
        <f t="shared" si="20"/>
        <v>0</v>
      </c>
    </row>
    <row r="281" spans="1:13">
      <c r="A281" s="168"/>
      <c r="G281" s="138"/>
      <c r="H281" s="152">
        <v>276</v>
      </c>
      <c r="I281" s="153" t="str">
        <f t="shared" si="21"/>
        <v/>
      </c>
      <c r="J281" s="152">
        <f t="shared" si="22"/>
        <v>-5</v>
      </c>
      <c r="K281" s="152">
        <f t="shared" si="19"/>
        <v>-50</v>
      </c>
      <c r="L281" s="152"/>
      <c r="M281" s="154">
        <f t="shared" si="20"/>
        <v>0</v>
      </c>
    </row>
    <row r="282" spans="1:13">
      <c r="A282" s="168"/>
      <c r="G282" s="138"/>
      <c r="H282" s="152">
        <v>277</v>
      </c>
      <c r="I282" s="153" t="str">
        <f t="shared" si="21"/>
        <v/>
      </c>
      <c r="J282" s="152">
        <f t="shared" si="22"/>
        <v>-5</v>
      </c>
      <c r="K282" s="152">
        <f t="shared" si="19"/>
        <v>-50</v>
      </c>
      <c r="L282" s="152"/>
      <c r="M282" s="154">
        <f t="shared" si="20"/>
        <v>0</v>
      </c>
    </row>
    <row r="283" spans="1:13">
      <c r="A283" s="168"/>
      <c r="G283" s="138"/>
      <c r="H283" s="152">
        <v>278</v>
      </c>
      <c r="I283" s="153" t="str">
        <f t="shared" si="21"/>
        <v/>
      </c>
      <c r="J283" s="152">
        <f t="shared" si="22"/>
        <v>-5</v>
      </c>
      <c r="K283" s="152">
        <f t="shared" si="19"/>
        <v>-50</v>
      </c>
      <c r="L283" s="152"/>
      <c r="M283" s="154">
        <f t="shared" si="20"/>
        <v>0</v>
      </c>
    </row>
    <row r="284" spans="1:13">
      <c r="A284" s="168"/>
      <c r="G284" s="138"/>
      <c r="H284" s="152">
        <v>279</v>
      </c>
      <c r="I284" s="153" t="str">
        <f t="shared" si="21"/>
        <v/>
      </c>
      <c r="J284" s="152">
        <f t="shared" si="22"/>
        <v>-5</v>
      </c>
      <c r="K284" s="152">
        <f t="shared" si="19"/>
        <v>-50</v>
      </c>
      <c r="L284" s="152"/>
      <c r="M284" s="154">
        <f t="shared" si="20"/>
        <v>0</v>
      </c>
    </row>
    <row r="285" spans="1:13">
      <c r="A285" s="168"/>
      <c r="G285" s="138"/>
      <c r="H285" s="152">
        <v>280</v>
      </c>
      <c r="I285" s="153" t="str">
        <f t="shared" si="21"/>
        <v/>
      </c>
      <c r="J285" s="152">
        <f t="shared" si="22"/>
        <v>-5</v>
      </c>
      <c r="K285" s="152">
        <f t="shared" si="19"/>
        <v>-50</v>
      </c>
      <c r="L285" s="152"/>
      <c r="M285" s="154">
        <f t="shared" si="20"/>
        <v>0</v>
      </c>
    </row>
    <row r="286" spans="1:13">
      <c r="A286" s="168"/>
      <c r="G286" s="138"/>
      <c r="H286" s="152">
        <v>281</v>
      </c>
      <c r="I286" s="153" t="str">
        <f t="shared" si="21"/>
        <v/>
      </c>
      <c r="J286" s="152">
        <f t="shared" si="22"/>
        <v>-5</v>
      </c>
      <c r="K286" s="152">
        <f t="shared" si="19"/>
        <v>-50</v>
      </c>
      <c r="L286" s="152"/>
      <c r="M286" s="154">
        <f t="shared" si="20"/>
        <v>0</v>
      </c>
    </row>
    <row r="287" spans="1:13">
      <c r="A287" s="168"/>
      <c r="G287" s="138"/>
      <c r="H287" s="152">
        <v>282</v>
      </c>
      <c r="I287" s="153" t="str">
        <f t="shared" si="21"/>
        <v/>
      </c>
      <c r="J287" s="152">
        <f t="shared" si="22"/>
        <v>-5</v>
      </c>
      <c r="K287" s="152">
        <f t="shared" si="19"/>
        <v>-50</v>
      </c>
      <c r="L287" s="152"/>
      <c r="M287" s="154">
        <f t="shared" si="20"/>
        <v>0</v>
      </c>
    </row>
    <row r="288" spans="1:13">
      <c r="A288" s="168"/>
      <c r="G288" s="138"/>
      <c r="H288" s="152">
        <v>283</v>
      </c>
      <c r="I288" s="153" t="str">
        <f t="shared" si="21"/>
        <v/>
      </c>
      <c r="J288" s="152">
        <f t="shared" si="22"/>
        <v>-5</v>
      </c>
      <c r="K288" s="152">
        <f t="shared" si="19"/>
        <v>-50</v>
      </c>
      <c r="L288" s="152"/>
      <c r="M288" s="154">
        <f t="shared" si="20"/>
        <v>0</v>
      </c>
    </row>
    <row r="289" spans="1:13">
      <c r="A289" s="168"/>
      <c r="G289" s="138"/>
      <c r="H289" s="152">
        <v>284</v>
      </c>
      <c r="I289" s="153" t="str">
        <f t="shared" si="21"/>
        <v/>
      </c>
      <c r="J289" s="152">
        <f t="shared" si="22"/>
        <v>-5</v>
      </c>
      <c r="K289" s="152">
        <f t="shared" si="19"/>
        <v>-50</v>
      </c>
      <c r="L289" s="152"/>
      <c r="M289" s="154">
        <f t="shared" si="20"/>
        <v>0</v>
      </c>
    </row>
    <row r="290" spans="1:13">
      <c r="A290" s="168"/>
      <c r="G290" s="138"/>
      <c r="H290" s="152">
        <v>285</v>
      </c>
      <c r="I290" s="153" t="str">
        <f t="shared" si="21"/>
        <v/>
      </c>
      <c r="J290" s="152">
        <f t="shared" si="22"/>
        <v>-5</v>
      </c>
      <c r="K290" s="152">
        <f t="shared" si="19"/>
        <v>-50</v>
      </c>
      <c r="L290" s="152"/>
      <c r="M290" s="154">
        <f t="shared" si="20"/>
        <v>0</v>
      </c>
    </row>
    <row r="291" spans="1:13">
      <c r="A291" s="168"/>
      <c r="G291" s="138"/>
      <c r="H291" s="152">
        <v>286</v>
      </c>
      <c r="I291" s="153" t="str">
        <f t="shared" si="21"/>
        <v/>
      </c>
      <c r="J291" s="152">
        <f t="shared" si="22"/>
        <v>-5</v>
      </c>
      <c r="K291" s="152">
        <f t="shared" si="19"/>
        <v>-50</v>
      </c>
      <c r="L291" s="152"/>
      <c r="M291" s="154">
        <f t="shared" si="20"/>
        <v>0</v>
      </c>
    </row>
    <row r="292" spans="1:13">
      <c r="A292" s="168"/>
      <c r="G292" s="138"/>
      <c r="H292" s="152">
        <v>287</v>
      </c>
      <c r="I292" s="153" t="str">
        <f t="shared" si="21"/>
        <v/>
      </c>
      <c r="J292" s="152">
        <f t="shared" si="22"/>
        <v>-5</v>
      </c>
      <c r="K292" s="152">
        <f t="shared" si="19"/>
        <v>-50</v>
      </c>
      <c r="L292" s="152"/>
      <c r="M292" s="154">
        <f t="shared" si="20"/>
        <v>0</v>
      </c>
    </row>
    <row r="293" spans="1:13">
      <c r="A293" s="168"/>
      <c r="G293" s="138"/>
      <c r="H293" s="152">
        <v>288</v>
      </c>
      <c r="I293" s="153" t="str">
        <f t="shared" si="21"/>
        <v/>
      </c>
      <c r="J293" s="152">
        <f t="shared" si="22"/>
        <v>-5</v>
      </c>
      <c r="K293" s="152">
        <f t="shared" si="19"/>
        <v>-50</v>
      </c>
      <c r="L293" s="152"/>
      <c r="M293" s="154">
        <f t="shared" si="20"/>
        <v>0</v>
      </c>
    </row>
    <row r="294" spans="1:13">
      <c r="A294" s="168"/>
      <c r="G294" s="138"/>
      <c r="H294" s="152">
        <v>289</v>
      </c>
      <c r="I294" s="153" t="str">
        <f t="shared" si="21"/>
        <v/>
      </c>
      <c r="J294" s="152">
        <f t="shared" si="22"/>
        <v>-5</v>
      </c>
      <c r="K294" s="152">
        <f t="shared" si="19"/>
        <v>-50</v>
      </c>
      <c r="L294" s="152"/>
      <c r="M294" s="154">
        <f t="shared" si="20"/>
        <v>0</v>
      </c>
    </row>
    <row r="295" spans="1:13">
      <c r="A295" s="168"/>
      <c r="G295" s="138"/>
      <c r="H295" s="152">
        <v>290</v>
      </c>
      <c r="I295" s="153" t="str">
        <f t="shared" si="21"/>
        <v/>
      </c>
      <c r="J295" s="152">
        <f t="shared" si="22"/>
        <v>-5</v>
      </c>
      <c r="K295" s="152">
        <f t="shared" si="19"/>
        <v>-50</v>
      </c>
      <c r="L295" s="152"/>
      <c r="M295" s="154">
        <f t="shared" si="20"/>
        <v>0</v>
      </c>
    </row>
    <row r="296" spans="1:13">
      <c r="A296" s="168"/>
      <c r="G296" s="138"/>
      <c r="H296" s="152">
        <v>291</v>
      </c>
      <c r="I296" s="153" t="str">
        <f t="shared" si="21"/>
        <v/>
      </c>
      <c r="J296" s="152">
        <f t="shared" si="22"/>
        <v>-5</v>
      </c>
      <c r="K296" s="152">
        <f t="shared" si="19"/>
        <v>-50</v>
      </c>
      <c r="L296" s="152"/>
      <c r="M296" s="154">
        <f t="shared" si="20"/>
        <v>0</v>
      </c>
    </row>
    <row r="297" spans="1:13">
      <c r="A297" s="168"/>
      <c r="G297" s="138"/>
      <c r="H297" s="152">
        <v>292</v>
      </c>
      <c r="I297" s="153" t="str">
        <f t="shared" si="21"/>
        <v/>
      </c>
      <c r="J297" s="152">
        <f t="shared" si="22"/>
        <v>-5</v>
      </c>
      <c r="K297" s="152">
        <f t="shared" si="19"/>
        <v>-50</v>
      </c>
      <c r="L297" s="152"/>
      <c r="M297" s="154">
        <f t="shared" si="20"/>
        <v>0</v>
      </c>
    </row>
    <row r="298" spans="1:13">
      <c r="A298" s="168"/>
      <c r="G298" s="138"/>
      <c r="H298" s="152">
        <v>293</v>
      </c>
      <c r="I298" s="153" t="str">
        <f t="shared" si="21"/>
        <v/>
      </c>
      <c r="J298" s="152">
        <f t="shared" si="22"/>
        <v>-5</v>
      </c>
      <c r="K298" s="152">
        <f t="shared" si="19"/>
        <v>-50</v>
      </c>
      <c r="L298" s="152"/>
      <c r="M298" s="154">
        <f t="shared" si="20"/>
        <v>0</v>
      </c>
    </row>
    <row r="299" spans="1:13">
      <c r="A299" s="168"/>
      <c r="G299" s="138"/>
      <c r="H299" s="152">
        <v>294</v>
      </c>
      <c r="I299" s="153" t="str">
        <f t="shared" si="21"/>
        <v/>
      </c>
      <c r="J299" s="152">
        <f t="shared" si="22"/>
        <v>-5</v>
      </c>
      <c r="K299" s="152">
        <f t="shared" si="19"/>
        <v>-50</v>
      </c>
      <c r="L299" s="152"/>
      <c r="M299" s="154">
        <f t="shared" si="20"/>
        <v>0</v>
      </c>
    </row>
    <row r="300" spans="1:13">
      <c r="A300" s="168"/>
      <c r="G300" s="138"/>
      <c r="H300" s="152">
        <v>295</v>
      </c>
      <c r="I300" s="153" t="str">
        <f t="shared" si="21"/>
        <v/>
      </c>
      <c r="J300" s="152">
        <f t="shared" si="22"/>
        <v>-5</v>
      </c>
      <c r="K300" s="152">
        <f t="shared" si="19"/>
        <v>-50</v>
      </c>
      <c r="L300" s="152"/>
      <c r="M300" s="154">
        <f t="shared" si="20"/>
        <v>0</v>
      </c>
    </row>
    <row r="301" spans="1:13">
      <c r="A301" s="168"/>
      <c r="G301" s="138"/>
      <c r="H301" s="152">
        <v>296</v>
      </c>
      <c r="I301" s="153" t="str">
        <f t="shared" si="21"/>
        <v/>
      </c>
      <c r="J301" s="152">
        <f t="shared" si="22"/>
        <v>-5</v>
      </c>
      <c r="K301" s="152">
        <f t="shared" si="19"/>
        <v>-50</v>
      </c>
      <c r="L301" s="152"/>
      <c r="M301" s="154">
        <f t="shared" si="20"/>
        <v>0</v>
      </c>
    </row>
    <row r="302" spans="1:13">
      <c r="A302" s="168"/>
      <c r="G302" s="138"/>
      <c r="H302" s="152">
        <v>297</v>
      </c>
      <c r="I302" s="153" t="str">
        <f t="shared" si="21"/>
        <v/>
      </c>
      <c r="J302" s="152">
        <f t="shared" si="22"/>
        <v>-5</v>
      </c>
      <c r="K302" s="152">
        <f t="shared" si="19"/>
        <v>-50</v>
      </c>
      <c r="L302" s="152"/>
      <c r="M302" s="154">
        <f t="shared" si="20"/>
        <v>0</v>
      </c>
    </row>
    <row r="303" spans="1:13">
      <c r="A303" s="168"/>
      <c r="G303" s="138"/>
      <c r="H303" s="152">
        <v>298</v>
      </c>
      <c r="I303" s="153" t="str">
        <f t="shared" si="21"/>
        <v/>
      </c>
      <c r="J303" s="152">
        <f t="shared" si="22"/>
        <v>-5</v>
      </c>
      <c r="K303" s="152">
        <f t="shared" si="19"/>
        <v>-50</v>
      </c>
      <c r="L303" s="152"/>
      <c r="M303" s="154">
        <f t="shared" si="20"/>
        <v>0</v>
      </c>
    </row>
    <row r="304" spans="1:13">
      <c r="A304" s="168"/>
      <c r="G304" s="138"/>
      <c r="H304" s="152">
        <v>299</v>
      </c>
      <c r="I304" s="153" t="str">
        <f t="shared" si="21"/>
        <v/>
      </c>
      <c r="J304" s="152">
        <f t="shared" si="22"/>
        <v>-5</v>
      </c>
      <c r="K304" s="152">
        <f t="shared" si="19"/>
        <v>-50</v>
      </c>
      <c r="L304" s="152"/>
      <c r="M304" s="154">
        <f t="shared" si="20"/>
        <v>0</v>
      </c>
    </row>
    <row r="305" spans="1:16">
      <c r="A305" s="168"/>
      <c r="G305" s="138"/>
      <c r="H305" s="152">
        <v>300</v>
      </c>
      <c r="I305" s="153" t="str">
        <f t="shared" si="21"/>
        <v/>
      </c>
      <c r="J305" s="152">
        <f t="shared" si="22"/>
        <v>-5</v>
      </c>
      <c r="K305" s="152">
        <f t="shared" si="19"/>
        <v>-50</v>
      </c>
      <c r="L305" s="152"/>
      <c r="M305" s="154">
        <f t="shared" si="20"/>
        <v>0</v>
      </c>
    </row>
    <row r="306" spans="1:16">
      <c r="A306" s="170"/>
    </row>
    <row r="314" spans="1:16">
      <c r="L314" s="173"/>
      <c r="P314" s="163"/>
    </row>
    <row r="315" spans="1:16">
      <c r="L315" s="173"/>
      <c r="P315" s="163"/>
    </row>
    <row r="316" spans="1:16">
      <c r="L316" s="173"/>
      <c r="P316" s="163"/>
    </row>
    <row r="317" spans="1:16">
      <c r="L317" s="173"/>
      <c r="P317" s="163"/>
    </row>
  </sheetData>
  <mergeCells count="2">
    <mergeCell ref="C2:D2"/>
    <mergeCell ref="C3:D3"/>
  </mergeCells>
  <conditionalFormatting sqref="J6:K305">
    <cfRule type="cellIs" dxfId="27" priority="1" operator="lessThanOrEqual">
      <formula>0</formula>
    </cfRule>
  </conditionalFormatting>
  <dataValidations count="1">
    <dataValidation type="list" allowBlank="1" showInputMessage="1" showErrorMessage="1" sqref="C38:C69" xr:uid="{BFB90391-E95E-4746-B6EB-108D808561DE}">
      <formula1>#REF!</formula1>
    </dataValidation>
  </dataValidations>
  <hyperlinks>
    <hyperlink ref="C2:D2" r:id="rId1" display="SPAŁA" xr:uid="{8B2B2475-8A11-4EAB-A659-ABAAF0AD9659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ED3EC-5B7E-4A8F-93F0-57645EF752D2}">
  <sheetPr>
    <tabColor rgb="FF92D050"/>
  </sheetPr>
  <dimension ref="A1:AL317"/>
  <sheetViews>
    <sheetView workbookViewId="0">
      <selection activeCell="D16" sqref="D16"/>
    </sheetView>
  </sheetViews>
  <sheetFormatPr defaultColWidth="8.85546875" defaultRowHeight="14.25"/>
  <cols>
    <col min="1" max="1" width="8" style="169" customWidth="1"/>
    <col min="2" max="2" width="8.28515625" style="169" customWidth="1"/>
    <col min="3" max="3" width="34.7109375" style="169" customWidth="1"/>
    <col min="4" max="4" width="11.28515625" style="169" customWidth="1"/>
    <col min="5" max="6" width="8.85546875" style="169"/>
    <col min="7" max="7" width="0.85546875" style="169" customWidth="1"/>
    <col min="8" max="8" width="8.85546875" style="171"/>
    <col min="9" max="9" width="11" style="171" customWidth="1"/>
    <col min="10" max="10" width="15.28515625" style="171" customWidth="1"/>
    <col min="11" max="11" width="8.7109375" style="171" customWidth="1"/>
    <col min="12" max="12" width="11" style="171" customWidth="1"/>
    <col min="13" max="13" width="11.7109375" style="172" customWidth="1"/>
    <col min="14" max="15" width="13.85546875" style="138" customWidth="1"/>
    <col min="16" max="18" width="8.85546875" style="138"/>
    <col min="19" max="20" width="8.85546875" style="143"/>
    <col min="21" max="21" width="12.140625" style="143" customWidth="1"/>
    <col min="22" max="22" width="27.42578125" style="143" customWidth="1"/>
    <col min="23" max="38" width="8.85546875" style="143"/>
    <col min="39" max="16384" width="8.85546875" style="169"/>
  </cols>
  <sheetData>
    <row r="1" spans="1:36">
      <c r="A1" s="138"/>
      <c r="B1" s="138"/>
      <c r="C1" s="138"/>
      <c r="D1" s="138"/>
      <c r="E1" s="138"/>
      <c r="F1" s="138"/>
      <c r="G1" s="138"/>
      <c r="H1" s="139" t="s">
        <v>34</v>
      </c>
      <c r="I1" s="140" t="s">
        <v>35</v>
      </c>
      <c r="J1" s="140" t="s">
        <v>36</v>
      </c>
      <c r="K1" s="141" t="s">
        <v>37</v>
      </c>
      <c r="L1" s="142"/>
      <c r="M1" s="142"/>
    </row>
    <row r="2" spans="1:36" ht="14.45" customHeight="1">
      <c r="A2" s="138"/>
      <c r="B2" s="21" t="s">
        <v>38</v>
      </c>
      <c r="C2" s="284" t="s">
        <v>73</v>
      </c>
      <c r="D2" s="284"/>
      <c r="E2" s="22"/>
      <c r="F2" s="22"/>
      <c r="G2" s="22"/>
      <c r="H2" s="144">
        <v>7</v>
      </c>
      <c r="I2" s="145">
        <v>50</v>
      </c>
      <c r="J2" s="145">
        <v>10</v>
      </c>
      <c r="K2" s="146">
        <f>3*H2^(1/3)</f>
        <v>5.738793548317167</v>
      </c>
      <c r="L2" s="142"/>
      <c r="M2" s="142"/>
    </row>
    <row r="3" spans="1:36" ht="14.45" customHeight="1">
      <c r="A3" s="138"/>
      <c r="B3" s="147" t="s">
        <v>40</v>
      </c>
      <c r="C3" s="285" t="s">
        <v>103</v>
      </c>
      <c r="D3" s="285"/>
      <c r="E3" s="27"/>
      <c r="F3" s="27"/>
      <c r="G3" s="27"/>
      <c r="H3" s="142"/>
      <c r="I3" s="142"/>
      <c r="J3" s="148"/>
      <c r="K3" s="142"/>
      <c r="L3" s="142"/>
      <c r="M3" s="142"/>
    </row>
    <row r="4" spans="1:36" ht="10.15" customHeight="1">
      <c r="A4" s="29"/>
      <c r="B4" s="27"/>
      <c r="C4" s="29"/>
      <c r="D4" s="29"/>
      <c r="E4" s="29"/>
      <c r="F4" s="29"/>
      <c r="G4" s="29"/>
      <c r="H4" s="142"/>
      <c r="I4" s="142"/>
      <c r="J4" s="148"/>
      <c r="K4" s="142"/>
      <c r="L4" s="142"/>
      <c r="M4" s="142"/>
    </row>
    <row r="5" spans="1:36" ht="34.700000000000003">
      <c r="A5" s="1" t="s">
        <v>42</v>
      </c>
      <c r="B5" s="30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9"/>
      <c r="H5" s="149" t="s">
        <v>48</v>
      </c>
      <c r="I5" s="150" t="s">
        <v>49</v>
      </c>
      <c r="J5" s="151" t="s">
        <v>50</v>
      </c>
      <c r="K5" s="150" t="s">
        <v>51</v>
      </c>
      <c r="L5" s="150" t="s">
        <v>52</v>
      </c>
      <c r="M5" s="149" t="s">
        <v>53</v>
      </c>
    </row>
    <row r="6" spans="1:36" ht="14.45" customHeight="1">
      <c r="A6" s="34">
        <f>M6</f>
        <v>97.216380644951499</v>
      </c>
      <c r="B6" s="35">
        <f t="shared" ref="B6:B15" si="0">IF(H6&gt;$H$2,"",(ROW()-5))</f>
        <v>1</v>
      </c>
      <c r="C6" s="36" t="s">
        <v>20</v>
      </c>
      <c r="D6" s="36" t="s">
        <v>104</v>
      </c>
      <c r="E6" s="36"/>
      <c r="F6" s="36"/>
      <c r="G6" s="29"/>
      <c r="H6" s="152">
        <v>1</v>
      </c>
      <c r="I6" s="153">
        <f>IF(H2=1,50,IF(H6&lt;$H$2+1,($I$2-($I$2-1)*(LOG(H6)/LOG($H$2))),""))</f>
        <v>50</v>
      </c>
      <c r="J6" s="152">
        <f>INT(LOG($H$2,2))-ROUNDUP(LOG(H6,2),0)+IF(OR($H$2=1,$H$2=2,$H$2=4,$H$2=8,$H$2=16,$H$2=32,$H$2=64,$H$2=128,$H$2=256),0,1)</f>
        <v>3</v>
      </c>
      <c r="K6" s="152">
        <f t="shared" ref="K6:K69" si="1">J6*$J$2</f>
        <v>30</v>
      </c>
      <c r="L6" s="154">
        <f>3*K2</f>
        <v>17.216380644951499</v>
      </c>
      <c r="M6" s="154">
        <f t="shared" ref="M6:M69" si="2">IF(I6&lt;&gt;"",K6+I6+L6,0)</f>
        <v>97.216380644951499</v>
      </c>
    </row>
    <row r="7" spans="1:36" ht="14.45" customHeight="1">
      <c r="A7" s="40">
        <f t="shared" ref="A7:A37" si="3">M7</f>
        <v>64.023434928341246</v>
      </c>
      <c r="B7" s="41">
        <f t="shared" si="0"/>
        <v>2</v>
      </c>
      <c r="C7" s="42" t="s">
        <v>21</v>
      </c>
      <c r="D7" s="42" t="s">
        <v>71</v>
      </c>
      <c r="E7" s="42"/>
      <c r="F7" s="42"/>
      <c r="G7" s="29"/>
      <c r="H7" s="155">
        <v>2</v>
      </c>
      <c r="I7" s="156">
        <f t="shared" ref="I7:I70" si="4">IF(H7&lt;$H$2+1,($I$2-($I$2-1)*(LOG(H7)/LOG($H$2))),"")</f>
        <v>32.545847831706908</v>
      </c>
      <c r="J7" s="155">
        <f t="shared" ref="J7:J70" si="5">INT(LOG($H$2,2))-ROUNDUP(LOG(H7,2),0)+IF(OR($H$2=1,$H$2=2,$H$2=4,$H$2=8,$H$2=16,$H$2=32,$H$2=64,$H$2=128,$H$2=256),0,1)</f>
        <v>2</v>
      </c>
      <c r="K7" s="155">
        <f t="shared" si="1"/>
        <v>20</v>
      </c>
      <c r="L7" s="157">
        <f>2*K2</f>
        <v>11.477587096634334</v>
      </c>
      <c r="M7" s="157">
        <f t="shared" si="2"/>
        <v>64.023434928341246</v>
      </c>
    </row>
    <row r="8" spans="1:36" ht="14.45" customHeight="1">
      <c r="A8" s="34">
        <f t="shared" si="3"/>
        <v>38.074616879691767</v>
      </c>
      <c r="B8" s="35">
        <f t="shared" si="0"/>
        <v>3</v>
      </c>
      <c r="C8" s="36" t="s">
        <v>19</v>
      </c>
      <c r="D8" s="36" t="s">
        <v>54</v>
      </c>
      <c r="E8" s="36"/>
      <c r="F8" s="36"/>
      <c r="G8" s="29"/>
      <c r="H8" s="152">
        <v>3</v>
      </c>
      <c r="I8" s="153">
        <f t="shared" si="4"/>
        <v>22.335823331374595</v>
      </c>
      <c r="J8" s="152">
        <f t="shared" si="5"/>
        <v>1</v>
      </c>
      <c r="K8" s="152">
        <f t="shared" si="1"/>
        <v>10</v>
      </c>
      <c r="L8" s="154">
        <f>K2</f>
        <v>5.738793548317167</v>
      </c>
      <c r="M8" s="154">
        <f t="shared" si="2"/>
        <v>38.074616879691767</v>
      </c>
    </row>
    <row r="9" spans="1:36" ht="14.45" customHeight="1">
      <c r="A9" s="40">
        <f t="shared" si="3"/>
        <v>25.091695663413823</v>
      </c>
      <c r="B9" s="41">
        <f t="shared" si="0"/>
        <v>4</v>
      </c>
      <c r="C9" s="42" t="s">
        <v>22</v>
      </c>
      <c r="D9" s="42" t="s">
        <v>54</v>
      </c>
      <c r="E9" s="42"/>
      <c r="F9" s="42"/>
      <c r="G9" s="29"/>
      <c r="H9" s="155">
        <v>4</v>
      </c>
      <c r="I9" s="156">
        <f t="shared" si="4"/>
        <v>15.091695663413823</v>
      </c>
      <c r="J9" s="155">
        <f t="shared" si="5"/>
        <v>1</v>
      </c>
      <c r="K9" s="155">
        <f t="shared" si="1"/>
        <v>10</v>
      </c>
      <c r="L9" s="157"/>
      <c r="M9" s="157">
        <f t="shared" si="2"/>
        <v>25.091695663413823</v>
      </c>
      <c r="V9" s="158"/>
      <c r="Z9" s="159"/>
      <c r="AA9" s="159"/>
      <c r="AG9" s="160"/>
      <c r="AH9" s="143" t="s">
        <v>57</v>
      </c>
      <c r="AI9" s="143">
        <v>23</v>
      </c>
    </row>
    <row r="10" spans="1:36" ht="14.45" customHeight="1">
      <c r="A10" s="34">
        <f t="shared" si="3"/>
        <v>9.472713708001109</v>
      </c>
      <c r="B10" s="35">
        <f t="shared" si="0"/>
        <v>5</v>
      </c>
      <c r="C10" s="36" t="s">
        <v>25</v>
      </c>
      <c r="D10" s="36" t="s">
        <v>59</v>
      </c>
      <c r="E10" s="36"/>
      <c r="F10" s="36"/>
      <c r="G10" s="29"/>
      <c r="H10" s="152">
        <v>5</v>
      </c>
      <c r="I10" s="153">
        <f t="shared" si="4"/>
        <v>9.472713708001109</v>
      </c>
      <c r="J10" s="152">
        <f t="shared" si="5"/>
        <v>0</v>
      </c>
      <c r="K10" s="152">
        <f t="shared" si="1"/>
        <v>0</v>
      </c>
      <c r="L10" s="152"/>
      <c r="M10" s="154">
        <f t="shared" si="2"/>
        <v>9.472713708001109</v>
      </c>
      <c r="V10" s="158"/>
      <c r="Z10" s="159"/>
      <c r="AA10" s="159"/>
      <c r="AG10" s="160"/>
      <c r="AH10" s="143" t="s">
        <v>58</v>
      </c>
      <c r="AI10" s="143">
        <v>45</v>
      </c>
    </row>
    <row r="11" spans="1:36" ht="14.45" customHeight="1">
      <c r="A11" s="40">
        <f t="shared" si="3"/>
        <v>4.8816711630815135</v>
      </c>
      <c r="B11" s="41">
        <f t="shared" si="0"/>
        <v>6</v>
      </c>
      <c r="C11" s="42" t="s">
        <v>101</v>
      </c>
      <c r="D11" s="42" t="s">
        <v>79</v>
      </c>
      <c r="E11" s="42"/>
      <c r="F11" s="42"/>
      <c r="G11" s="29"/>
      <c r="H11" s="155">
        <v>6</v>
      </c>
      <c r="I11" s="156">
        <f t="shared" si="4"/>
        <v>4.8816711630815135</v>
      </c>
      <c r="J11" s="155">
        <f t="shared" si="5"/>
        <v>0</v>
      </c>
      <c r="K11" s="155">
        <f t="shared" si="1"/>
        <v>0</v>
      </c>
      <c r="L11" s="155"/>
      <c r="M11" s="157">
        <f t="shared" si="2"/>
        <v>4.8816711630815135</v>
      </c>
      <c r="V11" s="161"/>
      <c r="Z11" s="159"/>
      <c r="AA11" s="159"/>
      <c r="AG11" s="160"/>
      <c r="AH11" s="143" t="s">
        <v>60</v>
      </c>
      <c r="AI11" s="143">
        <v>50</v>
      </c>
    </row>
    <row r="12" spans="1:36" ht="14.45" customHeight="1">
      <c r="A12" s="34">
        <f t="shared" si="3"/>
        <v>1</v>
      </c>
      <c r="B12" s="35">
        <f t="shared" si="0"/>
        <v>7</v>
      </c>
      <c r="C12" s="36" t="s">
        <v>32</v>
      </c>
      <c r="D12" s="36" t="s">
        <v>80</v>
      </c>
      <c r="E12" s="36"/>
      <c r="F12" s="36"/>
      <c r="G12" s="29"/>
      <c r="H12" s="152">
        <v>7</v>
      </c>
      <c r="I12" s="153">
        <f t="shared" si="4"/>
        <v>1</v>
      </c>
      <c r="J12" s="152">
        <f t="shared" si="5"/>
        <v>0</v>
      </c>
      <c r="K12" s="152">
        <f t="shared" si="1"/>
        <v>0</v>
      </c>
      <c r="L12" s="152"/>
      <c r="M12" s="154">
        <f t="shared" si="2"/>
        <v>1</v>
      </c>
      <c r="Z12" s="159"/>
      <c r="AA12" s="159"/>
      <c r="AG12" s="160"/>
      <c r="AH12" s="143" t="s">
        <v>61</v>
      </c>
      <c r="AI12" s="143">
        <f>AI11-1</f>
        <v>49</v>
      </c>
    </row>
    <row r="13" spans="1:36" ht="14.45" customHeight="1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155">
        <v>8</v>
      </c>
      <c r="I13" s="156" t="str">
        <f t="shared" si="4"/>
        <v/>
      </c>
      <c r="J13" s="155">
        <f t="shared" si="5"/>
        <v>0</v>
      </c>
      <c r="K13" s="155">
        <f t="shared" si="1"/>
        <v>0</v>
      </c>
      <c r="L13" s="155"/>
      <c r="M13" s="157">
        <f t="shared" si="2"/>
        <v>0</v>
      </c>
      <c r="X13" s="158"/>
      <c r="AG13" s="160"/>
      <c r="AH13" s="143" t="s">
        <v>62</v>
      </c>
      <c r="AI13" s="143">
        <f>LOG(AI9)</f>
        <v>1.3617278360175928</v>
      </c>
    </row>
    <row r="14" spans="1:36">
      <c r="A14" s="51">
        <f t="shared" si="3"/>
        <v>0</v>
      </c>
      <c r="B14" s="35" t="str">
        <f t="shared" si="0"/>
        <v/>
      </c>
      <c r="C14" s="36"/>
      <c r="D14" s="36"/>
      <c r="E14" s="36"/>
      <c r="F14" s="36"/>
      <c r="G14" s="29"/>
      <c r="H14" s="152">
        <v>9</v>
      </c>
      <c r="I14" s="153" t="str">
        <f t="shared" si="4"/>
        <v/>
      </c>
      <c r="J14" s="152">
        <f t="shared" si="5"/>
        <v>-1</v>
      </c>
      <c r="K14" s="152">
        <f t="shared" si="1"/>
        <v>-10</v>
      </c>
      <c r="L14" s="152"/>
      <c r="M14" s="154">
        <f t="shared" si="2"/>
        <v>0</v>
      </c>
      <c r="X14" s="162"/>
      <c r="Z14" s="159"/>
      <c r="AA14" s="159"/>
      <c r="AG14" s="160"/>
      <c r="AH14" s="143" t="s">
        <v>64</v>
      </c>
      <c r="AI14" s="143">
        <f>LOG(AI10)</f>
        <v>1.6532125137753437</v>
      </c>
    </row>
    <row r="15" spans="1:36">
      <c r="A15" s="50">
        <f t="shared" si="3"/>
        <v>0</v>
      </c>
      <c r="B15" s="41" t="str">
        <f t="shared" si="0"/>
        <v/>
      </c>
      <c r="C15" s="42"/>
      <c r="D15" s="42"/>
      <c r="E15" s="42"/>
      <c r="F15" s="42"/>
      <c r="G15" s="29"/>
      <c r="H15" s="155">
        <v>10</v>
      </c>
      <c r="I15" s="156" t="str">
        <f t="shared" si="4"/>
        <v/>
      </c>
      <c r="J15" s="155">
        <f t="shared" si="5"/>
        <v>-1</v>
      </c>
      <c r="K15" s="155">
        <f t="shared" si="1"/>
        <v>-10</v>
      </c>
      <c r="L15" s="155"/>
      <c r="M15" s="157">
        <f t="shared" si="2"/>
        <v>0</v>
      </c>
      <c r="X15" s="158"/>
      <c r="Z15" s="159"/>
      <c r="AA15" s="159"/>
    </row>
    <row r="16" spans="1:36">
      <c r="A16" s="51">
        <f t="shared" si="3"/>
        <v>0</v>
      </c>
      <c r="B16" s="35" t="str">
        <f t="shared" ref="B15:B65" si="6">IF(H16&gt;$H$2,"",(ROW()-5))</f>
        <v/>
      </c>
      <c r="C16" s="36"/>
      <c r="D16" s="36"/>
      <c r="E16" s="36"/>
      <c r="F16" s="36"/>
      <c r="G16" s="29"/>
      <c r="H16" s="152">
        <v>11</v>
      </c>
      <c r="I16" s="153" t="str">
        <f t="shared" si="4"/>
        <v/>
      </c>
      <c r="J16" s="152">
        <f t="shared" si="5"/>
        <v>-1</v>
      </c>
      <c r="K16" s="152">
        <f t="shared" si="1"/>
        <v>-10</v>
      </c>
      <c r="L16" s="152"/>
      <c r="M16" s="154">
        <f t="shared" si="2"/>
        <v>0</v>
      </c>
      <c r="R16" s="163"/>
      <c r="Z16" s="159"/>
      <c r="AA16" s="159"/>
      <c r="AH16" s="164" t="s">
        <v>66</v>
      </c>
      <c r="AI16" s="143">
        <f>AI11-AI12*AI13/AI14</f>
        <v>9.6393909380186855</v>
      </c>
      <c r="AJ16" s="143" t="s">
        <v>67</v>
      </c>
    </row>
    <row r="17" spans="1:19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155">
        <v>12</v>
      </c>
      <c r="I17" s="156" t="str">
        <f t="shared" si="4"/>
        <v/>
      </c>
      <c r="J17" s="155">
        <f t="shared" si="5"/>
        <v>-1</v>
      </c>
      <c r="K17" s="155">
        <f t="shared" si="1"/>
        <v>-10</v>
      </c>
      <c r="L17" s="155"/>
      <c r="M17" s="157">
        <f t="shared" si="2"/>
        <v>0</v>
      </c>
    </row>
    <row r="18" spans="1:19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152">
        <v>13</v>
      </c>
      <c r="I18" s="153" t="str">
        <f t="shared" si="4"/>
        <v/>
      </c>
      <c r="J18" s="152">
        <f t="shared" si="5"/>
        <v>-1</v>
      </c>
      <c r="K18" s="152">
        <f t="shared" si="1"/>
        <v>-10</v>
      </c>
      <c r="L18" s="152"/>
      <c r="M18" s="154">
        <f t="shared" si="2"/>
        <v>0</v>
      </c>
    </row>
    <row r="19" spans="1:19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55">
        <v>14</v>
      </c>
      <c r="I19" s="156" t="str">
        <f t="shared" si="4"/>
        <v/>
      </c>
      <c r="J19" s="155">
        <f t="shared" si="5"/>
        <v>-1</v>
      </c>
      <c r="K19" s="155">
        <f t="shared" si="1"/>
        <v>-10</v>
      </c>
      <c r="L19" s="155"/>
      <c r="M19" s="157">
        <f t="shared" si="2"/>
        <v>0</v>
      </c>
    </row>
    <row r="20" spans="1:19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152">
        <v>15</v>
      </c>
      <c r="I20" s="153" t="str">
        <f t="shared" si="4"/>
        <v/>
      </c>
      <c r="J20" s="152">
        <f t="shared" si="5"/>
        <v>-1</v>
      </c>
      <c r="K20" s="152">
        <f t="shared" si="1"/>
        <v>-10</v>
      </c>
      <c r="L20" s="152"/>
      <c r="M20" s="154">
        <f t="shared" si="2"/>
        <v>0</v>
      </c>
      <c r="R20" s="165"/>
      <c r="S20" s="166"/>
    </row>
    <row r="21" spans="1:19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55">
        <v>16</v>
      </c>
      <c r="I21" s="156" t="str">
        <f t="shared" si="4"/>
        <v/>
      </c>
      <c r="J21" s="155">
        <f t="shared" si="5"/>
        <v>-1</v>
      </c>
      <c r="K21" s="155">
        <f t="shared" si="1"/>
        <v>-10</v>
      </c>
      <c r="L21" s="155"/>
      <c r="M21" s="157">
        <f t="shared" si="2"/>
        <v>0</v>
      </c>
    </row>
    <row r="22" spans="1:19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152">
        <v>17</v>
      </c>
      <c r="I22" s="153" t="str">
        <f t="shared" si="4"/>
        <v/>
      </c>
      <c r="J22" s="152">
        <f t="shared" si="5"/>
        <v>-2</v>
      </c>
      <c r="K22" s="152">
        <f t="shared" si="1"/>
        <v>-20</v>
      </c>
      <c r="L22" s="152"/>
      <c r="M22" s="154">
        <f t="shared" si="2"/>
        <v>0</v>
      </c>
    </row>
    <row r="23" spans="1:19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55">
        <v>18</v>
      </c>
      <c r="I23" s="156" t="str">
        <f t="shared" si="4"/>
        <v/>
      </c>
      <c r="J23" s="155">
        <f t="shared" si="5"/>
        <v>-2</v>
      </c>
      <c r="K23" s="155">
        <f t="shared" si="1"/>
        <v>-20</v>
      </c>
      <c r="L23" s="155"/>
      <c r="M23" s="157">
        <f t="shared" si="2"/>
        <v>0</v>
      </c>
    </row>
    <row r="24" spans="1:19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152">
        <v>19</v>
      </c>
      <c r="I24" s="153" t="str">
        <f t="shared" si="4"/>
        <v/>
      </c>
      <c r="J24" s="152">
        <f t="shared" si="5"/>
        <v>-2</v>
      </c>
      <c r="K24" s="152">
        <f t="shared" si="1"/>
        <v>-20</v>
      </c>
      <c r="L24" s="152"/>
      <c r="M24" s="154">
        <f t="shared" si="2"/>
        <v>0</v>
      </c>
      <c r="R24" s="165"/>
      <c r="S24" s="166"/>
    </row>
    <row r="25" spans="1:19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55">
        <v>20</v>
      </c>
      <c r="I25" s="156" t="str">
        <f t="shared" si="4"/>
        <v/>
      </c>
      <c r="J25" s="155">
        <f t="shared" si="5"/>
        <v>-2</v>
      </c>
      <c r="K25" s="155">
        <f t="shared" si="1"/>
        <v>-20</v>
      </c>
      <c r="L25" s="155"/>
      <c r="M25" s="157">
        <f t="shared" si="2"/>
        <v>0</v>
      </c>
    </row>
    <row r="26" spans="1:19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152">
        <v>21</v>
      </c>
      <c r="I26" s="153" t="str">
        <f t="shared" si="4"/>
        <v/>
      </c>
      <c r="J26" s="152">
        <f t="shared" si="5"/>
        <v>-2</v>
      </c>
      <c r="K26" s="152">
        <f t="shared" si="1"/>
        <v>-20</v>
      </c>
      <c r="L26" s="152"/>
      <c r="M26" s="154">
        <f t="shared" si="2"/>
        <v>0</v>
      </c>
    </row>
    <row r="27" spans="1:19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55">
        <v>22</v>
      </c>
      <c r="I27" s="156" t="str">
        <f t="shared" si="4"/>
        <v/>
      </c>
      <c r="J27" s="155">
        <f t="shared" si="5"/>
        <v>-2</v>
      </c>
      <c r="K27" s="155">
        <f t="shared" si="1"/>
        <v>-20</v>
      </c>
      <c r="L27" s="155"/>
      <c r="M27" s="157">
        <f t="shared" si="2"/>
        <v>0</v>
      </c>
    </row>
    <row r="28" spans="1:19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152">
        <v>23</v>
      </c>
      <c r="I28" s="153" t="str">
        <f t="shared" si="4"/>
        <v/>
      </c>
      <c r="J28" s="152">
        <f t="shared" si="5"/>
        <v>-2</v>
      </c>
      <c r="K28" s="152">
        <f t="shared" si="1"/>
        <v>-20</v>
      </c>
      <c r="L28" s="152"/>
      <c r="M28" s="154">
        <f t="shared" si="2"/>
        <v>0</v>
      </c>
      <c r="R28" s="165"/>
      <c r="S28" s="166"/>
    </row>
    <row r="29" spans="1:19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38"/>
      <c r="H29" s="155">
        <v>24</v>
      </c>
      <c r="I29" s="156" t="str">
        <f t="shared" si="4"/>
        <v/>
      </c>
      <c r="J29" s="155">
        <f t="shared" si="5"/>
        <v>-2</v>
      </c>
      <c r="K29" s="155">
        <f t="shared" si="1"/>
        <v>-20</v>
      </c>
      <c r="L29" s="155"/>
      <c r="M29" s="157">
        <f t="shared" si="2"/>
        <v>0</v>
      </c>
    </row>
    <row r="30" spans="1:19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38"/>
      <c r="H30" s="152">
        <v>25</v>
      </c>
      <c r="I30" s="153" t="str">
        <f t="shared" si="4"/>
        <v/>
      </c>
      <c r="J30" s="152">
        <f t="shared" si="5"/>
        <v>-2</v>
      </c>
      <c r="K30" s="152">
        <f t="shared" si="1"/>
        <v>-20</v>
      </c>
      <c r="L30" s="152"/>
      <c r="M30" s="154">
        <f t="shared" si="2"/>
        <v>0</v>
      </c>
    </row>
    <row r="31" spans="1:19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38"/>
      <c r="H31" s="155">
        <v>26</v>
      </c>
      <c r="I31" s="156" t="str">
        <f t="shared" si="4"/>
        <v/>
      </c>
      <c r="J31" s="155">
        <f t="shared" si="5"/>
        <v>-2</v>
      </c>
      <c r="K31" s="155">
        <f t="shared" si="1"/>
        <v>-20</v>
      </c>
      <c r="L31" s="155"/>
      <c r="M31" s="157">
        <f t="shared" si="2"/>
        <v>0</v>
      </c>
    </row>
    <row r="32" spans="1:19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38"/>
      <c r="H32" s="152">
        <v>27</v>
      </c>
      <c r="I32" s="153" t="str">
        <f t="shared" si="4"/>
        <v/>
      </c>
      <c r="J32" s="152">
        <f t="shared" si="5"/>
        <v>-2</v>
      </c>
      <c r="K32" s="152">
        <f t="shared" si="1"/>
        <v>-20</v>
      </c>
      <c r="L32" s="152"/>
      <c r="M32" s="154">
        <f t="shared" si="2"/>
        <v>0</v>
      </c>
      <c r="R32" s="165"/>
      <c r="S32" s="166"/>
    </row>
    <row r="33" spans="1:21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38"/>
      <c r="H33" s="155">
        <v>28</v>
      </c>
      <c r="I33" s="156" t="str">
        <f t="shared" si="4"/>
        <v/>
      </c>
      <c r="J33" s="155">
        <f t="shared" si="5"/>
        <v>-2</v>
      </c>
      <c r="K33" s="155">
        <f t="shared" si="1"/>
        <v>-20</v>
      </c>
      <c r="L33" s="155"/>
      <c r="M33" s="157">
        <f t="shared" si="2"/>
        <v>0</v>
      </c>
    </row>
    <row r="34" spans="1:21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38"/>
      <c r="H34" s="152">
        <v>29</v>
      </c>
      <c r="I34" s="153" t="str">
        <f t="shared" si="4"/>
        <v/>
      </c>
      <c r="J34" s="152">
        <f t="shared" si="5"/>
        <v>-2</v>
      </c>
      <c r="K34" s="152">
        <f t="shared" si="1"/>
        <v>-20</v>
      </c>
      <c r="L34" s="152"/>
      <c r="M34" s="154">
        <f t="shared" si="2"/>
        <v>0</v>
      </c>
    </row>
    <row r="35" spans="1:21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38"/>
      <c r="H35" s="155">
        <v>30</v>
      </c>
      <c r="I35" s="156" t="str">
        <f t="shared" si="4"/>
        <v/>
      </c>
      <c r="J35" s="155">
        <f t="shared" si="5"/>
        <v>-2</v>
      </c>
      <c r="K35" s="155">
        <f t="shared" si="1"/>
        <v>-20</v>
      </c>
      <c r="L35" s="155"/>
      <c r="M35" s="157">
        <f t="shared" si="2"/>
        <v>0</v>
      </c>
    </row>
    <row r="36" spans="1:21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38"/>
      <c r="H36" s="152">
        <v>31</v>
      </c>
      <c r="I36" s="153" t="str">
        <f t="shared" si="4"/>
        <v/>
      </c>
      <c r="J36" s="152">
        <f t="shared" si="5"/>
        <v>-2</v>
      </c>
      <c r="K36" s="152">
        <f t="shared" si="1"/>
        <v>-20</v>
      </c>
      <c r="L36" s="152"/>
      <c r="M36" s="154">
        <f t="shared" si="2"/>
        <v>0</v>
      </c>
      <c r="R36" s="165"/>
      <c r="S36" s="166"/>
    </row>
    <row r="37" spans="1:21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38"/>
      <c r="H37" s="155">
        <v>32</v>
      </c>
      <c r="I37" s="156" t="str">
        <f t="shared" si="4"/>
        <v/>
      </c>
      <c r="J37" s="155">
        <f t="shared" si="5"/>
        <v>-2</v>
      </c>
      <c r="K37" s="155">
        <f t="shared" si="1"/>
        <v>-20</v>
      </c>
      <c r="L37" s="155"/>
      <c r="M37" s="157">
        <f t="shared" si="2"/>
        <v>0</v>
      </c>
    </row>
    <row r="38" spans="1:21">
      <c r="A38" s="51"/>
      <c r="B38" s="35" t="str">
        <f t="shared" si="6"/>
        <v/>
      </c>
      <c r="C38" s="36"/>
      <c r="D38" s="36"/>
      <c r="E38" s="36"/>
      <c r="F38" s="36"/>
      <c r="G38" s="138"/>
      <c r="H38" s="152">
        <v>33</v>
      </c>
      <c r="I38" s="153" t="str">
        <f t="shared" si="4"/>
        <v/>
      </c>
      <c r="J38" s="152">
        <f t="shared" si="5"/>
        <v>-3</v>
      </c>
      <c r="K38" s="152">
        <f t="shared" si="1"/>
        <v>-30</v>
      </c>
      <c r="L38" s="152"/>
      <c r="M38" s="154">
        <f t="shared" si="2"/>
        <v>0</v>
      </c>
    </row>
    <row r="39" spans="1:21">
      <c r="A39" s="50"/>
      <c r="B39" s="41" t="str">
        <f t="shared" si="6"/>
        <v/>
      </c>
      <c r="C39" s="42"/>
      <c r="D39" s="42"/>
      <c r="E39" s="42"/>
      <c r="F39" s="42"/>
      <c r="G39" s="138"/>
      <c r="H39" s="155">
        <v>34</v>
      </c>
      <c r="I39" s="156" t="str">
        <f t="shared" si="4"/>
        <v/>
      </c>
      <c r="J39" s="155">
        <f t="shared" si="5"/>
        <v>-3</v>
      </c>
      <c r="K39" s="155">
        <f t="shared" si="1"/>
        <v>-30</v>
      </c>
      <c r="L39" s="155"/>
      <c r="M39" s="157">
        <f t="shared" si="2"/>
        <v>0</v>
      </c>
    </row>
    <row r="40" spans="1:21">
      <c r="A40" s="51"/>
      <c r="B40" s="35" t="str">
        <f t="shared" si="6"/>
        <v/>
      </c>
      <c r="C40" s="36"/>
      <c r="D40" s="36"/>
      <c r="E40" s="36"/>
      <c r="F40" s="36"/>
      <c r="G40" s="138"/>
      <c r="H40" s="152">
        <v>35</v>
      </c>
      <c r="I40" s="153" t="str">
        <f t="shared" si="4"/>
        <v/>
      </c>
      <c r="J40" s="152">
        <f t="shared" si="5"/>
        <v>-3</v>
      </c>
      <c r="K40" s="152">
        <f t="shared" si="1"/>
        <v>-30</v>
      </c>
      <c r="L40" s="152"/>
      <c r="M40" s="154">
        <f t="shared" si="2"/>
        <v>0</v>
      </c>
    </row>
    <row r="41" spans="1:21">
      <c r="A41" s="50"/>
      <c r="B41" s="41" t="str">
        <f t="shared" si="6"/>
        <v/>
      </c>
      <c r="C41" s="42"/>
      <c r="D41" s="42"/>
      <c r="E41" s="42"/>
      <c r="F41" s="42"/>
      <c r="G41" s="138"/>
      <c r="H41" s="155">
        <v>36</v>
      </c>
      <c r="I41" s="156" t="str">
        <f t="shared" si="4"/>
        <v/>
      </c>
      <c r="J41" s="155">
        <f t="shared" si="5"/>
        <v>-3</v>
      </c>
      <c r="K41" s="155">
        <f t="shared" si="1"/>
        <v>-30</v>
      </c>
      <c r="L41" s="155"/>
      <c r="M41" s="157">
        <f t="shared" si="2"/>
        <v>0</v>
      </c>
      <c r="S41" s="167"/>
    </row>
    <row r="42" spans="1:21">
      <c r="A42" s="51"/>
      <c r="B42" s="35" t="str">
        <f t="shared" si="6"/>
        <v/>
      </c>
      <c r="C42" s="36"/>
      <c r="D42" s="36"/>
      <c r="E42" s="36"/>
      <c r="F42" s="36"/>
      <c r="G42" s="138"/>
      <c r="H42" s="152">
        <v>37</v>
      </c>
      <c r="I42" s="153" t="str">
        <f t="shared" si="4"/>
        <v/>
      </c>
      <c r="J42" s="152">
        <f t="shared" si="5"/>
        <v>-3</v>
      </c>
      <c r="K42" s="152">
        <f t="shared" si="1"/>
        <v>-30</v>
      </c>
      <c r="L42" s="152"/>
      <c r="M42" s="154">
        <f t="shared" si="2"/>
        <v>0</v>
      </c>
    </row>
    <row r="43" spans="1:21">
      <c r="A43" s="50"/>
      <c r="B43" s="41" t="str">
        <f t="shared" si="6"/>
        <v/>
      </c>
      <c r="C43" s="42"/>
      <c r="D43" s="42"/>
      <c r="E43" s="42"/>
      <c r="F43" s="42"/>
      <c r="G43" s="138"/>
      <c r="H43" s="155">
        <v>38</v>
      </c>
      <c r="I43" s="156" t="str">
        <f t="shared" si="4"/>
        <v/>
      </c>
      <c r="J43" s="155">
        <f t="shared" si="5"/>
        <v>-3</v>
      </c>
      <c r="K43" s="155">
        <f t="shared" si="1"/>
        <v>-30</v>
      </c>
      <c r="L43" s="155"/>
      <c r="M43" s="157">
        <f t="shared" si="2"/>
        <v>0</v>
      </c>
    </row>
    <row r="44" spans="1:21">
      <c r="A44" s="51"/>
      <c r="B44" s="35" t="str">
        <f t="shared" si="6"/>
        <v/>
      </c>
      <c r="C44" s="36"/>
      <c r="D44" s="36"/>
      <c r="E44" s="36"/>
      <c r="F44" s="36"/>
      <c r="G44" s="138"/>
      <c r="H44" s="152">
        <v>39</v>
      </c>
      <c r="I44" s="153" t="str">
        <f t="shared" si="4"/>
        <v/>
      </c>
      <c r="J44" s="152">
        <f t="shared" si="5"/>
        <v>-3</v>
      </c>
      <c r="K44" s="152">
        <f t="shared" si="1"/>
        <v>-30</v>
      </c>
      <c r="L44" s="152"/>
      <c r="M44" s="154">
        <f t="shared" si="2"/>
        <v>0</v>
      </c>
    </row>
    <row r="45" spans="1:21">
      <c r="A45" s="50"/>
      <c r="B45" s="41" t="str">
        <f t="shared" si="6"/>
        <v/>
      </c>
      <c r="C45" s="42"/>
      <c r="D45" s="42"/>
      <c r="E45" s="42"/>
      <c r="F45" s="42"/>
      <c r="G45" s="138"/>
      <c r="H45" s="155">
        <v>40</v>
      </c>
      <c r="I45" s="156" t="str">
        <f t="shared" si="4"/>
        <v/>
      </c>
      <c r="J45" s="155">
        <f t="shared" si="5"/>
        <v>-3</v>
      </c>
      <c r="K45" s="155">
        <f t="shared" si="1"/>
        <v>-30</v>
      </c>
      <c r="L45" s="155"/>
      <c r="M45" s="157">
        <f t="shared" si="2"/>
        <v>0</v>
      </c>
    </row>
    <row r="46" spans="1:21">
      <c r="A46" s="51"/>
      <c r="B46" s="35" t="str">
        <f t="shared" si="6"/>
        <v/>
      </c>
      <c r="C46" s="36"/>
      <c r="D46" s="36"/>
      <c r="E46" s="36"/>
      <c r="F46" s="36"/>
      <c r="G46" s="138"/>
      <c r="H46" s="152">
        <v>41</v>
      </c>
      <c r="I46" s="153" t="str">
        <f t="shared" si="4"/>
        <v/>
      </c>
      <c r="J46" s="152">
        <f t="shared" si="5"/>
        <v>-3</v>
      </c>
      <c r="K46" s="152">
        <f t="shared" si="1"/>
        <v>-30</v>
      </c>
      <c r="L46" s="152"/>
      <c r="M46" s="154">
        <f t="shared" si="2"/>
        <v>0</v>
      </c>
      <c r="R46" s="138">
        <f>LOG($H$2,2)</f>
        <v>2.8073549220576042</v>
      </c>
      <c r="T46" s="143">
        <f>LOG(H38,2)</f>
        <v>5.0443941193584534</v>
      </c>
      <c r="U46" s="143">
        <f>R46-T46</f>
        <v>-2.2370391973008492</v>
      </c>
    </row>
    <row r="47" spans="1:21">
      <c r="A47" s="50"/>
      <c r="B47" s="41" t="str">
        <f t="shared" si="6"/>
        <v/>
      </c>
      <c r="C47" s="42"/>
      <c r="D47" s="42"/>
      <c r="E47" s="42"/>
      <c r="F47" s="42"/>
      <c r="G47" s="138"/>
      <c r="H47" s="155">
        <v>42</v>
      </c>
      <c r="I47" s="156" t="str">
        <f t="shared" si="4"/>
        <v/>
      </c>
      <c r="J47" s="155">
        <f t="shared" si="5"/>
        <v>-3</v>
      </c>
      <c r="K47" s="155">
        <f t="shared" si="1"/>
        <v>-30</v>
      </c>
      <c r="L47" s="155"/>
      <c r="M47" s="157">
        <f t="shared" si="2"/>
        <v>0</v>
      </c>
    </row>
    <row r="48" spans="1:21">
      <c r="A48" s="51"/>
      <c r="B48" s="35" t="str">
        <f t="shared" si="6"/>
        <v/>
      </c>
      <c r="C48" s="36"/>
      <c r="D48" s="36"/>
      <c r="E48" s="36"/>
      <c r="F48" s="36"/>
      <c r="G48" s="138"/>
      <c r="H48" s="152">
        <v>43</v>
      </c>
      <c r="I48" s="153" t="str">
        <f t="shared" si="4"/>
        <v/>
      </c>
      <c r="J48" s="152">
        <f t="shared" si="5"/>
        <v>-3</v>
      </c>
      <c r="K48" s="152">
        <f t="shared" si="1"/>
        <v>-30</v>
      </c>
      <c r="L48" s="152"/>
      <c r="M48" s="154">
        <f t="shared" si="2"/>
        <v>0</v>
      </c>
    </row>
    <row r="49" spans="1:13">
      <c r="A49" s="50"/>
      <c r="B49" s="41" t="str">
        <f t="shared" si="6"/>
        <v/>
      </c>
      <c r="C49" s="42"/>
      <c r="D49" s="42"/>
      <c r="E49" s="42"/>
      <c r="F49" s="42"/>
      <c r="G49" s="138"/>
      <c r="H49" s="155">
        <v>44</v>
      </c>
      <c r="I49" s="156" t="str">
        <f t="shared" si="4"/>
        <v/>
      </c>
      <c r="J49" s="155">
        <f t="shared" si="5"/>
        <v>-3</v>
      </c>
      <c r="K49" s="155">
        <f t="shared" si="1"/>
        <v>-30</v>
      </c>
      <c r="L49" s="155"/>
      <c r="M49" s="157">
        <f t="shared" si="2"/>
        <v>0</v>
      </c>
    </row>
    <row r="50" spans="1:13">
      <c r="A50" s="51"/>
      <c r="B50" s="35" t="str">
        <f t="shared" si="6"/>
        <v/>
      </c>
      <c r="C50" s="36"/>
      <c r="D50" s="36"/>
      <c r="E50" s="36"/>
      <c r="F50" s="36"/>
      <c r="G50" s="138"/>
      <c r="H50" s="152">
        <v>45</v>
      </c>
      <c r="I50" s="153" t="str">
        <f t="shared" si="4"/>
        <v/>
      </c>
      <c r="J50" s="152">
        <f t="shared" si="5"/>
        <v>-3</v>
      </c>
      <c r="K50" s="152">
        <f t="shared" si="1"/>
        <v>-30</v>
      </c>
      <c r="L50" s="152"/>
      <c r="M50" s="154">
        <f t="shared" si="2"/>
        <v>0</v>
      </c>
    </row>
    <row r="51" spans="1:13">
      <c r="A51" s="50"/>
      <c r="B51" s="41" t="str">
        <f t="shared" si="6"/>
        <v/>
      </c>
      <c r="C51" s="42"/>
      <c r="D51" s="42"/>
      <c r="E51" s="42"/>
      <c r="F51" s="42"/>
      <c r="G51" s="138"/>
      <c r="H51" s="155">
        <v>46</v>
      </c>
      <c r="I51" s="156" t="str">
        <f t="shared" si="4"/>
        <v/>
      </c>
      <c r="J51" s="155">
        <f t="shared" si="5"/>
        <v>-3</v>
      </c>
      <c r="K51" s="155">
        <f t="shared" si="1"/>
        <v>-30</v>
      </c>
      <c r="L51" s="155"/>
      <c r="M51" s="157">
        <f t="shared" si="2"/>
        <v>0</v>
      </c>
    </row>
    <row r="52" spans="1:13">
      <c r="A52" s="51"/>
      <c r="B52" s="35" t="str">
        <f t="shared" si="6"/>
        <v/>
      </c>
      <c r="C52" s="36"/>
      <c r="D52" s="36"/>
      <c r="E52" s="36"/>
      <c r="F52" s="36"/>
      <c r="G52" s="138"/>
      <c r="H52" s="152">
        <v>47</v>
      </c>
      <c r="I52" s="153" t="str">
        <f t="shared" si="4"/>
        <v/>
      </c>
      <c r="J52" s="152">
        <f t="shared" si="5"/>
        <v>-3</v>
      </c>
      <c r="K52" s="152">
        <f t="shared" si="1"/>
        <v>-30</v>
      </c>
      <c r="L52" s="152"/>
      <c r="M52" s="154">
        <f t="shared" si="2"/>
        <v>0</v>
      </c>
    </row>
    <row r="53" spans="1:13">
      <c r="A53" s="50"/>
      <c r="B53" s="41" t="str">
        <f t="shared" si="6"/>
        <v/>
      </c>
      <c r="C53" s="42"/>
      <c r="D53" s="42"/>
      <c r="E53" s="42"/>
      <c r="F53" s="42"/>
      <c r="G53" s="138"/>
      <c r="H53" s="155">
        <v>48</v>
      </c>
      <c r="I53" s="156" t="str">
        <f t="shared" si="4"/>
        <v/>
      </c>
      <c r="J53" s="155">
        <f t="shared" si="5"/>
        <v>-3</v>
      </c>
      <c r="K53" s="155">
        <f t="shared" si="1"/>
        <v>-30</v>
      </c>
      <c r="L53" s="155"/>
      <c r="M53" s="157">
        <f t="shared" si="2"/>
        <v>0</v>
      </c>
    </row>
    <row r="54" spans="1:13">
      <c r="A54" s="51"/>
      <c r="B54" s="35" t="str">
        <f t="shared" si="6"/>
        <v/>
      </c>
      <c r="C54" s="36"/>
      <c r="D54" s="36"/>
      <c r="E54" s="36"/>
      <c r="F54" s="36"/>
      <c r="G54" s="138"/>
      <c r="H54" s="152">
        <v>49</v>
      </c>
      <c r="I54" s="153" t="str">
        <f t="shared" si="4"/>
        <v/>
      </c>
      <c r="J54" s="152">
        <f t="shared" si="5"/>
        <v>-3</v>
      </c>
      <c r="K54" s="152">
        <f t="shared" si="1"/>
        <v>-30</v>
      </c>
      <c r="L54" s="152"/>
      <c r="M54" s="154">
        <f t="shared" si="2"/>
        <v>0</v>
      </c>
    </row>
    <row r="55" spans="1:13">
      <c r="A55" s="50"/>
      <c r="B55" s="41" t="str">
        <f t="shared" si="6"/>
        <v/>
      </c>
      <c r="C55" s="42"/>
      <c r="D55" s="42"/>
      <c r="E55" s="42"/>
      <c r="F55" s="42"/>
      <c r="G55" s="138"/>
      <c r="H55" s="155">
        <v>50</v>
      </c>
      <c r="I55" s="156" t="str">
        <f t="shared" si="4"/>
        <v/>
      </c>
      <c r="J55" s="155">
        <f t="shared" si="5"/>
        <v>-3</v>
      </c>
      <c r="K55" s="155">
        <f t="shared" si="1"/>
        <v>-30</v>
      </c>
      <c r="L55" s="155"/>
      <c r="M55" s="157">
        <f t="shared" si="2"/>
        <v>0</v>
      </c>
    </row>
    <row r="56" spans="1:13">
      <c r="A56" s="51"/>
      <c r="B56" s="35" t="str">
        <f t="shared" si="6"/>
        <v/>
      </c>
      <c r="C56" s="36"/>
      <c r="D56" s="36"/>
      <c r="E56" s="36"/>
      <c r="F56" s="36"/>
      <c r="G56" s="138"/>
      <c r="H56" s="152">
        <v>51</v>
      </c>
      <c r="I56" s="153" t="str">
        <f t="shared" si="4"/>
        <v/>
      </c>
      <c r="J56" s="152">
        <f t="shared" si="5"/>
        <v>-3</v>
      </c>
      <c r="K56" s="152">
        <f t="shared" si="1"/>
        <v>-30</v>
      </c>
      <c r="L56" s="152"/>
      <c r="M56" s="154">
        <f t="shared" si="2"/>
        <v>0</v>
      </c>
    </row>
    <row r="57" spans="1:13">
      <c r="A57" s="50"/>
      <c r="B57" s="41" t="str">
        <f t="shared" si="6"/>
        <v/>
      </c>
      <c r="C57" s="42"/>
      <c r="D57" s="42"/>
      <c r="E57" s="42"/>
      <c r="F57" s="42"/>
      <c r="G57" s="138"/>
      <c r="H57" s="155">
        <v>52</v>
      </c>
      <c r="I57" s="156" t="str">
        <f t="shared" si="4"/>
        <v/>
      </c>
      <c r="J57" s="155">
        <f t="shared" si="5"/>
        <v>-3</v>
      </c>
      <c r="K57" s="155">
        <f t="shared" si="1"/>
        <v>-30</v>
      </c>
      <c r="L57" s="155"/>
      <c r="M57" s="157">
        <f t="shared" si="2"/>
        <v>0</v>
      </c>
    </row>
    <row r="58" spans="1:13">
      <c r="A58" s="51"/>
      <c r="B58" s="35" t="str">
        <f t="shared" si="6"/>
        <v/>
      </c>
      <c r="C58" s="36"/>
      <c r="D58" s="36"/>
      <c r="E58" s="36"/>
      <c r="F58" s="36"/>
      <c r="G58" s="138"/>
      <c r="H58" s="152">
        <v>53</v>
      </c>
      <c r="I58" s="153" t="str">
        <f t="shared" si="4"/>
        <v/>
      </c>
      <c r="J58" s="152">
        <f t="shared" si="5"/>
        <v>-3</v>
      </c>
      <c r="K58" s="152">
        <f t="shared" si="1"/>
        <v>-30</v>
      </c>
      <c r="L58" s="152"/>
      <c r="M58" s="154">
        <f t="shared" si="2"/>
        <v>0</v>
      </c>
    </row>
    <row r="59" spans="1:13">
      <c r="A59" s="50"/>
      <c r="B59" s="41" t="str">
        <f t="shared" si="6"/>
        <v/>
      </c>
      <c r="C59" s="42"/>
      <c r="D59" s="42"/>
      <c r="E59" s="42"/>
      <c r="F59" s="42"/>
      <c r="G59" s="138"/>
      <c r="H59" s="155">
        <v>54</v>
      </c>
      <c r="I59" s="156" t="str">
        <f t="shared" si="4"/>
        <v/>
      </c>
      <c r="J59" s="155">
        <f t="shared" si="5"/>
        <v>-3</v>
      </c>
      <c r="K59" s="155">
        <f t="shared" si="1"/>
        <v>-30</v>
      </c>
      <c r="L59" s="155"/>
      <c r="M59" s="157">
        <f t="shared" si="2"/>
        <v>0</v>
      </c>
    </row>
    <row r="60" spans="1:13">
      <c r="A60" s="51"/>
      <c r="B60" s="35" t="str">
        <f t="shared" si="6"/>
        <v/>
      </c>
      <c r="C60" s="36"/>
      <c r="D60" s="36"/>
      <c r="E60" s="36"/>
      <c r="F60" s="36"/>
      <c r="G60" s="138"/>
      <c r="H60" s="152">
        <v>55</v>
      </c>
      <c r="I60" s="153" t="str">
        <f t="shared" si="4"/>
        <v/>
      </c>
      <c r="J60" s="152">
        <f t="shared" si="5"/>
        <v>-3</v>
      </c>
      <c r="K60" s="152">
        <f t="shared" si="1"/>
        <v>-30</v>
      </c>
      <c r="L60" s="152"/>
      <c r="M60" s="154">
        <f t="shared" si="2"/>
        <v>0</v>
      </c>
    </row>
    <row r="61" spans="1:13">
      <c r="A61" s="50"/>
      <c r="B61" s="41" t="str">
        <f t="shared" si="6"/>
        <v/>
      </c>
      <c r="C61" s="42"/>
      <c r="D61" s="42"/>
      <c r="E61" s="42"/>
      <c r="F61" s="42"/>
      <c r="G61" s="138"/>
      <c r="H61" s="155">
        <v>56</v>
      </c>
      <c r="I61" s="156" t="str">
        <f t="shared" si="4"/>
        <v/>
      </c>
      <c r="J61" s="155">
        <f t="shared" si="5"/>
        <v>-3</v>
      </c>
      <c r="K61" s="155">
        <f t="shared" si="1"/>
        <v>-30</v>
      </c>
      <c r="L61" s="155"/>
      <c r="M61" s="157">
        <f t="shared" si="2"/>
        <v>0</v>
      </c>
    </row>
    <row r="62" spans="1:13">
      <c r="A62" s="51"/>
      <c r="B62" s="35" t="str">
        <f t="shared" si="6"/>
        <v/>
      </c>
      <c r="C62" s="36"/>
      <c r="D62" s="36"/>
      <c r="E62" s="36"/>
      <c r="F62" s="36"/>
      <c r="G62" s="138"/>
      <c r="H62" s="152">
        <v>57</v>
      </c>
      <c r="I62" s="153" t="str">
        <f t="shared" si="4"/>
        <v/>
      </c>
      <c r="J62" s="152">
        <f t="shared" si="5"/>
        <v>-3</v>
      </c>
      <c r="K62" s="152">
        <f t="shared" si="1"/>
        <v>-30</v>
      </c>
      <c r="L62" s="152"/>
      <c r="M62" s="154">
        <f t="shared" si="2"/>
        <v>0</v>
      </c>
    </row>
    <row r="63" spans="1:13">
      <c r="A63" s="50"/>
      <c r="B63" s="41" t="str">
        <f t="shared" si="6"/>
        <v/>
      </c>
      <c r="C63" s="42"/>
      <c r="D63" s="42"/>
      <c r="E63" s="42"/>
      <c r="F63" s="42"/>
      <c r="G63" s="138"/>
      <c r="H63" s="155">
        <v>58</v>
      </c>
      <c r="I63" s="156" t="str">
        <f t="shared" si="4"/>
        <v/>
      </c>
      <c r="J63" s="155">
        <f t="shared" si="5"/>
        <v>-3</v>
      </c>
      <c r="K63" s="155">
        <f t="shared" si="1"/>
        <v>-30</v>
      </c>
      <c r="L63" s="155"/>
      <c r="M63" s="157">
        <f t="shared" si="2"/>
        <v>0</v>
      </c>
    </row>
    <row r="64" spans="1:13">
      <c r="A64" s="51"/>
      <c r="B64" s="35" t="str">
        <f t="shared" si="6"/>
        <v/>
      </c>
      <c r="C64" s="36"/>
      <c r="D64" s="36"/>
      <c r="E64" s="36"/>
      <c r="F64" s="36"/>
      <c r="G64" s="138"/>
      <c r="H64" s="152">
        <v>59</v>
      </c>
      <c r="I64" s="153" t="str">
        <f t="shared" si="4"/>
        <v/>
      </c>
      <c r="J64" s="152">
        <f t="shared" si="5"/>
        <v>-3</v>
      </c>
      <c r="K64" s="152">
        <f t="shared" si="1"/>
        <v>-30</v>
      </c>
      <c r="L64" s="152"/>
      <c r="M64" s="154">
        <f t="shared" si="2"/>
        <v>0</v>
      </c>
    </row>
    <row r="65" spans="1:13">
      <c r="A65" s="50"/>
      <c r="B65" s="41" t="str">
        <f t="shared" si="6"/>
        <v/>
      </c>
      <c r="C65" s="42"/>
      <c r="D65" s="42"/>
      <c r="E65" s="42"/>
      <c r="F65" s="42"/>
      <c r="G65" s="138"/>
      <c r="H65" s="155">
        <v>60</v>
      </c>
      <c r="I65" s="156" t="str">
        <f t="shared" si="4"/>
        <v/>
      </c>
      <c r="J65" s="155">
        <f t="shared" si="5"/>
        <v>-3</v>
      </c>
      <c r="K65" s="155">
        <f t="shared" si="1"/>
        <v>-30</v>
      </c>
      <c r="L65" s="155"/>
      <c r="M65" s="157">
        <f t="shared" si="2"/>
        <v>0</v>
      </c>
    </row>
    <row r="66" spans="1:13">
      <c r="A66" s="168"/>
      <c r="B66" s="35"/>
      <c r="G66" s="138"/>
      <c r="H66" s="152">
        <v>61</v>
      </c>
      <c r="I66" s="153" t="str">
        <f t="shared" si="4"/>
        <v/>
      </c>
      <c r="J66" s="152">
        <f t="shared" si="5"/>
        <v>-3</v>
      </c>
      <c r="K66" s="152">
        <f t="shared" si="1"/>
        <v>-30</v>
      </c>
      <c r="L66" s="152"/>
      <c r="M66" s="154">
        <f t="shared" si="2"/>
        <v>0</v>
      </c>
    </row>
    <row r="67" spans="1:13">
      <c r="A67" s="168"/>
      <c r="B67" s="41"/>
      <c r="G67" s="138"/>
      <c r="H67" s="152">
        <v>62</v>
      </c>
      <c r="I67" s="153" t="str">
        <f t="shared" si="4"/>
        <v/>
      </c>
      <c r="J67" s="152">
        <f t="shared" si="5"/>
        <v>-3</v>
      </c>
      <c r="K67" s="152">
        <f t="shared" si="1"/>
        <v>-30</v>
      </c>
      <c r="L67" s="152"/>
      <c r="M67" s="154">
        <f t="shared" si="2"/>
        <v>0</v>
      </c>
    </row>
    <row r="68" spans="1:13">
      <c r="A68" s="168"/>
      <c r="B68" s="35"/>
      <c r="G68" s="138"/>
      <c r="H68" s="152">
        <v>63</v>
      </c>
      <c r="I68" s="153" t="str">
        <f t="shared" si="4"/>
        <v/>
      </c>
      <c r="J68" s="152">
        <f t="shared" si="5"/>
        <v>-3</v>
      </c>
      <c r="K68" s="152">
        <f t="shared" si="1"/>
        <v>-30</v>
      </c>
      <c r="L68" s="152"/>
      <c r="M68" s="154">
        <f t="shared" si="2"/>
        <v>0</v>
      </c>
    </row>
    <row r="69" spans="1:13">
      <c r="A69" s="168"/>
      <c r="B69" s="41"/>
      <c r="G69" s="138"/>
      <c r="H69" s="152">
        <v>64</v>
      </c>
      <c r="I69" s="153" t="str">
        <f t="shared" si="4"/>
        <v/>
      </c>
      <c r="J69" s="152">
        <f t="shared" si="5"/>
        <v>-3</v>
      </c>
      <c r="K69" s="152">
        <f t="shared" si="1"/>
        <v>-30</v>
      </c>
      <c r="L69" s="152"/>
      <c r="M69" s="154">
        <f t="shared" si="2"/>
        <v>0</v>
      </c>
    </row>
    <row r="70" spans="1:13">
      <c r="A70" s="168"/>
      <c r="G70" s="138"/>
      <c r="H70" s="152">
        <v>65</v>
      </c>
      <c r="I70" s="153" t="str">
        <f t="shared" si="4"/>
        <v/>
      </c>
      <c r="J70" s="152">
        <f t="shared" si="5"/>
        <v>-4</v>
      </c>
      <c r="K70" s="152">
        <f t="shared" ref="K70:K133" si="7">J70*$J$2</f>
        <v>-40</v>
      </c>
      <c r="L70" s="152"/>
      <c r="M70" s="154">
        <f t="shared" ref="M70:M133" si="8">IF(I70&lt;&gt;"",K70+I70+L70,0)</f>
        <v>0</v>
      </c>
    </row>
    <row r="71" spans="1:13">
      <c r="A71" s="168"/>
      <c r="G71" s="138"/>
      <c r="H71" s="152">
        <v>66</v>
      </c>
      <c r="I71" s="153" t="str">
        <f t="shared" ref="I71:I134" si="9">IF(H71&lt;$H$2+1,($I$2-($I$2-1)*(LOG(H71)/LOG($H$2))),"")</f>
        <v/>
      </c>
      <c r="J71" s="152">
        <f t="shared" ref="J71:J134" si="10">INT(LOG($H$2,2))-ROUNDUP(LOG(H71,2),0)+IF(OR($H$2=1,$H$2=2,$H$2=4,$H$2=8,$H$2=16,$H$2=32,$H$2=64,$H$2=128,$H$2=256),0,1)</f>
        <v>-4</v>
      </c>
      <c r="K71" s="152">
        <f t="shared" si="7"/>
        <v>-40</v>
      </c>
      <c r="L71" s="152"/>
      <c r="M71" s="154">
        <f t="shared" si="8"/>
        <v>0</v>
      </c>
    </row>
    <row r="72" spans="1:13">
      <c r="A72" s="168"/>
      <c r="G72" s="138"/>
      <c r="H72" s="152">
        <v>67</v>
      </c>
      <c r="I72" s="153" t="str">
        <f t="shared" si="9"/>
        <v/>
      </c>
      <c r="J72" s="152">
        <f t="shared" si="10"/>
        <v>-4</v>
      </c>
      <c r="K72" s="152">
        <f t="shared" si="7"/>
        <v>-40</v>
      </c>
      <c r="L72" s="152"/>
      <c r="M72" s="154">
        <f t="shared" si="8"/>
        <v>0</v>
      </c>
    </row>
    <row r="73" spans="1:13">
      <c r="A73" s="168"/>
      <c r="G73" s="138"/>
      <c r="H73" s="152">
        <v>68</v>
      </c>
      <c r="I73" s="153" t="str">
        <f t="shared" si="9"/>
        <v/>
      </c>
      <c r="J73" s="152">
        <f t="shared" si="10"/>
        <v>-4</v>
      </c>
      <c r="K73" s="152">
        <f t="shared" si="7"/>
        <v>-40</v>
      </c>
      <c r="L73" s="152"/>
      <c r="M73" s="154">
        <f t="shared" si="8"/>
        <v>0</v>
      </c>
    </row>
    <row r="74" spans="1:13">
      <c r="A74" s="168"/>
      <c r="G74" s="138"/>
      <c r="H74" s="152">
        <v>69</v>
      </c>
      <c r="I74" s="153" t="str">
        <f t="shared" si="9"/>
        <v/>
      </c>
      <c r="J74" s="152">
        <f t="shared" si="10"/>
        <v>-4</v>
      </c>
      <c r="K74" s="152">
        <f t="shared" si="7"/>
        <v>-40</v>
      </c>
      <c r="L74" s="152"/>
      <c r="M74" s="154">
        <f t="shared" si="8"/>
        <v>0</v>
      </c>
    </row>
    <row r="75" spans="1:13">
      <c r="A75" s="168"/>
      <c r="G75" s="138"/>
      <c r="H75" s="152">
        <v>70</v>
      </c>
      <c r="I75" s="153" t="str">
        <f t="shared" si="9"/>
        <v/>
      </c>
      <c r="J75" s="152">
        <f t="shared" si="10"/>
        <v>-4</v>
      </c>
      <c r="K75" s="152">
        <f t="shared" si="7"/>
        <v>-40</v>
      </c>
      <c r="L75" s="152"/>
      <c r="M75" s="154">
        <f t="shared" si="8"/>
        <v>0</v>
      </c>
    </row>
    <row r="76" spans="1:13">
      <c r="A76" s="168"/>
      <c r="G76" s="138"/>
      <c r="H76" s="152">
        <v>71</v>
      </c>
      <c r="I76" s="153" t="str">
        <f t="shared" si="9"/>
        <v/>
      </c>
      <c r="J76" s="152">
        <f t="shared" si="10"/>
        <v>-4</v>
      </c>
      <c r="K76" s="152">
        <f t="shared" si="7"/>
        <v>-40</v>
      </c>
      <c r="L76" s="152"/>
      <c r="M76" s="154">
        <f t="shared" si="8"/>
        <v>0</v>
      </c>
    </row>
    <row r="77" spans="1:13">
      <c r="A77" s="168"/>
      <c r="G77" s="138"/>
      <c r="H77" s="152">
        <v>72</v>
      </c>
      <c r="I77" s="153" t="str">
        <f t="shared" si="9"/>
        <v/>
      </c>
      <c r="J77" s="152">
        <f t="shared" si="10"/>
        <v>-4</v>
      </c>
      <c r="K77" s="152">
        <f t="shared" si="7"/>
        <v>-40</v>
      </c>
      <c r="L77" s="152"/>
      <c r="M77" s="154">
        <f t="shared" si="8"/>
        <v>0</v>
      </c>
    </row>
    <row r="78" spans="1:13">
      <c r="A78" s="168"/>
      <c r="G78" s="138"/>
      <c r="H78" s="152">
        <v>73</v>
      </c>
      <c r="I78" s="153" t="str">
        <f t="shared" si="9"/>
        <v/>
      </c>
      <c r="J78" s="152">
        <f t="shared" si="10"/>
        <v>-4</v>
      </c>
      <c r="K78" s="152">
        <f t="shared" si="7"/>
        <v>-40</v>
      </c>
      <c r="L78" s="152"/>
      <c r="M78" s="154">
        <f t="shared" si="8"/>
        <v>0</v>
      </c>
    </row>
    <row r="79" spans="1:13">
      <c r="A79" s="168"/>
      <c r="G79" s="138"/>
      <c r="H79" s="152">
        <v>74</v>
      </c>
      <c r="I79" s="153" t="str">
        <f t="shared" si="9"/>
        <v/>
      </c>
      <c r="J79" s="152">
        <f t="shared" si="10"/>
        <v>-4</v>
      </c>
      <c r="K79" s="152">
        <f t="shared" si="7"/>
        <v>-40</v>
      </c>
      <c r="L79" s="152"/>
      <c r="M79" s="154">
        <f t="shared" si="8"/>
        <v>0</v>
      </c>
    </row>
    <row r="80" spans="1:13">
      <c r="A80" s="168"/>
      <c r="G80" s="138"/>
      <c r="H80" s="152">
        <v>75</v>
      </c>
      <c r="I80" s="153" t="str">
        <f t="shared" si="9"/>
        <v/>
      </c>
      <c r="J80" s="152">
        <f t="shared" si="10"/>
        <v>-4</v>
      </c>
      <c r="K80" s="152">
        <f t="shared" si="7"/>
        <v>-40</v>
      </c>
      <c r="L80" s="152"/>
      <c r="M80" s="154">
        <f t="shared" si="8"/>
        <v>0</v>
      </c>
    </row>
    <row r="81" spans="1:13">
      <c r="A81" s="168"/>
      <c r="G81" s="138"/>
      <c r="H81" s="152">
        <v>76</v>
      </c>
      <c r="I81" s="153" t="str">
        <f t="shared" si="9"/>
        <v/>
      </c>
      <c r="J81" s="152">
        <f t="shared" si="10"/>
        <v>-4</v>
      </c>
      <c r="K81" s="152">
        <f t="shared" si="7"/>
        <v>-40</v>
      </c>
      <c r="L81" s="152"/>
      <c r="M81" s="154">
        <f t="shared" si="8"/>
        <v>0</v>
      </c>
    </row>
    <row r="82" spans="1:13">
      <c r="A82" s="168"/>
      <c r="G82" s="138"/>
      <c r="H82" s="152">
        <v>77</v>
      </c>
      <c r="I82" s="153" t="str">
        <f t="shared" si="9"/>
        <v/>
      </c>
      <c r="J82" s="152">
        <f t="shared" si="10"/>
        <v>-4</v>
      </c>
      <c r="K82" s="152">
        <f t="shared" si="7"/>
        <v>-40</v>
      </c>
      <c r="L82" s="152"/>
      <c r="M82" s="154">
        <f t="shared" si="8"/>
        <v>0</v>
      </c>
    </row>
    <row r="83" spans="1:13">
      <c r="A83" s="168"/>
      <c r="G83" s="138"/>
      <c r="H83" s="152">
        <v>78</v>
      </c>
      <c r="I83" s="153" t="str">
        <f t="shared" si="9"/>
        <v/>
      </c>
      <c r="J83" s="152">
        <f t="shared" si="10"/>
        <v>-4</v>
      </c>
      <c r="K83" s="152">
        <f t="shared" si="7"/>
        <v>-40</v>
      </c>
      <c r="L83" s="152"/>
      <c r="M83" s="154">
        <f t="shared" si="8"/>
        <v>0</v>
      </c>
    </row>
    <row r="84" spans="1:13">
      <c r="A84" s="168"/>
      <c r="G84" s="138"/>
      <c r="H84" s="152">
        <v>79</v>
      </c>
      <c r="I84" s="153" t="str">
        <f t="shared" si="9"/>
        <v/>
      </c>
      <c r="J84" s="152">
        <f t="shared" si="10"/>
        <v>-4</v>
      </c>
      <c r="K84" s="152">
        <f t="shared" si="7"/>
        <v>-40</v>
      </c>
      <c r="L84" s="152"/>
      <c r="M84" s="154">
        <f t="shared" si="8"/>
        <v>0</v>
      </c>
    </row>
    <row r="85" spans="1:13">
      <c r="A85" s="168"/>
      <c r="G85" s="138"/>
      <c r="H85" s="152">
        <v>80</v>
      </c>
      <c r="I85" s="153" t="str">
        <f t="shared" si="9"/>
        <v/>
      </c>
      <c r="J85" s="152">
        <f t="shared" si="10"/>
        <v>-4</v>
      </c>
      <c r="K85" s="152">
        <f t="shared" si="7"/>
        <v>-40</v>
      </c>
      <c r="L85" s="152"/>
      <c r="M85" s="154">
        <f t="shared" si="8"/>
        <v>0</v>
      </c>
    </row>
    <row r="86" spans="1:13">
      <c r="A86" s="168"/>
      <c r="G86" s="138"/>
      <c r="H86" s="152">
        <v>81</v>
      </c>
      <c r="I86" s="153" t="str">
        <f t="shared" si="9"/>
        <v/>
      </c>
      <c r="J86" s="152">
        <f t="shared" si="10"/>
        <v>-4</v>
      </c>
      <c r="K86" s="152">
        <f t="shared" si="7"/>
        <v>-40</v>
      </c>
      <c r="L86" s="152"/>
      <c r="M86" s="154">
        <f t="shared" si="8"/>
        <v>0</v>
      </c>
    </row>
    <row r="87" spans="1:13">
      <c r="A87" s="168"/>
      <c r="G87" s="138"/>
      <c r="H87" s="152">
        <v>82</v>
      </c>
      <c r="I87" s="153" t="str">
        <f t="shared" si="9"/>
        <v/>
      </c>
      <c r="J87" s="152">
        <f t="shared" si="10"/>
        <v>-4</v>
      </c>
      <c r="K87" s="152">
        <f t="shared" si="7"/>
        <v>-40</v>
      </c>
      <c r="L87" s="152"/>
      <c r="M87" s="154">
        <f t="shared" si="8"/>
        <v>0</v>
      </c>
    </row>
    <row r="88" spans="1:13">
      <c r="A88" s="168"/>
      <c r="G88" s="138"/>
      <c r="H88" s="152">
        <v>83</v>
      </c>
      <c r="I88" s="153" t="str">
        <f t="shared" si="9"/>
        <v/>
      </c>
      <c r="J88" s="152">
        <f t="shared" si="10"/>
        <v>-4</v>
      </c>
      <c r="K88" s="152">
        <f t="shared" si="7"/>
        <v>-40</v>
      </c>
      <c r="L88" s="152"/>
      <c r="M88" s="154">
        <f t="shared" si="8"/>
        <v>0</v>
      </c>
    </row>
    <row r="89" spans="1:13">
      <c r="A89" s="168"/>
      <c r="G89" s="138"/>
      <c r="H89" s="152">
        <v>84</v>
      </c>
      <c r="I89" s="153" t="str">
        <f t="shared" si="9"/>
        <v/>
      </c>
      <c r="J89" s="152">
        <f t="shared" si="10"/>
        <v>-4</v>
      </c>
      <c r="K89" s="152">
        <f t="shared" si="7"/>
        <v>-40</v>
      </c>
      <c r="L89" s="152"/>
      <c r="M89" s="154">
        <f t="shared" si="8"/>
        <v>0</v>
      </c>
    </row>
    <row r="90" spans="1:13">
      <c r="A90" s="168"/>
      <c r="G90" s="138"/>
      <c r="H90" s="152">
        <v>85</v>
      </c>
      <c r="I90" s="153" t="str">
        <f t="shared" si="9"/>
        <v/>
      </c>
      <c r="J90" s="152">
        <f t="shared" si="10"/>
        <v>-4</v>
      </c>
      <c r="K90" s="152">
        <f t="shared" si="7"/>
        <v>-40</v>
      </c>
      <c r="L90" s="152"/>
      <c r="M90" s="154">
        <f t="shared" si="8"/>
        <v>0</v>
      </c>
    </row>
    <row r="91" spans="1:13">
      <c r="A91" s="168"/>
      <c r="G91" s="138"/>
      <c r="H91" s="152">
        <v>86</v>
      </c>
      <c r="I91" s="153" t="str">
        <f t="shared" si="9"/>
        <v/>
      </c>
      <c r="J91" s="152">
        <f t="shared" si="10"/>
        <v>-4</v>
      </c>
      <c r="K91" s="152">
        <f t="shared" si="7"/>
        <v>-40</v>
      </c>
      <c r="L91" s="152"/>
      <c r="M91" s="154">
        <f t="shared" si="8"/>
        <v>0</v>
      </c>
    </row>
    <row r="92" spans="1:13">
      <c r="A92" s="168"/>
      <c r="G92" s="138"/>
      <c r="H92" s="152">
        <v>87</v>
      </c>
      <c r="I92" s="153" t="str">
        <f t="shared" si="9"/>
        <v/>
      </c>
      <c r="J92" s="152">
        <f t="shared" si="10"/>
        <v>-4</v>
      </c>
      <c r="K92" s="152">
        <f t="shared" si="7"/>
        <v>-40</v>
      </c>
      <c r="L92" s="152"/>
      <c r="M92" s="154">
        <f t="shared" si="8"/>
        <v>0</v>
      </c>
    </row>
    <row r="93" spans="1:13">
      <c r="A93" s="168"/>
      <c r="G93" s="138"/>
      <c r="H93" s="152">
        <v>88</v>
      </c>
      <c r="I93" s="153" t="str">
        <f t="shared" si="9"/>
        <v/>
      </c>
      <c r="J93" s="152">
        <f t="shared" si="10"/>
        <v>-4</v>
      </c>
      <c r="K93" s="152">
        <f t="shared" si="7"/>
        <v>-40</v>
      </c>
      <c r="L93" s="152"/>
      <c r="M93" s="154">
        <f t="shared" si="8"/>
        <v>0</v>
      </c>
    </row>
    <row r="94" spans="1:13">
      <c r="A94" s="168"/>
      <c r="G94" s="138"/>
      <c r="H94" s="152">
        <v>89</v>
      </c>
      <c r="I94" s="153" t="str">
        <f t="shared" si="9"/>
        <v/>
      </c>
      <c r="J94" s="152">
        <f t="shared" si="10"/>
        <v>-4</v>
      </c>
      <c r="K94" s="152">
        <f t="shared" si="7"/>
        <v>-40</v>
      </c>
      <c r="L94" s="152"/>
      <c r="M94" s="154">
        <f t="shared" si="8"/>
        <v>0</v>
      </c>
    </row>
    <row r="95" spans="1:13">
      <c r="A95" s="168"/>
      <c r="G95" s="138"/>
      <c r="H95" s="152">
        <v>90</v>
      </c>
      <c r="I95" s="153" t="str">
        <f t="shared" si="9"/>
        <v/>
      </c>
      <c r="J95" s="152">
        <f t="shared" si="10"/>
        <v>-4</v>
      </c>
      <c r="K95" s="152">
        <f t="shared" si="7"/>
        <v>-40</v>
      </c>
      <c r="L95" s="152"/>
      <c r="M95" s="154">
        <f t="shared" si="8"/>
        <v>0</v>
      </c>
    </row>
    <row r="96" spans="1:13">
      <c r="A96" s="168"/>
      <c r="G96" s="138"/>
      <c r="H96" s="152">
        <v>91</v>
      </c>
      <c r="I96" s="153" t="str">
        <f t="shared" si="9"/>
        <v/>
      </c>
      <c r="J96" s="152">
        <f t="shared" si="10"/>
        <v>-4</v>
      </c>
      <c r="K96" s="152">
        <f t="shared" si="7"/>
        <v>-40</v>
      </c>
      <c r="L96" s="152"/>
      <c r="M96" s="154">
        <f t="shared" si="8"/>
        <v>0</v>
      </c>
    </row>
    <row r="97" spans="1:13">
      <c r="A97" s="168"/>
      <c r="G97" s="138"/>
      <c r="H97" s="152">
        <v>92</v>
      </c>
      <c r="I97" s="153" t="str">
        <f t="shared" si="9"/>
        <v/>
      </c>
      <c r="J97" s="152">
        <f t="shared" si="10"/>
        <v>-4</v>
      </c>
      <c r="K97" s="152">
        <f t="shared" si="7"/>
        <v>-40</v>
      </c>
      <c r="L97" s="152"/>
      <c r="M97" s="154">
        <f t="shared" si="8"/>
        <v>0</v>
      </c>
    </row>
    <row r="98" spans="1:13">
      <c r="A98" s="168"/>
      <c r="G98" s="138"/>
      <c r="H98" s="152">
        <v>93</v>
      </c>
      <c r="I98" s="153" t="str">
        <f t="shared" si="9"/>
        <v/>
      </c>
      <c r="J98" s="152">
        <f t="shared" si="10"/>
        <v>-4</v>
      </c>
      <c r="K98" s="152">
        <f t="shared" si="7"/>
        <v>-40</v>
      </c>
      <c r="L98" s="152"/>
      <c r="M98" s="154">
        <f t="shared" si="8"/>
        <v>0</v>
      </c>
    </row>
    <row r="99" spans="1:13">
      <c r="A99" s="168"/>
      <c r="G99" s="138"/>
      <c r="H99" s="152">
        <v>94</v>
      </c>
      <c r="I99" s="153" t="str">
        <f t="shared" si="9"/>
        <v/>
      </c>
      <c r="J99" s="152">
        <f t="shared" si="10"/>
        <v>-4</v>
      </c>
      <c r="K99" s="152">
        <f t="shared" si="7"/>
        <v>-40</v>
      </c>
      <c r="L99" s="152"/>
      <c r="M99" s="154">
        <f t="shared" si="8"/>
        <v>0</v>
      </c>
    </row>
    <row r="100" spans="1:13">
      <c r="A100" s="168"/>
      <c r="G100" s="138"/>
      <c r="H100" s="152">
        <v>95</v>
      </c>
      <c r="I100" s="153" t="str">
        <f t="shared" si="9"/>
        <v/>
      </c>
      <c r="J100" s="152">
        <f t="shared" si="10"/>
        <v>-4</v>
      </c>
      <c r="K100" s="152">
        <f t="shared" si="7"/>
        <v>-40</v>
      </c>
      <c r="L100" s="152"/>
      <c r="M100" s="154">
        <f t="shared" si="8"/>
        <v>0</v>
      </c>
    </row>
    <row r="101" spans="1:13">
      <c r="A101" s="168"/>
      <c r="G101" s="138"/>
      <c r="H101" s="152">
        <v>96</v>
      </c>
      <c r="I101" s="153" t="str">
        <f t="shared" si="9"/>
        <v/>
      </c>
      <c r="J101" s="152">
        <f t="shared" si="10"/>
        <v>-4</v>
      </c>
      <c r="K101" s="152">
        <f t="shared" si="7"/>
        <v>-40</v>
      </c>
      <c r="L101" s="152"/>
      <c r="M101" s="154">
        <f t="shared" si="8"/>
        <v>0</v>
      </c>
    </row>
    <row r="102" spans="1:13">
      <c r="A102" s="168"/>
      <c r="G102" s="138"/>
      <c r="H102" s="152">
        <v>97</v>
      </c>
      <c r="I102" s="153" t="str">
        <f t="shared" si="9"/>
        <v/>
      </c>
      <c r="J102" s="152">
        <f t="shared" si="10"/>
        <v>-4</v>
      </c>
      <c r="K102" s="152">
        <f t="shared" si="7"/>
        <v>-40</v>
      </c>
      <c r="L102" s="152"/>
      <c r="M102" s="154">
        <f t="shared" si="8"/>
        <v>0</v>
      </c>
    </row>
    <row r="103" spans="1:13">
      <c r="A103" s="168"/>
      <c r="G103" s="138"/>
      <c r="H103" s="152">
        <v>98</v>
      </c>
      <c r="I103" s="153" t="str">
        <f t="shared" si="9"/>
        <v/>
      </c>
      <c r="J103" s="152">
        <f t="shared" si="10"/>
        <v>-4</v>
      </c>
      <c r="K103" s="152">
        <f t="shared" si="7"/>
        <v>-40</v>
      </c>
      <c r="L103" s="152"/>
      <c r="M103" s="154">
        <f t="shared" si="8"/>
        <v>0</v>
      </c>
    </row>
    <row r="104" spans="1:13">
      <c r="A104" s="168"/>
      <c r="G104" s="138"/>
      <c r="H104" s="152">
        <v>99</v>
      </c>
      <c r="I104" s="153" t="str">
        <f t="shared" si="9"/>
        <v/>
      </c>
      <c r="J104" s="152">
        <f t="shared" si="10"/>
        <v>-4</v>
      </c>
      <c r="K104" s="152">
        <f t="shared" si="7"/>
        <v>-40</v>
      </c>
      <c r="L104" s="152"/>
      <c r="M104" s="154">
        <f t="shared" si="8"/>
        <v>0</v>
      </c>
    </row>
    <row r="105" spans="1:13">
      <c r="A105" s="168"/>
      <c r="G105" s="138"/>
      <c r="H105" s="152">
        <v>100</v>
      </c>
      <c r="I105" s="153" t="str">
        <f t="shared" si="9"/>
        <v/>
      </c>
      <c r="J105" s="152">
        <f t="shared" si="10"/>
        <v>-4</v>
      </c>
      <c r="K105" s="152">
        <f t="shared" si="7"/>
        <v>-40</v>
      </c>
      <c r="L105" s="152"/>
      <c r="M105" s="154">
        <f t="shared" si="8"/>
        <v>0</v>
      </c>
    </row>
    <row r="106" spans="1:13">
      <c r="A106" s="168"/>
      <c r="G106" s="138"/>
      <c r="H106" s="152">
        <v>101</v>
      </c>
      <c r="I106" s="153" t="str">
        <f t="shared" si="9"/>
        <v/>
      </c>
      <c r="J106" s="152">
        <f t="shared" si="10"/>
        <v>-4</v>
      </c>
      <c r="K106" s="152">
        <f t="shared" si="7"/>
        <v>-40</v>
      </c>
      <c r="L106" s="152"/>
      <c r="M106" s="154">
        <f t="shared" si="8"/>
        <v>0</v>
      </c>
    </row>
    <row r="107" spans="1:13">
      <c r="A107" s="168"/>
      <c r="G107" s="138"/>
      <c r="H107" s="152">
        <v>102</v>
      </c>
      <c r="I107" s="153" t="str">
        <f t="shared" si="9"/>
        <v/>
      </c>
      <c r="J107" s="152">
        <f t="shared" si="10"/>
        <v>-4</v>
      </c>
      <c r="K107" s="152">
        <f t="shared" si="7"/>
        <v>-40</v>
      </c>
      <c r="L107" s="152"/>
      <c r="M107" s="154">
        <f t="shared" si="8"/>
        <v>0</v>
      </c>
    </row>
    <row r="108" spans="1:13">
      <c r="A108" s="168"/>
      <c r="G108" s="138"/>
      <c r="H108" s="152">
        <v>103</v>
      </c>
      <c r="I108" s="153" t="str">
        <f t="shared" si="9"/>
        <v/>
      </c>
      <c r="J108" s="152">
        <f t="shared" si="10"/>
        <v>-4</v>
      </c>
      <c r="K108" s="152">
        <f t="shared" si="7"/>
        <v>-40</v>
      </c>
      <c r="L108" s="152"/>
      <c r="M108" s="154">
        <f t="shared" si="8"/>
        <v>0</v>
      </c>
    </row>
    <row r="109" spans="1:13">
      <c r="A109" s="168"/>
      <c r="G109" s="138"/>
      <c r="H109" s="152">
        <v>104</v>
      </c>
      <c r="I109" s="153" t="str">
        <f t="shared" si="9"/>
        <v/>
      </c>
      <c r="J109" s="152">
        <f t="shared" si="10"/>
        <v>-4</v>
      </c>
      <c r="K109" s="152">
        <f t="shared" si="7"/>
        <v>-40</v>
      </c>
      <c r="L109" s="152"/>
      <c r="M109" s="154">
        <f t="shared" si="8"/>
        <v>0</v>
      </c>
    </row>
    <row r="110" spans="1:13">
      <c r="A110" s="168"/>
      <c r="G110" s="138"/>
      <c r="H110" s="152">
        <v>105</v>
      </c>
      <c r="I110" s="153" t="str">
        <f t="shared" si="9"/>
        <v/>
      </c>
      <c r="J110" s="152">
        <f t="shared" si="10"/>
        <v>-4</v>
      </c>
      <c r="K110" s="152">
        <f t="shared" si="7"/>
        <v>-40</v>
      </c>
      <c r="L110" s="152"/>
      <c r="M110" s="154">
        <f t="shared" si="8"/>
        <v>0</v>
      </c>
    </row>
    <row r="111" spans="1:13">
      <c r="A111" s="168"/>
      <c r="G111" s="138"/>
      <c r="H111" s="152">
        <v>106</v>
      </c>
      <c r="I111" s="153" t="str">
        <f t="shared" si="9"/>
        <v/>
      </c>
      <c r="J111" s="152">
        <f t="shared" si="10"/>
        <v>-4</v>
      </c>
      <c r="K111" s="152">
        <f t="shared" si="7"/>
        <v>-40</v>
      </c>
      <c r="L111" s="152"/>
      <c r="M111" s="154">
        <f t="shared" si="8"/>
        <v>0</v>
      </c>
    </row>
    <row r="112" spans="1:13">
      <c r="A112" s="168"/>
      <c r="G112" s="138"/>
      <c r="H112" s="152">
        <v>107</v>
      </c>
      <c r="I112" s="153" t="str">
        <f t="shared" si="9"/>
        <v/>
      </c>
      <c r="J112" s="152">
        <f t="shared" si="10"/>
        <v>-4</v>
      </c>
      <c r="K112" s="152">
        <f t="shared" si="7"/>
        <v>-40</v>
      </c>
      <c r="L112" s="152"/>
      <c r="M112" s="154">
        <f t="shared" si="8"/>
        <v>0</v>
      </c>
    </row>
    <row r="113" spans="1:13">
      <c r="A113" s="168"/>
      <c r="G113" s="138"/>
      <c r="H113" s="152">
        <v>108</v>
      </c>
      <c r="I113" s="153" t="str">
        <f t="shared" si="9"/>
        <v/>
      </c>
      <c r="J113" s="152">
        <f t="shared" si="10"/>
        <v>-4</v>
      </c>
      <c r="K113" s="152">
        <f t="shared" si="7"/>
        <v>-40</v>
      </c>
      <c r="L113" s="152"/>
      <c r="M113" s="154">
        <f t="shared" si="8"/>
        <v>0</v>
      </c>
    </row>
    <row r="114" spans="1:13">
      <c r="A114" s="168"/>
      <c r="G114" s="138"/>
      <c r="H114" s="152">
        <v>109</v>
      </c>
      <c r="I114" s="153" t="str">
        <f t="shared" si="9"/>
        <v/>
      </c>
      <c r="J114" s="152">
        <f t="shared" si="10"/>
        <v>-4</v>
      </c>
      <c r="K114" s="152">
        <f t="shared" si="7"/>
        <v>-40</v>
      </c>
      <c r="L114" s="152"/>
      <c r="M114" s="154">
        <f t="shared" si="8"/>
        <v>0</v>
      </c>
    </row>
    <row r="115" spans="1:13">
      <c r="A115" s="168"/>
      <c r="G115" s="138"/>
      <c r="H115" s="152">
        <v>110</v>
      </c>
      <c r="I115" s="153" t="str">
        <f t="shared" si="9"/>
        <v/>
      </c>
      <c r="J115" s="152">
        <f t="shared" si="10"/>
        <v>-4</v>
      </c>
      <c r="K115" s="152">
        <f t="shared" si="7"/>
        <v>-40</v>
      </c>
      <c r="L115" s="152"/>
      <c r="M115" s="154">
        <f t="shared" si="8"/>
        <v>0</v>
      </c>
    </row>
    <row r="116" spans="1:13">
      <c r="A116" s="168"/>
      <c r="G116" s="138"/>
      <c r="H116" s="152">
        <v>111</v>
      </c>
      <c r="I116" s="153" t="str">
        <f t="shared" si="9"/>
        <v/>
      </c>
      <c r="J116" s="152">
        <f t="shared" si="10"/>
        <v>-4</v>
      </c>
      <c r="K116" s="152">
        <f t="shared" si="7"/>
        <v>-40</v>
      </c>
      <c r="L116" s="152"/>
      <c r="M116" s="154">
        <f t="shared" si="8"/>
        <v>0</v>
      </c>
    </row>
    <row r="117" spans="1:13">
      <c r="A117" s="168"/>
      <c r="G117" s="138"/>
      <c r="H117" s="152">
        <v>112</v>
      </c>
      <c r="I117" s="153" t="str">
        <f t="shared" si="9"/>
        <v/>
      </c>
      <c r="J117" s="152">
        <f t="shared" si="10"/>
        <v>-4</v>
      </c>
      <c r="K117" s="152">
        <f t="shared" si="7"/>
        <v>-40</v>
      </c>
      <c r="L117" s="152"/>
      <c r="M117" s="154">
        <f t="shared" si="8"/>
        <v>0</v>
      </c>
    </row>
    <row r="118" spans="1:13">
      <c r="A118" s="168"/>
      <c r="G118" s="138"/>
      <c r="H118" s="152">
        <v>113</v>
      </c>
      <c r="I118" s="153" t="str">
        <f t="shared" si="9"/>
        <v/>
      </c>
      <c r="J118" s="152">
        <f t="shared" si="10"/>
        <v>-4</v>
      </c>
      <c r="K118" s="152">
        <f t="shared" si="7"/>
        <v>-40</v>
      </c>
      <c r="L118" s="152"/>
      <c r="M118" s="154">
        <f t="shared" si="8"/>
        <v>0</v>
      </c>
    </row>
    <row r="119" spans="1:13">
      <c r="A119" s="168"/>
      <c r="G119" s="138"/>
      <c r="H119" s="152">
        <v>114</v>
      </c>
      <c r="I119" s="153" t="str">
        <f t="shared" si="9"/>
        <v/>
      </c>
      <c r="J119" s="152">
        <f t="shared" si="10"/>
        <v>-4</v>
      </c>
      <c r="K119" s="152">
        <f t="shared" si="7"/>
        <v>-40</v>
      </c>
      <c r="L119" s="152"/>
      <c r="M119" s="154">
        <f t="shared" si="8"/>
        <v>0</v>
      </c>
    </row>
    <row r="120" spans="1:13">
      <c r="A120" s="168"/>
      <c r="G120" s="138"/>
      <c r="H120" s="152">
        <v>115</v>
      </c>
      <c r="I120" s="153" t="str">
        <f t="shared" si="9"/>
        <v/>
      </c>
      <c r="J120" s="152">
        <f t="shared" si="10"/>
        <v>-4</v>
      </c>
      <c r="K120" s="152">
        <f t="shared" si="7"/>
        <v>-40</v>
      </c>
      <c r="L120" s="152"/>
      <c r="M120" s="154">
        <f t="shared" si="8"/>
        <v>0</v>
      </c>
    </row>
    <row r="121" spans="1:13">
      <c r="A121" s="168"/>
      <c r="G121" s="138"/>
      <c r="H121" s="152">
        <v>116</v>
      </c>
      <c r="I121" s="153" t="str">
        <f t="shared" si="9"/>
        <v/>
      </c>
      <c r="J121" s="152">
        <f t="shared" si="10"/>
        <v>-4</v>
      </c>
      <c r="K121" s="152">
        <f t="shared" si="7"/>
        <v>-40</v>
      </c>
      <c r="L121" s="152"/>
      <c r="M121" s="154">
        <f t="shared" si="8"/>
        <v>0</v>
      </c>
    </row>
    <row r="122" spans="1:13">
      <c r="A122" s="168"/>
      <c r="G122" s="138"/>
      <c r="H122" s="152">
        <v>117</v>
      </c>
      <c r="I122" s="153" t="str">
        <f t="shared" si="9"/>
        <v/>
      </c>
      <c r="J122" s="152">
        <f t="shared" si="10"/>
        <v>-4</v>
      </c>
      <c r="K122" s="152">
        <f t="shared" si="7"/>
        <v>-40</v>
      </c>
      <c r="L122" s="152"/>
      <c r="M122" s="154">
        <f t="shared" si="8"/>
        <v>0</v>
      </c>
    </row>
    <row r="123" spans="1:13">
      <c r="A123" s="168"/>
      <c r="G123" s="138"/>
      <c r="H123" s="152">
        <v>118</v>
      </c>
      <c r="I123" s="153" t="str">
        <f t="shared" si="9"/>
        <v/>
      </c>
      <c r="J123" s="152">
        <f t="shared" si="10"/>
        <v>-4</v>
      </c>
      <c r="K123" s="152">
        <f t="shared" si="7"/>
        <v>-40</v>
      </c>
      <c r="L123" s="152"/>
      <c r="M123" s="154">
        <f t="shared" si="8"/>
        <v>0</v>
      </c>
    </row>
    <row r="124" spans="1:13">
      <c r="A124" s="168"/>
      <c r="G124" s="138"/>
      <c r="H124" s="152">
        <v>119</v>
      </c>
      <c r="I124" s="153" t="str">
        <f t="shared" si="9"/>
        <v/>
      </c>
      <c r="J124" s="152">
        <f t="shared" si="10"/>
        <v>-4</v>
      </c>
      <c r="K124" s="152">
        <f t="shared" si="7"/>
        <v>-40</v>
      </c>
      <c r="L124" s="152"/>
      <c r="M124" s="154">
        <f t="shared" si="8"/>
        <v>0</v>
      </c>
    </row>
    <row r="125" spans="1:13">
      <c r="A125" s="168"/>
      <c r="G125" s="138"/>
      <c r="H125" s="152">
        <v>120</v>
      </c>
      <c r="I125" s="153" t="str">
        <f t="shared" si="9"/>
        <v/>
      </c>
      <c r="J125" s="152">
        <f t="shared" si="10"/>
        <v>-4</v>
      </c>
      <c r="K125" s="152">
        <f t="shared" si="7"/>
        <v>-40</v>
      </c>
      <c r="L125" s="152"/>
      <c r="M125" s="154">
        <f t="shared" si="8"/>
        <v>0</v>
      </c>
    </row>
    <row r="126" spans="1:13">
      <c r="A126" s="168"/>
      <c r="G126" s="138"/>
      <c r="H126" s="152">
        <v>121</v>
      </c>
      <c r="I126" s="153" t="str">
        <f t="shared" si="9"/>
        <v/>
      </c>
      <c r="J126" s="152">
        <f t="shared" si="10"/>
        <v>-4</v>
      </c>
      <c r="K126" s="152">
        <f t="shared" si="7"/>
        <v>-40</v>
      </c>
      <c r="L126" s="152"/>
      <c r="M126" s="154">
        <f t="shared" si="8"/>
        <v>0</v>
      </c>
    </row>
    <row r="127" spans="1:13">
      <c r="A127" s="168"/>
      <c r="G127" s="138"/>
      <c r="H127" s="152">
        <v>122</v>
      </c>
      <c r="I127" s="153" t="str">
        <f t="shared" si="9"/>
        <v/>
      </c>
      <c r="J127" s="152">
        <f t="shared" si="10"/>
        <v>-4</v>
      </c>
      <c r="K127" s="152">
        <f t="shared" si="7"/>
        <v>-40</v>
      </c>
      <c r="L127" s="152"/>
      <c r="M127" s="154">
        <f t="shared" si="8"/>
        <v>0</v>
      </c>
    </row>
    <row r="128" spans="1:13">
      <c r="A128" s="168"/>
      <c r="G128" s="138"/>
      <c r="H128" s="152">
        <v>123</v>
      </c>
      <c r="I128" s="153" t="str">
        <f t="shared" si="9"/>
        <v/>
      </c>
      <c r="J128" s="152">
        <f t="shared" si="10"/>
        <v>-4</v>
      </c>
      <c r="K128" s="152">
        <f t="shared" si="7"/>
        <v>-40</v>
      </c>
      <c r="L128" s="152"/>
      <c r="M128" s="154">
        <f t="shared" si="8"/>
        <v>0</v>
      </c>
    </row>
    <row r="129" spans="1:13">
      <c r="A129" s="168"/>
      <c r="G129" s="138"/>
      <c r="H129" s="152">
        <v>124</v>
      </c>
      <c r="I129" s="153" t="str">
        <f t="shared" si="9"/>
        <v/>
      </c>
      <c r="J129" s="152">
        <f t="shared" si="10"/>
        <v>-4</v>
      </c>
      <c r="K129" s="152">
        <f t="shared" si="7"/>
        <v>-40</v>
      </c>
      <c r="L129" s="152"/>
      <c r="M129" s="154">
        <f t="shared" si="8"/>
        <v>0</v>
      </c>
    </row>
    <row r="130" spans="1:13">
      <c r="A130" s="168"/>
      <c r="G130" s="138"/>
      <c r="H130" s="152">
        <v>125</v>
      </c>
      <c r="I130" s="153" t="str">
        <f t="shared" si="9"/>
        <v/>
      </c>
      <c r="J130" s="152">
        <f t="shared" si="10"/>
        <v>-4</v>
      </c>
      <c r="K130" s="152">
        <f t="shared" si="7"/>
        <v>-40</v>
      </c>
      <c r="L130" s="152"/>
      <c r="M130" s="154">
        <f t="shared" si="8"/>
        <v>0</v>
      </c>
    </row>
    <row r="131" spans="1:13">
      <c r="A131" s="168"/>
      <c r="G131" s="138"/>
      <c r="H131" s="152">
        <v>126</v>
      </c>
      <c r="I131" s="153" t="str">
        <f t="shared" si="9"/>
        <v/>
      </c>
      <c r="J131" s="152">
        <f t="shared" si="10"/>
        <v>-4</v>
      </c>
      <c r="K131" s="152">
        <f t="shared" si="7"/>
        <v>-40</v>
      </c>
      <c r="L131" s="152"/>
      <c r="M131" s="154">
        <f t="shared" si="8"/>
        <v>0</v>
      </c>
    </row>
    <row r="132" spans="1:13">
      <c r="A132" s="168"/>
      <c r="G132" s="138"/>
      <c r="H132" s="152">
        <v>127</v>
      </c>
      <c r="I132" s="153" t="str">
        <f t="shared" si="9"/>
        <v/>
      </c>
      <c r="J132" s="152">
        <f t="shared" si="10"/>
        <v>-4</v>
      </c>
      <c r="K132" s="152">
        <f t="shared" si="7"/>
        <v>-40</v>
      </c>
      <c r="L132" s="152"/>
      <c r="M132" s="154">
        <f t="shared" si="8"/>
        <v>0</v>
      </c>
    </row>
    <row r="133" spans="1:13">
      <c r="A133" s="168"/>
      <c r="G133" s="138"/>
      <c r="H133" s="152">
        <v>128</v>
      </c>
      <c r="I133" s="153" t="str">
        <f t="shared" si="9"/>
        <v/>
      </c>
      <c r="J133" s="152">
        <f t="shared" si="10"/>
        <v>-4</v>
      </c>
      <c r="K133" s="152">
        <f t="shared" si="7"/>
        <v>-40</v>
      </c>
      <c r="L133" s="152"/>
      <c r="M133" s="154">
        <f t="shared" si="8"/>
        <v>0</v>
      </c>
    </row>
    <row r="134" spans="1:13">
      <c r="A134" s="168"/>
      <c r="G134" s="138"/>
      <c r="H134" s="152">
        <v>129</v>
      </c>
      <c r="I134" s="153" t="str">
        <f t="shared" si="9"/>
        <v/>
      </c>
      <c r="J134" s="152">
        <f t="shared" si="10"/>
        <v>-5</v>
      </c>
      <c r="K134" s="152">
        <f t="shared" ref="K134:K197" si="11">J134*$J$2</f>
        <v>-50</v>
      </c>
      <c r="L134" s="152"/>
      <c r="M134" s="154">
        <f t="shared" ref="M134:M197" si="12">IF(I134&lt;&gt;"",K134+I134+L134,0)</f>
        <v>0</v>
      </c>
    </row>
    <row r="135" spans="1:13">
      <c r="A135" s="168"/>
      <c r="G135" s="138"/>
      <c r="H135" s="152">
        <v>130</v>
      </c>
      <c r="I135" s="153" t="str">
        <f t="shared" ref="I135:I198" si="13">IF(H135&lt;$H$2+1,($I$2-($I$2-1)*(LOG(H135)/LOG($H$2))),"")</f>
        <v/>
      </c>
      <c r="J135" s="152">
        <f t="shared" ref="J135:J198" si="14">INT(LOG($H$2,2))-ROUNDUP(LOG(H135,2),0)+IF(OR($H$2=1,$H$2=2,$H$2=4,$H$2=8,$H$2=16,$H$2=32,$H$2=64,$H$2=128,$H$2=256),0,1)</f>
        <v>-5</v>
      </c>
      <c r="K135" s="152">
        <f t="shared" si="11"/>
        <v>-50</v>
      </c>
      <c r="L135" s="152"/>
      <c r="M135" s="154">
        <f t="shared" si="12"/>
        <v>0</v>
      </c>
    </row>
    <row r="136" spans="1:13">
      <c r="A136" s="168"/>
      <c r="G136" s="138"/>
      <c r="H136" s="152">
        <v>131</v>
      </c>
      <c r="I136" s="153" t="str">
        <f t="shared" si="13"/>
        <v/>
      </c>
      <c r="J136" s="152">
        <f t="shared" si="14"/>
        <v>-5</v>
      </c>
      <c r="K136" s="152">
        <f t="shared" si="11"/>
        <v>-50</v>
      </c>
      <c r="L136" s="152"/>
      <c r="M136" s="154">
        <f t="shared" si="12"/>
        <v>0</v>
      </c>
    </row>
    <row r="137" spans="1:13">
      <c r="A137" s="168"/>
      <c r="G137" s="138"/>
      <c r="H137" s="152">
        <v>132</v>
      </c>
      <c r="I137" s="153" t="str">
        <f t="shared" si="13"/>
        <v/>
      </c>
      <c r="J137" s="152">
        <f t="shared" si="14"/>
        <v>-5</v>
      </c>
      <c r="K137" s="152">
        <f t="shared" si="11"/>
        <v>-50</v>
      </c>
      <c r="L137" s="152"/>
      <c r="M137" s="154">
        <f t="shared" si="12"/>
        <v>0</v>
      </c>
    </row>
    <row r="138" spans="1:13">
      <c r="A138" s="168"/>
      <c r="G138" s="138"/>
      <c r="H138" s="152">
        <v>133</v>
      </c>
      <c r="I138" s="153" t="str">
        <f t="shared" si="13"/>
        <v/>
      </c>
      <c r="J138" s="152">
        <f t="shared" si="14"/>
        <v>-5</v>
      </c>
      <c r="K138" s="152">
        <f t="shared" si="11"/>
        <v>-50</v>
      </c>
      <c r="L138" s="152"/>
      <c r="M138" s="154">
        <f t="shared" si="12"/>
        <v>0</v>
      </c>
    </row>
    <row r="139" spans="1:13">
      <c r="A139" s="168"/>
      <c r="G139" s="138"/>
      <c r="H139" s="152">
        <v>134</v>
      </c>
      <c r="I139" s="153" t="str">
        <f t="shared" si="13"/>
        <v/>
      </c>
      <c r="J139" s="152">
        <f t="shared" si="14"/>
        <v>-5</v>
      </c>
      <c r="K139" s="152">
        <f t="shared" si="11"/>
        <v>-50</v>
      </c>
      <c r="L139" s="152"/>
      <c r="M139" s="154">
        <f t="shared" si="12"/>
        <v>0</v>
      </c>
    </row>
    <row r="140" spans="1:13">
      <c r="A140" s="168"/>
      <c r="G140" s="138"/>
      <c r="H140" s="152">
        <v>135</v>
      </c>
      <c r="I140" s="153" t="str">
        <f t="shared" si="13"/>
        <v/>
      </c>
      <c r="J140" s="152">
        <f t="shared" si="14"/>
        <v>-5</v>
      </c>
      <c r="K140" s="152">
        <f t="shared" si="11"/>
        <v>-50</v>
      </c>
      <c r="L140" s="152"/>
      <c r="M140" s="154">
        <f t="shared" si="12"/>
        <v>0</v>
      </c>
    </row>
    <row r="141" spans="1:13">
      <c r="A141" s="168"/>
      <c r="G141" s="138"/>
      <c r="H141" s="152">
        <v>136</v>
      </c>
      <c r="I141" s="153" t="str">
        <f t="shared" si="13"/>
        <v/>
      </c>
      <c r="J141" s="152">
        <f t="shared" si="14"/>
        <v>-5</v>
      </c>
      <c r="K141" s="152">
        <f t="shared" si="11"/>
        <v>-50</v>
      </c>
      <c r="L141" s="152"/>
      <c r="M141" s="154">
        <f t="shared" si="12"/>
        <v>0</v>
      </c>
    </row>
    <row r="142" spans="1:13">
      <c r="A142" s="168"/>
      <c r="G142" s="138"/>
      <c r="H142" s="152">
        <v>137</v>
      </c>
      <c r="I142" s="153" t="str">
        <f t="shared" si="13"/>
        <v/>
      </c>
      <c r="J142" s="152">
        <f t="shared" si="14"/>
        <v>-5</v>
      </c>
      <c r="K142" s="152">
        <f t="shared" si="11"/>
        <v>-50</v>
      </c>
      <c r="L142" s="152"/>
      <c r="M142" s="154">
        <f t="shared" si="12"/>
        <v>0</v>
      </c>
    </row>
    <row r="143" spans="1:13">
      <c r="A143" s="168"/>
      <c r="G143" s="138"/>
      <c r="H143" s="152">
        <v>138</v>
      </c>
      <c r="I143" s="153" t="str">
        <f t="shared" si="13"/>
        <v/>
      </c>
      <c r="J143" s="152">
        <f t="shared" si="14"/>
        <v>-5</v>
      </c>
      <c r="K143" s="152">
        <f t="shared" si="11"/>
        <v>-50</v>
      </c>
      <c r="L143" s="152"/>
      <c r="M143" s="154">
        <f t="shared" si="12"/>
        <v>0</v>
      </c>
    </row>
    <row r="144" spans="1:13">
      <c r="A144" s="168"/>
      <c r="G144" s="138"/>
      <c r="H144" s="152">
        <v>139</v>
      </c>
      <c r="I144" s="153" t="str">
        <f t="shared" si="13"/>
        <v/>
      </c>
      <c r="J144" s="152">
        <f t="shared" si="14"/>
        <v>-5</v>
      </c>
      <c r="K144" s="152">
        <f t="shared" si="11"/>
        <v>-50</v>
      </c>
      <c r="L144" s="152"/>
      <c r="M144" s="154">
        <f t="shared" si="12"/>
        <v>0</v>
      </c>
    </row>
    <row r="145" spans="1:13">
      <c r="A145" s="168"/>
      <c r="G145" s="138"/>
      <c r="H145" s="152">
        <v>140</v>
      </c>
      <c r="I145" s="153" t="str">
        <f t="shared" si="13"/>
        <v/>
      </c>
      <c r="J145" s="152">
        <f t="shared" si="14"/>
        <v>-5</v>
      </c>
      <c r="K145" s="152">
        <f t="shared" si="11"/>
        <v>-50</v>
      </c>
      <c r="L145" s="152"/>
      <c r="M145" s="154">
        <f t="shared" si="12"/>
        <v>0</v>
      </c>
    </row>
    <row r="146" spans="1:13">
      <c r="A146" s="168"/>
      <c r="G146" s="138"/>
      <c r="H146" s="152">
        <v>141</v>
      </c>
      <c r="I146" s="153" t="str">
        <f t="shared" si="13"/>
        <v/>
      </c>
      <c r="J146" s="152">
        <f t="shared" si="14"/>
        <v>-5</v>
      </c>
      <c r="K146" s="152">
        <f t="shared" si="11"/>
        <v>-50</v>
      </c>
      <c r="L146" s="152"/>
      <c r="M146" s="154">
        <f t="shared" si="12"/>
        <v>0</v>
      </c>
    </row>
    <row r="147" spans="1:13">
      <c r="A147" s="168"/>
      <c r="G147" s="138"/>
      <c r="H147" s="152">
        <v>142</v>
      </c>
      <c r="I147" s="153" t="str">
        <f t="shared" si="13"/>
        <v/>
      </c>
      <c r="J147" s="152">
        <f t="shared" si="14"/>
        <v>-5</v>
      </c>
      <c r="K147" s="152">
        <f t="shared" si="11"/>
        <v>-50</v>
      </c>
      <c r="L147" s="152"/>
      <c r="M147" s="154">
        <f t="shared" si="12"/>
        <v>0</v>
      </c>
    </row>
    <row r="148" spans="1:13">
      <c r="A148" s="168"/>
      <c r="G148" s="138"/>
      <c r="H148" s="152">
        <v>143</v>
      </c>
      <c r="I148" s="153" t="str">
        <f t="shared" si="13"/>
        <v/>
      </c>
      <c r="J148" s="152">
        <f t="shared" si="14"/>
        <v>-5</v>
      </c>
      <c r="K148" s="152">
        <f t="shared" si="11"/>
        <v>-50</v>
      </c>
      <c r="L148" s="152"/>
      <c r="M148" s="154">
        <f t="shared" si="12"/>
        <v>0</v>
      </c>
    </row>
    <row r="149" spans="1:13">
      <c r="A149" s="168"/>
      <c r="G149" s="138"/>
      <c r="H149" s="152">
        <v>144</v>
      </c>
      <c r="I149" s="153" t="str">
        <f t="shared" si="13"/>
        <v/>
      </c>
      <c r="J149" s="152">
        <f t="shared" si="14"/>
        <v>-5</v>
      </c>
      <c r="K149" s="152">
        <f t="shared" si="11"/>
        <v>-50</v>
      </c>
      <c r="L149" s="152"/>
      <c r="M149" s="154">
        <f t="shared" si="12"/>
        <v>0</v>
      </c>
    </row>
    <row r="150" spans="1:13">
      <c r="A150" s="168"/>
      <c r="G150" s="138"/>
      <c r="H150" s="152">
        <v>145</v>
      </c>
      <c r="I150" s="153" t="str">
        <f t="shared" si="13"/>
        <v/>
      </c>
      <c r="J150" s="152">
        <f t="shared" si="14"/>
        <v>-5</v>
      </c>
      <c r="K150" s="152">
        <f t="shared" si="11"/>
        <v>-50</v>
      </c>
      <c r="L150" s="152"/>
      <c r="M150" s="154">
        <f t="shared" si="12"/>
        <v>0</v>
      </c>
    </row>
    <row r="151" spans="1:13">
      <c r="A151" s="168"/>
      <c r="G151" s="138"/>
      <c r="H151" s="152">
        <v>146</v>
      </c>
      <c r="I151" s="153" t="str">
        <f t="shared" si="13"/>
        <v/>
      </c>
      <c r="J151" s="152">
        <f t="shared" si="14"/>
        <v>-5</v>
      </c>
      <c r="K151" s="152">
        <f t="shared" si="11"/>
        <v>-50</v>
      </c>
      <c r="L151" s="152"/>
      <c r="M151" s="154">
        <f t="shared" si="12"/>
        <v>0</v>
      </c>
    </row>
    <row r="152" spans="1:13">
      <c r="A152" s="168"/>
      <c r="G152" s="138"/>
      <c r="H152" s="152">
        <v>147</v>
      </c>
      <c r="I152" s="153" t="str">
        <f t="shared" si="13"/>
        <v/>
      </c>
      <c r="J152" s="152">
        <f t="shared" si="14"/>
        <v>-5</v>
      </c>
      <c r="K152" s="152">
        <f t="shared" si="11"/>
        <v>-50</v>
      </c>
      <c r="L152" s="152"/>
      <c r="M152" s="154">
        <f t="shared" si="12"/>
        <v>0</v>
      </c>
    </row>
    <row r="153" spans="1:13">
      <c r="A153" s="168"/>
      <c r="G153" s="138"/>
      <c r="H153" s="152">
        <v>148</v>
      </c>
      <c r="I153" s="153" t="str">
        <f t="shared" si="13"/>
        <v/>
      </c>
      <c r="J153" s="152">
        <f t="shared" si="14"/>
        <v>-5</v>
      </c>
      <c r="K153" s="152">
        <f t="shared" si="11"/>
        <v>-50</v>
      </c>
      <c r="L153" s="152"/>
      <c r="M153" s="154">
        <f t="shared" si="12"/>
        <v>0</v>
      </c>
    </row>
    <row r="154" spans="1:13">
      <c r="A154" s="168"/>
      <c r="G154" s="138"/>
      <c r="H154" s="152">
        <v>149</v>
      </c>
      <c r="I154" s="153" t="str">
        <f t="shared" si="13"/>
        <v/>
      </c>
      <c r="J154" s="152">
        <f t="shared" si="14"/>
        <v>-5</v>
      </c>
      <c r="K154" s="152">
        <f t="shared" si="11"/>
        <v>-50</v>
      </c>
      <c r="L154" s="152"/>
      <c r="M154" s="154">
        <f t="shared" si="12"/>
        <v>0</v>
      </c>
    </row>
    <row r="155" spans="1:13">
      <c r="A155" s="168"/>
      <c r="G155" s="138"/>
      <c r="H155" s="152">
        <v>150</v>
      </c>
      <c r="I155" s="153" t="str">
        <f t="shared" si="13"/>
        <v/>
      </c>
      <c r="J155" s="152">
        <f t="shared" si="14"/>
        <v>-5</v>
      </c>
      <c r="K155" s="152">
        <f t="shared" si="11"/>
        <v>-50</v>
      </c>
      <c r="L155" s="152"/>
      <c r="M155" s="154">
        <f t="shared" si="12"/>
        <v>0</v>
      </c>
    </row>
    <row r="156" spans="1:13">
      <c r="A156" s="168"/>
      <c r="G156" s="138"/>
      <c r="H156" s="152">
        <v>151</v>
      </c>
      <c r="I156" s="153" t="str">
        <f t="shared" si="13"/>
        <v/>
      </c>
      <c r="J156" s="152">
        <f t="shared" si="14"/>
        <v>-5</v>
      </c>
      <c r="K156" s="152">
        <f t="shared" si="11"/>
        <v>-50</v>
      </c>
      <c r="L156" s="152"/>
      <c r="M156" s="154">
        <f t="shared" si="12"/>
        <v>0</v>
      </c>
    </row>
    <row r="157" spans="1:13">
      <c r="A157" s="168"/>
      <c r="G157" s="138"/>
      <c r="H157" s="152">
        <v>152</v>
      </c>
      <c r="I157" s="153" t="str">
        <f t="shared" si="13"/>
        <v/>
      </c>
      <c r="J157" s="152">
        <f t="shared" si="14"/>
        <v>-5</v>
      </c>
      <c r="K157" s="152">
        <f t="shared" si="11"/>
        <v>-50</v>
      </c>
      <c r="L157" s="152"/>
      <c r="M157" s="154">
        <f t="shared" si="12"/>
        <v>0</v>
      </c>
    </row>
    <row r="158" spans="1:13">
      <c r="A158" s="168"/>
      <c r="G158" s="138"/>
      <c r="H158" s="152">
        <v>153</v>
      </c>
      <c r="I158" s="153" t="str">
        <f t="shared" si="13"/>
        <v/>
      </c>
      <c r="J158" s="152">
        <f t="shared" si="14"/>
        <v>-5</v>
      </c>
      <c r="K158" s="152">
        <f t="shared" si="11"/>
        <v>-50</v>
      </c>
      <c r="L158" s="152"/>
      <c r="M158" s="154">
        <f t="shared" si="12"/>
        <v>0</v>
      </c>
    </row>
    <row r="159" spans="1:13">
      <c r="A159" s="168"/>
      <c r="G159" s="138"/>
      <c r="H159" s="152">
        <v>154</v>
      </c>
      <c r="I159" s="153" t="str">
        <f t="shared" si="13"/>
        <v/>
      </c>
      <c r="J159" s="152">
        <f t="shared" si="14"/>
        <v>-5</v>
      </c>
      <c r="K159" s="152">
        <f t="shared" si="11"/>
        <v>-50</v>
      </c>
      <c r="L159" s="152"/>
      <c r="M159" s="154">
        <f t="shared" si="12"/>
        <v>0</v>
      </c>
    </row>
    <row r="160" spans="1:13">
      <c r="A160" s="168"/>
      <c r="G160" s="138"/>
      <c r="H160" s="152">
        <v>155</v>
      </c>
      <c r="I160" s="153" t="str">
        <f t="shared" si="13"/>
        <v/>
      </c>
      <c r="J160" s="152">
        <f t="shared" si="14"/>
        <v>-5</v>
      </c>
      <c r="K160" s="152">
        <f t="shared" si="11"/>
        <v>-50</v>
      </c>
      <c r="L160" s="152"/>
      <c r="M160" s="154">
        <f t="shared" si="12"/>
        <v>0</v>
      </c>
    </row>
    <row r="161" spans="1:13">
      <c r="A161" s="168"/>
      <c r="G161" s="138"/>
      <c r="H161" s="152">
        <v>156</v>
      </c>
      <c r="I161" s="153" t="str">
        <f t="shared" si="13"/>
        <v/>
      </c>
      <c r="J161" s="152">
        <f t="shared" si="14"/>
        <v>-5</v>
      </c>
      <c r="K161" s="152">
        <f t="shared" si="11"/>
        <v>-50</v>
      </c>
      <c r="L161" s="152"/>
      <c r="M161" s="154">
        <f t="shared" si="12"/>
        <v>0</v>
      </c>
    </row>
    <row r="162" spans="1:13">
      <c r="A162" s="168"/>
      <c r="G162" s="138"/>
      <c r="H162" s="152">
        <v>157</v>
      </c>
      <c r="I162" s="153" t="str">
        <f t="shared" si="13"/>
        <v/>
      </c>
      <c r="J162" s="152">
        <f t="shared" si="14"/>
        <v>-5</v>
      </c>
      <c r="K162" s="152">
        <f t="shared" si="11"/>
        <v>-50</v>
      </c>
      <c r="L162" s="152"/>
      <c r="M162" s="154">
        <f t="shared" si="12"/>
        <v>0</v>
      </c>
    </row>
    <row r="163" spans="1:13">
      <c r="A163" s="168"/>
      <c r="G163" s="138"/>
      <c r="H163" s="152">
        <v>158</v>
      </c>
      <c r="I163" s="153" t="str">
        <f t="shared" si="13"/>
        <v/>
      </c>
      <c r="J163" s="152">
        <f t="shared" si="14"/>
        <v>-5</v>
      </c>
      <c r="K163" s="152">
        <f t="shared" si="11"/>
        <v>-50</v>
      </c>
      <c r="L163" s="152"/>
      <c r="M163" s="154">
        <f t="shared" si="12"/>
        <v>0</v>
      </c>
    </row>
    <row r="164" spans="1:13">
      <c r="A164" s="168"/>
      <c r="G164" s="138"/>
      <c r="H164" s="152">
        <v>159</v>
      </c>
      <c r="I164" s="153" t="str">
        <f t="shared" si="13"/>
        <v/>
      </c>
      <c r="J164" s="152">
        <f t="shared" si="14"/>
        <v>-5</v>
      </c>
      <c r="K164" s="152">
        <f t="shared" si="11"/>
        <v>-50</v>
      </c>
      <c r="L164" s="152"/>
      <c r="M164" s="154">
        <f t="shared" si="12"/>
        <v>0</v>
      </c>
    </row>
    <row r="165" spans="1:13">
      <c r="A165" s="168"/>
      <c r="G165" s="138"/>
      <c r="H165" s="152">
        <v>160</v>
      </c>
      <c r="I165" s="153" t="str">
        <f t="shared" si="13"/>
        <v/>
      </c>
      <c r="J165" s="152">
        <f t="shared" si="14"/>
        <v>-5</v>
      </c>
      <c r="K165" s="152">
        <f t="shared" si="11"/>
        <v>-50</v>
      </c>
      <c r="L165" s="152"/>
      <c r="M165" s="154">
        <f t="shared" si="12"/>
        <v>0</v>
      </c>
    </row>
    <row r="166" spans="1:13">
      <c r="A166" s="168"/>
      <c r="G166" s="138"/>
      <c r="H166" s="152">
        <v>161</v>
      </c>
      <c r="I166" s="153" t="str">
        <f t="shared" si="13"/>
        <v/>
      </c>
      <c r="J166" s="152">
        <f t="shared" si="14"/>
        <v>-5</v>
      </c>
      <c r="K166" s="152">
        <f t="shared" si="11"/>
        <v>-50</v>
      </c>
      <c r="L166" s="152"/>
      <c r="M166" s="154">
        <f t="shared" si="12"/>
        <v>0</v>
      </c>
    </row>
    <row r="167" spans="1:13">
      <c r="A167" s="168"/>
      <c r="G167" s="138"/>
      <c r="H167" s="152">
        <v>162</v>
      </c>
      <c r="I167" s="153" t="str">
        <f t="shared" si="13"/>
        <v/>
      </c>
      <c r="J167" s="152">
        <f t="shared" si="14"/>
        <v>-5</v>
      </c>
      <c r="K167" s="152">
        <f t="shared" si="11"/>
        <v>-50</v>
      </c>
      <c r="L167" s="152"/>
      <c r="M167" s="154">
        <f t="shared" si="12"/>
        <v>0</v>
      </c>
    </row>
    <row r="168" spans="1:13">
      <c r="A168" s="168"/>
      <c r="G168" s="138"/>
      <c r="H168" s="152">
        <v>163</v>
      </c>
      <c r="I168" s="153" t="str">
        <f t="shared" si="13"/>
        <v/>
      </c>
      <c r="J168" s="152">
        <f t="shared" si="14"/>
        <v>-5</v>
      </c>
      <c r="K168" s="152">
        <f t="shared" si="11"/>
        <v>-50</v>
      </c>
      <c r="L168" s="152"/>
      <c r="M168" s="154">
        <f t="shared" si="12"/>
        <v>0</v>
      </c>
    </row>
    <row r="169" spans="1:13">
      <c r="A169" s="168"/>
      <c r="G169" s="138"/>
      <c r="H169" s="152">
        <v>164</v>
      </c>
      <c r="I169" s="153" t="str">
        <f t="shared" si="13"/>
        <v/>
      </c>
      <c r="J169" s="152">
        <f t="shared" si="14"/>
        <v>-5</v>
      </c>
      <c r="K169" s="152">
        <f t="shared" si="11"/>
        <v>-50</v>
      </c>
      <c r="L169" s="152"/>
      <c r="M169" s="154">
        <f t="shared" si="12"/>
        <v>0</v>
      </c>
    </row>
    <row r="170" spans="1:13">
      <c r="A170" s="168"/>
      <c r="G170" s="138"/>
      <c r="H170" s="152">
        <v>165</v>
      </c>
      <c r="I170" s="153" t="str">
        <f t="shared" si="13"/>
        <v/>
      </c>
      <c r="J170" s="152">
        <f t="shared" si="14"/>
        <v>-5</v>
      </c>
      <c r="K170" s="152">
        <f t="shared" si="11"/>
        <v>-50</v>
      </c>
      <c r="L170" s="152"/>
      <c r="M170" s="154">
        <f t="shared" si="12"/>
        <v>0</v>
      </c>
    </row>
    <row r="171" spans="1:13">
      <c r="A171" s="168"/>
      <c r="G171" s="138"/>
      <c r="H171" s="152">
        <v>166</v>
      </c>
      <c r="I171" s="153" t="str">
        <f t="shared" si="13"/>
        <v/>
      </c>
      <c r="J171" s="152">
        <f t="shared" si="14"/>
        <v>-5</v>
      </c>
      <c r="K171" s="152">
        <f t="shared" si="11"/>
        <v>-50</v>
      </c>
      <c r="L171" s="152"/>
      <c r="M171" s="154">
        <f t="shared" si="12"/>
        <v>0</v>
      </c>
    </row>
    <row r="172" spans="1:13">
      <c r="A172" s="168"/>
      <c r="G172" s="138"/>
      <c r="H172" s="152">
        <v>167</v>
      </c>
      <c r="I172" s="153" t="str">
        <f t="shared" si="13"/>
        <v/>
      </c>
      <c r="J172" s="152">
        <f t="shared" si="14"/>
        <v>-5</v>
      </c>
      <c r="K172" s="152">
        <f t="shared" si="11"/>
        <v>-50</v>
      </c>
      <c r="L172" s="152"/>
      <c r="M172" s="154">
        <f t="shared" si="12"/>
        <v>0</v>
      </c>
    </row>
    <row r="173" spans="1:13">
      <c r="A173" s="168"/>
      <c r="G173" s="138"/>
      <c r="H173" s="152">
        <v>168</v>
      </c>
      <c r="I173" s="153" t="str">
        <f t="shared" si="13"/>
        <v/>
      </c>
      <c r="J173" s="152">
        <f t="shared" si="14"/>
        <v>-5</v>
      </c>
      <c r="K173" s="152">
        <f t="shared" si="11"/>
        <v>-50</v>
      </c>
      <c r="L173" s="152"/>
      <c r="M173" s="154">
        <f t="shared" si="12"/>
        <v>0</v>
      </c>
    </row>
    <row r="174" spans="1:13">
      <c r="A174" s="168"/>
      <c r="G174" s="138"/>
      <c r="H174" s="152">
        <v>169</v>
      </c>
      <c r="I174" s="153" t="str">
        <f t="shared" si="13"/>
        <v/>
      </c>
      <c r="J174" s="152">
        <f t="shared" si="14"/>
        <v>-5</v>
      </c>
      <c r="K174" s="152">
        <f t="shared" si="11"/>
        <v>-50</v>
      </c>
      <c r="L174" s="152"/>
      <c r="M174" s="154">
        <f t="shared" si="12"/>
        <v>0</v>
      </c>
    </row>
    <row r="175" spans="1:13">
      <c r="A175" s="168"/>
      <c r="G175" s="138"/>
      <c r="H175" s="152">
        <v>170</v>
      </c>
      <c r="I175" s="153" t="str">
        <f t="shared" si="13"/>
        <v/>
      </c>
      <c r="J175" s="152">
        <f t="shared" si="14"/>
        <v>-5</v>
      </c>
      <c r="K175" s="152">
        <f t="shared" si="11"/>
        <v>-50</v>
      </c>
      <c r="L175" s="152"/>
      <c r="M175" s="154">
        <f t="shared" si="12"/>
        <v>0</v>
      </c>
    </row>
    <row r="176" spans="1:13">
      <c r="A176" s="168"/>
      <c r="G176" s="138"/>
      <c r="H176" s="152">
        <v>171</v>
      </c>
      <c r="I176" s="153" t="str">
        <f t="shared" si="13"/>
        <v/>
      </c>
      <c r="J176" s="152">
        <f t="shared" si="14"/>
        <v>-5</v>
      </c>
      <c r="K176" s="152">
        <f t="shared" si="11"/>
        <v>-50</v>
      </c>
      <c r="L176" s="152"/>
      <c r="M176" s="154">
        <f t="shared" si="12"/>
        <v>0</v>
      </c>
    </row>
    <row r="177" spans="1:13">
      <c r="A177" s="168"/>
      <c r="G177" s="138"/>
      <c r="H177" s="152">
        <v>172</v>
      </c>
      <c r="I177" s="153" t="str">
        <f t="shared" si="13"/>
        <v/>
      </c>
      <c r="J177" s="152">
        <f t="shared" si="14"/>
        <v>-5</v>
      </c>
      <c r="K177" s="152">
        <f t="shared" si="11"/>
        <v>-50</v>
      </c>
      <c r="L177" s="152"/>
      <c r="M177" s="154">
        <f t="shared" si="12"/>
        <v>0</v>
      </c>
    </row>
    <row r="178" spans="1:13">
      <c r="A178" s="168"/>
      <c r="G178" s="138"/>
      <c r="H178" s="152">
        <v>173</v>
      </c>
      <c r="I178" s="153" t="str">
        <f t="shared" si="13"/>
        <v/>
      </c>
      <c r="J178" s="152">
        <f t="shared" si="14"/>
        <v>-5</v>
      </c>
      <c r="K178" s="152">
        <f t="shared" si="11"/>
        <v>-50</v>
      </c>
      <c r="L178" s="152"/>
      <c r="M178" s="154">
        <f t="shared" si="12"/>
        <v>0</v>
      </c>
    </row>
    <row r="179" spans="1:13">
      <c r="A179" s="168"/>
      <c r="G179" s="138"/>
      <c r="H179" s="152">
        <v>174</v>
      </c>
      <c r="I179" s="153" t="str">
        <f t="shared" si="13"/>
        <v/>
      </c>
      <c r="J179" s="152">
        <f t="shared" si="14"/>
        <v>-5</v>
      </c>
      <c r="K179" s="152">
        <f t="shared" si="11"/>
        <v>-50</v>
      </c>
      <c r="L179" s="152"/>
      <c r="M179" s="154">
        <f t="shared" si="12"/>
        <v>0</v>
      </c>
    </row>
    <row r="180" spans="1:13">
      <c r="A180" s="168"/>
      <c r="G180" s="138"/>
      <c r="H180" s="152">
        <v>175</v>
      </c>
      <c r="I180" s="153" t="str">
        <f t="shared" si="13"/>
        <v/>
      </c>
      <c r="J180" s="152">
        <f t="shared" si="14"/>
        <v>-5</v>
      </c>
      <c r="K180" s="152">
        <f t="shared" si="11"/>
        <v>-50</v>
      </c>
      <c r="L180" s="152"/>
      <c r="M180" s="154">
        <f t="shared" si="12"/>
        <v>0</v>
      </c>
    </row>
    <row r="181" spans="1:13">
      <c r="A181" s="168"/>
      <c r="G181" s="138"/>
      <c r="H181" s="152">
        <v>176</v>
      </c>
      <c r="I181" s="153" t="str">
        <f t="shared" si="13"/>
        <v/>
      </c>
      <c r="J181" s="152">
        <f t="shared" si="14"/>
        <v>-5</v>
      </c>
      <c r="K181" s="152">
        <f t="shared" si="11"/>
        <v>-50</v>
      </c>
      <c r="L181" s="152"/>
      <c r="M181" s="154">
        <f t="shared" si="12"/>
        <v>0</v>
      </c>
    </row>
    <row r="182" spans="1:13">
      <c r="A182" s="168"/>
      <c r="G182" s="138"/>
      <c r="H182" s="152">
        <v>177</v>
      </c>
      <c r="I182" s="153" t="str">
        <f t="shared" si="13"/>
        <v/>
      </c>
      <c r="J182" s="152">
        <f t="shared" si="14"/>
        <v>-5</v>
      </c>
      <c r="K182" s="152">
        <f t="shared" si="11"/>
        <v>-50</v>
      </c>
      <c r="L182" s="152"/>
      <c r="M182" s="154">
        <f t="shared" si="12"/>
        <v>0</v>
      </c>
    </row>
    <row r="183" spans="1:13">
      <c r="A183" s="168"/>
      <c r="G183" s="138"/>
      <c r="H183" s="152">
        <v>178</v>
      </c>
      <c r="I183" s="153" t="str">
        <f t="shared" si="13"/>
        <v/>
      </c>
      <c r="J183" s="152">
        <f t="shared" si="14"/>
        <v>-5</v>
      </c>
      <c r="K183" s="152">
        <f t="shared" si="11"/>
        <v>-50</v>
      </c>
      <c r="L183" s="152"/>
      <c r="M183" s="154">
        <f t="shared" si="12"/>
        <v>0</v>
      </c>
    </row>
    <row r="184" spans="1:13">
      <c r="A184" s="168"/>
      <c r="G184" s="138"/>
      <c r="H184" s="152">
        <v>179</v>
      </c>
      <c r="I184" s="153" t="str">
        <f t="shared" si="13"/>
        <v/>
      </c>
      <c r="J184" s="152">
        <f t="shared" si="14"/>
        <v>-5</v>
      </c>
      <c r="K184" s="152">
        <f t="shared" si="11"/>
        <v>-50</v>
      </c>
      <c r="L184" s="152"/>
      <c r="M184" s="154">
        <f t="shared" si="12"/>
        <v>0</v>
      </c>
    </row>
    <row r="185" spans="1:13">
      <c r="A185" s="168"/>
      <c r="G185" s="138"/>
      <c r="H185" s="152">
        <v>180</v>
      </c>
      <c r="I185" s="153" t="str">
        <f t="shared" si="13"/>
        <v/>
      </c>
      <c r="J185" s="152">
        <f t="shared" si="14"/>
        <v>-5</v>
      </c>
      <c r="K185" s="152">
        <f t="shared" si="11"/>
        <v>-50</v>
      </c>
      <c r="L185" s="152"/>
      <c r="M185" s="154">
        <f t="shared" si="12"/>
        <v>0</v>
      </c>
    </row>
    <row r="186" spans="1:13">
      <c r="A186" s="168"/>
      <c r="G186" s="138"/>
      <c r="H186" s="152">
        <v>181</v>
      </c>
      <c r="I186" s="153" t="str">
        <f t="shared" si="13"/>
        <v/>
      </c>
      <c r="J186" s="152">
        <f t="shared" si="14"/>
        <v>-5</v>
      </c>
      <c r="K186" s="152">
        <f t="shared" si="11"/>
        <v>-50</v>
      </c>
      <c r="L186" s="152"/>
      <c r="M186" s="154">
        <f t="shared" si="12"/>
        <v>0</v>
      </c>
    </row>
    <row r="187" spans="1:13">
      <c r="A187" s="168"/>
      <c r="G187" s="138"/>
      <c r="H187" s="152">
        <v>182</v>
      </c>
      <c r="I187" s="153" t="str">
        <f t="shared" si="13"/>
        <v/>
      </c>
      <c r="J187" s="152">
        <f t="shared" si="14"/>
        <v>-5</v>
      </c>
      <c r="K187" s="152">
        <f t="shared" si="11"/>
        <v>-50</v>
      </c>
      <c r="L187" s="152"/>
      <c r="M187" s="154">
        <f t="shared" si="12"/>
        <v>0</v>
      </c>
    </row>
    <row r="188" spans="1:13">
      <c r="A188" s="168"/>
      <c r="G188" s="138"/>
      <c r="H188" s="152">
        <v>183</v>
      </c>
      <c r="I188" s="153" t="str">
        <f t="shared" si="13"/>
        <v/>
      </c>
      <c r="J188" s="152">
        <f t="shared" si="14"/>
        <v>-5</v>
      </c>
      <c r="K188" s="152">
        <f t="shared" si="11"/>
        <v>-50</v>
      </c>
      <c r="L188" s="152"/>
      <c r="M188" s="154">
        <f t="shared" si="12"/>
        <v>0</v>
      </c>
    </row>
    <row r="189" spans="1:13">
      <c r="A189" s="168"/>
      <c r="G189" s="138"/>
      <c r="H189" s="152">
        <v>184</v>
      </c>
      <c r="I189" s="153" t="str">
        <f t="shared" si="13"/>
        <v/>
      </c>
      <c r="J189" s="152">
        <f t="shared" si="14"/>
        <v>-5</v>
      </c>
      <c r="K189" s="152">
        <f t="shared" si="11"/>
        <v>-50</v>
      </c>
      <c r="L189" s="152"/>
      <c r="M189" s="154">
        <f t="shared" si="12"/>
        <v>0</v>
      </c>
    </row>
    <row r="190" spans="1:13">
      <c r="A190" s="168"/>
      <c r="G190" s="138"/>
      <c r="H190" s="152">
        <v>185</v>
      </c>
      <c r="I190" s="153" t="str">
        <f t="shared" si="13"/>
        <v/>
      </c>
      <c r="J190" s="152">
        <f t="shared" si="14"/>
        <v>-5</v>
      </c>
      <c r="K190" s="152">
        <f t="shared" si="11"/>
        <v>-50</v>
      </c>
      <c r="L190" s="152"/>
      <c r="M190" s="154">
        <f t="shared" si="12"/>
        <v>0</v>
      </c>
    </row>
    <row r="191" spans="1:13">
      <c r="A191" s="168"/>
      <c r="G191" s="138"/>
      <c r="H191" s="152">
        <v>186</v>
      </c>
      <c r="I191" s="153" t="str">
        <f t="shared" si="13"/>
        <v/>
      </c>
      <c r="J191" s="152">
        <f t="shared" si="14"/>
        <v>-5</v>
      </c>
      <c r="K191" s="152">
        <f t="shared" si="11"/>
        <v>-50</v>
      </c>
      <c r="L191" s="152"/>
      <c r="M191" s="154">
        <f t="shared" si="12"/>
        <v>0</v>
      </c>
    </row>
    <row r="192" spans="1:13">
      <c r="A192" s="168"/>
      <c r="G192" s="138"/>
      <c r="H192" s="152">
        <v>187</v>
      </c>
      <c r="I192" s="153" t="str">
        <f t="shared" si="13"/>
        <v/>
      </c>
      <c r="J192" s="152">
        <f t="shared" si="14"/>
        <v>-5</v>
      </c>
      <c r="K192" s="152">
        <f t="shared" si="11"/>
        <v>-50</v>
      </c>
      <c r="L192" s="152"/>
      <c r="M192" s="154">
        <f t="shared" si="12"/>
        <v>0</v>
      </c>
    </row>
    <row r="193" spans="1:13">
      <c r="A193" s="168"/>
      <c r="G193" s="138"/>
      <c r="H193" s="152">
        <v>188</v>
      </c>
      <c r="I193" s="153" t="str">
        <f t="shared" si="13"/>
        <v/>
      </c>
      <c r="J193" s="152">
        <f t="shared" si="14"/>
        <v>-5</v>
      </c>
      <c r="K193" s="152">
        <f t="shared" si="11"/>
        <v>-50</v>
      </c>
      <c r="L193" s="152"/>
      <c r="M193" s="154">
        <f t="shared" si="12"/>
        <v>0</v>
      </c>
    </row>
    <row r="194" spans="1:13">
      <c r="A194" s="168"/>
      <c r="G194" s="138"/>
      <c r="H194" s="152">
        <v>189</v>
      </c>
      <c r="I194" s="153" t="str">
        <f t="shared" si="13"/>
        <v/>
      </c>
      <c r="J194" s="152">
        <f t="shared" si="14"/>
        <v>-5</v>
      </c>
      <c r="K194" s="152">
        <f t="shared" si="11"/>
        <v>-50</v>
      </c>
      <c r="L194" s="152"/>
      <c r="M194" s="154">
        <f t="shared" si="12"/>
        <v>0</v>
      </c>
    </row>
    <row r="195" spans="1:13">
      <c r="A195" s="168"/>
      <c r="G195" s="138"/>
      <c r="H195" s="152">
        <v>190</v>
      </c>
      <c r="I195" s="153" t="str">
        <f t="shared" si="13"/>
        <v/>
      </c>
      <c r="J195" s="152">
        <f t="shared" si="14"/>
        <v>-5</v>
      </c>
      <c r="K195" s="152">
        <f t="shared" si="11"/>
        <v>-50</v>
      </c>
      <c r="L195" s="152"/>
      <c r="M195" s="154">
        <f t="shared" si="12"/>
        <v>0</v>
      </c>
    </row>
    <row r="196" spans="1:13">
      <c r="A196" s="168"/>
      <c r="G196" s="138"/>
      <c r="H196" s="152">
        <v>191</v>
      </c>
      <c r="I196" s="153" t="str">
        <f t="shared" si="13"/>
        <v/>
      </c>
      <c r="J196" s="152">
        <f t="shared" si="14"/>
        <v>-5</v>
      </c>
      <c r="K196" s="152">
        <f t="shared" si="11"/>
        <v>-50</v>
      </c>
      <c r="L196" s="152"/>
      <c r="M196" s="154">
        <f t="shared" si="12"/>
        <v>0</v>
      </c>
    </row>
    <row r="197" spans="1:13">
      <c r="A197" s="168"/>
      <c r="G197" s="138"/>
      <c r="H197" s="152">
        <v>192</v>
      </c>
      <c r="I197" s="153" t="str">
        <f t="shared" si="13"/>
        <v/>
      </c>
      <c r="J197" s="152">
        <f t="shared" si="14"/>
        <v>-5</v>
      </c>
      <c r="K197" s="152">
        <f t="shared" si="11"/>
        <v>-50</v>
      </c>
      <c r="L197" s="152"/>
      <c r="M197" s="154">
        <f t="shared" si="12"/>
        <v>0</v>
      </c>
    </row>
    <row r="198" spans="1:13">
      <c r="A198" s="168"/>
      <c r="G198" s="138"/>
      <c r="H198" s="152">
        <v>193</v>
      </c>
      <c r="I198" s="153" t="str">
        <f t="shared" si="13"/>
        <v/>
      </c>
      <c r="J198" s="152">
        <f t="shared" si="14"/>
        <v>-5</v>
      </c>
      <c r="K198" s="152">
        <f t="shared" ref="K198:K261" si="15">J198*$J$2</f>
        <v>-50</v>
      </c>
      <c r="L198" s="152"/>
      <c r="M198" s="154">
        <f t="shared" ref="M198:M261" si="16">IF(I198&lt;&gt;"",K198+I198+L198,0)</f>
        <v>0</v>
      </c>
    </row>
    <row r="199" spans="1:13">
      <c r="A199" s="168"/>
      <c r="G199" s="138"/>
      <c r="H199" s="152">
        <v>194</v>
      </c>
      <c r="I199" s="153" t="str">
        <f t="shared" ref="I199:I262" si="17">IF(H199&lt;$H$2+1,($I$2-($I$2-1)*(LOG(H199)/LOG($H$2))),"")</f>
        <v/>
      </c>
      <c r="J199" s="152">
        <f t="shared" ref="J199:J262" si="18">INT(LOG($H$2,2))-ROUNDUP(LOG(H199,2),0)+IF(OR($H$2=1,$H$2=2,$H$2=4,$H$2=8,$H$2=16,$H$2=32,$H$2=64,$H$2=128,$H$2=256),0,1)</f>
        <v>-5</v>
      </c>
      <c r="K199" s="152">
        <f t="shared" si="15"/>
        <v>-50</v>
      </c>
      <c r="L199" s="152"/>
      <c r="M199" s="154">
        <f t="shared" si="16"/>
        <v>0</v>
      </c>
    </row>
    <row r="200" spans="1:13">
      <c r="A200" s="168"/>
      <c r="G200" s="138"/>
      <c r="H200" s="152">
        <v>195</v>
      </c>
      <c r="I200" s="153" t="str">
        <f t="shared" si="17"/>
        <v/>
      </c>
      <c r="J200" s="152">
        <f t="shared" si="18"/>
        <v>-5</v>
      </c>
      <c r="K200" s="152">
        <f t="shared" si="15"/>
        <v>-50</v>
      </c>
      <c r="L200" s="152"/>
      <c r="M200" s="154">
        <f t="shared" si="16"/>
        <v>0</v>
      </c>
    </row>
    <row r="201" spans="1:13">
      <c r="A201" s="168"/>
      <c r="G201" s="138"/>
      <c r="H201" s="152">
        <v>196</v>
      </c>
      <c r="I201" s="153" t="str">
        <f t="shared" si="17"/>
        <v/>
      </c>
      <c r="J201" s="152">
        <f t="shared" si="18"/>
        <v>-5</v>
      </c>
      <c r="K201" s="152">
        <f t="shared" si="15"/>
        <v>-50</v>
      </c>
      <c r="L201" s="152"/>
      <c r="M201" s="154">
        <f t="shared" si="16"/>
        <v>0</v>
      </c>
    </row>
    <row r="202" spans="1:13">
      <c r="A202" s="168"/>
      <c r="G202" s="138"/>
      <c r="H202" s="152">
        <v>197</v>
      </c>
      <c r="I202" s="153" t="str">
        <f t="shared" si="17"/>
        <v/>
      </c>
      <c r="J202" s="152">
        <f t="shared" si="18"/>
        <v>-5</v>
      </c>
      <c r="K202" s="152">
        <f t="shared" si="15"/>
        <v>-50</v>
      </c>
      <c r="L202" s="152"/>
      <c r="M202" s="154">
        <f t="shared" si="16"/>
        <v>0</v>
      </c>
    </row>
    <row r="203" spans="1:13">
      <c r="A203" s="168"/>
      <c r="G203" s="138"/>
      <c r="H203" s="152">
        <v>198</v>
      </c>
      <c r="I203" s="153" t="str">
        <f t="shared" si="17"/>
        <v/>
      </c>
      <c r="J203" s="152">
        <f t="shared" si="18"/>
        <v>-5</v>
      </c>
      <c r="K203" s="152">
        <f t="shared" si="15"/>
        <v>-50</v>
      </c>
      <c r="L203" s="152"/>
      <c r="M203" s="154">
        <f t="shared" si="16"/>
        <v>0</v>
      </c>
    </row>
    <row r="204" spans="1:13">
      <c r="A204" s="168"/>
      <c r="G204" s="138"/>
      <c r="H204" s="152">
        <v>199</v>
      </c>
      <c r="I204" s="153" t="str">
        <f t="shared" si="17"/>
        <v/>
      </c>
      <c r="J204" s="152">
        <f t="shared" si="18"/>
        <v>-5</v>
      </c>
      <c r="K204" s="152">
        <f t="shared" si="15"/>
        <v>-50</v>
      </c>
      <c r="L204" s="152"/>
      <c r="M204" s="154">
        <f t="shared" si="16"/>
        <v>0</v>
      </c>
    </row>
    <row r="205" spans="1:13">
      <c r="A205" s="168"/>
      <c r="G205" s="138"/>
      <c r="H205" s="152">
        <v>200</v>
      </c>
      <c r="I205" s="153" t="str">
        <f t="shared" si="17"/>
        <v/>
      </c>
      <c r="J205" s="152">
        <f t="shared" si="18"/>
        <v>-5</v>
      </c>
      <c r="K205" s="152">
        <f t="shared" si="15"/>
        <v>-50</v>
      </c>
      <c r="L205" s="152"/>
      <c r="M205" s="154">
        <f t="shared" si="16"/>
        <v>0</v>
      </c>
    </row>
    <row r="206" spans="1:13">
      <c r="A206" s="168"/>
      <c r="G206" s="138"/>
      <c r="H206" s="152">
        <v>201</v>
      </c>
      <c r="I206" s="153" t="str">
        <f t="shared" si="17"/>
        <v/>
      </c>
      <c r="J206" s="152">
        <f t="shared" si="18"/>
        <v>-5</v>
      </c>
      <c r="K206" s="152">
        <f t="shared" si="15"/>
        <v>-50</v>
      </c>
      <c r="L206" s="152"/>
      <c r="M206" s="154">
        <f t="shared" si="16"/>
        <v>0</v>
      </c>
    </row>
    <row r="207" spans="1:13">
      <c r="A207" s="168"/>
      <c r="G207" s="138"/>
      <c r="H207" s="152">
        <v>202</v>
      </c>
      <c r="I207" s="153" t="str">
        <f t="shared" si="17"/>
        <v/>
      </c>
      <c r="J207" s="152">
        <f t="shared" si="18"/>
        <v>-5</v>
      </c>
      <c r="K207" s="152">
        <f t="shared" si="15"/>
        <v>-50</v>
      </c>
      <c r="L207" s="152"/>
      <c r="M207" s="154">
        <f t="shared" si="16"/>
        <v>0</v>
      </c>
    </row>
    <row r="208" spans="1:13">
      <c r="A208" s="168"/>
      <c r="G208" s="138"/>
      <c r="H208" s="152">
        <v>203</v>
      </c>
      <c r="I208" s="153" t="str">
        <f t="shared" si="17"/>
        <v/>
      </c>
      <c r="J208" s="152">
        <f t="shared" si="18"/>
        <v>-5</v>
      </c>
      <c r="K208" s="152">
        <f t="shared" si="15"/>
        <v>-50</v>
      </c>
      <c r="L208" s="152"/>
      <c r="M208" s="154">
        <f t="shared" si="16"/>
        <v>0</v>
      </c>
    </row>
    <row r="209" spans="1:13">
      <c r="A209" s="168"/>
      <c r="G209" s="138"/>
      <c r="H209" s="152">
        <v>204</v>
      </c>
      <c r="I209" s="153" t="str">
        <f t="shared" si="17"/>
        <v/>
      </c>
      <c r="J209" s="152">
        <f t="shared" si="18"/>
        <v>-5</v>
      </c>
      <c r="K209" s="152">
        <f t="shared" si="15"/>
        <v>-50</v>
      </c>
      <c r="L209" s="152"/>
      <c r="M209" s="154">
        <f t="shared" si="16"/>
        <v>0</v>
      </c>
    </row>
    <row r="210" spans="1:13">
      <c r="A210" s="168"/>
      <c r="G210" s="138"/>
      <c r="H210" s="152">
        <v>205</v>
      </c>
      <c r="I210" s="153" t="str">
        <f t="shared" si="17"/>
        <v/>
      </c>
      <c r="J210" s="152">
        <f t="shared" si="18"/>
        <v>-5</v>
      </c>
      <c r="K210" s="152">
        <f t="shared" si="15"/>
        <v>-50</v>
      </c>
      <c r="L210" s="152"/>
      <c r="M210" s="154">
        <f t="shared" si="16"/>
        <v>0</v>
      </c>
    </row>
    <row r="211" spans="1:13">
      <c r="A211" s="168"/>
      <c r="G211" s="138"/>
      <c r="H211" s="152">
        <v>206</v>
      </c>
      <c r="I211" s="153" t="str">
        <f t="shared" si="17"/>
        <v/>
      </c>
      <c r="J211" s="152">
        <f t="shared" si="18"/>
        <v>-5</v>
      </c>
      <c r="K211" s="152">
        <f t="shared" si="15"/>
        <v>-50</v>
      </c>
      <c r="L211" s="152"/>
      <c r="M211" s="154">
        <f t="shared" si="16"/>
        <v>0</v>
      </c>
    </row>
    <row r="212" spans="1:13">
      <c r="A212" s="168"/>
      <c r="G212" s="138"/>
      <c r="H212" s="152">
        <v>207</v>
      </c>
      <c r="I212" s="153" t="str">
        <f t="shared" si="17"/>
        <v/>
      </c>
      <c r="J212" s="152">
        <f t="shared" si="18"/>
        <v>-5</v>
      </c>
      <c r="K212" s="152">
        <f t="shared" si="15"/>
        <v>-50</v>
      </c>
      <c r="L212" s="152"/>
      <c r="M212" s="154">
        <f t="shared" si="16"/>
        <v>0</v>
      </c>
    </row>
    <row r="213" spans="1:13">
      <c r="A213" s="168"/>
      <c r="G213" s="138"/>
      <c r="H213" s="152">
        <v>208</v>
      </c>
      <c r="I213" s="153" t="str">
        <f t="shared" si="17"/>
        <v/>
      </c>
      <c r="J213" s="152">
        <f t="shared" si="18"/>
        <v>-5</v>
      </c>
      <c r="K213" s="152">
        <f t="shared" si="15"/>
        <v>-50</v>
      </c>
      <c r="L213" s="152"/>
      <c r="M213" s="154">
        <f t="shared" si="16"/>
        <v>0</v>
      </c>
    </row>
    <row r="214" spans="1:13">
      <c r="A214" s="168"/>
      <c r="G214" s="138"/>
      <c r="H214" s="152">
        <v>209</v>
      </c>
      <c r="I214" s="153" t="str">
        <f t="shared" si="17"/>
        <v/>
      </c>
      <c r="J214" s="152">
        <f t="shared" si="18"/>
        <v>-5</v>
      </c>
      <c r="K214" s="152">
        <f t="shared" si="15"/>
        <v>-50</v>
      </c>
      <c r="L214" s="152"/>
      <c r="M214" s="154">
        <f t="shared" si="16"/>
        <v>0</v>
      </c>
    </row>
    <row r="215" spans="1:13">
      <c r="A215" s="168"/>
      <c r="G215" s="138"/>
      <c r="H215" s="152">
        <v>210</v>
      </c>
      <c r="I215" s="153" t="str">
        <f t="shared" si="17"/>
        <v/>
      </c>
      <c r="J215" s="152">
        <f t="shared" si="18"/>
        <v>-5</v>
      </c>
      <c r="K215" s="152">
        <f t="shared" si="15"/>
        <v>-50</v>
      </c>
      <c r="L215" s="152"/>
      <c r="M215" s="154">
        <f t="shared" si="16"/>
        <v>0</v>
      </c>
    </row>
    <row r="216" spans="1:13">
      <c r="A216" s="168"/>
      <c r="G216" s="138"/>
      <c r="H216" s="152">
        <v>211</v>
      </c>
      <c r="I216" s="153" t="str">
        <f t="shared" si="17"/>
        <v/>
      </c>
      <c r="J216" s="152">
        <f t="shared" si="18"/>
        <v>-5</v>
      </c>
      <c r="K216" s="152">
        <f t="shared" si="15"/>
        <v>-50</v>
      </c>
      <c r="L216" s="152"/>
      <c r="M216" s="154">
        <f t="shared" si="16"/>
        <v>0</v>
      </c>
    </row>
    <row r="217" spans="1:13">
      <c r="A217" s="168"/>
      <c r="G217" s="138"/>
      <c r="H217" s="152">
        <v>212</v>
      </c>
      <c r="I217" s="153" t="str">
        <f t="shared" si="17"/>
        <v/>
      </c>
      <c r="J217" s="152">
        <f t="shared" si="18"/>
        <v>-5</v>
      </c>
      <c r="K217" s="152">
        <f t="shared" si="15"/>
        <v>-50</v>
      </c>
      <c r="L217" s="152"/>
      <c r="M217" s="154">
        <f t="shared" si="16"/>
        <v>0</v>
      </c>
    </row>
    <row r="218" spans="1:13">
      <c r="A218" s="168"/>
      <c r="G218" s="138"/>
      <c r="H218" s="152">
        <v>213</v>
      </c>
      <c r="I218" s="153" t="str">
        <f t="shared" si="17"/>
        <v/>
      </c>
      <c r="J218" s="152">
        <f t="shared" si="18"/>
        <v>-5</v>
      </c>
      <c r="K218" s="152">
        <f t="shared" si="15"/>
        <v>-50</v>
      </c>
      <c r="L218" s="152"/>
      <c r="M218" s="154">
        <f t="shared" si="16"/>
        <v>0</v>
      </c>
    </row>
    <row r="219" spans="1:13">
      <c r="A219" s="168"/>
      <c r="G219" s="138"/>
      <c r="H219" s="152">
        <v>214</v>
      </c>
      <c r="I219" s="153" t="str">
        <f t="shared" si="17"/>
        <v/>
      </c>
      <c r="J219" s="152">
        <f t="shared" si="18"/>
        <v>-5</v>
      </c>
      <c r="K219" s="152">
        <f t="shared" si="15"/>
        <v>-50</v>
      </c>
      <c r="L219" s="152"/>
      <c r="M219" s="154">
        <f t="shared" si="16"/>
        <v>0</v>
      </c>
    </row>
    <row r="220" spans="1:13">
      <c r="A220" s="168"/>
      <c r="G220" s="138"/>
      <c r="H220" s="152">
        <v>215</v>
      </c>
      <c r="I220" s="153" t="str">
        <f t="shared" si="17"/>
        <v/>
      </c>
      <c r="J220" s="152">
        <f t="shared" si="18"/>
        <v>-5</v>
      </c>
      <c r="K220" s="152">
        <f t="shared" si="15"/>
        <v>-50</v>
      </c>
      <c r="L220" s="152"/>
      <c r="M220" s="154">
        <f t="shared" si="16"/>
        <v>0</v>
      </c>
    </row>
    <row r="221" spans="1:13">
      <c r="A221" s="168"/>
      <c r="G221" s="138"/>
      <c r="H221" s="152">
        <v>216</v>
      </c>
      <c r="I221" s="153" t="str">
        <f t="shared" si="17"/>
        <v/>
      </c>
      <c r="J221" s="152">
        <f t="shared" si="18"/>
        <v>-5</v>
      </c>
      <c r="K221" s="152">
        <f t="shared" si="15"/>
        <v>-50</v>
      </c>
      <c r="L221" s="152"/>
      <c r="M221" s="154">
        <f t="shared" si="16"/>
        <v>0</v>
      </c>
    </row>
    <row r="222" spans="1:13">
      <c r="A222" s="168"/>
      <c r="G222" s="138"/>
      <c r="H222" s="152">
        <v>217</v>
      </c>
      <c r="I222" s="153" t="str">
        <f t="shared" si="17"/>
        <v/>
      </c>
      <c r="J222" s="152">
        <f t="shared" si="18"/>
        <v>-5</v>
      </c>
      <c r="K222" s="152">
        <f t="shared" si="15"/>
        <v>-50</v>
      </c>
      <c r="L222" s="152"/>
      <c r="M222" s="154">
        <f t="shared" si="16"/>
        <v>0</v>
      </c>
    </row>
    <row r="223" spans="1:13">
      <c r="A223" s="168"/>
      <c r="G223" s="138"/>
      <c r="H223" s="152">
        <v>218</v>
      </c>
      <c r="I223" s="153" t="str">
        <f t="shared" si="17"/>
        <v/>
      </c>
      <c r="J223" s="152">
        <f t="shared" si="18"/>
        <v>-5</v>
      </c>
      <c r="K223" s="152">
        <f t="shared" si="15"/>
        <v>-50</v>
      </c>
      <c r="L223" s="152"/>
      <c r="M223" s="154">
        <f t="shared" si="16"/>
        <v>0</v>
      </c>
    </row>
    <row r="224" spans="1:13">
      <c r="A224" s="168"/>
      <c r="G224" s="138"/>
      <c r="H224" s="152">
        <v>219</v>
      </c>
      <c r="I224" s="153" t="str">
        <f t="shared" si="17"/>
        <v/>
      </c>
      <c r="J224" s="152">
        <f t="shared" si="18"/>
        <v>-5</v>
      </c>
      <c r="K224" s="152">
        <f t="shared" si="15"/>
        <v>-50</v>
      </c>
      <c r="L224" s="152"/>
      <c r="M224" s="154">
        <f t="shared" si="16"/>
        <v>0</v>
      </c>
    </row>
    <row r="225" spans="1:13">
      <c r="A225" s="168"/>
      <c r="G225" s="138"/>
      <c r="H225" s="152">
        <v>220</v>
      </c>
      <c r="I225" s="153" t="str">
        <f t="shared" si="17"/>
        <v/>
      </c>
      <c r="J225" s="152">
        <f t="shared" si="18"/>
        <v>-5</v>
      </c>
      <c r="K225" s="152">
        <f t="shared" si="15"/>
        <v>-50</v>
      </c>
      <c r="L225" s="152"/>
      <c r="M225" s="154">
        <f t="shared" si="16"/>
        <v>0</v>
      </c>
    </row>
    <row r="226" spans="1:13">
      <c r="A226" s="168"/>
      <c r="G226" s="138"/>
      <c r="H226" s="152">
        <v>221</v>
      </c>
      <c r="I226" s="153" t="str">
        <f t="shared" si="17"/>
        <v/>
      </c>
      <c r="J226" s="152">
        <f t="shared" si="18"/>
        <v>-5</v>
      </c>
      <c r="K226" s="152">
        <f t="shared" si="15"/>
        <v>-50</v>
      </c>
      <c r="L226" s="152"/>
      <c r="M226" s="154">
        <f t="shared" si="16"/>
        <v>0</v>
      </c>
    </row>
    <row r="227" spans="1:13">
      <c r="A227" s="168"/>
      <c r="G227" s="138"/>
      <c r="H227" s="152">
        <v>222</v>
      </c>
      <c r="I227" s="153" t="str">
        <f t="shared" si="17"/>
        <v/>
      </c>
      <c r="J227" s="152">
        <f t="shared" si="18"/>
        <v>-5</v>
      </c>
      <c r="K227" s="152">
        <f t="shared" si="15"/>
        <v>-50</v>
      </c>
      <c r="L227" s="152"/>
      <c r="M227" s="154">
        <f t="shared" si="16"/>
        <v>0</v>
      </c>
    </row>
    <row r="228" spans="1:13">
      <c r="A228" s="168"/>
      <c r="G228" s="138"/>
      <c r="H228" s="152">
        <v>223</v>
      </c>
      <c r="I228" s="153" t="str">
        <f t="shared" si="17"/>
        <v/>
      </c>
      <c r="J228" s="152">
        <f t="shared" si="18"/>
        <v>-5</v>
      </c>
      <c r="K228" s="152">
        <f t="shared" si="15"/>
        <v>-50</v>
      </c>
      <c r="L228" s="152"/>
      <c r="M228" s="154">
        <f t="shared" si="16"/>
        <v>0</v>
      </c>
    </row>
    <row r="229" spans="1:13">
      <c r="A229" s="168"/>
      <c r="G229" s="138"/>
      <c r="H229" s="152">
        <v>224</v>
      </c>
      <c r="I229" s="153" t="str">
        <f t="shared" si="17"/>
        <v/>
      </c>
      <c r="J229" s="152">
        <f t="shared" si="18"/>
        <v>-5</v>
      </c>
      <c r="K229" s="152">
        <f t="shared" si="15"/>
        <v>-50</v>
      </c>
      <c r="L229" s="152"/>
      <c r="M229" s="154">
        <f t="shared" si="16"/>
        <v>0</v>
      </c>
    </row>
    <row r="230" spans="1:13">
      <c r="A230" s="168"/>
      <c r="G230" s="138"/>
      <c r="H230" s="152">
        <v>225</v>
      </c>
      <c r="I230" s="153" t="str">
        <f t="shared" si="17"/>
        <v/>
      </c>
      <c r="J230" s="152">
        <f t="shared" si="18"/>
        <v>-5</v>
      </c>
      <c r="K230" s="152">
        <f t="shared" si="15"/>
        <v>-50</v>
      </c>
      <c r="L230" s="152"/>
      <c r="M230" s="154">
        <f t="shared" si="16"/>
        <v>0</v>
      </c>
    </row>
    <row r="231" spans="1:13">
      <c r="A231" s="168"/>
      <c r="G231" s="138"/>
      <c r="H231" s="152">
        <v>226</v>
      </c>
      <c r="I231" s="153" t="str">
        <f t="shared" si="17"/>
        <v/>
      </c>
      <c r="J231" s="152">
        <f t="shared" si="18"/>
        <v>-5</v>
      </c>
      <c r="K231" s="152">
        <f t="shared" si="15"/>
        <v>-50</v>
      </c>
      <c r="L231" s="152"/>
      <c r="M231" s="154">
        <f t="shared" si="16"/>
        <v>0</v>
      </c>
    </row>
    <row r="232" spans="1:13">
      <c r="A232" s="168"/>
      <c r="G232" s="138"/>
      <c r="H232" s="152">
        <v>227</v>
      </c>
      <c r="I232" s="153" t="str">
        <f t="shared" si="17"/>
        <v/>
      </c>
      <c r="J232" s="152">
        <f t="shared" si="18"/>
        <v>-5</v>
      </c>
      <c r="K232" s="152">
        <f t="shared" si="15"/>
        <v>-50</v>
      </c>
      <c r="L232" s="152"/>
      <c r="M232" s="154">
        <f t="shared" si="16"/>
        <v>0</v>
      </c>
    </row>
    <row r="233" spans="1:13">
      <c r="A233" s="168"/>
      <c r="G233" s="138"/>
      <c r="H233" s="152">
        <v>228</v>
      </c>
      <c r="I233" s="153" t="str">
        <f t="shared" si="17"/>
        <v/>
      </c>
      <c r="J233" s="152">
        <f t="shared" si="18"/>
        <v>-5</v>
      </c>
      <c r="K233" s="152">
        <f t="shared" si="15"/>
        <v>-50</v>
      </c>
      <c r="L233" s="152"/>
      <c r="M233" s="154">
        <f t="shared" si="16"/>
        <v>0</v>
      </c>
    </row>
    <row r="234" spans="1:13">
      <c r="A234" s="168"/>
      <c r="G234" s="138"/>
      <c r="H234" s="152">
        <v>229</v>
      </c>
      <c r="I234" s="153" t="str">
        <f t="shared" si="17"/>
        <v/>
      </c>
      <c r="J234" s="152">
        <f t="shared" si="18"/>
        <v>-5</v>
      </c>
      <c r="K234" s="152">
        <f t="shared" si="15"/>
        <v>-50</v>
      </c>
      <c r="L234" s="152"/>
      <c r="M234" s="154">
        <f t="shared" si="16"/>
        <v>0</v>
      </c>
    </row>
    <row r="235" spans="1:13">
      <c r="A235" s="168"/>
      <c r="G235" s="138"/>
      <c r="H235" s="152">
        <v>230</v>
      </c>
      <c r="I235" s="153" t="str">
        <f t="shared" si="17"/>
        <v/>
      </c>
      <c r="J235" s="152">
        <f t="shared" si="18"/>
        <v>-5</v>
      </c>
      <c r="K235" s="152">
        <f t="shared" si="15"/>
        <v>-50</v>
      </c>
      <c r="L235" s="152"/>
      <c r="M235" s="154">
        <f t="shared" si="16"/>
        <v>0</v>
      </c>
    </row>
    <row r="236" spans="1:13">
      <c r="A236" s="168"/>
      <c r="G236" s="138"/>
      <c r="H236" s="152">
        <v>231</v>
      </c>
      <c r="I236" s="153" t="str">
        <f t="shared" si="17"/>
        <v/>
      </c>
      <c r="J236" s="152">
        <f t="shared" si="18"/>
        <v>-5</v>
      </c>
      <c r="K236" s="152">
        <f t="shared" si="15"/>
        <v>-50</v>
      </c>
      <c r="L236" s="152"/>
      <c r="M236" s="154">
        <f t="shared" si="16"/>
        <v>0</v>
      </c>
    </row>
    <row r="237" spans="1:13">
      <c r="A237" s="168"/>
      <c r="G237" s="138"/>
      <c r="H237" s="152">
        <v>232</v>
      </c>
      <c r="I237" s="153" t="str">
        <f t="shared" si="17"/>
        <v/>
      </c>
      <c r="J237" s="152">
        <f t="shared" si="18"/>
        <v>-5</v>
      </c>
      <c r="K237" s="152">
        <f t="shared" si="15"/>
        <v>-50</v>
      </c>
      <c r="L237" s="152"/>
      <c r="M237" s="154">
        <f t="shared" si="16"/>
        <v>0</v>
      </c>
    </row>
    <row r="238" spans="1:13">
      <c r="A238" s="168"/>
      <c r="G238" s="138"/>
      <c r="H238" s="152">
        <v>233</v>
      </c>
      <c r="I238" s="153" t="str">
        <f t="shared" si="17"/>
        <v/>
      </c>
      <c r="J238" s="152">
        <f t="shared" si="18"/>
        <v>-5</v>
      </c>
      <c r="K238" s="152">
        <f t="shared" si="15"/>
        <v>-50</v>
      </c>
      <c r="L238" s="152"/>
      <c r="M238" s="154">
        <f t="shared" si="16"/>
        <v>0</v>
      </c>
    </row>
    <row r="239" spans="1:13">
      <c r="A239" s="168"/>
      <c r="G239" s="138"/>
      <c r="H239" s="152">
        <v>234</v>
      </c>
      <c r="I239" s="153" t="str">
        <f t="shared" si="17"/>
        <v/>
      </c>
      <c r="J239" s="152">
        <f t="shared" si="18"/>
        <v>-5</v>
      </c>
      <c r="K239" s="152">
        <f t="shared" si="15"/>
        <v>-50</v>
      </c>
      <c r="L239" s="152"/>
      <c r="M239" s="154">
        <f t="shared" si="16"/>
        <v>0</v>
      </c>
    </row>
    <row r="240" spans="1:13">
      <c r="A240" s="168"/>
      <c r="G240" s="138"/>
      <c r="H240" s="152">
        <v>235</v>
      </c>
      <c r="I240" s="153" t="str">
        <f t="shared" si="17"/>
        <v/>
      </c>
      <c r="J240" s="152">
        <f t="shared" si="18"/>
        <v>-5</v>
      </c>
      <c r="K240" s="152">
        <f t="shared" si="15"/>
        <v>-50</v>
      </c>
      <c r="L240" s="152"/>
      <c r="M240" s="154">
        <f t="shared" si="16"/>
        <v>0</v>
      </c>
    </row>
    <row r="241" spans="1:13">
      <c r="A241" s="168"/>
      <c r="G241" s="138"/>
      <c r="H241" s="152">
        <v>236</v>
      </c>
      <c r="I241" s="153" t="str">
        <f t="shared" si="17"/>
        <v/>
      </c>
      <c r="J241" s="152">
        <f t="shared" si="18"/>
        <v>-5</v>
      </c>
      <c r="K241" s="152">
        <f t="shared" si="15"/>
        <v>-50</v>
      </c>
      <c r="L241" s="152"/>
      <c r="M241" s="154">
        <f t="shared" si="16"/>
        <v>0</v>
      </c>
    </row>
    <row r="242" spans="1:13">
      <c r="A242" s="168"/>
      <c r="G242" s="138"/>
      <c r="H242" s="152">
        <v>237</v>
      </c>
      <c r="I242" s="153" t="str">
        <f t="shared" si="17"/>
        <v/>
      </c>
      <c r="J242" s="152">
        <f t="shared" si="18"/>
        <v>-5</v>
      </c>
      <c r="K242" s="152">
        <f t="shared" si="15"/>
        <v>-50</v>
      </c>
      <c r="L242" s="152"/>
      <c r="M242" s="154">
        <f t="shared" si="16"/>
        <v>0</v>
      </c>
    </row>
    <row r="243" spans="1:13">
      <c r="A243" s="168"/>
      <c r="G243" s="138"/>
      <c r="H243" s="152">
        <v>238</v>
      </c>
      <c r="I243" s="153" t="str">
        <f t="shared" si="17"/>
        <v/>
      </c>
      <c r="J243" s="152">
        <f t="shared" si="18"/>
        <v>-5</v>
      </c>
      <c r="K243" s="152">
        <f t="shared" si="15"/>
        <v>-50</v>
      </c>
      <c r="L243" s="152"/>
      <c r="M243" s="154">
        <f t="shared" si="16"/>
        <v>0</v>
      </c>
    </row>
    <row r="244" spans="1:13">
      <c r="A244" s="168"/>
      <c r="G244" s="138"/>
      <c r="H244" s="152">
        <v>239</v>
      </c>
      <c r="I244" s="153" t="str">
        <f t="shared" si="17"/>
        <v/>
      </c>
      <c r="J244" s="152">
        <f t="shared" si="18"/>
        <v>-5</v>
      </c>
      <c r="K244" s="152">
        <f t="shared" si="15"/>
        <v>-50</v>
      </c>
      <c r="L244" s="152"/>
      <c r="M244" s="154">
        <f t="shared" si="16"/>
        <v>0</v>
      </c>
    </row>
    <row r="245" spans="1:13">
      <c r="A245" s="168"/>
      <c r="G245" s="138"/>
      <c r="H245" s="152">
        <v>240</v>
      </c>
      <c r="I245" s="153" t="str">
        <f t="shared" si="17"/>
        <v/>
      </c>
      <c r="J245" s="152">
        <f t="shared" si="18"/>
        <v>-5</v>
      </c>
      <c r="K245" s="152">
        <f t="shared" si="15"/>
        <v>-50</v>
      </c>
      <c r="L245" s="152"/>
      <c r="M245" s="154">
        <f t="shared" si="16"/>
        <v>0</v>
      </c>
    </row>
    <row r="246" spans="1:13">
      <c r="A246" s="168"/>
      <c r="G246" s="138"/>
      <c r="H246" s="152">
        <v>241</v>
      </c>
      <c r="I246" s="153" t="str">
        <f t="shared" si="17"/>
        <v/>
      </c>
      <c r="J246" s="152">
        <f t="shared" si="18"/>
        <v>-5</v>
      </c>
      <c r="K246" s="152">
        <f t="shared" si="15"/>
        <v>-50</v>
      </c>
      <c r="L246" s="152"/>
      <c r="M246" s="154">
        <f t="shared" si="16"/>
        <v>0</v>
      </c>
    </row>
    <row r="247" spans="1:13">
      <c r="A247" s="168"/>
      <c r="G247" s="138"/>
      <c r="H247" s="152">
        <v>242</v>
      </c>
      <c r="I247" s="153" t="str">
        <f t="shared" si="17"/>
        <v/>
      </c>
      <c r="J247" s="152">
        <f t="shared" si="18"/>
        <v>-5</v>
      </c>
      <c r="K247" s="152">
        <f t="shared" si="15"/>
        <v>-50</v>
      </c>
      <c r="L247" s="152"/>
      <c r="M247" s="154">
        <f t="shared" si="16"/>
        <v>0</v>
      </c>
    </row>
    <row r="248" spans="1:13">
      <c r="A248" s="168"/>
      <c r="G248" s="138"/>
      <c r="H248" s="152">
        <v>243</v>
      </c>
      <c r="I248" s="153" t="str">
        <f t="shared" si="17"/>
        <v/>
      </c>
      <c r="J248" s="152">
        <f t="shared" si="18"/>
        <v>-5</v>
      </c>
      <c r="K248" s="152">
        <f t="shared" si="15"/>
        <v>-50</v>
      </c>
      <c r="L248" s="152"/>
      <c r="M248" s="154">
        <f t="shared" si="16"/>
        <v>0</v>
      </c>
    </row>
    <row r="249" spans="1:13">
      <c r="A249" s="168"/>
      <c r="G249" s="138"/>
      <c r="H249" s="152">
        <v>244</v>
      </c>
      <c r="I249" s="153" t="str">
        <f t="shared" si="17"/>
        <v/>
      </c>
      <c r="J249" s="152">
        <f t="shared" si="18"/>
        <v>-5</v>
      </c>
      <c r="K249" s="152">
        <f t="shared" si="15"/>
        <v>-50</v>
      </c>
      <c r="L249" s="152"/>
      <c r="M249" s="154">
        <f t="shared" si="16"/>
        <v>0</v>
      </c>
    </row>
    <row r="250" spans="1:13">
      <c r="A250" s="168"/>
      <c r="G250" s="138"/>
      <c r="H250" s="152">
        <v>245</v>
      </c>
      <c r="I250" s="153" t="str">
        <f t="shared" si="17"/>
        <v/>
      </c>
      <c r="J250" s="152">
        <f t="shared" si="18"/>
        <v>-5</v>
      </c>
      <c r="K250" s="152">
        <f t="shared" si="15"/>
        <v>-50</v>
      </c>
      <c r="L250" s="152"/>
      <c r="M250" s="154">
        <f t="shared" si="16"/>
        <v>0</v>
      </c>
    </row>
    <row r="251" spans="1:13">
      <c r="A251" s="168"/>
      <c r="G251" s="138"/>
      <c r="H251" s="152">
        <v>246</v>
      </c>
      <c r="I251" s="153" t="str">
        <f t="shared" si="17"/>
        <v/>
      </c>
      <c r="J251" s="152">
        <f t="shared" si="18"/>
        <v>-5</v>
      </c>
      <c r="K251" s="152">
        <f t="shared" si="15"/>
        <v>-50</v>
      </c>
      <c r="L251" s="152"/>
      <c r="M251" s="154">
        <f t="shared" si="16"/>
        <v>0</v>
      </c>
    </row>
    <row r="252" spans="1:13">
      <c r="A252" s="168"/>
      <c r="G252" s="138"/>
      <c r="H252" s="152">
        <v>247</v>
      </c>
      <c r="I252" s="153" t="str">
        <f t="shared" si="17"/>
        <v/>
      </c>
      <c r="J252" s="152">
        <f t="shared" si="18"/>
        <v>-5</v>
      </c>
      <c r="K252" s="152">
        <f t="shared" si="15"/>
        <v>-50</v>
      </c>
      <c r="L252" s="152"/>
      <c r="M252" s="154">
        <f t="shared" si="16"/>
        <v>0</v>
      </c>
    </row>
    <row r="253" spans="1:13">
      <c r="A253" s="168"/>
      <c r="G253" s="138"/>
      <c r="H253" s="152">
        <v>248</v>
      </c>
      <c r="I253" s="153" t="str">
        <f t="shared" si="17"/>
        <v/>
      </c>
      <c r="J253" s="152">
        <f t="shared" si="18"/>
        <v>-5</v>
      </c>
      <c r="K253" s="152">
        <f t="shared" si="15"/>
        <v>-50</v>
      </c>
      <c r="L253" s="152"/>
      <c r="M253" s="154">
        <f t="shared" si="16"/>
        <v>0</v>
      </c>
    </row>
    <row r="254" spans="1:13">
      <c r="A254" s="168"/>
      <c r="G254" s="138"/>
      <c r="H254" s="152">
        <v>249</v>
      </c>
      <c r="I254" s="153" t="str">
        <f t="shared" si="17"/>
        <v/>
      </c>
      <c r="J254" s="152">
        <f t="shared" si="18"/>
        <v>-5</v>
      </c>
      <c r="K254" s="152">
        <f t="shared" si="15"/>
        <v>-50</v>
      </c>
      <c r="L254" s="152"/>
      <c r="M254" s="154">
        <f t="shared" si="16"/>
        <v>0</v>
      </c>
    </row>
    <row r="255" spans="1:13">
      <c r="A255" s="168"/>
      <c r="G255" s="138"/>
      <c r="H255" s="152">
        <v>250</v>
      </c>
      <c r="I255" s="153" t="str">
        <f t="shared" si="17"/>
        <v/>
      </c>
      <c r="J255" s="152">
        <f t="shared" si="18"/>
        <v>-5</v>
      </c>
      <c r="K255" s="152">
        <f t="shared" si="15"/>
        <v>-50</v>
      </c>
      <c r="L255" s="152"/>
      <c r="M255" s="154">
        <f t="shared" si="16"/>
        <v>0</v>
      </c>
    </row>
    <row r="256" spans="1:13">
      <c r="A256" s="168"/>
      <c r="G256" s="138"/>
      <c r="H256" s="152">
        <v>251</v>
      </c>
      <c r="I256" s="153" t="str">
        <f t="shared" si="17"/>
        <v/>
      </c>
      <c r="J256" s="152">
        <f t="shared" si="18"/>
        <v>-5</v>
      </c>
      <c r="K256" s="152">
        <f t="shared" si="15"/>
        <v>-50</v>
      </c>
      <c r="L256" s="152"/>
      <c r="M256" s="154">
        <f t="shared" si="16"/>
        <v>0</v>
      </c>
    </row>
    <row r="257" spans="1:13">
      <c r="A257" s="168"/>
      <c r="G257" s="138"/>
      <c r="H257" s="152">
        <v>252</v>
      </c>
      <c r="I257" s="153" t="str">
        <f t="shared" si="17"/>
        <v/>
      </c>
      <c r="J257" s="152">
        <f t="shared" si="18"/>
        <v>-5</v>
      </c>
      <c r="K257" s="152">
        <f t="shared" si="15"/>
        <v>-50</v>
      </c>
      <c r="L257" s="152"/>
      <c r="M257" s="154">
        <f t="shared" si="16"/>
        <v>0</v>
      </c>
    </row>
    <row r="258" spans="1:13">
      <c r="A258" s="168"/>
      <c r="G258" s="138"/>
      <c r="H258" s="152">
        <v>253</v>
      </c>
      <c r="I258" s="153" t="str">
        <f t="shared" si="17"/>
        <v/>
      </c>
      <c r="J258" s="152">
        <f t="shared" si="18"/>
        <v>-5</v>
      </c>
      <c r="K258" s="152">
        <f t="shared" si="15"/>
        <v>-50</v>
      </c>
      <c r="L258" s="152"/>
      <c r="M258" s="154">
        <f t="shared" si="16"/>
        <v>0</v>
      </c>
    </row>
    <row r="259" spans="1:13">
      <c r="A259" s="168"/>
      <c r="G259" s="138"/>
      <c r="H259" s="152">
        <v>254</v>
      </c>
      <c r="I259" s="153" t="str">
        <f t="shared" si="17"/>
        <v/>
      </c>
      <c r="J259" s="152">
        <f t="shared" si="18"/>
        <v>-5</v>
      </c>
      <c r="K259" s="152">
        <f t="shared" si="15"/>
        <v>-50</v>
      </c>
      <c r="L259" s="152"/>
      <c r="M259" s="154">
        <f t="shared" si="16"/>
        <v>0</v>
      </c>
    </row>
    <row r="260" spans="1:13">
      <c r="A260" s="168"/>
      <c r="G260" s="138"/>
      <c r="H260" s="152">
        <v>255</v>
      </c>
      <c r="I260" s="153" t="str">
        <f t="shared" si="17"/>
        <v/>
      </c>
      <c r="J260" s="152">
        <f t="shared" si="18"/>
        <v>-5</v>
      </c>
      <c r="K260" s="152">
        <f t="shared" si="15"/>
        <v>-50</v>
      </c>
      <c r="L260" s="152"/>
      <c r="M260" s="154">
        <f t="shared" si="16"/>
        <v>0</v>
      </c>
    </row>
    <row r="261" spans="1:13">
      <c r="A261" s="168"/>
      <c r="G261" s="138"/>
      <c r="H261" s="152">
        <v>256</v>
      </c>
      <c r="I261" s="153" t="str">
        <f t="shared" si="17"/>
        <v/>
      </c>
      <c r="J261" s="152">
        <f t="shared" si="18"/>
        <v>-5</v>
      </c>
      <c r="K261" s="152">
        <f t="shared" si="15"/>
        <v>-50</v>
      </c>
      <c r="L261" s="152"/>
      <c r="M261" s="154">
        <f t="shared" si="16"/>
        <v>0</v>
      </c>
    </row>
    <row r="262" spans="1:13">
      <c r="A262" s="168"/>
      <c r="G262" s="138"/>
      <c r="H262" s="152">
        <v>257</v>
      </c>
      <c r="I262" s="153" t="str">
        <f t="shared" si="17"/>
        <v/>
      </c>
      <c r="J262" s="152">
        <f t="shared" si="18"/>
        <v>-6</v>
      </c>
      <c r="K262" s="152">
        <f t="shared" ref="K262:K305" si="19">J262*$J$2</f>
        <v>-60</v>
      </c>
      <c r="L262" s="152"/>
      <c r="M262" s="154">
        <f t="shared" ref="M262:M305" si="20">IF(I262&lt;&gt;"",K262+I262+L262,0)</f>
        <v>0</v>
      </c>
    </row>
    <row r="263" spans="1:13">
      <c r="A263" s="168"/>
      <c r="G263" s="138"/>
      <c r="H263" s="152">
        <v>258</v>
      </c>
      <c r="I263" s="153" t="str">
        <f t="shared" ref="I263:I305" si="21">IF(H263&lt;$H$2+1,($I$2-($I$2-1)*(LOG(H263)/LOG($H$2))),"")</f>
        <v/>
      </c>
      <c r="J263" s="152">
        <f t="shared" ref="J263:J305" si="22">INT(LOG($H$2,2))-ROUNDUP(LOG(H263,2),0)+IF(OR($H$2=1,$H$2=2,$H$2=4,$H$2=8,$H$2=16,$H$2=32,$H$2=64,$H$2=128,$H$2=256),0,1)</f>
        <v>-6</v>
      </c>
      <c r="K263" s="152">
        <f t="shared" si="19"/>
        <v>-60</v>
      </c>
      <c r="L263" s="152"/>
      <c r="M263" s="154">
        <f t="shared" si="20"/>
        <v>0</v>
      </c>
    </row>
    <row r="264" spans="1:13">
      <c r="A264" s="168"/>
      <c r="G264" s="138"/>
      <c r="H264" s="152">
        <v>259</v>
      </c>
      <c r="I264" s="153" t="str">
        <f t="shared" si="21"/>
        <v/>
      </c>
      <c r="J264" s="152">
        <f t="shared" si="22"/>
        <v>-6</v>
      </c>
      <c r="K264" s="152">
        <f t="shared" si="19"/>
        <v>-60</v>
      </c>
      <c r="L264" s="152"/>
      <c r="M264" s="154">
        <f t="shared" si="20"/>
        <v>0</v>
      </c>
    </row>
    <row r="265" spans="1:13">
      <c r="A265" s="168"/>
      <c r="G265" s="138"/>
      <c r="H265" s="152">
        <v>260</v>
      </c>
      <c r="I265" s="153" t="str">
        <f t="shared" si="21"/>
        <v/>
      </c>
      <c r="J265" s="152">
        <f t="shared" si="22"/>
        <v>-6</v>
      </c>
      <c r="K265" s="152">
        <f t="shared" si="19"/>
        <v>-60</v>
      </c>
      <c r="L265" s="152"/>
      <c r="M265" s="154">
        <f t="shared" si="20"/>
        <v>0</v>
      </c>
    </row>
    <row r="266" spans="1:13">
      <c r="A266" s="168"/>
      <c r="G266" s="138"/>
      <c r="H266" s="152">
        <v>261</v>
      </c>
      <c r="I266" s="153" t="str">
        <f t="shared" si="21"/>
        <v/>
      </c>
      <c r="J266" s="152">
        <f t="shared" si="22"/>
        <v>-6</v>
      </c>
      <c r="K266" s="152">
        <f t="shared" si="19"/>
        <v>-60</v>
      </c>
      <c r="L266" s="152"/>
      <c r="M266" s="154">
        <f t="shared" si="20"/>
        <v>0</v>
      </c>
    </row>
    <row r="267" spans="1:13">
      <c r="A267" s="168"/>
      <c r="G267" s="138"/>
      <c r="H267" s="152">
        <v>262</v>
      </c>
      <c r="I267" s="153" t="str">
        <f t="shared" si="21"/>
        <v/>
      </c>
      <c r="J267" s="152">
        <f t="shared" si="22"/>
        <v>-6</v>
      </c>
      <c r="K267" s="152">
        <f t="shared" si="19"/>
        <v>-60</v>
      </c>
      <c r="L267" s="152"/>
      <c r="M267" s="154">
        <f t="shared" si="20"/>
        <v>0</v>
      </c>
    </row>
    <row r="268" spans="1:13">
      <c r="A268" s="168"/>
      <c r="G268" s="138"/>
      <c r="H268" s="152">
        <v>263</v>
      </c>
      <c r="I268" s="153" t="str">
        <f t="shared" si="21"/>
        <v/>
      </c>
      <c r="J268" s="152">
        <f t="shared" si="22"/>
        <v>-6</v>
      </c>
      <c r="K268" s="152">
        <f t="shared" si="19"/>
        <v>-60</v>
      </c>
      <c r="L268" s="152"/>
      <c r="M268" s="154">
        <f t="shared" si="20"/>
        <v>0</v>
      </c>
    </row>
    <row r="269" spans="1:13">
      <c r="A269" s="168"/>
      <c r="G269" s="138"/>
      <c r="H269" s="152">
        <v>264</v>
      </c>
      <c r="I269" s="153" t="str">
        <f t="shared" si="21"/>
        <v/>
      </c>
      <c r="J269" s="152">
        <f t="shared" si="22"/>
        <v>-6</v>
      </c>
      <c r="K269" s="152">
        <f t="shared" si="19"/>
        <v>-60</v>
      </c>
      <c r="L269" s="152"/>
      <c r="M269" s="154">
        <f t="shared" si="20"/>
        <v>0</v>
      </c>
    </row>
    <row r="270" spans="1:13">
      <c r="A270" s="168"/>
      <c r="G270" s="138"/>
      <c r="H270" s="152">
        <v>265</v>
      </c>
      <c r="I270" s="153" t="str">
        <f t="shared" si="21"/>
        <v/>
      </c>
      <c r="J270" s="152">
        <f t="shared" si="22"/>
        <v>-6</v>
      </c>
      <c r="K270" s="152">
        <f t="shared" si="19"/>
        <v>-60</v>
      </c>
      <c r="L270" s="152"/>
      <c r="M270" s="154">
        <f t="shared" si="20"/>
        <v>0</v>
      </c>
    </row>
    <row r="271" spans="1:13">
      <c r="A271" s="168"/>
      <c r="G271" s="138"/>
      <c r="H271" s="152">
        <v>266</v>
      </c>
      <c r="I271" s="153" t="str">
        <f t="shared" si="21"/>
        <v/>
      </c>
      <c r="J271" s="152">
        <f t="shared" si="22"/>
        <v>-6</v>
      </c>
      <c r="K271" s="152">
        <f t="shared" si="19"/>
        <v>-60</v>
      </c>
      <c r="L271" s="152"/>
      <c r="M271" s="154">
        <f t="shared" si="20"/>
        <v>0</v>
      </c>
    </row>
    <row r="272" spans="1:13">
      <c r="A272" s="168"/>
      <c r="G272" s="138"/>
      <c r="H272" s="152">
        <v>267</v>
      </c>
      <c r="I272" s="153" t="str">
        <f t="shared" si="21"/>
        <v/>
      </c>
      <c r="J272" s="152">
        <f t="shared" si="22"/>
        <v>-6</v>
      </c>
      <c r="K272" s="152">
        <f t="shared" si="19"/>
        <v>-60</v>
      </c>
      <c r="L272" s="152"/>
      <c r="M272" s="154">
        <f t="shared" si="20"/>
        <v>0</v>
      </c>
    </row>
    <row r="273" spans="1:13">
      <c r="A273" s="168"/>
      <c r="G273" s="138"/>
      <c r="H273" s="152">
        <v>268</v>
      </c>
      <c r="I273" s="153" t="str">
        <f t="shared" si="21"/>
        <v/>
      </c>
      <c r="J273" s="152">
        <f t="shared" si="22"/>
        <v>-6</v>
      </c>
      <c r="K273" s="152">
        <f t="shared" si="19"/>
        <v>-60</v>
      </c>
      <c r="L273" s="152"/>
      <c r="M273" s="154">
        <f t="shared" si="20"/>
        <v>0</v>
      </c>
    </row>
    <row r="274" spans="1:13">
      <c r="A274" s="168"/>
      <c r="G274" s="138"/>
      <c r="H274" s="152">
        <v>269</v>
      </c>
      <c r="I274" s="153" t="str">
        <f t="shared" si="21"/>
        <v/>
      </c>
      <c r="J274" s="152">
        <f t="shared" si="22"/>
        <v>-6</v>
      </c>
      <c r="K274" s="152">
        <f t="shared" si="19"/>
        <v>-60</v>
      </c>
      <c r="L274" s="152"/>
      <c r="M274" s="154">
        <f t="shared" si="20"/>
        <v>0</v>
      </c>
    </row>
    <row r="275" spans="1:13">
      <c r="A275" s="168"/>
      <c r="G275" s="138"/>
      <c r="H275" s="152">
        <v>270</v>
      </c>
      <c r="I275" s="153" t="str">
        <f t="shared" si="21"/>
        <v/>
      </c>
      <c r="J275" s="152">
        <f t="shared" si="22"/>
        <v>-6</v>
      </c>
      <c r="K275" s="152">
        <f t="shared" si="19"/>
        <v>-60</v>
      </c>
      <c r="L275" s="152"/>
      <c r="M275" s="154">
        <f t="shared" si="20"/>
        <v>0</v>
      </c>
    </row>
    <row r="276" spans="1:13">
      <c r="A276" s="168"/>
      <c r="G276" s="138"/>
      <c r="H276" s="152">
        <v>271</v>
      </c>
      <c r="I276" s="153" t="str">
        <f t="shared" si="21"/>
        <v/>
      </c>
      <c r="J276" s="152">
        <f t="shared" si="22"/>
        <v>-6</v>
      </c>
      <c r="K276" s="152">
        <f t="shared" si="19"/>
        <v>-60</v>
      </c>
      <c r="L276" s="152"/>
      <c r="M276" s="154">
        <f t="shared" si="20"/>
        <v>0</v>
      </c>
    </row>
    <row r="277" spans="1:13">
      <c r="A277" s="168"/>
      <c r="G277" s="138"/>
      <c r="H277" s="152">
        <v>272</v>
      </c>
      <c r="I277" s="153" t="str">
        <f t="shared" si="21"/>
        <v/>
      </c>
      <c r="J277" s="152">
        <f t="shared" si="22"/>
        <v>-6</v>
      </c>
      <c r="K277" s="152">
        <f t="shared" si="19"/>
        <v>-60</v>
      </c>
      <c r="L277" s="152"/>
      <c r="M277" s="154">
        <f t="shared" si="20"/>
        <v>0</v>
      </c>
    </row>
    <row r="278" spans="1:13">
      <c r="A278" s="168"/>
      <c r="G278" s="138"/>
      <c r="H278" s="152">
        <v>273</v>
      </c>
      <c r="I278" s="153" t="str">
        <f t="shared" si="21"/>
        <v/>
      </c>
      <c r="J278" s="152">
        <f t="shared" si="22"/>
        <v>-6</v>
      </c>
      <c r="K278" s="152">
        <f t="shared" si="19"/>
        <v>-60</v>
      </c>
      <c r="L278" s="152"/>
      <c r="M278" s="154">
        <f t="shared" si="20"/>
        <v>0</v>
      </c>
    </row>
    <row r="279" spans="1:13">
      <c r="A279" s="168"/>
      <c r="G279" s="138"/>
      <c r="H279" s="152">
        <v>274</v>
      </c>
      <c r="I279" s="153" t="str">
        <f t="shared" si="21"/>
        <v/>
      </c>
      <c r="J279" s="152">
        <f t="shared" si="22"/>
        <v>-6</v>
      </c>
      <c r="K279" s="152">
        <f t="shared" si="19"/>
        <v>-60</v>
      </c>
      <c r="L279" s="152"/>
      <c r="M279" s="154">
        <f t="shared" si="20"/>
        <v>0</v>
      </c>
    </row>
    <row r="280" spans="1:13">
      <c r="A280" s="168"/>
      <c r="G280" s="138"/>
      <c r="H280" s="152">
        <v>275</v>
      </c>
      <c r="I280" s="153" t="str">
        <f t="shared" si="21"/>
        <v/>
      </c>
      <c r="J280" s="152">
        <f t="shared" si="22"/>
        <v>-6</v>
      </c>
      <c r="K280" s="152">
        <f t="shared" si="19"/>
        <v>-60</v>
      </c>
      <c r="L280" s="152"/>
      <c r="M280" s="154">
        <f t="shared" si="20"/>
        <v>0</v>
      </c>
    </row>
    <row r="281" spans="1:13">
      <c r="A281" s="168"/>
      <c r="G281" s="138"/>
      <c r="H281" s="152">
        <v>276</v>
      </c>
      <c r="I281" s="153" t="str">
        <f t="shared" si="21"/>
        <v/>
      </c>
      <c r="J281" s="152">
        <f t="shared" si="22"/>
        <v>-6</v>
      </c>
      <c r="K281" s="152">
        <f t="shared" si="19"/>
        <v>-60</v>
      </c>
      <c r="L281" s="152"/>
      <c r="M281" s="154">
        <f t="shared" si="20"/>
        <v>0</v>
      </c>
    </row>
    <row r="282" spans="1:13">
      <c r="A282" s="168"/>
      <c r="G282" s="138"/>
      <c r="H282" s="152">
        <v>277</v>
      </c>
      <c r="I282" s="153" t="str">
        <f t="shared" si="21"/>
        <v/>
      </c>
      <c r="J282" s="152">
        <f t="shared" si="22"/>
        <v>-6</v>
      </c>
      <c r="K282" s="152">
        <f t="shared" si="19"/>
        <v>-60</v>
      </c>
      <c r="L282" s="152"/>
      <c r="M282" s="154">
        <f t="shared" si="20"/>
        <v>0</v>
      </c>
    </row>
    <row r="283" spans="1:13">
      <c r="A283" s="168"/>
      <c r="G283" s="138"/>
      <c r="H283" s="152">
        <v>278</v>
      </c>
      <c r="I283" s="153" t="str">
        <f t="shared" si="21"/>
        <v/>
      </c>
      <c r="J283" s="152">
        <f t="shared" si="22"/>
        <v>-6</v>
      </c>
      <c r="K283" s="152">
        <f t="shared" si="19"/>
        <v>-60</v>
      </c>
      <c r="L283" s="152"/>
      <c r="M283" s="154">
        <f t="shared" si="20"/>
        <v>0</v>
      </c>
    </row>
    <row r="284" spans="1:13">
      <c r="A284" s="168"/>
      <c r="G284" s="138"/>
      <c r="H284" s="152">
        <v>279</v>
      </c>
      <c r="I284" s="153" t="str">
        <f t="shared" si="21"/>
        <v/>
      </c>
      <c r="J284" s="152">
        <f t="shared" si="22"/>
        <v>-6</v>
      </c>
      <c r="K284" s="152">
        <f t="shared" si="19"/>
        <v>-60</v>
      </c>
      <c r="L284" s="152"/>
      <c r="M284" s="154">
        <f t="shared" si="20"/>
        <v>0</v>
      </c>
    </row>
    <row r="285" spans="1:13">
      <c r="A285" s="168"/>
      <c r="G285" s="138"/>
      <c r="H285" s="152">
        <v>280</v>
      </c>
      <c r="I285" s="153" t="str">
        <f t="shared" si="21"/>
        <v/>
      </c>
      <c r="J285" s="152">
        <f t="shared" si="22"/>
        <v>-6</v>
      </c>
      <c r="K285" s="152">
        <f t="shared" si="19"/>
        <v>-60</v>
      </c>
      <c r="L285" s="152"/>
      <c r="M285" s="154">
        <f t="shared" si="20"/>
        <v>0</v>
      </c>
    </row>
    <row r="286" spans="1:13">
      <c r="A286" s="168"/>
      <c r="G286" s="138"/>
      <c r="H286" s="152">
        <v>281</v>
      </c>
      <c r="I286" s="153" t="str">
        <f t="shared" si="21"/>
        <v/>
      </c>
      <c r="J286" s="152">
        <f t="shared" si="22"/>
        <v>-6</v>
      </c>
      <c r="K286" s="152">
        <f t="shared" si="19"/>
        <v>-60</v>
      </c>
      <c r="L286" s="152"/>
      <c r="M286" s="154">
        <f t="shared" si="20"/>
        <v>0</v>
      </c>
    </row>
    <row r="287" spans="1:13">
      <c r="A287" s="168"/>
      <c r="G287" s="138"/>
      <c r="H287" s="152">
        <v>282</v>
      </c>
      <c r="I287" s="153" t="str">
        <f t="shared" si="21"/>
        <v/>
      </c>
      <c r="J287" s="152">
        <f t="shared" si="22"/>
        <v>-6</v>
      </c>
      <c r="K287" s="152">
        <f t="shared" si="19"/>
        <v>-60</v>
      </c>
      <c r="L287" s="152"/>
      <c r="M287" s="154">
        <f t="shared" si="20"/>
        <v>0</v>
      </c>
    </row>
    <row r="288" spans="1:13">
      <c r="A288" s="168"/>
      <c r="G288" s="138"/>
      <c r="H288" s="152">
        <v>283</v>
      </c>
      <c r="I288" s="153" t="str">
        <f t="shared" si="21"/>
        <v/>
      </c>
      <c r="J288" s="152">
        <f t="shared" si="22"/>
        <v>-6</v>
      </c>
      <c r="K288" s="152">
        <f t="shared" si="19"/>
        <v>-60</v>
      </c>
      <c r="L288" s="152"/>
      <c r="M288" s="154">
        <f t="shared" si="20"/>
        <v>0</v>
      </c>
    </row>
    <row r="289" spans="1:13">
      <c r="A289" s="168"/>
      <c r="G289" s="138"/>
      <c r="H289" s="152">
        <v>284</v>
      </c>
      <c r="I289" s="153" t="str">
        <f t="shared" si="21"/>
        <v/>
      </c>
      <c r="J289" s="152">
        <f t="shared" si="22"/>
        <v>-6</v>
      </c>
      <c r="K289" s="152">
        <f t="shared" si="19"/>
        <v>-60</v>
      </c>
      <c r="L289" s="152"/>
      <c r="M289" s="154">
        <f t="shared" si="20"/>
        <v>0</v>
      </c>
    </row>
    <row r="290" spans="1:13">
      <c r="A290" s="168"/>
      <c r="G290" s="138"/>
      <c r="H290" s="152">
        <v>285</v>
      </c>
      <c r="I290" s="153" t="str">
        <f t="shared" si="21"/>
        <v/>
      </c>
      <c r="J290" s="152">
        <f t="shared" si="22"/>
        <v>-6</v>
      </c>
      <c r="K290" s="152">
        <f t="shared" si="19"/>
        <v>-60</v>
      </c>
      <c r="L290" s="152"/>
      <c r="M290" s="154">
        <f t="shared" si="20"/>
        <v>0</v>
      </c>
    </row>
    <row r="291" spans="1:13">
      <c r="A291" s="168"/>
      <c r="G291" s="138"/>
      <c r="H291" s="152">
        <v>286</v>
      </c>
      <c r="I291" s="153" t="str">
        <f t="shared" si="21"/>
        <v/>
      </c>
      <c r="J291" s="152">
        <f t="shared" si="22"/>
        <v>-6</v>
      </c>
      <c r="K291" s="152">
        <f t="shared" si="19"/>
        <v>-60</v>
      </c>
      <c r="L291" s="152"/>
      <c r="M291" s="154">
        <f t="shared" si="20"/>
        <v>0</v>
      </c>
    </row>
    <row r="292" spans="1:13">
      <c r="A292" s="168"/>
      <c r="G292" s="138"/>
      <c r="H292" s="152">
        <v>287</v>
      </c>
      <c r="I292" s="153" t="str">
        <f t="shared" si="21"/>
        <v/>
      </c>
      <c r="J292" s="152">
        <f t="shared" si="22"/>
        <v>-6</v>
      </c>
      <c r="K292" s="152">
        <f t="shared" si="19"/>
        <v>-60</v>
      </c>
      <c r="L292" s="152"/>
      <c r="M292" s="154">
        <f t="shared" si="20"/>
        <v>0</v>
      </c>
    </row>
    <row r="293" spans="1:13">
      <c r="A293" s="168"/>
      <c r="G293" s="138"/>
      <c r="H293" s="152">
        <v>288</v>
      </c>
      <c r="I293" s="153" t="str">
        <f t="shared" si="21"/>
        <v/>
      </c>
      <c r="J293" s="152">
        <f t="shared" si="22"/>
        <v>-6</v>
      </c>
      <c r="K293" s="152">
        <f t="shared" si="19"/>
        <v>-60</v>
      </c>
      <c r="L293" s="152"/>
      <c r="M293" s="154">
        <f t="shared" si="20"/>
        <v>0</v>
      </c>
    </row>
    <row r="294" spans="1:13">
      <c r="A294" s="168"/>
      <c r="G294" s="138"/>
      <c r="H294" s="152">
        <v>289</v>
      </c>
      <c r="I294" s="153" t="str">
        <f t="shared" si="21"/>
        <v/>
      </c>
      <c r="J294" s="152">
        <f t="shared" si="22"/>
        <v>-6</v>
      </c>
      <c r="K294" s="152">
        <f t="shared" si="19"/>
        <v>-60</v>
      </c>
      <c r="L294" s="152"/>
      <c r="M294" s="154">
        <f t="shared" si="20"/>
        <v>0</v>
      </c>
    </row>
    <row r="295" spans="1:13">
      <c r="A295" s="168"/>
      <c r="G295" s="138"/>
      <c r="H295" s="152">
        <v>290</v>
      </c>
      <c r="I295" s="153" t="str">
        <f t="shared" si="21"/>
        <v/>
      </c>
      <c r="J295" s="152">
        <f t="shared" si="22"/>
        <v>-6</v>
      </c>
      <c r="K295" s="152">
        <f t="shared" si="19"/>
        <v>-60</v>
      </c>
      <c r="L295" s="152"/>
      <c r="M295" s="154">
        <f t="shared" si="20"/>
        <v>0</v>
      </c>
    </row>
    <row r="296" spans="1:13">
      <c r="A296" s="168"/>
      <c r="G296" s="138"/>
      <c r="H296" s="152">
        <v>291</v>
      </c>
      <c r="I296" s="153" t="str">
        <f t="shared" si="21"/>
        <v/>
      </c>
      <c r="J296" s="152">
        <f t="shared" si="22"/>
        <v>-6</v>
      </c>
      <c r="K296" s="152">
        <f t="shared" si="19"/>
        <v>-60</v>
      </c>
      <c r="L296" s="152"/>
      <c r="M296" s="154">
        <f t="shared" si="20"/>
        <v>0</v>
      </c>
    </row>
    <row r="297" spans="1:13">
      <c r="A297" s="168"/>
      <c r="G297" s="138"/>
      <c r="H297" s="152">
        <v>292</v>
      </c>
      <c r="I297" s="153" t="str">
        <f t="shared" si="21"/>
        <v/>
      </c>
      <c r="J297" s="152">
        <f t="shared" si="22"/>
        <v>-6</v>
      </c>
      <c r="K297" s="152">
        <f t="shared" si="19"/>
        <v>-60</v>
      </c>
      <c r="L297" s="152"/>
      <c r="M297" s="154">
        <f t="shared" si="20"/>
        <v>0</v>
      </c>
    </row>
    <row r="298" spans="1:13">
      <c r="A298" s="168"/>
      <c r="G298" s="138"/>
      <c r="H298" s="152">
        <v>293</v>
      </c>
      <c r="I298" s="153" t="str">
        <f t="shared" si="21"/>
        <v/>
      </c>
      <c r="J298" s="152">
        <f t="shared" si="22"/>
        <v>-6</v>
      </c>
      <c r="K298" s="152">
        <f t="shared" si="19"/>
        <v>-60</v>
      </c>
      <c r="L298" s="152"/>
      <c r="M298" s="154">
        <f t="shared" si="20"/>
        <v>0</v>
      </c>
    </row>
    <row r="299" spans="1:13">
      <c r="A299" s="168"/>
      <c r="G299" s="138"/>
      <c r="H299" s="152">
        <v>294</v>
      </c>
      <c r="I299" s="153" t="str">
        <f t="shared" si="21"/>
        <v/>
      </c>
      <c r="J299" s="152">
        <f t="shared" si="22"/>
        <v>-6</v>
      </c>
      <c r="K299" s="152">
        <f t="shared" si="19"/>
        <v>-60</v>
      </c>
      <c r="L299" s="152"/>
      <c r="M299" s="154">
        <f t="shared" si="20"/>
        <v>0</v>
      </c>
    </row>
    <row r="300" spans="1:13">
      <c r="A300" s="168"/>
      <c r="G300" s="138"/>
      <c r="H300" s="152">
        <v>295</v>
      </c>
      <c r="I300" s="153" t="str">
        <f t="shared" si="21"/>
        <v/>
      </c>
      <c r="J300" s="152">
        <f t="shared" si="22"/>
        <v>-6</v>
      </c>
      <c r="K300" s="152">
        <f t="shared" si="19"/>
        <v>-60</v>
      </c>
      <c r="L300" s="152"/>
      <c r="M300" s="154">
        <f t="shared" si="20"/>
        <v>0</v>
      </c>
    </row>
    <row r="301" spans="1:13">
      <c r="A301" s="168"/>
      <c r="G301" s="138"/>
      <c r="H301" s="152">
        <v>296</v>
      </c>
      <c r="I301" s="153" t="str">
        <f t="shared" si="21"/>
        <v/>
      </c>
      <c r="J301" s="152">
        <f t="shared" si="22"/>
        <v>-6</v>
      </c>
      <c r="K301" s="152">
        <f t="shared" si="19"/>
        <v>-60</v>
      </c>
      <c r="L301" s="152"/>
      <c r="M301" s="154">
        <f t="shared" si="20"/>
        <v>0</v>
      </c>
    </row>
    <row r="302" spans="1:13">
      <c r="A302" s="168"/>
      <c r="G302" s="138"/>
      <c r="H302" s="152">
        <v>297</v>
      </c>
      <c r="I302" s="153" t="str">
        <f t="shared" si="21"/>
        <v/>
      </c>
      <c r="J302" s="152">
        <f t="shared" si="22"/>
        <v>-6</v>
      </c>
      <c r="K302" s="152">
        <f t="shared" si="19"/>
        <v>-60</v>
      </c>
      <c r="L302" s="152"/>
      <c r="M302" s="154">
        <f t="shared" si="20"/>
        <v>0</v>
      </c>
    </row>
    <row r="303" spans="1:13">
      <c r="A303" s="168"/>
      <c r="G303" s="138"/>
      <c r="H303" s="152">
        <v>298</v>
      </c>
      <c r="I303" s="153" t="str">
        <f t="shared" si="21"/>
        <v/>
      </c>
      <c r="J303" s="152">
        <f t="shared" si="22"/>
        <v>-6</v>
      </c>
      <c r="K303" s="152">
        <f t="shared" si="19"/>
        <v>-60</v>
      </c>
      <c r="L303" s="152"/>
      <c r="M303" s="154">
        <f t="shared" si="20"/>
        <v>0</v>
      </c>
    </row>
    <row r="304" spans="1:13">
      <c r="A304" s="168"/>
      <c r="G304" s="138"/>
      <c r="H304" s="152">
        <v>299</v>
      </c>
      <c r="I304" s="153" t="str">
        <f t="shared" si="21"/>
        <v/>
      </c>
      <c r="J304" s="152">
        <f t="shared" si="22"/>
        <v>-6</v>
      </c>
      <c r="K304" s="152">
        <f t="shared" si="19"/>
        <v>-60</v>
      </c>
      <c r="L304" s="152"/>
      <c r="M304" s="154">
        <f t="shared" si="20"/>
        <v>0</v>
      </c>
    </row>
    <row r="305" spans="1:16">
      <c r="A305" s="168"/>
      <c r="G305" s="138"/>
      <c r="H305" s="152">
        <v>300</v>
      </c>
      <c r="I305" s="153" t="str">
        <f t="shared" si="21"/>
        <v/>
      </c>
      <c r="J305" s="152">
        <f t="shared" si="22"/>
        <v>-6</v>
      </c>
      <c r="K305" s="152">
        <f t="shared" si="19"/>
        <v>-60</v>
      </c>
      <c r="L305" s="152"/>
      <c r="M305" s="154">
        <f t="shared" si="20"/>
        <v>0</v>
      </c>
    </row>
    <row r="306" spans="1:16">
      <c r="A306" s="170"/>
    </row>
    <row r="314" spans="1:16">
      <c r="L314" s="173"/>
      <c r="P314" s="163"/>
    </row>
    <row r="315" spans="1:16">
      <c r="L315" s="173"/>
      <c r="P315" s="163"/>
    </row>
    <row r="316" spans="1:16">
      <c r="L316" s="173"/>
      <c r="P316" s="163"/>
    </row>
    <row r="317" spans="1:16">
      <c r="L317" s="173"/>
      <c r="P317" s="163"/>
    </row>
  </sheetData>
  <mergeCells count="2">
    <mergeCell ref="C2:D2"/>
    <mergeCell ref="C3:D3"/>
  </mergeCells>
  <conditionalFormatting sqref="J6:K305">
    <cfRule type="cellIs" dxfId="26" priority="1" operator="lessThanOrEqual">
      <formula>0</formula>
    </cfRule>
  </conditionalFormatting>
  <dataValidations count="1">
    <dataValidation type="list" allowBlank="1" showInputMessage="1" showErrorMessage="1" sqref="C38:C69" xr:uid="{DE59BAFB-9C60-4798-A8FE-33D2FA8931CE}">
      <formula1>#REF!</formula1>
    </dataValidation>
  </dataValidations>
  <hyperlinks>
    <hyperlink ref="C2:D2" r:id="rId1" display="NIEPOŁOMICE" xr:uid="{A3C8B411-04D6-47BF-9FFA-196282F4F4A7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C7BE5-DC34-4274-84B1-AA664098D492}">
  <sheetPr>
    <tabColor rgb="FF92D050"/>
  </sheetPr>
  <dimension ref="A1:AM317"/>
  <sheetViews>
    <sheetView workbookViewId="0">
      <selection activeCell="C6" sqref="C6"/>
    </sheetView>
  </sheetViews>
  <sheetFormatPr defaultColWidth="8.85546875" defaultRowHeight="14.25"/>
  <cols>
    <col min="1" max="1" width="8" style="59" customWidth="1"/>
    <col min="2" max="2" width="8.28515625" style="59" customWidth="1"/>
    <col min="3" max="3" width="34.7109375" style="59" customWidth="1"/>
    <col min="4" max="4" width="11.28515625" style="59" customWidth="1"/>
    <col min="5" max="6" width="8.85546875" style="59"/>
    <col min="7" max="7" width="0.85546875" style="59" customWidth="1"/>
    <col min="8" max="8" width="8.85546875" style="61"/>
    <col min="9" max="9" width="11" style="61" customWidth="1"/>
    <col min="10" max="10" width="15.28515625" style="61" customWidth="1"/>
    <col min="11" max="11" width="8.7109375" style="61" customWidth="1"/>
    <col min="12" max="12" width="11" style="61" customWidth="1"/>
    <col min="13" max="13" width="11.7109375" style="61" customWidth="1"/>
    <col min="14" max="14" width="11.7109375" style="62" customWidth="1"/>
    <col min="15" max="16" width="13.85546875" style="15" customWidth="1"/>
    <col min="17" max="19" width="8.85546875" style="15"/>
    <col min="20" max="21" width="8.85546875" style="20"/>
    <col min="22" max="22" width="12.140625" style="20" customWidth="1"/>
    <col min="23" max="23" width="27.42578125" style="20" customWidth="1"/>
    <col min="24" max="39" width="8.85546875" style="20"/>
    <col min="40" max="16384" width="8.85546875" style="59"/>
  </cols>
  <sheetData>
    <row r="1" spans="1:37">
      <c r="A1" s="15"/>
      <c r="B1" s="15"/>
      <c r="C1" s="15"/>
      <c r="D1" s="15"/>
      <c r="E1" s="15"/>
      <c r="F1" s="15"/>
      <c r="G1" s="15"/>
      <c r="H1" s="16" t="s">
        <v>34</v>
      </c>
      <c r="I1" s="17" t="s">
        <v>35</v>
      </c>
      <c r="J1" s="17" t="s">
        <v>36</v>
      </c>
      <c r="K1" s="18" t="s">
        <v>105</v>
      </c>
      <c r="L1" s="64" t="s">
        <v>106</v>
      </c>
      <c r="M1" s="65"/>
      <c r="N1" s="19"/>
    </row>
    <row r="2" spans="1:37">
      <c r="A2" s="15"/>
      <c r="B2" s="21" t="s">
        <v>38</v>
      </c>
      <c r="C2" s="284" t="s">
        <v>107</v>
      </c>
      <c r="D2" s="284"/>
      <c r="E2" s="22"/>
      <c r="F2" s="22"/>
      <c r="G2" s="22"/>
      <c r="H2" s="23">
        <v>11</v>
      </c>
      <c r="I2" s="24">
        <v>50</v>
      </c>
      <c r="J2" s="24">
        <v>10</v>
      </c>
      <c r="K2" s="25">
        <f>3*H2^(1/3)</f>
        <v>6.671940271707947</v>
      </c>
      <c r="L2" s="66">
        <f>1.2</f>
        <v>1.2</v>
      </c>
      <c r="M2" s="19"/>
      <c r="N2" s="19"/>
    </row>
    <row r="3" spans="1:37">
      <c r="A3" s="15"/>
      <c r="B3" s="26" t="s">
        <v>40</v>
      </c>
      <c r="C3" s="285" t="s">
        <v>108</v>
      </c>
      <c r="D3" s="285"/>
      <c r="E3" s="27"/>
      <c r="F3" s="27"/>
      <c r="G3" s="27"/>
      <c r="H3" s="19"/>
      <c r="I3" s="19"/>
      <c r="J3" s="28"/>
      <c r="K3" s="19"/>
      <c r="L3" s="19"/>
      <c r="M3" s="19"/>
      <c r="N3" s="19"/>
    </row>
    <row r="4" spans="1:37" ht="10.15" customHeight="1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  <c r="N4" s="19"/>
    </row>
    <row r="5" spans="1:37" ht="34.700000000000003">
      <c r="A5" s="1" t="s">
        <v>42</v>
      </c>
      <c r="B5" s="30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9"/>
      <c r="H5" s="31" t="s">
        <v>48</v>
      </c>
      <c r="I5" s="32" t="s">
        <v>49</v>
      </c>
      <c r="J5" s="33" t="s">
        <v>50</v>
      </c>
      <c r="K5" s="32" t="s">
        <v>51</v>
      </c>
      <c r="L5" s="32" t="s">
        <v>52</v>
      </c>
      <c r="M5" s="31" t="s">
        <v>53</v>
      </c>
      <c r="N5" s="31" t="s">
        <v>109</v>
      </c>
    </row>
    <row r="6" spans="1:37" ht="14.45" customHeight="1">
      <c r="A6" s="34">
        <f t="shared" ref="A6:A29" si="0">N6</f>
        <v>132.01898497814861</v>
      </c>
      <c r="B6" s="35">
        <f t="shared" ref="B6:B29" si="1">IF(H6&gt;$H$2,"",(ROW()-5))</f>
        <v>1</v>
      </c>
      <c r="C6" s="36" t="s">
        <v>19</v>
      </c>
      <c r="D6" s="36" t="s">
        <v>54</v>
      </c>
      <c r="E6" s="36"/>
      <c r="F6" s="36" t="s">
        <v>110</v>
      </c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4</v>
      </c>
      <c r="K6" s="37">
        <f t="shared" ref="K6:K69" si="2">J6*$J$2</f>
        <v>40</v>
      </c>
      <c r="L6" s="39">
        <f>3*K2</f>
        <v>20.015820815123842</v>
      </c>
      <c r="M6" s="39">
        <f t="shared" ref="M6:M69" si="3">IF(I6&lt;&gt;"",K6+I6+L6,0)</f>
        <v>110.01582081512385</v>
      </c>
      <c r="N6" s="39">
        <f t="shared" ref="N6:N69" si="4">IF(I6&lt;&gt;"",M6*L$2,0)</f>
        <v>132.01898497814861</v>
      </c>
    </row>
    <row r="7" spans="1:37" ht="14.45" customHeight="1">
      <c r="A7" s="40">
        <f t="shared" si="0"/>
        <v>95.015644864607268</v>
      </c>
      <c r="B7" s="41">
        <f t="shared" si="1"/>
        <v>2</v>
      </c>
      <c r="C7" s="42" t="s">
        <v>20</v>
      </c>
      <c r="D7" s="42" t="s">
        <v>54</v>
      </c>
      <c r="E7" s="42"/>
      <c r="F7" s="42" t="s">
        <v>110</v>
      </c>
      <c r="G7" s="29"/>
      <c r="H7" s="43">
        <v>2</v>
      </c>
      <c r="I7" s="44">
        <f t="shared" ref="I7:I69" si="5">IF(H7&lt;$H$2+1,($I$2-($I$2-1)*(LOG(H7)/LOG($H$2))),"")</f>
        <v>35.835823510423495</v>
      </c>
      <c r="J7" s="43">
        <f t="shared" ref="J7:J70" si="6">INT(LOG($H$2,2))-ROUNDUP(LOG(H7,2),0)+IF(OR($H$2=1,$H$2=2,$H$2=4,$H$2=8,$H$2=16,$H$2=32,$H$2=64,$H$2=128,$H$2=256),0,1)</f>
        <v>3</v>
      </c>
      <c r="K7" s="43">
        <f t="shared" si="2"/>
        <v>30</v>
      </c>
      <c r="L7" s="45">
        <f>2*K2</f>
        <v>13.343880543415894</v>
      </c>
      <c r="M7" s="45">
        <f t="shared" si="3"/>
        <v>79.179704053839387</v>
      </c>
      <c r="N7" s="45">
        <f t="shared" si="4"/>
        <v>95.015644864607268</v>
      </c>
    </row>
    <row r="8" spans="1:37" ht="14.45" customHeight="1">
      <c r="A8" s="34">
        <f t="shared" si="0"/>
        <v>65.066702018559553</v>
      </c>
      <c r="B8" s="35">
        <f t="shared" si="1"/>
        <v>3</v>
      </c>
      <c r="C8" s="36" t="s">
        <v>22</v>
      </c>
      <c r="D8" s="36" t="s">
        <v>54</v>
      </c>
      <c r="E8" s="36"/>
      <c r="F8" s="36" t="s">
        <v>110</v>
      </c>
      <c r="G8" s="29"/>
      <c r="H8" s="37">
        <v>3</v>
      </c>
      <c r="I8" s="38">
        <f t="shared" si="5"/>
        <v>27.550311410425017</v>
      </c>
      <c r="J8" s="37">
        <f t="shared" si="6"/>
        <v>2</v>
      </c>
      <c r="K8" s="37">
        <f t="shared" si="2"/>
        <v>20</v>
      </c>
      <c r="L8" s="39">
        <f>K2</f>
        <v>6.671940271707947</v>
      </c>
      <c r="M8" s="39">
        <f t="shared" si="3"/>
        <v>54.222251682132963</v>
      </c>
      <c r="N8" s="39">
        <f t="shared" si="4"/>
        <v>65.066702018559553</v>
      </c>
    </row>
    <row r="9" spans="1:37" ht="14.45" customHeight="1">
      <c r="A9" s="40">
        <f t="shared" si="0"/>
        <v>50.005976425016385</v>
      </c>
      <c r="B9" s="41">
        <f t="shared" si="1"/>
        <v>4</v>
      </c>
      <c r="C9" s="42" t="s">
        <v>24</v>
      </c>
      <c r="D9" s="42" t="s">
        <v>56</v>
      </c>
      <c r="E9" s="42"/>
      <c r="F9" s="42" t="s">
        <v>110</v>
      </c>
      <c r="G9" s="29"/>
      <c r="H9" s="43">
        <v>4</v>
      </c>
      <c r="I9" s="44">
        <f t="shared" si="5"/>
        <v>21.671647020846994</v>
      </c>
      <c r="J9" s="43">
        <f t="shared" si="6"/>
        <v>2</v>
      </c>
      <c r="K9" s="43">
        <f t="shared" si="2"/>
        <v>20</v>
      </c>
      <c r="L9" s="45"/>
      <c r="M9" s="45">
        <f t="shared" si="3"/>
        <v>41.67164702084699</v>
      </c>
      <c r="N9" s="45">
        <f t="shared" si="4"/>
        <v>50.005976425016385</v>
      </c>
      <c r="W9" s="46"/>
      <c r="AA9" s="47"/>
      <c r="AB9" s="47"/>
      <c r="AH9" s="48"/>
      <c r="AI9" s="20" t="s">
        <v>57</v>
      </c>
      <c r="AJ9" s="20">
        <v>23</v>
      </c>
    </row>
    <row r="10" spans="1:37" ht="14.45" customHeight="1">
      <c r="A10" s="34">
        <f t="shared" si="0"/>
        <v>32.534160801491105</v>
      </c>
      <c r="B10" s="35">
        <f t="shared" si="1"/>
        <v>5</v>
      </c>
      <c r="C10" s="36" t="s">
        <v>21</v>
      </c>
      <c r="D10" s="36" t="s">
        <v>71</v>
      </c>
      <c r="E10" s="36"/>
      <c r="F10" s="36" t="s">
        <v>110</v>
      </c>
      <c r="G10" s="29"/>
      <c r="H10" s="37">
        <v>5</v>
      </c>
      <c r="I10" s="38">
        <f t="shared" si="5"/>
        <v>17.111800667909257</v>
      </c>
      <c r="J10" s="37">
        <f t="shared" si="6"/>
        <v>1</v>
      </c>
      <c r="K10" s="37">
        <f t="shared" si="2"/>
        <v>10</v>
      </c>
      <c r="L10" s="37"/>
      <c r="M10" s="39">
        <f t="shared" si="3"/>
        <v>27.111800667909257</v>
      </c>
      <c r="N10" s="39">
        <f t="shared" si="4"/>
        <v>32.534160801491105</v>
      </c>
      <c r="W10" s="46"/>
      <c r="AA10" s="47"/>
      <c r="AB10" s="47"/>
      <c r="AH10" s="48"/>
      <c r="AI10" s="20" t="s">
        <v>58</v>
      </c>
      <c r="AJ10" s="20">
        <v>45</v>
      </c>
    </row>
    <row r="11" spans="1:37" ht="14.45" customHeight="1">
      <c r="A11" s="40">
        <f t="shared" si="0"/>
        <v>28.063361905018223</v>
      </c>
      <c r="B11" s="41">
        <f t="shared" si="1"/>
        <v>6</v>
      </c>
      <c r="C11" s="42" t="s">
        <v>23</v>
      </c>
      <c r="D11" s="42" t="s">
        <v>54</v>
      </c>
      <c r="E11" s="42"/>
      <c r="F11" s="42" t="s">
        <v>110</v>
      </c>
      <c r="G11" s="29"/>
      <c r="H11" s="43">
        <v>6</v>
      </c>
      <c r="I11" s="44">
        <f t="shared" si="5"/>
        <v>13.386134920848519</v>
      </c>
      <c r="J11" s="43">
        <f t="shared" si="6"/>
        <v>1</v>
      </c>
      <c r="K11" s="43">
        <f t="shared" si="2"/>
        <v>10</v>
      </c>
      <c r="L11" s="43"/>
      <c r="M11" s="45">
        <f t="shared" si="3"/>
        <v>23.386134920848519</v>
      </c>
      <c r="N11" s="45">
        <f t="shared" si="4"/>
        <v>28.063361905018223</v>
      </c>
      <c r="W11" s="49"/>
      <c r="AA11" s="47"/>
      <c r="AB11" s="47"/>
      <c r="AH11" s="48"/>
      <c r="AI11" s="20" t="s">
        <v>60</v>
      </c>
      <c r="AJ11" s="20">
        <v>50</v>
      </c>
    </row>
    <row r="12" spans="1:37" ht="14.45" customHeight="1">
      <c r="A12" s="34">
        <f t="shared" si="0"/>
        <v>24.283355298113769</v>
      </c>
      <c r="B12" s="35">
        <f t="shared" si="1"/>
        <v>7</v>
      </c>
      <c r="C12" s="36" t="s">
        <v>25</v>
      </c>
      <c r="D12" s="36" t="s">
        <v>59</v>
      </c>
      <c r="E12" s="36"/>
      <c r="F12" s="36" t="s">
        <v>110</v>
      </c>
      <c r="G12" s="29"/>
      <c r="H12" s="37">
        <v>7</v>
      </c>
      <c r="I12" s="38">
        <f t="shared" si="5"/>
        <v>10.236129415094808</v>
      </c>
      <c r="J12" s="37">
        <f t="shared" si="6"/>
        <v>1</v>
      </c>
      <c r="K12" s="37">
        <f t="shared" si="2"/>
        <v>10</v>
      </c>
      <c r="L12" s="37"/>
      <c r="M12" s="39">
        <f t="shared" si="3"/>
        <v>20.236129415094808</v>
      </c>
      <c r="N12" s="39">
        <f t="shared" si="4"/>
        <v>24.283355298113769</v>
      </c>
      <c r="AA12" s="47"/>
      <c r="AB12" s="47"/>
      <c r="AH12" s="48"/>
      <c r="AI12" s="20" t="s">
        <v>61</v>
      </c>
      <c r="AJ12" s="20">
        <f>AJ11-1</f>
        <v>49</v>
      </c>
    </row>
    <row r="13" spans="1:37" ht="14.45" customHeight="1">
      <c r="A13" s="50">
        <f t="shared" si="0"/>
        <v>21.008964637524588</v>
      </c>
      <c r="B13" s="41">
        <f t="shared" si="1"/>
        <v>8</v>
      </c>
      <c r="C13" s="42" t="s">
        <v>100</v>
      </c>
      <c r="D13" s="42" t="s">
        <v>54</v>
      </c>
      <c r="E13" s="42" t="s">
        <v>111</v>
      </c>
      <c r="F13" s="42" t="s">
        <v>110</v>
      </c>
      <c r="G13" s="29"/>
      <c r="H13" s="43">
        <v>8</v>
      </c>
      <c r="I13" s="44">
        <f t="shared" si="5"/>
        <v>7.5074705312704921</v>
      </c>
      <c r="J13" s="43">
        <f t="shared" si="6"/>
        <v>1</v>
      </c>
      <c r="K13" s="43">
        <f t="shared" si="2"/>
        <v>10</v>
      </c>
      <c r="L13" s="43"/>
      <c r="M13" s="45">
        <f t="shared" si="3"/>
        <v>17.507470531270492</v>
      </c>
      <c r="N13" s="45">
        <f t="shared" si="4"/>
        <v>21.008964637524588</v>
      </c>
      <c r="Y13" s="46"/>
      <c r="AH13" s="48"/>
      <c r="AI13" s="20" t="s">
        <v>62</v>
      </c>
      <c r="AJ13" s="20">
        <f>LOG(AJ9)</f>
        <v>1.3617278360175928</v>
      </c>
    </row>
    <row r="14" spans="1:37" ht="38.85">
      <c r="A14" s="51">
        <f t="shared" si="0"/>
        <v>6.1207473850200413</v>
      </c>
      <c r="B14" s="35">
        <f t="shared" si="1"/>
        <v>9</v>
      </c>
      <c r="C14" s="36" t="s">
        <v>28</v>
      </c>
      <c r="D14" s="36" t="s">
        <v>54</v>
      </c>
      <c r="E14" s="36"/>
      <c r="F14" s="36" t="s">
        <v>110</v>
      </c>
      <c r="G14" s="29"/>
      <c r="H14" s="37">
        <v>9</v>
      </c>
      <c r="I14" s="38">
        <f t="shared" si="5"/>
        <v>5.1006228208500346</v>
      </c>
      <c r="J14" s="37">
        <f t="shared" si="6"/>
        <v>0</v>
      </c>
      <c r="K14" s="37">
        <f t="shared" si="2"/>
        <v>0</v>
      </c>
      <c r="L14" s="37"/>
      <c r="M14" s="39">
        <f t="shared" si="3"/>
        <v>5.1006228208500346</v>
      </c>
      <c r="N14" s="39">
        <f t="shared" si="4"/>
        <v>6.1207473850200413</v>
      </c>
      <c r="Y14" s="52"/>
      <c r="AA14" s="47"/>
      <c r="AB14" s="47"/>
      <c r="AH14" s="48"/>
      <c r="AI14" s="20" t="s">
        <v>64</v>
      </c>
      <c r="AJ14" s="20">
        <f>LOG(AJ10)</f>
        <v>1.6532125137753437</v>
      </c>
    </row>
    <row r="15" spans="1:37" ht="51.6">
      <c r="A15" s="50">
        <f t="shared" si="0"/>
        <v>3.5371490139993114</v>
      </c>
      <c r="B15" s="41">
        <f t="shared" si="1"/>
        <v>10</v>
      </c>
      <c r="C15" s="42" t="s">
        <v>101</v>
      </c>
      <c r="D15" s="42" t="s">
        <v>79</v>
      </c>
      <c r="E15" s="42"/>
      <c r="F15" s="42"/>
      <c r="G15" s="29"/>
      <c r="H15" s="43">
        <v>10</v>
      </c>
      <c r="I15" s="44">
        <f t="shared" si="5"/>
        <v>2.9476241783327595</v>
      </c>
      <c r="J15" s="43">
        <f t="shared" si="6"/>
        <v>0</v>
      </c>
      <c r="K15" s="43">
        <f t="shared" si="2"/>
        <v>0</v>
      </c>
      <c r="L15" s="43"/>
      <c r="M15" s="45">
        <f t="shared" si="3"/>
        <v>2.9476241783327595</v>
      </c>
      <c r="N15" s="45">
        <f t="shared" si="4"/>
        <v>3.5371490139993114</v>
      </c>
    </row>
    <row r="16" spans="1:37" ht="51.6">
      <c r="A16" s="51">
        <f t="shared" si="0"/>
        <v>1.2</v>
      </c>
      <c r="B16" s="35">
        <f t="shared" si="1"/>
        <v>11</v>
      </c>
      <c r="C16" s="36" t="s">
        <v>31</v>
      </c>
      <c r="D16" s="36" t="s">
        <v>79</v>
      </c>
      <c r="E16" s="36"/>
      <c r="F16" s="36"/>
      <c r="G16" s="29"/>
      <c r="H16" s="37">
        <v>11</v>
      </c>
      <c r="I16" s="38">
        <f t="shared" si="5"/>
        <v>1</v>
      </c>
      <c r="J16" s="37">
        <f t="shared" si="6"/>
        <v>0</v>
      </c>
      <c r="K16" s="37">
        <f t="shared" si="2"/>
        <v>0</v>
      </c>
      <c r="L16" s="37"/>
      <c r="M16" s="39">
        <f t="shared" si="3"/>
        <v>1</v>
      </c>
      <c r="N16" s="39">
        <f t="shared" si="4"/>
        <v>1.2</v>
      </c>
      <c r="S16" s="55"/>
      <c r="T16" s="56"/>
      <c r="AI16" s="20" t="s">
        <v>66</v>
      </c>
      <c r="AJ16" s="20">
        <f>AJ11-AJ12*AJ13/AJ14</f>
        <v>9.6393909380186855</v>
      </c>
      <c r="AK16" s="20" t="s">
        <v>67</v>
      </c>
    </row>
    <row r="17" spans="1:20">
      <c r="A17" s="50">
        <f t="shared" si="0"/>
        <v>0</v>
      </c>
      <c r="B17" s="41" t="str">
        <f t="shared" si="1"/>
        <v/>
      </c>
      <c r="C17" s="42"/>
      <c r="D17" s="42"/>
      <c r="E17" s="42"/>
      <c r="F17" s="42"/>
      <c r="G17" s="29"/>
      <c r="H17" s="43">
        <v>12</v>
      </c>
      <c r="I17" s="44" t="str">
        <f t="shared" si="5"/>
        <v/>
      </c>
      <c r="J17" s="43">
        <f t="shared" si="6"/>
        <v>0</v>
      </c>
      <c r="K17" s="43">
        <f t="shared" si="2"/>
        <v>0</v>
      </c>
      <c r="L17" s="43"/>
      <c r="M17" s="45">
        <f t="shared" si="3"/>
        <v>0</v>
      </c>
      <c r="N17" s="45">
        <f t="shared" si="4"/>
        <v>0</v>
      </c>
    </row>
    <row r="18" spans="1:20">
      <c r="A18" s="51">
        <f t="shared" si="0"/>
        <v>0</v>
      </c>
      <c r="B18" s="35" t="str">
        <f t="shared" si="1"/>
        <v/>
      </c>
      <c r="C18" s="36"/>
      <c r="D18" s="36"/>
      <c r="E18" s="36"/>
      <c r="F18" s="36"/>
      <c r="G18" s="29"/>
      <c r="H18" s="37">
        <v>13</v>
      </c>
      <c r="I18" s="38" t="str">
        <f t="shared" si="5"/>
        <v/>
      </c>
      <c r="J18" s="37">
        <f t="shared" si="6"/>
        <v>0</v>
      </c>
      <c r="K18" s="37">
        <f t="shared" si="2"/>
        <v>0</v>
      </c>
      <c r="L18" s="37"/>
      <c r="M18" s="39">
        <f t="shared" si="3"/>
        <v>0</v>
      </c>
      <c r="N18" s="39">
        <f t="shared" si="4"/>
        <v>0</v>
      </c>
      <c r="S18" s="55"/>
      <c r="T18" s="56"/>
    </row>
    <row r="19" spans="1:20">
      <c r="A19" s="50">
        <f t="shared" si="0"/>
        <v>0</v>
      </c>
      <c r="B19" s="41" t="str">
        <f t="shared" si="1"/>
        <v/>
      </c>
      <c r="C19" s="42"/>
      <c r="D19" s="42"/>
      <c r="E19" s="42"/>
      <c r="F19" s="42"/>
      <c r="G19" s="29"/>
      <c r="H19" s="43">
        <v>14</v>
      </c>
      <c r="I19" s="44" t="str">
        <f t="shared" si="5"/>
        <v/>
      </c>
      <c r="J19" s="43">
        <f t="shared" si="6"/>
        <v>0</v>
      </c>
      <c r="K19" s="43">
        <f t="shared" si="2"/>
        <v>0</v>
      </c>
      <c r="L19" s="43"/>
      <c r="M19" s="45">
        <f t="shared" si="3"/>
        <v>0</v>
      </c>
      <c r="N19" s="45">
        <f t="shared" si="4"/>
        <v>0</v>
      </c>
    </row>
    <row r="20" spans="1:20">
      <c r="A20" s="51">
        <f t="shared" si="0"/>
        <v>0</v>
      </c>
      <c r="B20" s="35" t="str">
        <f t="shared" si="1"/>
        <v/>
      </c>
      <c r="C20" s="36"/>
      <c r="D20" s="36"/>
      <c r="E20" s="36"/>
      <c r="F20" s="36"/>
      <c r="G20" s="29"/>
      <c r="H20" s="37">
        <v>15</v>
      </c>
      <c r="I20" s="38" t="str">
        <f t="shared" si="5"/>
        <v/>
      </c>
      <c r="J20" s="37">
        <f t="shared" si="6"/>
        <v>0</v>
      </c>
      <c r="K20" s="37">
        <f t="shared" si="2"/>
        <v>0</v>
      </c>
      <c r="L20" s="37"/>
      <c r="M20" s="39">
        <f t="shared" si="3"/>
        <v>0</v>
      </c>
      <c r="N20" s="39">
        <f t="shared" si="4"/>
        <v>0</v>
      </c>
      <c r="S20" s="55"/>
      <c r="T20" s="56"/>
    </row>
    <row r="21" spans="1:20">
      <c r="A21" s="50">
        <f t="shared" si="0"/>
        <v>0</v>
      </c>
      <c r="B21" s="41" t="str">
        <f t="shared" si="1"/>
        <v/>
      </c>
      <c r="C21" s="42"/>
      <c r="D21" s="42"/>
      <c r="E21" s="42"/>
      <c r="F21" s="42"/>
      <c r="G21" s="29"/>
      <c r="H21" s="43">
        <v>16</v>
      </c>
      <c r="I21" s="44" t="str">
        <f t="shared" si="5"/>
        <v/>
      </c>
      <c r="J21" s="43">
        <f t="shared" si="6"/>
        <v>0</v>
      </c>
      <c r="K21" s="43">
        <f t="shared" si="2"/>
        <v>0</v>
      </c>
      <c r="L21" s="43"/>
      <c r="M21" s="45">
        <f t="shared" si="3"/>
        <v>0</v>
      </c>
      <c r="N21" s="45">
        <f t="shared" si="4"/>
        <v>0</v>
      </c>
    </row>
    <row r="22" spans="1:20">
      <c r="A22" s="51">
        <f t="shared" si="0"/>
        <v>0</v>
      </c>
      <c r="B22" s="35" t="str">
        <f t="shared" si="1"/>
        <v/>
      </c>
      <c r="C22" s="36"/>
      <c r="D22" s="36"/>
      <c r="E22" s="36"/>
      <c r="F22" s="36"/>
      <c r="G22" s="29"/>
      <c r="H22" s="37">
        <v>17</v>
      </c>
      <c r="I22" s="38" t="str">
        <f t="shared" si="5"/>
        <v/>
      </c>
      <c r="J22" s="37">
        <f t="shared" si="6"/>
        <v>-1</v>
      </c>
      <c r="K22" s="37">
        <f t="shared" si="2"/>
        <v>-10</v>
      </c>
      <c r="L22" s="37"/>
      <c r="M22" s="39">
        <f t="shared" si="3"/>
        <v>0</v>
      </c>
      <c r="N22" s="39">
        <f t="shared" si="4"/>
        <v>0</v>
      </c>
    </row>
    <row r="23" spans="1:20">
      <c r="A23" s="50">
        <f t="shared" si="0"/>
        <v>0</v>
      </c>
      <c r="B23" s="41" t="str">
        <f t="shared" si="1"/>
        <v/>
      </c>
      <c r="C23" s="42"/>
      <c r="D23" s="42"/>
      <c r="E23" s="42"/>
      <c r="F23" s="42"/>
      <c r="G23" s="29"/>
      <c r="H23" s="43">
        <v>18</v>
      </c>
      <c r="I23" s="44" t="str">
        <f t="shared" si="5"/>
        <v/>
      </c>
      <c r="J23" s="43">
        <f t="shared" si="6"/>
        <v>-1</v>
      </c>
      <c r="K23" s="43">
        <f t="shared" si="2"/>
        <v>-10</v>
      </c>
      <c r="L23" s="43"/>
      <c r="M23" s="45">
        <f t="shared" si="3"/>
        <v>0</v>
      </c>
      <c r="N23" s="45">
        <f t="shared" si="4"/>
        <v>0</v>
      </c>
    </row>
    <row r="24" spans="1:20">
      <c r="A24" s="51">
        <f t="shared" si="0"/>
        <v>0</v>
      </c>
      <c r="B24" s="35" t="str">
        <f t="shared" si="1"/>
        <v/>
      </c>
      <c r="C24" s="36"/>
      <c r="D24" s="36"/>
      <c r="E24" s="36"/>
      <c r="F24" s="36"/>
      <c r="G24" s="29"/>
      <c r="H24" s="37">
        <v>19</v>
      </c>
      <c r="I24" s="38" t="str">
        <f t="shared" si="5"/>
        <v/>
      </c>
      <c r="J24" s="37">
        <f t="shared" si="6"/>
        <v>-1</v>
      </c>
      <c r="K24" s="37">
        <f t="shared" si="2"/>
        <v>-10</v>
      </c>
      <c r="L24" s="37"/>
      <c r="M24" s="39">
        <f t="shared" si="3"/>
        <v>0</v>
      </c>
      <c r="N24" s="39">
        <f t="shared" si="4"/>
        <v>0</v>
      </c>
      <c r="S24" s="55"/>
      <c r="T24" s="56"/>
    </row>
    <row r="25" spans="1:20">
      <c r="A25" s="50">
        <f t="shared" si="0"/>
        <v>0</v>
      </c>
      <c r="B25" s="41" t="str">
        <f t="shared" si="1"/>
        <v/>
      </c>
      <c r="C25" s="42"/>
      <c r="D25" s="42"/>
      <c r="E25" s="42"/>
      <c r="F25" s="42"/>
      <c r="G25" s="29"/>
      <c r="H25" s="43">
        <v>20</v>
      </c>
      <c r="I25" s="44" t="str">
        <f t="shared" si="5"/>
        <v/>
      </c>
      <c r="J25" s="43">
        <f t="shared" si="6"/>
        <v>-1</v>
      </c>
      <c r="K25" s="43">
        <f t="shared" si="2"/>
        <v>-10</v>
      </c>
      <c r="L25" s="43"/>
      <c r="M25" s="45">
        <f t="shared" si="3"/>
        <v>0</v>
      </c>
      <c r="N25" s="45">
        <f t="shared" si="4"/>
        <v>0</v>
      </c>
    </row>
    <row r="26" spans="1:20">
      <c r="A26" s="51">
        <f t="shared" si="0"/>
        <v>0</v>
      </c>
      <c r="B26" s="35" t="str">
        <f t="shared" si="1"/>
        <v/>
      </c>
      <c r="C26" s="36"/>
      <c r="D26" s="36"/>
      <c r="E26" s="36"/>
      <c r="F26" s="36"/>
      <c r="G26" s="29"/>
      <c r="H26" s="37">
        <v>21</v>
      </c>
      <c r="I26" s="38" t="str">
        <f t="shared" si="5"/>
        <v/>
      </c>
      <c r="J26" s="37">
        <f t="shared" si="6"/>
        <v>-1</v>
      </c>
      <c r="K26" s="37">
        <f t="shared" si="2"/>
        <v>-10</v>
      </c>
      <c r="L26" s="37"/>
      <c r="M26" s="39">
        <f t="shared" si="3"/>
        <v>0</v>
      </c>
      <c r="N26" s="39">
        <f t="shared" si="4"/>
        <v>0</v>
      </c>
    </row>
    <row r="27" spans="1:20">
      <c r="A27" s="50">
        <f t="shared" si="0"/>
        <v>0</v>
      </c>
      <c r="B27" s="41" t="str">
        <f t="shared" si="1"/>
        <v/>
      </c>
      <c r="C27" s="42"/>
      <c r="D27" s="42"/>
      <c r="E27" s="42"/>
      <c r="F27" s="42"/>
      <c r="G27" s="29"/>
      <c r="H27" s="43">
        <v>22</v>
      </c>
      <c r="I27" s="44" t="str">
        <f t="shared" si="5"/>
        <v/>
      </c>
      <c r="J27" s="43">
        <f t="shared" si="6"/>
        <v>-1</v>
      </c>
      <c r="K27" s="43">
        <f t="shared" si="2"/>
        <v>-10</v>
      </c>
      <c r="L27" s="43"/>
      <c r="M27" s="45">
        <f t="shared" si="3"/>
        <v>0</v>
      </c>
      <c r="N27" s="45">
        <f t="shared" si="4"/>
        <v>0</v>
      </c>
    </row>
    <row r="28" spans="1:20">
      <c r="A28" s="51">
        <f t="shared" si="0"/>
        <v>0</v>
      </c>
      <c r="B28" s="35" t="str">
        <f t="shared" si="1"/>
        <v/>
      </c>
      <c r="C28" s="36"/>
      <c r="D28" s="36"/>
      <c r="E28" s="36"/>
      <c r="F28" s="36"/>
      <c r="G28" s="29"/>
      <c r="H28" s="37">
        <v>23</v>
      </c>
      <c r="I28" s="38" t="str">
        <f t="shared" si="5"/>
        <v/>
      </c>
      <c r="J28" s="37">
        <f t="shared" si="6"/>
        <v>-1</v>
      </c>
      <c r="K28" s="37">
        <f t="shared" si="2"/>
        <v>-10</v>
      </c>
      <c r="L28" s="37"/>
      <c r="M28" s="39">
        <f t="shared" si="3"/>
        <v>0</v>
      </c>
      <c r="N28" s="39">
        <f t="shared" si="4"/>
        <v>0</v>
      </c>
      <c r="S28" s="55"/>
      <c r="T28" s="56"/>
    </row>
    <row r="29" spans="1:20">
      <c r="A29" s="50">
        <f t="shared" si="0"/>
        <v>0</v>
      </c>
      <c r="B29" s="41" t="str">
        <f t="shared" si="1"/>
        <v/>
      </c>
      <c r="C29" s="42"/>
      <c r="D29" s="42"/>
      <c r="E29" s="42"/>
      <c r="F29" s="42"/>
      <c r="G29" s="15"/>
      <c r="H29" s="43">
        <v>24</v>
      </c>
      <c r="I29" s="44" t="str">
        <f t="shared" si="5"/>
        <v/>
      </c>
      <c r="J29" s="43">
        <f t="shared" si="6"/>
        <v>-1</v>
      </c>
      <c r="K29" s="43">
        <f t="shared" si="2"/>
        <v>-10</v>
      </c>
      <c r="L29" s="43"/>
      <c r="M29" s="45">
        <f t="shared" si="3"/>
        <v>0</v>
      </c>
      <c r="N29" s="45">
        <f t="shared" si="4"/>
        <v>0</v>
      </c>
    </row>
    <row r="30" spans="1:20">
      <c r="A30" s="51">
        <f t="shared" ref="A30:A70" si="7">N30</f>
        <v>0</v>
      </c>
      <c r="B30" s="35" t="str">
        <f t="shared" ref="B30:B65" si="8">IF(H30&gt;$H$2,"",(ROW()-5))</f>
        <v/>
      </c>
      <c r="C30" s="36"/>
      <c r="D30" s="36"/>
      <c r="E30" s="36"/>
      <c r="F30" s="36"/>
      <c r="G30" s="15"/>
      <c r="H30" s="37">
        <v>25</v>
      </c>
      <c r="I30" s="38" t="str">
        <f t="shared" si="5"/>
        <v/>
      </c>
      <c r="J30" s="37">
        <f t="shared" si="6"/>
        <v>-1</v>
      </c>
      <c r="K30" s="37">
        <f t="shared" si="2"/>
        <v>-10</v>
      </c>
      <c r="L30" s="37"/>
      <c r="M30" s="39">
        <f t="shared" si="3"/>
        <v>0</v>
      </c>
      <c r="N30" s="39">
        <f t="shared" si="4"/>
        <v>0</v>
      </c>
    </row>
    <row r="31" spans="1:20">
      <c r="A31" s="50">
        <f t="shared" si="7"/>
        <v>0</v>
      </c>
      <c r="B31" s="41" t="str">
        <f t="shared" si="8"/>
        <v/>
      </c>
      <c r="C31" s="42"/>
      <c r="D31" s="42"/>
      <c r="E31" s="42"/>
      <c r="F31" s="42"/>
      <c r="G31" s="15"/>
      <c r="H31" s="43">
        <v>26</v>
      </c>
      <c r="I31" s="44" t="str">
        <f t="shared" si="5"/>
        <v/>
      </c>
      <c r="J31" s="43">
        <f t="shared" si="6"/>
        <v>-1</v>
      </c>
      <c r="K31" s="43">
        <f t="shared" si="2"/>
        <v>-10</v>
      </c>
      <c r="L31" s="43"/>
      <c r="M31" s="45">
        <f t="shared" si="3"/>
        <v>0</v>
      </c>
      <c r="N31" s="45">
        <f t="shared" si="4"/>
        <v>0</v>
      </c>
    </row>
    <row r="32" spans="1:20">
      <c r="A32" s="51">
        <f t="shared" si="7"/>
        <v>0</v>
      </c>
      <c r="B32" s="35" t="str">
        <f t="shared" si="8"/>
        <v/>
      </c>
      <c r="C32" s="36"/>
      <c r="D32" s="36"/>
      <c r="E32" s="36"/>
      <c r="F32" s="36"/>
      <c r="G32" s="15"/>
      <c r="H32" s="37">
        <v>27</v>
      </c>
      <c r="I32" s="38" t="str">
        <f t="shared" si="5"/>
        <v/>
      </c>
      <c r="J32" s="37">
        <f t="shared" si="6"/>
        <v>-1</v>
      </c>
      <c r="K32" s="37">
        <f t="shared" si="2"/>
        <v>-10</v>
      </c>
      <c r="L32" s="37"/>
      <c r="M32" s="39">
        <f t="shared" si="3"/>
        <v>0</v>
      </c>
      <c r="N32" s="39">
        <f t="shared" si="4"/>
        <v>0</v>
      </c>
      <c r="S32" s="55"/>
      <c r="T32" s="56"/>
    </row>
    <row r="33" spans="1:22">
      <c r="A33" s="50">
        <f t="shared" si="7"/>
        <v>0</v>
      </c>
      <c r="B33" s="41" t="str">
        <f t="shared" si="8"/>
        <v/>
      </c>
      <c r="C33" s="42"/>
      <c r="D33" s="42"/>
      <c r="E33" s="42"/>
      <c r="F33" s="42"/>
      <c r="G33" s="15"/>
      <c r="H33" s="43">
        <v>28</v>
      </c>
      <c r="I33" s="44" t="str">
        <f t="shared" si="5"/>
        <v/>
      </c>
      <c r="J33" s="43">
        <f t="shared" si="6"/>
        <v>-1</v>
      </c>
      <c r="K33" s="43">
        <f t="shared" si="2"/>
        <v>-10</v>
      </c>
      <c r="L33" s="43"/>
      <c r="M33" s="45">
        <f t="shared" si="3"/>
        <v>0</v>
      </c>
      <c r="N33" s="45">
        <f t="shared" si="4"/>
        <v>0</v>
      </c>
    </row>
    <row r="34" spans="1:22">
      <c r="A34" s="51">
        <f t="shared" si="7"/>
        <v>0</v>
      </c>
      <c r="B34" s="35" t="str">
        <f t="shared" si="8"/>
        <v/>
      </c>
      <c r="C34" s="36"/>
      <c r="D34" s="36"/>
      <c r="E34" s="36"/>
      <c r="F34" s="36"/>
      <c r="G34" s="15"/>
      <c r="H34" s="37">
        <v>29</v>
      </c>
      <c r="I34" s="38" t="str">
        <f t="shared" si="5"/>
        <v/>
      </c>
      <c r="J34" s="37">
        <f t="shared" si="6"/>
        <v>-1</v>
      </c>
      <c r="K34" s="37">
        <f t="shared" si="2"/>
        <v>-10</v>
      </c>
      <c r="L34" s="37"/>
      <c r="M34" s="39">
        <f t="shared" si="3"/>
        <v>0</v>
      </c>
      <c r="N34" s="39">
        <f t="shared" si="4"/>
        <v>0</v>
      </c>
    </row>
    <row r="35" spans="1:22">
      <c r="A35" s="50">
        <f t="shared" si="7"/>
        <v>0</v>
      </c>
      <c r="B35" s="41" t="str">
        <f t="shared" si="8"/>
        <v/>
      </c>
      <c r="C35" s="42"/>
      <c r="D35" s="42"/>
      <c r="E35" s="42"/>
      <c r="F35" s="42"/>
      <c r="G35" s="15"/>
      <c r="H35" s="43">
        <v>30</v>
      </c>
      <c r="I35" s="44" t="str">
        <f t="shared" si="5"/>
        <v/>
      </c>
      <c r="J35" s="43">
        <f t="shared" si="6"/>
        <v>-1</v>
      </c>
      <c r="K35" s="43">
        <f t="shared" si="2"/>
        <v>-10</v>
      </c>
      <c r="L35" s="43"/>
      <c r="M35" s="45">
        <f t="shared" si="3"/>
        <v>0</v>
      </c>
      <c r="N35" s="45">
        <f t="shared" si="4"/>
        <v>0</v>
      </c>
    </row>
    <row r="36" spans="1:22">
      <c r="A36" s="51">
        <f t="shared" si="7"/>
        <v>0</v>
      </c>
      <c r="B36" s="35" t="str">
        <f t="shared" si="8"/>
        <v/>
      </c>
      <c r="C36" s="36"/>
      <c r="D36" s="36"/>
      <c r="E36" s="36"/>
      <c r="F36" s="36"/>
      <c r="G36" s="15"/>
      <c r="H36" s="37">
        <v>31</v>
      </c>
      <c r="I36" s="38" t="str">
        <f t="shared" si="5"/>
        <v/>
      </c>
      <c r="J36" s="37">
        <f t="shared" si="6"/>
        <v>-1</v>
      </c>
      <c r="K36" s="37">
        <f t="shared" si="2"/>
        <v>-10</v>
      </c>
      <c r="L36" s="37"/>
      <c r="M36" s="39">
        <f t="shared" si="3"/>
        <v>0</v>
      </c>
      <c r="N36" s="39">
        <f t="shared" si="4"/>
        <v>0</v>
      </c>
      <c r="S36" s="55"/>
      <c r="T36" s="56"/>
    </row>
    <row r="37" spans="1:22">
      <c r="A37" s="50">
        <f t="shared" si="7"/>
        <v>0</v>
      </c>
      <c r="B37" s="41" t="str">
        <f t="shared" si="8"/>
        <v/>
      </c>
      <c r="C37" s="42"/>
      <c r="D37" s="42"/>
      <c r="E37" s="42"/>
      <c r="F37" s="42"/>
      <c r="G37" s="15"/>
      <c r="H37" s="43">
        <v>32</v>
      </c>
      <c r="I37" s="44" t="str">
        <f t="shared" si="5"/>
        <v/>
      </c>
      <c r="J37" s="43">
        <f t="shared" si="6"/>
        <v>-1</v>
      </c>
      <c r="K37" s="43">
        <f t="shared" si="2"/>
        <v>-10</v>
      </c>
      <c r="L37" s="43"/>
      <c r="M37" s="45">
        <f t="shared" si="3"/>
        <v>0</v>
      </c>
      <c r="N37" s="45">
        <f t="shared" si="4"/>
        <v>0</v>
      </c>
    </row>
    <row r="38" spans="1:22">
      <c r="A38" s="51">
        <f t="shared" si="7"/>
        <v>0</v>
      </c>
      <c r="B38" s="35" t="str">
        <f t="shared" si="8"/>
        <v/>
      </c>
      <c r="C38" s="36"/>
      <c r="D38" s="36"/>
      <c r="E38" s="36"/>
      <c r="F38" s="36"/>
      <c r="G38" s="15"/>
      <c r="H38" s="37">
        <v>33</v>
      </c>
      <c r="I38" s="38" t="str">
        <f t="shared" si="5"/>
        <v/>
      </c>
      <c r="J38" s="37">
        <f t="shared" si="6"/>
        <v>-2</v>
      </c>
      <c r="K38" s="37">
        <f t="shared" si="2"/>
        <v>-20</v>
      </c>
      <c r="L38" s="37"/>
      <c r="M38" s="39">
        <f t="shared" si="3"/>
        <v>0</v>
      </c>
      <c r="N38" s="39">
        <f t="shared" si="4"/>
        <v>0</v>
      </c>
    </row>
    <row r="39" spans="1:22">
      <c r="A39" s="50">
        <f t="shared" si="7"/>
        <v>0</v>
      </c>
      <c r="B39" s="41" t="str">
        <f t="shared" si="8"/>
        <v/>
      </c>
      <c r="C39" s="42"/>
      <c r="D39" s="42"/>
      <c r="E39" s="42"/>
      <c r="F39" s="42"/>
      <c r="G39" s="15"/>
      <c r="H39" s="43">
        <v>34</v>
      </c>
      <c r="I39" s="44" t="str">
        <f t="shared" si="5"/>
        <v/>
      </c>
      <c r="J39" s="43">
        <f t="shared" si="6"/>
        <v>-2</v>
      </c>
      <c r="K39" s="43">
        <f t="shared" si="2"/>
        <v>-20</v>
      </c>
      <c r="L39" s="43"/>
      <c r="M39" s="45">
        <f t="shared" si="3"/>
        <v>0</v>
      </c>
      <c r="N39" s="45">
        <f t="shared" si="4"/>
        <v>0</v>
      </c>
    </row>
    <row r="40" spans="1:22">
      <c r="A40" s="51">
        <f t="shared" si="7"/>
        <v>0</v>
      </c>
      <c r="B40" s="35" t="str">
        <f t="shared" si="8"/>
        <v/>
      </c>
      <c r="C40" s="36"/>
      <c r="D40" s="36"/>
      <c r="E40" s="36"/>
      <c r="F40" s="36"/>
      <c r="G40" s="15"/>
      <c r="H40" s="37">
        <v>35</v>
      </c>
      <c r="I40" s="38" t="str">
        <f t="shared" si="5"/>
        <v/>
      </c>
      <c r="J40" s="37">
        <f t="shared" si="6"/>
        <v>-2</v>
      </c>
      <c r="K40" s="37">
        <f t="shared" si="2"/>
        <v>-20</v>
      </c>
      <c r="L40" s="37"/>
      <c r="M40" s="39">
        <f t="shared" si="3"/>
        <v>0</v>
      </c>
      <c r="N40" s="39">
        <f t="shared" si="4"/>
        <v>0</v>
      </c>
    </row>
    <row r="41" spans="1:22">
      <c r="A41" s="50">
        <f t="shared" si="7"/>
        <v>0</v>
      </c>
      <c r="B41" s="41" t="str">
        <f t="shared" si="8"/>
        <v/>
      </c>
      <c r="C41" s="42"/>
      <c r="D41" s="42"/>
      <c r="E41" s="42"/>
      <c r="F41" s="42"/>
      <c r="G41" s="15"/>
      <c r="H41" s="43">
        <v>36</v>
      </c>
      <c r="I41" s="44" t="str">
        <f t="shared" si="5"/>
        <v/>
      </c>
      <c r="J41" s="43">
        <f t="shared" si="6"/>
        <v>-2</v>
      </c>
      <c r="K41" s="43">
        <f t="shared" si="2"/>
        <v>-20</v>
      </c>
      <c r="L41" s="43"/>
      <c r="M41" s="45">
        <f t="shared" si="3"/>
        <v>0</v>
      </c>
      <c r="N41" s="45">
        <f t="shared" si="4"/>
        <v>0</v>
      </c>
      <c r="T41" s="57"/>
    </row>
    <row r="42" spans="1:22">
      <c r="A42" s="51">
        <f t="shared" si="7"/>
        <v>0</v>
      </c>
      <c r="B42" s="35" t="str">
        <f t="shared" si="8"/>
        <v/>
      </c>
      <c r="C42" s="36"/>
      <c r="D42" s="36"/>
      <c r="E42" s="36"/>
      <c r="F42" s="36"/>
      <c r="G42" s="15"/>
      <c r="H42" s="37">
        <v>37</v>
      </c>
      <c r="I42" s="38" t="str">
        <f t="shared" si="5"/>
        <v/>
      </c>
      <c r="J42" s="37">
        <f t="shared" si="6"/>
        <v>-2</v>
      </c>
      <c r="K42" s="37">
        <f t="shared" si="2"/>
        <v>-20</v>
      </c>
      <c r="L42" s="37"/>
      <c r="M42" s="39">
        <f t="shared" si="3"/>
        <v>0</v>
      </c>
      <c r="N42" s="39">
        <f t="shared" si="4"/>
        <v>0</v>
      </c>
    </row>
    <row r="43" spans="1:22">
      <c r="A43" s="50">
        <f t="shared" si="7"/>
        <v>0</v>
      </c>
      <c r="B43" s="41" t="str">
        <f t="shared" si="8"/>
        <v/>
      </c>
      <c r="C43" s="42"/>
      <c r="D43" s="42"/>
      <c r="E43" s="42"/>
      <c r="F43" s="42"/>
      <c r="G43" s="15"/>
      <c r="H43" s="43">
        <v>38</v>
      </c>
      <c r="I43" s="44" t="str">
        <f t="shared" si="5"/>
        <v/>
      </c>
      <c r="J43" s="43">
        <f t="shared" si="6"/>
        <v>-2</v>
      </c>
      <c r="K43" s="43">
        <f t="shared" si="2"/>
        <v>-20</v>
      </c>
      <c r="L43" s="43"/>
      <c r="M43" s="45">
        <f t="shared" si="3"/>
        <v>0</v>
      </c>
      <c r="N43" s="45">
        <f t="shared" si="4"/>
        <v>0</v>
      </c>
    </row>
    <row r="44" spans="1:22">
      <c r="A44" s="51">
        <f t="shared" si="7"/>
        <v>0</v>
      </c>
      <c r="B44" s="35" t="str">
        <f t="shared" si="8"/>
        <v/>
      </c>
      <c r="C44" s="36"/>
      <c r="D44" s="36"/>
      <c r="E44" s="36"/>
      <c r="F44" s="36"/>
      <c r="G44" s="15"/>
      <c r="H44" s="37">
        <v>39</v>
      </c>
      <c r="I44" s="38" t="str">
        <f t="shared" si="5"/>
        <v/>
      </c>
      <c r="J44" s="37">
        <f t="shared" si="6"/>
        <v>-2</v>
      </c>
      <c r="K44" s="37">
        <f t="shared" si="2"/>
        <v>-20</v>
      </c>
      <c r="L44" s="37"/>
      <c r="M44" s="39">
        <f t="shared" si="3"/>
        <v>0</v>
      </c>
      <c r="N44" s="39">
        <f t="shared" si="4"/>
        <v>0</v>
      </c>
    </row>
    <row r="45" spans="1:22">
      <c r="A45" s="50">
        <f t="shared" si="7"/>
        <v>0</v>
      </c>
      <c r="B45" s="41" t="str">
        <f t="shared" si="8"/>
        <v/>
      </c>
      <c r="C45" s="42"/>
      <c r="D45" s="42"/>
      <c r="E45" s="42"/>
      <c r="F45" s="42"/>
      <c r="G45" s="15"/>
      <c r="H45" s="43">
        <v>40</v>
      </c>
      <c r="I45" s="44" t="str">
        <f t="shared" si="5"/>
        <v/>
      </c>
      <c r="J45" s="43">
        <f t="shared" si="6"/>
        <v>-2</v>
      </c>
      <c r="K45" s="43">
        <f t="shared" si="2"/>
        <v>-20</v>
      </c>
      <c r="L45" s="43"/>
      <c r="M45" s="45">
        <f t="shared" si="3"/>
        <v>0</v>
      </c>
      <c r="N45" s="45">
        <f t="shared" si="4"/>
        <v>0</v>
      </c>
    </row>
    <row r="46" spans="1:22">
      <c r="A46" s="51">
        <f t="shared" si="7"/>
        <v>0</v>
      </c>
      <c r="B46" s="35" t="str">
        <f t="shared" si="8"/>
        <v/>
      </c>
      <c r="C46" s="36"/>
      <c r="D46" s="36"/>
      <c r="E46" s="36"/>
      <c r="F46" s="36"/>
      <c r="G46" s="15"/>
      <c r="H46" s="37">
        <v>41</v>
      </c>
      <c r="I46" s="38" t="str">
        <f t="shared" si="5"/>
        <v/>
      </c>
      <c r="J46" s="37">
        <f t="shared" si="6"/>
        <v>-2</v>
      </c>
      <c r="K46" s="37">
        <f t="shared" si="2"/>
        <v>-20</v>
      </c>
      <c r="L46" s="37"/>
      <c r="M46" s="39">
        <f t="shared" si="3"/>
        <v>0</v>
      </c>
      <c r="N46" s="39">
        <f t="shared" si="4"/>
        <v>0</v>
      </c>
      <c r="S46" s="15">
        <f>LOG($H$2,2)</f>
        <v>3.4594316186372978</v>
      </c>
      <c r="U46" s="20">
        <f>LOG(H38,2)</f>
        <v>5.0443941193584534</v>
      </c>
      <c r="V46" s="20">
        <f>S46-U46</f>
        <v>-1.5849625007211556</v>
      </c>
    </row>
    <row r="47" spans="1:22">
      <c r="A47" s="50">
        <f t="shared" si="7"/>
        <v>0</v>
      </c>
      <c r="B47" s="41" t="str">
        <f t="shared" si="8"/>
        <v/>
      </c>
      <c r="C47" s="42"/>
      <c r="D47" s="42"/>
      <c r="E47" s="42"/>
      <c r="F47" s="42"/>
      <c r="G47" s="15"/>
      <c r="H47" s="43">
        <v>42</v>
      </c>
      <c r="I47" s="44" t="str">
        <f t="shared" si="5"/>
        <v/>
      </c>
      <c r="J47" s="43">
        <f t="shared" si="6"/>
        <v>-2</v>
      </c>
      <c r="K47" s="43">
        <f t="shared" si="2"/>
        <v>-20</v>
      </c>
      <c r="L47" s="43"/>
      <c r="M47" s="45">
        <f t="shared" si="3"/>
        <v>0</v>
      </c>
      <c r="N47" s="45">
        <f t="shared" si="4"/>
        <v>0</v>
      </c>
    </row>
    <row r="48" spans="1:22">
      <c r="A48" s="51">
        <f t="shared" si="7"/>
        <v>0</v>
      </c>
      <c r="B48" s="35" t="str">
        <f t="shared" si="8"/>
        <v/>
      </c>
      <c r="C48" s="36"/>
      <c r="D48" s="36"/>
      <c r="E48" s="36"/>
      <c r="F48" s="36"/>
      <c r="G48" s="15"/>
      <c r="H48" s="37">
        <v>43</v>
      </c>
      <c r="I48" s="38" t="str">
        <f t="shared" si="5"/>
        <v/>
      </c>
      <c r="J48" s="37">
        <f t="shared" si="6"/>
        <v>-2</v>
      </c>
      <c r="K48" s="37">
        <f t="shared" si="2"/>
        <v>-20</v>
      </c>
      <c r="L48" s="37"/>
      <c r="M48" s="39">
        <f t="shared" si="3"/>
        <v>0</v>
      </c>
      <c r="N48" s="39">
        <f t="shared" si="4"/>
        <v>0</v>
      </c>
    </row>
    <row r="49" spans="1:14">
      <c r="A49" s="50">
        <f t="shared" si="7"/>
        <v>0</v>
      </c>
      <c r="B49" s="41" t="str">
        <f t="shared" si="8"/>
        <v/>
      </c>
      <c r="C49" s="42"/>
      <c r="D49" s="42"/>
      <c r="E49" s="42"/>
      <c r="F49" s="42"/>
      <c r="G49" s="15"/>
      <c r="H49" s="43">
        <v>44</v>
      </c>
      <c r="I49" s="44" t="str">
        <f t="shared" si="5"/>
        <v/>
      </c>
      <c r="J49" s="43">
        <f t="shared" si="6"/>
        <v>-2</v>
      </c>
      <c r="K49" s="43">
        <f t="shared" si="2"/>
        <v>-20</v>
      </c>
      <c r="L49" s="43"/>
      <c r="M49" s="45">
        <f t="shared" si="3"/>
        <v>0</v>
      </c>
      <c r="N49" s="45">
        <f t="shared" si="4"/>
        <v>0</v>
      </c>
    </row>
    <row r="50" spans="1:14">
      <c r="A50" s="51">
        <f t="shared" si="7"/>
        <v>0</v>
      </c>
      <c r="B50" s="35" t="str">
        <f t="shared" si="8"/>
        <v/>
      </c>
      <c r="C50" s="36"/>
      <c r="D50" s="36"/>
      <c r="E50" s="36"/>
      <c r="F50" s="36"/>
      <c r="G50" s="15"/>
      <c r="H50" s="37">
        <v>45</v>
      </c>
      <c r="I50" s="38" t="str">
        <f t="shared" si="5"/>
        <v/>
      </c>
      <c r="J50" s="37">
        <f t="shared" si="6"/>
        <v>-2</v>
      </c>
      <c r="K50" s="37">
        <f t="shared" si="2"/>
        <v>-20</v>
      </c>
      <c r="L50" s="37"/>
      <c r="M50" s="39">
        <f t="shared" si="3"/>
        <v>0</v>
      </c>
      <c r="N50" s="39">
        <f t="shared" si="4"/>
        <v>0</v>
      </c>
    </row>
    <row r="51" spans="1:14">
      <c r="A51" s="50">
        <f t="shared" si="7"/>
        <v>0</v>
      </c>
      <c r="B51" s="41" t="str">
        <f t="shared" si="8"/>
        <v/>
      </c>
      <c r="C51" s="42"/>
      <c r="D51" s="42"/>
      <c r="E51" s="42"/>
      <c r="F51" s="42"/>
      <c r="G51" s="15"/>
      <c r="H51" s="43">
        <v>46</v>
      </c>
      <c r="I51" s="44" t="str">
        <f t="shared" si="5"/>
        <v/>
      </c>
      <c r="J51" s="43">
        <f t="shared" si="6"/>
        <v>-2</v>
      </c>
      <c r="K51" s="43">
        <f t="shared" si="2"/>
        <v>-20</v>
      </c>
      <c r="L51" s="43"/>
      <c r="M51" s="45">
        <f t="shared" si="3"/>
        <v>0</v>
      </c>
      <c r="N51" s="45">
        <f t="shared" si="4"/>
        <v>0</v>
      </c>
    </row>
    <row r="52" spans="1:14">
      <c r="A52" s="51">
        <f t="shared" si="7"/>
        <v>0</v>
      </c>
      <c r="B52" s="35" t="str">
        <f t="shared" si="8"/>
        <v/>
      </c>
      <c r="C52" s="36"/>
      <c r="D52" s="36"/>
      <c r="E52" s="36"/>
      <c r="F52" s="36"/>
      <c r="G52" s="15"/>
      <c r="H52" s="37">
        <v>47</v>
      </c>
      <c r="I52" s="38" t="str">
        <f t="shared" si="5"/>
        <v/>
      </c>
      <c r="J52" s="37">
        <f t="shared" si="6"/>
        <v>-2</v>
      </c>
      <c r="K52" s="37">
        <f t="shared" si="2"/>
        <v>-20</v>
      </c>
      <c r="L52" s="37"/>
      <c r="M52" s="39">
        <f t="shared" si="3"/>
        <v>0</v>
      </c>
      <c r="N52" s="39">
        <f t="shared" si="4"/>
        <v>0</v>
      </c>
    </row>
    <row r="53" spans="1:14">
      <c r="A53" s="50">
        <f t="shared" si="7"/>
        <v>0</v>
      </c>
      <c r="B53" s="41" t="str">
        <f t="shared" si="8"/>
        <v/>
      </c>
      <c r="C53" s="42"/>
      <c r="D53" s="42"/>
      <c r="E53" s="42"/>
      <c r="F53" s="42"/>
      <c r="G53" s="15"/>
      <c r="H53" s="43">
        <v>48</v>
      </c>
      <c r="I53" s="44" t="str">
        <f t="shared" si="5"/>
        <v/>
      </c>
      <c r="J53" s="43">
        <f t="shared" si="6"/>
        <v>-2</v>
      </c>
      <c r="K53" s="43">
        <f t="shared" si="2"/>
        <v>-20</v>
      </c>
      <c r="L53" s="43"/>
      <c r="M53" s="45">
        <f t="shared" si="3"/>
        <v>0</v>
      </c>
      <c r="N53" s="45">
        <f t="shared" si="4"/>
        <v>0</v>
      </c>
    </row>
    <row r="54" spans="1:14">
      <c r="A54" s="51">
        <f t="shared" si="7"/>
        <v>0</v>
      </c>
      <c r="B54" s="35" t="str">
        <f t="shared" si="8"/>
        <v/>
      </c>
      <c r="C54" s="36"/>
      <c r="D54" s="36"/>
      <c r="E54" s="36"/>
      <c r="F54" s="36"/>
      <c r="G54" s="15"/>
      <c r="H54" s="37">
        <v>49</v>
      </c>
      <c r="I54" s="38" t="str">
        <f t="shared" si="5"/>
        <v/>
      </c>
      <c r="J54" s="37">
        <f t="shared" si="6"/>
        <v>-2</v>
      </c>
      <c r="K54" s="37">
        <f t="shared" si="2"/>
        <v>-20</v>
      </c>
      <c r="L54" s="37"/>
      <c r="M54" s="39">
        <f t="shared" si="3"/>
        <v>0</v>
      </c>
      <c r="N54" s="39">
        <f t="shared" si="4"/>
        <v>0</v>
      </c>
    </row>
    <row r="55" spans="1:14">
      <c r="A55" s="50">
        <f t="shared" si="7"/>
        <v>0</v>
      </c>
      <c r="B55" s="41" t="str">
        <f t="shared" si="8"/>
        <v/>
      </c>
      <c r="C55" s="42"/>
      <c r="D55" s="42"/>
      <c r="E55" s="42"/>
      <c r="F55" s="42"/>
      <c r="G55" s="15"/>
      <c r="H55" s="43">
        <v>50</v>
      </c>
      <c r="I55" s="44" t="str">
        <f t="shared" si="5"/>
        <v/>
      </c>
      <c r="J55" s="43">
        <f t="shared" si="6"/>
        <v>-2</v>
      </c>
      <c r="K55" s="43">
        <f t="shared" si="2"/>
        <v>-20</v>
      </c>
      <c r="L55" s="43"/>
      <c r="M55" s="45">
        <f t="shared" si="3"/>
        <v>0</v>
      </c>
      <c r="N55" s="45">
        <f t="shared" si="4"/>
        <v>0</v>
      </c>
    </row>
    <row r="56" spans="1:14">
      <c r="A56" s="51">
        <f t="shared" si="7"/>
        <v>0</v>
      </c>
      <c r="B56" s="35" t="str">
        <f t="shared" si="8"/>
        <v/>
      </c>
      <c r="C56" s="36"/>
      <c r="D56" s="36"/>
      <c r="E56" s="36"/>
      <c r="F56" s="36"/>
      <c r="G56" s="15"/>
      <c r="H56" s="37">
        <v>51</v>
      </c>
      <c r="I56" s="38" t="str">
        <f t="shared" si="5"/>
        <v/>
      </c>
      <c r="J56" s="37">
        <f t="shared" si="6"/>
        <v>-2</v>
      </c>
      <c r="K56" s="37">
        <f t="shared" si="2"/>
        <v>-20</v>
      </c>
      <c r="L56" s="37"/>
      <c r="M56" s="39">
        <f t="shared" si="3"/>
        <v>0</v>
      </c>
      <c r="N56" s="39">
        <f t="shared" si="4"/>
        <v>0</v>
      </c>
    </row>
    <row r="57" spans="1:14">
      <c r="A57" s="50">
        <f t="shared" si="7"/>
        <v>0</v>
      </c>
      <c r="B57" s="41" t="str">
        <f t="shared" si="8"/>
        <v/>
      </c>
      <c r="C57" s="42"/>
      <c r="D57" s="42"/>
      <c r="E57" s="42"/>
      <c r="F57" s="42"/>
      <c r="G57" s="15"/>
      <c r="H57" s="43">
        <v>52</v>
      </c>
      <c r="I57" s="44" t="str">
        <f t="shared" si="5"/>
        <v/>
      </c>
      <c r="J57" s="43">
        <f t="shared" si="6"/>
        <v>-2</v>
      </c>
      <c r="K57" s="43">
        <f t="shared" si="2"/>
        <v>-20</v>
      </c>
      <c r="L57" s="43"/>
      <c r="M57" s="45">
        <f t="shared" si="3"/>
        <v>0</v>
      </c>
      <c r="N57" s="45">
        <f t="shared" si="4"/>
        <v>0</v>
      </c>
    </row>
    <row r="58" spans="1:14">
      <c r="A58" s="51">
        <f t="shared" si="7"/>
        <v>0</v>
      </c>
      <c r="B58" s="35" t="str">
        <f t="shared" si="8"/>
        <v/>
      </c>
      <c r="C58" s="36"/>
      <c r="D58" s="36"/>
      <c r="E58" s="36"/>
      <c r="F58" s="36"/>
      <c r="G58" s="15"/>
      <c r="H58" s="37">
        <v>53</v>
      </c>
      <c r="I58" s="38" t="str">
        <f t="shared" si="5"/>
        <v/>
      </c>
      <c r="J58" s="37">
        <f t="shared" si="6"/>
        <v>-2</v>
      </c>
      <c r="K58" s="37">
        <f t="shared" si="2"/>
        <v>-20</v>
      </c>
      <c r="L58" s="37"/>
      <c r="M58" s="39">
        <f t="shared" si="3"/>
        <v>0</v>
      </c>
      <c r="N58" s="39">
        <f t="shared" si="4"/>
        <v>0</v>
      </c>
    </row>
    <row r="59" spans="1:14">
      <c r="A59" s="50">
        <f t="shared" si="7"/>
        <v>0</v>
      </c>
      <c r="B59" s="41" t="str">
        <f t="shared" si="8"/>
        <v/>
      </c>
      <c r="C59" s="42"/>
      <c r="D59" s="42"/>
      <c r="E59" s="42"/>
      <c r="F59" s="42"/>
      <c r="G59" s="15"/>
      <c r="H59" s="43">
        <v>54</v>
      </c>
      <c r="I59" s="44" t="str">
        <f t="shared" si="5"/>
        <v/>
      </c>
      <c r="J59" s="43">
        <f t="shared" si="6"/>
        <v>-2</v>
      </c>
      <c r="K59" s="43">
        <f t="shared" si="2"/>
        <v>-20</v>
      </c>
      <c r="L59" s="43"/>
      <c r="M59" s="45">
        <f t="shared" si="3"/>
        <v>0</v>
      </c>
      <c r="N59" s="45">
        <f t="shared" si="4"/>
        <v>0</v>
      </c>
    </row>
    <row r="60" spans="1:14">
      <c r="A60" s="51">
        <f t="shared" si="7"/>
        <v>0</v>
      </c>
      <c r="B60" s="35" t="str">
        <f t="shared" si="8"/>
        <v/>
      </c>
      <c r="C60" s="36"/>
      <c r="D60" s="36"/>
      <c r="E60" s="36"/>
      <c r="F60" s="36"/>
      <c r="G60" s="15"/>
      <c r="H60" s="37">
        <v>55</v>
      </c>
      <c r="I60" s="38" t="str">
        <f t="shared" si="5"/>
        <v/>
      </c>
      <c r="J60" s="37">
        <f t="shared" si="6"/>
        <v>-2</v>
      </c>
      <c r="K60" s="37">
        <f t="shared" si="2"/>
        <v>-20</v>
      </c>
      <c r="L60" s="37"/>
      <c r="M60" s="39">
        <f t="shared" si="3"/>
        <v>0</v>
      </c>
      <c r="N60" s="39">
        <f t="shared" si="4"/>
        <v>0</v>
      </c>
    </row>
    <row r="61" spans="1:14">
      <c r="A61" s="50">
        <f t="shared" si="7"/>
        <v>0</v>
      </c>
      <c r="B61" s="41" t="str">
        <f t="shared" si="8"/>
        <v/>
      </c>
      <c r="C61" s="42"/>
      <c r="D61" s="42"/>
      <c r="E61" s="42"/>
      <c r="F61" s="42"/>
      <c r="G61" s="15"/>
      <c r="H61" s="43">
        <v>56</v>
      </c>
      <c r="I61" s="44" t="str">
        <f t="shared" si="5"/>
        <v/>
      </c>
      <c r="J61" s="43">
        <f t="shared" si="6"/>
        <v>-2</v>
      </c>
      <c r="K61" s="43">
        <f t="shared" si="2"/>
        <v>-20</v>
      </c>
      <c r="L61" s="43"/>
      <c r="M61" s="45">
        <f t="shared" si="3"/>
        <v>0</v>
      </c>
      <c r="N61" s="45">
        <f t="shared" si="4"/>
        <v>0</v>
      </c>
    </row>
    <row r="62" spans="1:14">
      <c r="A62" s="51">
        <f t="shared" si="7"/>
        <v>0</v>
      </c>
      <c r="B62" s="35" t="str">
        <f t="shared" si="8"/>
        <v/>
      </c>
      <c r="C62" s="36"/>
      <c r="D62" s="36"/>
      <c r="E62" s="36"/>
      <c r="F62" s="36"/>
      <c r="G62" s="15"/>
      <c r="H62" s="37">
        <v>57</v>
      </c>
      <c r="I62" s="38" t="str">
        <f t="shared" si="5"/>
        <v/>
      </c>
      <c r="J62" s="37">
        <f t="shared" si="6"/>
        <v>-2</v>
      </c>
      <c r="K62" s="37">
        <f t="shared" si="2"/>
        <v>-20</v>
      </c>
      <c r="L62" s="37"/>
      <c r="M62" s="39">
        <f t="shared" si="3"/>
        <v>0</v>
      </c>
      <c r="N62" s="39">
        <f t="shared" si="4"/>
        <v>0</v>
      </c>
    </row>
    <row r="63" spans="1:14">
      <c r="A63" s="50">
        <f t="shared" si="7"/>
        <v>0</v>
      </c>
      <c r="B63" s="41" t="str">
        <f t="shared" si="8"/>
        <v/>
      </c>
      <c r="C63" s="42"/>
      <c r="D63" s="42"/>
      <c r="E63" s="42"/>
      <c r="F63" s="42"/>
      <c r="G63" s="15"/>
      <c r="H63" s="43">
        <v>58</v>
      </c>
      <c r="I63" s="44" t="str">
        <f t="shared" si="5"/>
        <v/>
      </c>
      <c r="J63" s="43">
        <f t="shared" si="6"/>
        <v>-2</v>
      </c>
      <c r="K63" s="43">
        <f t="shared" si="2"/>
        <v>-20</v>
      </c>
      <c r="L63" s="43"/>
      <c r="M63" s="45">
        <f t="shared" si="3"/>
        <v>0</v>
      </c>
      <c r="N63" s="45">
        <f t="shared" si="4"/>
        <v>0</v>
      </c>
    </row>
    <row r="64" spans="1:14">
      <c r="A64" s="51">
        <f t="shared" si="7"/>
        <v>0</v>
      </c>
      <c r="B64" s="35" t="str">
        <f t="shared" si="8"/>
        <v/>
      </c>
      <c r="C64" s="36"/>
      <c r="D64" s="36"/>
      <c r="E64" s="36"/>
      <c r="F64" s="36"/>
      <c r="G64" s="15"/>
      <c r="H64" s="37">
        <v>59</v>
      </c>
      <c r="I64" s="38" t="str">
        <f t="shared" si="5"/>
        <v/>
      </c>
      <c r="J64" s="37">
        <f t="shared" si="6"/>
        <v>-2</v>
      </c>
      <c r="K64" s="37">
        <f t="shared" si="2"/>
        <v>-20</v>
      </c>
      <c r="L64" s="37"/>
      <c r="M64" s="39">
        <f t="shared" si="3"/>
        <v>0</v>
      </c>
      <c r="N64" s="39">
        <f t="shared" si="4"/>
        <v>0</v>
      </c>
    </row>
    <row r="65" spans="1:14">
      <c r="A65" s="50">
        <f t="shared" si="7"/>
        <v>0</v>
      </c>
      <c r="B65" s="41" t="str">
        <f t="shared" si="8"/>
        <v/>
      </c>
      <c r="C65" s="42"/>
      <c r="D65" s="42"/>
      <c r="E65" s="42"/>
      <c r="F65" s="42"/>
      <c r="G65" s="15"/>
      <c r="H65" s="43">
        <v>60</v>
      </c>
      <c r="I65" s="44" t="str">
        <f t="shared" si="5"/>
        <v/>
      </c>
      <c r="J65" s="43">
        <f t="shared" si="6"/>
        <v>-2</v>
      </c>
      <c r="K65" s="43">
        <f t="shared" si="2"/>
        <v>-20</v>
      </c>
      <c r="L65" s="43"/>
      <c r="M65" s="45">
        <f t="shared" si="3"/>
        <v>0</v>
      </c>
      <c r="N65" s="45">
        <f t="shared" si="4"/>
        <v>0</v>
      </c>
    </row>
    <row r="66" spans="1:14">
      <c r="A66" s="58">
        <f t="shared" si="7"/>
        <v>0</v>
      </c>
      <c r="B66" s="35"/>
      <c r="G66" s="15"/>
      <c r="H66" s="37">
        <v>61</v>
      </c>
      <c r="I66" s="38" t="str">
        <f t="shared" si="5"/>
        <v/>
      </c>
      <c r="J66" s="37">
        <f t="shared" si="6"/>
        <v>-2</v>
      </c>
      <c r="K66" s="37">
        <f t="shared" si="2"/>
        <v>-20</v>
      </c>
      <c r="L66" s="37"/>
      <c r="M66" s="39">
        <f t="shared" si="3"/>
        <v>0</v>
      </c>
      <c r="N66" s="39">
        <f t="shared" si="4"/>
        <v>0</v>
      </c>
    </row>
    <row r="67" spans="1:14">
      <c r="A67" s="58">
        <f t="shared" si="7"/>
        <v>0</v>
      </c>
      <c r="B67" s="41"/>
      <c r="G67" s="15"/>
      <c r="H67" s="37">
        <v>62</v>
      </c>
      <c r="I67" s="38" t="str">
        <f t="shared" si="5"/>
        <v/>
      </c>
      <c r="J67" s="37">
        <f t="shared" si="6"/>
        <v>-2</v>
      </c>
      <c r="K67" s="37">
        <f t="shared" si="2"/>
        <v>-20</v>
      </c>
      <c r="L67" s="37"/>
      <c r="M67" s="39">
        <f t="shared" si="3"/>
        <v>0</v>
      </c>
      <c r="N67" s="39">
        <f t="shared" si="4"/>
        <v>0</v>
      </c>
    </row>
    <row r="68" spans="1:14">
      <c r="A68" s="58">
        <f t="shared" si="7"/>
        <v>0</v>
      </c>
      <c r="B68" s="35"/>
      <c r="G68" s="15"/>
      <c r="H68" s="37">
        <v>63</v>
      </c>
      <c r="I68" s="38" t="str">
        <f t="shared" si="5"/>
        <v/>
      </c>
      <c r="J68" s="37">
        <f t="shared" si="6"/>
        <v>-2</v>
      </c>
      <c r="K68" s="37">
        <f t="shared" si="2"/>
        <v>-20</v>
      </c>
      <c r="L68" s="37"/>
      <c r="M68" s="39">
        <f t="shared" si="3"/>
        <v>0</v>
      </c>
      <c r="N68" s="39">
        <f t="shared" si="4"/>
        <v>0</v>
      </c>
    </row>
    <row r="69" spans="1:14">
      <c r="A69" s="58">
        <f t="shared" si="7"/>
        <v>0</v>
      </c>
      <c r="B69" s="41"/>
      <c r="G69" s="15"/>
      <c r="H69" s="37">
        <v>64</v>
      </c>
      <c r="I69" s="38" t="str">
        <f t="shared" si="5"/>
        <v/>
      </c>
      <c r="J69" s="37">
        <f t="shared" si="6"/>
        <v>-2</v>
      </c>
      <c r="K69" s="37">
        <f t="shared" si="2"/>
        <v>-20</v>
      </c>
      <c r="L69" s="37"/>
      <c r="M69" s="39">
        <f t="shared" si="3"/>
        <v>0</v>
      </c>
      <c r="N69" s="39">
        <f t="shared" si="4"/>
        <v>0</v>
      </c>
    </row>
    <row r="70" spans="1:14">
      <c r="A70" s="58">
        <f t="shared" si="7"/>
        <v>0</v>
      </c>
      <c r="G70" s="15"/>
      <c r="H70" s="37">
        <v>65</v>
      </c>
      <c r="I70" s="38" t="str">
        <f t="shared" ref="I70:I133" si="9">IF(H70&lt;$H$2+1,($I$2-($I$2-1)*(LOG(H70)/LOG($H$2))),"")</f>
        <v/>
      </c>
      <c r="J70" s="37">
        <f t="shared" si="6"/>
        <v>-3</v>
      </c>
      <c r="K70" s="37">
        <f t="shared" ref="K70:K133" si="10">J70*$J$2</f>
        <v>-30</v>
      </c>
      <c r="L70" s="37"/>
      <c r="M70" s="39">
        <f t="shared" ref="M70:M133" si="11">IF(I70&lt;&gt;"",K70+I70+L70,0)</f>
        <v>0</v>
      </c>
      <c r="N70" s="39">
        <f t="shared" ref="N70:N133" si="12">IF(I70&lt;&gt;"",M70*L$2,0)</f>
        <v>0</v>
      </c>
    </row>
    <row r="71" spans="1:14">
      <c r="A71" s="58">
        <f t="shared" ref="A71:A134" si="13">N71</f>
        <v>0</v>
      </c>
      <c r="G71" s="15"/>
      <c r="H71" s="37">
        <v>66</v>
      </c>
      <c r="I71" s="38" t="str">
        <f t="shared" si="9"/>
        <v/>
      </c>
      <c r="J71" s="37">
        <f t="shared" ref="J71:J134" si="14">INT(LOG($H$2,2))-ROUNDUP(LOG(H71,2),0)+IF(OR($H$2=1,$H$2=2,$H$2=4,$H$2=8,$H$2=16,$H$2=32,$H$2=64,$H$2=128,$H$2=256),0,1)</f>
        <v>-3</v>
      </c>
      <c r="K71" s="37">
        <f t="shared" si="10"/>
        <v>-30</v>
      </c>
      <c r="L71" s="37"/>
      <c r="M71" s="39">
        <f t="shared" si="11"/>
        <v>0</v>
      </c>
      <c r="N71" s="39">
        <f t="shared" si="12"/>
        <v>0</v>
      </c>
    </row>
    <row r="72" spans="1:14">
      <c r="A72" s="58">
        <f t="shared" si="13"/>
        <v>0</v>
      </c>
      <c r="G72" s="15"/>
      <c r="H72" s="37">
        <v>67</v>
      </c>
      <c r="I72" s="38" t="str">
        <f t="shared" si="9"/>
        <v/>
      </c>
      <c r="J72" s="37">
        <f t="shared" si="14"/>
        <v>-3</v>
      </c>
      <c r="K72" s="37">
        <f t="shared" si="10"/>
        <v>-30</v>
      </c>
      <c r="L72" s="37"/>
      <c r="M72" s="39">
        <f t="shared" si="11"/>
        <v>0</v>
      </c>
      <c r="N72" s="39">
        <f t="shared" si="12"/>
        <v>0</v>
      </c>
    </row>
    <row r="73" spans="1:14">
      <c r="A73" s="58">
        <f t="shared" si="13"/>
        <v>0</v>
      </c>
      <c r="G73" s="15"/>
      <c r="H73" s="37">
        <v>68</v>
      </c>
      <c r="I73" s="38" t="str">
        <f t="shared" si="9"/>
        <v/>
      </c>
      <c r="J73" s="37">
        <f t="shared" si="14"/>
        <v>-3</v>
      </c>
      <c r="K73" s="37">
        <f t="shared" si="10"/>
        <v>-30</v>
      </c>
      <c r="L73" s="37"/>
      <c r="M73" s="39">
        <f t="shared" si="11"/>
        <v>0</v>
      </c>
      <c r="N73" s="39">
        <f t="shared" si="12"/>
        <v>0</v>
      </c>
    </row>
    <row r="74" spans="1:14">
      <c r="A74" s="58">
        <f t="shared" si="13"/>
        <v>0</v>
      </c>
      <c r="G74" s="15"/>
      <c r="H74" s="37">
        <v>69</v>
      </c>
      <c r="I74" s="38" t="str">
        <f t="shared" si="9"/>
        <v/>
      </c>
      <c r="J74" s="37">
        <f t="shared" si="14"/>
        <v>-3</v>
      </c>
      <c r="K74" s="37">
        <f t="shared" si="10"/>
        <v>-30</v>
      </c>
      <c r="L74" s="37"/>
      <c r="M74" s="39">
        <f t="shared" si="11"/>
        <v>0</v>
      </c>
      <c r="N74" s="39">
        <f t="shared" si="12"/>
        <v>0</v>
      </c>
    </row>
    <row r="75" spans="1:14">
      <c r="A75" s="58">
        <f t="shared" si="13"/>
        <v>0</v>
      </c>
      <c r="G75" s="15"/>
      <c r="H75" s="37">
        <v>70</v>
      </c>
      <c r="I75" s="38" t="str">
        <f t="shared" si="9"/>
        <v/>
      </c>
      <c r="J75" s="37">
        <f t="shared" si="14"/>
        <v>-3</v>
      </c>
      <c r="K75" s="37">
        <f t="shared" si="10"/>
        <v>-30</v>
      </c>
      <c r="L75" s="37"/>
      <c r="M75" s="39">
        <f t="shared" si="11"/>
        <v>0</v>
      </c>
      <c r="N75" s="39">
        <f t="shared" si="12"/>
        <v>0</v>
      </c>
    </row>
    <row r="76" spans="1:14">
      <c r="A76" s="58">
        <f t="shared" si="13"/>
        <v>0</v>
      </c>
      <c r="G76" s="15"/>
      <c r="H76" s="37">
        <v>71</v>
      </c>
      <c r="I76" s="38" t="str">
        <f t="shared" si="9"/>
        <v/>
      </c>
      <c r="J76" s="37">
        <f t="shared" si="14"/>
        <v>-3</v>
      </c>
      <c r="K76" s="37">
        <f t="shared" si="10"/>
        <v>-30</v>
      </c>
      <c r="L76" s="37"/>
      <c r="M76" s="39">
        <f t="shared" si="11"/>
        <v>0</v>
      </c>
      <c r="N76" s="39">
        <f t="shared" si="12"/>
        <v>0</v>
      </c>
    </row>
    <row r="77" spans="1:14">
      <c r="A77" s="58">
        <f t="shared" si="13"/>
        <v>0</v>
      </c>
      <c r="G77" s="15"/>
      <c r="H77" s="37">
        <v>72</v>
      </c>
      <c r="I77" s="38" t="str">
        <f t="shared" si="9"/>
        <v/>
      </c>
      <c r="J77" s="37">
        <f t="shared" si="14"/>
        <v>-3</v>
      </c>
      <c r="K77" s="37">
        <f t="shared" si="10"/>
        <v>-30</v>
      </c>
      <c r="L77" s="37"/>
      <c r="M77" s="39">
        <f t="shared" si="11"/>
        <v>0</v>
      </c>
      <c r="N77" s="39">
        <f t="shared" si="12"/>
        <v>0</v>
      </c>
    </row>
    <row r="78" spans="1:14">
      <c r="A78" s="58">
        <f t="shared" si="13"/>
        <v>0</v>
      </c>
      <c r="G78" s="15"/>
      <c r="H78" s="37">
        <v>73</v>
      </c>
      <c r="I78" s="38" t="str">
        <f t="shared" si="9"/>
        <v/>
      </c>
      <c r="J78" s="37">
        <f t="shared" si="14"/>
        <v>-3</v>
      </c>
      <c r="K78" s="37">
        <f t="shared" si="10"/>
        <v>-30</v>
      </c>
      <c r="L78" s="37"/>
      <c r="M78" s="39">
        <f t="shared" si="11"/>
        <v>0</v>
      </c>
      <c r="N78" s="39">
        <f t="shared" si="12"/>
        <v>0</v>
      </c>
    </row>
    <row r="79" spans="1:14">
      <c r="A79" s="58">
        <f t="shared" si="13"/>
        <v>0</v>
      </c>
      <c r="G79" s="15"/>
      <c r="H79" s="37">
        <v>74</v>
      </c>
      <c r="I79" s="38" t="str">
        <f t="shared" si="9"/>
        <v/>
      </c>
      <c r="J79" s="37">
        <f t="shared" si="14"/>
        <v>-3</v>
      </c>
      <c r="K79" s="37">
        <f t="shared" si="10"/>
        <v>-30</v>
      </c>
      <c r="L79" s="37"/>
      <c r="M79" s="39">
        <f t="shared" si="11"/>
        <v>0</v>
      </c>
      <c r="N79" s="39">
        <f t="shared" si="12"/>
        <v>0</v>
      </c>
    </row>
    <row r="80" spans="1:14">
      <c r="A80" s="58">
        <f t="shared" si="13"/>
        <v>0</v>
      </c>
      <c r="G80" s="15"/>
      <c r="H80" s="37">
        <v>75</v>
      </c>
      <c r="I80" s="38" t="str">
        <f t="shared" si="9"/>
        <v/>
      </c>
      <c r="J80" s="37">
        <f t="shared" si="14"/>
        <v>-3</v>
      </c>
      <c r="K80" s="37">
        <f t="shared" si="10"/>
        <v>-30</v>
      </c>
      <c r="L80" s="37"/>
      <c r="M80" s="39">
        <f t="shared" si="11"/>
        <v>0</v>
      </c>
      <c r="N80" s="39">
        <f t="shared" si="12"/>
        <v>0</v>
      </c>
    </row>
    <row r="81" spans="1:14">
      <c r="A81" s="58">
        <f t="shared" si="13"/>
        <v>0</v>
      </c>
      <c r="G81" s="15"/>
      <c r="H81" s="37">
        <v>76</v>
      </c>
      <c r="I81" s="38" t="str">
        <f t="shared" si="9"/>
        <v/>
      </c>
      <c r="J81" s="37">
        <f t="shared" si="14"/>
        <v>-3</v>
      </c>
      <c r="K81" s="37">
        <f t="shared" si="10"/>
        <v>-30</v>
      </c>
      <c r="L81" s="37"/>
      <c r="M81" s="39">
        <f t="shared" si="11"/>
        <v>0</v>
      </c>
      <c r="N81" s="39">
        <f t="shared" si="12"/>
        <v>0</v>
      </c>
    </row>
    <row r="82" spans="1:14">
      <c r="A82" s="58">
        <f t="shared" si="13"/>
        <v>0</v>
      </c>
      <c r="G82" s="15"/>
      <c r="H82" s="37">
        <v>77</v>
      </c>
      <c r="I82" s="38" t="str">
        <f t="shared" si="9"/>
        <v/>
      </c>
      <c r="J82" s="37">
        <f t="shared" si="14"/>
        <v>-3</v>
      </c>
      <c r="K82" s="37">
        <f t="shared" si="10"/>
        <v>-30</v>
      </c>
      <c r="L82" s="37"/>
      <c r="M82" s="39">
        <f t="shared" si="11"/>
        <v>0</v>
      </c>
      <c r="N82" s="39">
        <f t="shared" si="12"/>
        <v>0</v>
      </c>
    </row>
    <row r="83" spans="1:14">
      <c r="A83" s="58">
        <f t="shared" si="13"/>
        <v>0</v>
      </c>
      <c r="G83" s="15"/>
      <c r="H83" s="37">
        <v>78</v>
      </c>
      <c r="I83" s="38" t="str">
        <f t="shared" si="9"/>
        <v/>
      </c>
      <c r="J83" s="37">
        <f t="shared" si="14"/>
        <v>-3</v>
      </c>
      <c r="K83" s="37">
        <f t="shared" si="10"/>
        <v>-30</v>
      </c>
      <c r="L83" s="37"/>
      <c r="M83" s="39">
        <f t="shared" si="11"/>
        <v>0</v>
      </c>
      <c r="N83" s="39">
        <f t="shared" si="12"/>
        <v>0</v>
      </c>
    </row>
    <row r="84" spans="1:14">
      <c r="A84" s="58">
        <f t="shared" si="13"/>
        <v>0</v>
      </c>
      <c r="G84" s="15"/>
      <c r="H84" s="37">
        <v>79</v>
      </c>
      <c r="I84" s="38" t="str">
        <f t="shared" si="9"/>
        <v/>
      </c>
      <c r="J84" s="37">
        <f t="shared" si="14"/>
        <v>-3</v>
      </c>
      <c r="K84" s="37">
        <f t="shared" si="10"/>
        <v>-30</v>
      </c>
      <c r="L84" s="37"/>
      <c r="M84" s="39">
        <f t="shared" si="11"/>
        <v>0</v>
      </c>
      <c r="N84" s="39">
        <f t="shared" si="12"/>
        <v>0</v>
      </c>
    </row>
    <row r="85" spans="1:14">
      <c r="A85" s="58">
        <f t="shared" si="13"/>
        <v>0</v>
      </c>
      <c r="G85" s="15"/>
      <c r="H85" s="37">
        <v>80</v>
      </c>
      <c r="I85" s="38" t="str">
        <f t="shared" si="9"/>
        <v/>
      </c>
      <c r="J85" s="37">
        <f t="shared" si="14"/>
        <v>-3</v>
      </c>
      <c r="K85" s="37">
        <f t="shared" si="10"/>
        <v>-30</v>
      </c>
      <c r="L85" s="37"/>
      <c r="M85" s="39">
        <f t="shared" si="11"/>
        <v>0</v>
      </c>
      <c r="N85" s="39">
        <f t="shared" si="12"/>
        <v>0</v>
      </c>
    </row>
    <row r="86" spans="1:14">
      <c r="A86" s="58">
        <f t="shared" si="13"/>
        <v>0</v>
      </c>
      <c r="G86" s="15"/>
      <c r="H86" s="37">
        <v>81</v>
      </c>
      <c r="I86" s="38" t="str">
        <f t="shared" si="9"/>
        <v/>
      </c>
      <c r="J86" s="37">
        <f t="shared" si="14"/>
        <v>-3</v>
      </c>
      <c r="K86" s="37">
        <f t="shared" si="10"/>
        <v>-30</v>
      </c>
      <c r="L86" s="37"/>
      <c r="M86" s="39">
        <f t="shared" si="11"/>
        <v>0</v>
      </c>
      <c r="N86" s="39">
        <f t="shared" si="12"/>
        <v>0</v>
      </c>
    </row>
    <row r="87" spans="1:14">
      <c r="A87" s="58">
        <f t="shared" si="13"/>
        <v>0</v>
      </c>
      <c r="G87" s="15"/>
      <c r="H87" s="37">
        <v>82</v>
      </c>
      <c r="I87" s="38" t="str">
        <f t="shared" si="9"/>
        <v/>
      </c>
      <c r="J87" s="37">
        <f t="shared" si="14"/>
        <v>-3</v>
      </c>
      <c r="K87" s="37">
        <f t="shared" si="10"/>
        <v>-30</v>
      </c>
      <c r="L87" s="37"/>
      <c r="M87" s="39">
        <f t="shared" si="11"/>
        <v>0</v>
      </c>
      <c r="N87" s="39">
        <f t="shared" si="12"/>
        <v>0</v>
      </c>
    </row>
    <row r="88" spans="1:14">
      <c r="A88" s="58">
        <f t="shared" si="13"/>
        <v>0</v>
      </c>
      <c r="G88" s="15"/>
      <c r="H88" s="37">
        <v>83</v>
      </c>
      <c r="I88" s="38" t="str">
        <f t="shared" si="9"/>
        <v/>
      </c>
      <c r="J88" s="37">
        <f t="shared" si="14"/>
        <v>-3</v>
      </c>
      <c r="K88" s="37">
        <f t="shared" si="10"/>
        <v>-30</v>
      </c>
      <c r="L88" s="37"/>
      <c r="M88" s="39">
        <f t="shared" si="11"/>
        <v>0</v>
      </c>
      <c r="N88" s="39">
        <f t="shared" si="12"/>
        <v>0</v>
      </c>
    </row>
    <row r="89" spans="1:14">
      <c r="A89" s="58">
        <f t="shared" si="13"/>
        <v>0</v>
      </c>
      <c r="G89" s="15"/>
      <c r="H89" s="37">
        <v>84</v>
      </c>
      <c r="I89" s="38" t="str">
        <f t="shared" si="9"/>
        <v/>
      </c>
      <c r="J89" s="37">
        <f t="shared" si="14"/>
        <v>-3</v>
      </c>
      <c r="K89" s="37">
        <f t="shared" si="10"/>
        <v>-30</v>
      </c>
      <c r="L89" s="37"/>
      <c r="M89" s="39">
        <f t="shared" si="11"/>
        <v>0</v>
      </c>
      <c r="N89" s="39">
        <f t="shared" si="12"/>
        <v>0</v>
      </c>
    </row>
    <row r="90" spans="1:14">
      <c r="A90" s="58">
        <f t="shared" si="13"/>
        <v>0</v>
      </c>
      <c r="G90" s="15"/>
      <c r="H90" s="37">
        <v>85</v>
      </c>
      <c r="I90" s="38" t="str">
        <f t="shared" si="9"/>
        <v/>
      </c>
      <c r="J90" s="37">
        <f t="shared" si="14"/>
        <v>-3</v>
      </c>
      <c r="K90" s="37">
        <f t="shared" si="10"/>
        <v>-30</v>
      </c>
      <c r="L90" s="37"/>
      <c r="M90" s="39">
        <f t="shared" si="11"/>
        <v>0</v>
      </c>
      <c r="N90" s="39">
        <f t="shared" si="12"/>
        <v>0</v>
      </c>
    </row>
    <row r="91" spans="1:14">
      <c r="A91" s="58">
        <f t="shared" si="13"/>
        <v>0</v>
      </c>
      <c r="G91" s="15"/>
      <c r="H91" s="37">
        <v>86</v>
      </c>
      <c r="I91" s="38" t="str">
        <f t="shared" si="9"/>
        <v/>
      </c>
      <c r="J91" s="37">
        <f t="shared" si="14"/>
        <v>-3</v>
      </c>
      <c r="K91" s="37">
        <f t="shared" si="10"/>
        <v>-30</v>
      </c>
      <c r="L91" s="37"/>
      <c r="M91" s="39">
        <f t="shared" si="11"/>
        <v>0</v>
      </c>
      <c r="N91" s="39">
        <f t="shared" si="12"/>
        <v>0</v>
      </c>
    </row>
    <row r="92" spans="1:14">
      <c r="A92" s="58">
        <f t="shared" si="13"/>
        <v>0</v>
      </c>
      <c r="G92" s="15"/>
      <c r="H92" s="37">
        <v>87</v>
      </c>
      <c r="I92" s="38" t="str">
        <f t="shared" si="9"/>
        <v/>
      </c>
      <c r="J92" s="37">
        <f t="shared" si="14"/>
        <v>-3</v>
      </c>
      <c r="K92" s="37">
        <f t="shared" si="10"/>
        <v>-30</v>
      </c>
      <c r="L92" s="37"/>
      <c r="M92" s="39">
        <f t="shared" si="11"/>
        <v>0</v>
      </c>
      <c r="N92" s="39">
        <f t="shared" si="12"/>
        <v>0</v>
      </c>
    </row>
    <row r="93" spans="1:14">
      <c r="A93" s="58">
        <f t="shared" si="13"/>
        <v>0</v>
      </c>
      <c r="G93" s="15"/>
      <c r="H93" s="37">
        <v>88</v>
      </c>
      <c r="I93" s="38" t="str">
        <f t="shared" si="9"/>
        <v/>
      </c>
      <c r="J93" s="37">
        <f t="shared" si="14"/>
        <v>-3</v>
      </c>
      <c r="K93" s="37">
        <f t="shared" si="10"/>
        <v>-30</v>
      </c>
      <c r="L93" s="37"/>
      <c r="M93" s="39">
        <f t="shared" si="11"/>
        <v>0</v>
      </c>
      <c r="N93" s="39">
        <f t="shared" si="12"/>
        <v>0</v>
      </c>
    </row>
    <row r="94" spans="1:14">
      <c r="A94" s="58">
        <f t="shared" si="13"/>
        <v>0</v>
      </c>
      <c r="G94" s="15"/>
      <c r="H94" s="37">
        <v>89</v>
      </c>
      <c r="I94" s="38" t="str">
        <f t="shared" si="9"/>
        <v/>
      </c>
      <c r="J94" s="37">
        <f t="shared" si="14"/>
        <v>-3</v>
      </c>
      <c r="K94" s="37">
        <f t="shared" si="10"/>
        <v>-30</v>
      </c>
      <c r="L94" s="37"/>
      <c r="M94" s="39">
        <f t="shared" si="11"/>
        <v>0</v>
      </c>
      <c r="N94" s="39">
        <f t="shared" si="12"/>
        <v>0</v>
      </c>
    </row>
    <row r="95" spans="1:14">
      <c r="A95" s="58">
        <f t="shared" si="13"/>
        <v>0</v>
      </c>
      <c r="G95" s="15"/>
      <c r="H95" s="37">
        <v>90</v>
      </c>
      <c r="I95" s="38" t="str">
        <f t="shared" si="9"/>
        <v/>
      </c>
      <c r="J95" s="37">
        <f t="shared" si="14"/>
        <v>-3</v>
      </c>
      <c r="K95" s="37">
        <f t="shared" si="10"/>
        <v>-30</v>
      </c>
      <c r="L95" s="37"/>
      <c r="M95" s="39">
        <f t="shared" si="11"/>
        <v>0</v>
      </c>
      <c r="N95" s="39">
        <f t="shared" si="12"/>
        <v>0</v>
      </c>
    </row>
    <row r="96" spans="1:14">
      <c r="A96" s="58">
        <f t="shared" si="13"/>
        <v>0</v>
      </c>
      <c r="G96" s="15"/>
      <c r="H96" s="37">
        <v>91</v>
      </c>
      <c r="I96" s="38" t="str">
        <f t="shared" si="9"/>
        <v/>
      </c>
      <c r="J96" s="37">
        <f t="shared" si="14"/>
        <v>-3</v>
      </c>
      <c r="K96" s="37">
        <f t="shared" si="10"/>
        <v>-30</v>
      </c>
      <c r="L96" s="37"/>
      <c r="M96" s="39">
        <f t="shared" si="11"/>
        <v>0</v>
      </c>
      <c r="N96" s="39">
        <f t="shared" si="12"/>
        <v>0</v>
      </c>
    </row>
    <row r="97" spans="1:14">
      <c r="A97" s="58">
        <f t="shared" si="13"/>
        <v>0</v>
      </c>
      <c r="G97" s="15"/>
      <c r="H97" s="37">
        <v>92</v>
      </c>
      <c r="I97" s="38" t="str">
        <f t="shared" si="9"/>
        <v/>
      </c>
      <c r="J97" s="37">
        <f t="shared" si="14"/>
        <v>-3</v>
      </c>
      <c r="K97" s="37">
        <f t="shared" si="10"/>
        <v>-30</v>
      </c>
      <c r="L97" s="37"/>
      <c r="M97" s="39">
        <f t="shared" si="11"/>
        <v>0</v>
      </c>
      <c r="N97" s="39">
        <f t="shared" si="12"/>
        <v>0</v>
      </c>
    </row>
    <row r="98" spans="1:14">
      <c r="A98" s="58">
        <f t="shared" si="13"/>
        <v>0</v>
      </c>
      <c r="G98" s="15"/>
      <c r="H98" s="37">
        <v>93</v>
      </c>
      <c r="I98" s="38" t="str">
        <f t="shared" si="9"/>
        <v/>
      </c>
      <c r="J98" s="37">
        <f t="shared" si="14"/>
        <v>-3</v>
      </c>
      <c r="K98" s="37">
        <f t="shared" si="10"/>
        <v>-30</v>
      </c>
      <c r="L98" s="37"/>
      <c r="M98" s="39">
        <f t="shared" si="11"/>
        <v>0</v>
      </c>
      <c r="N98" s="39">
        <f t="shared" si="12"/>
        <v>0</v>
      </c>
    </row>
    <row r="99" spans="1:14">
      <c r="A99" s="58">
        <f t="shared" si="13"/>
        <v>0</v>
      </c>
      <c r="G99" s="15"/>
      <c r="H99" s="37">
        <v>94</v>
      </c>
      <c r="I99" s="38" t="str">
        <f t="shared" si="9"/>
        <v/>
      </c>
      <c r="J99" s="37">
        <f t="shared" si="14"/>
        <v>-3</v>
      </c>
      <c r="K99" s="37">
        <f t="shared" si="10"/>
        <v>-30</v>
      </c>
      <c r="L99" s="37"/>
      <c r="M99" s="39">
        <f t="shared" si="11"/>
        <v>0</v>
      </c>
      <c r="N99" s="39">
        <f t="shared" si="12"/>
        <v>0</v>
      </c>
    </row>
    <row r="100" spans="1:14">
      <c r="A100" s="58">
        <f t="shared" si="13"/>
        <v>0</v>
      </c>
      <c r="G100" s="15"/>
      <c r="H100" s="37">
        <v>95</v>
      </c>
      <c r="I100" s="38" t="str">
        <f t="shared" si="9"/>
        <v/>
      </c>
      <c r="J100" s="37">
        <f t="shared" si="14"/>
        <v>-3</v>
      </c>
      <c r="K100" s="37">
        <f t="shared" si="10"/>
        <v>-30</v>
      </c>
      <c r="L100" s="37"/>
      <c r="M100" s="39">
        <f t="shared" si="11"/>
        <v>0</v>
      </c>
      <c r="N100" s="39">
        <f t="shared" si="12"/>
        <v>0</v>
      </c>
    </row>
    <row r="101" spans="1:14">
      <c r="A101" s="58">
        <f t="shared" si="13"/>
        <v>0</v>
      </c>
      <c r="G101" s="15"/>
      <c r="H101" s="37">
        <v>96</v>
      </c>
      <c r="I101" s="38" t="str">
        <f t="shared" si="9"/>
        <v/>
      </c>
      <c r="J101" s="37">
        <f t="shared" si="14"/>
        <v>-3</v>
      </c>
      <c r="K101" s="37">
        <f t="shared" si="10"/>
        <v>-30</v>
      </c>
      <c r="L101" s="37"/>
      <c r="M101" s="39">
        <f t="shared" si="11"/>
        <v>0</v>
      </c>
      <c r="N101" s="39">
        <f t="shared" si="12"/>
        <v>0</v>
      </c>
    </row>
    <row r="102" spans="1:14">
      <c r="A102" s="58">
        <f t="shared" si="13"/>
        <v>0</v>
      </c>
      <c r="G102" s="15"/>
      <c r="H102" s="37">
        <v>97</v>
      </c>
      <c r="I102" s="38" t="str">
        <f t="shared" si="9"/>
        <v/>
      </c>
      <c r="J102" s="37">
        <f t="shared" si="14"/>
        <v>-3</v>
      </c>
      <c r="K102" s="37">
        <f t="shared" si="10"/>
        <v>-30</v>
      </c>
      <c r="L102" s="37"/>
      <c r="M102" s="39">
        <f t="shared" si="11"/>
        <v>0</v>
      </c>
      <c r="N102" s="39">
        <f t="shared" si="12"/>
        <v>0</v>
      </c>
    </row>
    <row r="103" spans="1:14">
      <c r="A103" s="58">
        <f t="shared" si="13"/>
        <v>0</v>
      </c>
      <c r="G103" s="15"/>
      <c r="H103" s="37">
        <v>98</v>
      </c>
      <c r="I103" s="38" t="str">
        <f t="shared" si="9"/>
        <v/>
      </c>
      <c r="J103" s="37">
        <f t="shared" si="14"/>
        <v>-3</v>
      </c>
      <c r="K103" s="37">
        <f t="shared" si="10"/>
        <v>-30</v>
      </c>
      <c r="L103" s="37"/>
      <c r="M103" s="39">
        <f t="shared" si="11"/>
        <v>0</v>
      </c>
      <c r="N103" s="39">
        <f t="shared" si="12"/>
        <v>0</v>
      </c>
    </row>
    <row r="104" spans="1:14">
      <c r="A104" s="58">
        <f t="shared" si="13"/>
        <v>0</v>
      </c>
      <c r="G104" s="15"/>
      <c r="H104" s="37">
        <v>99</v>
      </c>
      <c r="I104" s="38" t="str">
        <f t="shared" si="9"/>
        <v/>
      </c>
      <c r="J104" s="37">
        <f t="shared" si="14"/>
        <v>-3</v>
      </c>
      <c r="K104" s="37">
        <f t="shared" si="10"/>
        <v>-30</v>
      </c>
      <c r="L104" s="37"/>
      <c r="M104" s="39">
        <f t="shared" si="11"/>
        <v>0</v>
      </c>
      <c r="N104" s="39">
        <f t="shared" si="12"/>
        <v>0</v>
      </c>
    </row>
    <row r="105" spans="1:14">
      <c r="A105" s="58">
        <f t="shared" si="13"/>
        <v>0</v>
      </c>
      <c r="G105" s="15"/>
      <c r="H105" s="37">
        <v>100</v>
      </c>
      <c r="I105" s="38" t="str">
        <f t="shared" si="9"/>
        <v/>
      </c>
      <c r="J105" s="37">
        <f t="shared" si="14"/>
        <v>-3</v>
      </c>
      <c r="K105" s="37">
        <f t="shared" si="10"/>
        <v>-30</v>
      </c>
      <c r="L105" s="37"/>
      <c r="M105" s="39">
        <f t="shared" si="11"/>
        <v>0</v>
      </c>
      <c r="N105" s="39">
        <f t="shared" si="12"/>
        <v>0</v>
      </c>
    </row>
    <row r="106" spans="1:14">
      <c r="A106" s="58">
        <f t="shared" si="13"/>
        <v>0</v>
      </c>
      <c r="G106" s="15"/>
      <c r="H106" s="37">
        <v>101</v>
      </c>
      <c r="I106" s="38" t="str">
        <f t="shared" si="9"/>
        <v/>
      </c>
      <c r="J106" s="37">
        <f t="shared" si="14"/>
        <v>-3</v>
      </c>
      <c r="K106" s="37">
        <f t="shared" si="10"/>
        <v>-30</v>
      </c>
      <c r="L106" s="37"/>
      <c r="M106" s="39">
        <f t="shared" si="11"/>
        <v>0</v>
      </c>
      <c r="N106" s="39">
        <f t="shared" si="12"/>
        <v>0</v>
      </c>
    </row>
    <row r="107" spans="1:14">
      <c r="A107" s="58">
        <f t="shared" si="13"/>
        <v>0</v>
      </c>
      <c r="G107" s="15"/>
      <c r="H107" s="37">
        <v>102</v>
      </c>
      <c r="I107" s="38" t="str">
        <f t="shared" si="9"/>
        <v/>
      </c>
      <c r="J107" s="37">
        <f t="shared" si="14"/>
        <v>-3</v>
      </c>
      <c r="K107" s="37">
        <f t="shared" si="10"/>
        <v>-30</v>
      </c>
      <c r="L107" s="37"/>
      <c r="M107" s="39">
        <f t="shared" si="11"/>
        <v>0</v>
      </c>
      <c r="N107" s="39">
        <f t="shared" si="12"/>
        <v>0</v>
      </c>
    </row>
    <row r="108" spans="1:14">
      <c r="A108" s="58">
        <f t="shared" si="13"/>
        <v>0</v>
      </c>
      <c r="G108" s="15"/>
      <c r="H108" s="37">
        <v>103</v>
      </c>
      <c r="I108" s="38" t="str">
        <f t="shared" si="9"/>
        <v/>
      </c>
      <c r="J108" s="37">
        <f t="shared" si="14"/>
        <v>-3</v>
      </c>
      <c r="K108" s="37">
        <f t="shared" si="10"/>
        <v>-30</v>
      </c>
      <c r="L108" s="37"/>
      <c r="M108" s="39">
        <f t="shared" si="11"/>
        <v>0</v>
      </c>
      <c r="N108" s="39">
        <f t="shared" si="12"/>
        <v>0</v>
      </c>
    </row>
    <row r="109" spans="1:14">
      <c r="A109" s="58">
        <f t="shared" si="13"/>
        <v>0</v>
      </c>
      <c r="G109" s="15"/>
      <c r="H109" s="37">
        <v>104</v>
      </c>
      <c r="I109" s="38" t="str">
        <f t="shared" si="9"/>
        <v/>
      </c>
      <c r="J109" s="37">
        <f t="shared" si="14"/>
        <v>-3</v>
      </c>
      <c r="K109" s="37">
        <f t="shared" si="10"/>
        <v>-30</v>
      </c>
      <c r="L109" s="37"/>
      <c r="M109" s="39">
        <f t="shared" si="11"/>
        <v>0</v>
      </c>
      <c r="N109" s="39">
        <f t="shared" si="12"/>
        <v>0</v>
      </c>
    </row>
    <row r="110" spans="1:14">
      <c r="A110" s="58">
        <f t="shared" si="13"/>
        <v>0</v>
      </c>
      <c r="G110" s="15"/>
      <c r="H110" s="37">
        <v>105</v>
      </c>
      <c r="I110" s="38" t="str">
        <f t="shared" si="9"/>
        <v/>
      </c>
      <c r="J110" s="37">
        <f t="shared" si="14"/>
        <v>-3</v>
      </c>
      <c r="K110" s="37">
        <f t="shared" si="10"/>
        <v>-30</v>
      </c>
      <c r="L110" s="37"/>
      <c r="M110" s="39">
        <f t="shared" si="11"/>
        <v>0</v>
      </c>
      <c r="N110" s="39">
        <f t="shared" si="12"/>
        <v>0</v>
      </c>
    </row>
    <row r="111" spans="1:14">
      <c r="A111" s="58">
        <f t="shared" si="13"/>
        <v>0</v>
      </c>
      <c r="G111" s="15"/>
      <c r="H111" s="37">
        <v>106</v>
      </c>
      <c r="I111" s="38" t="str">
        <f t="shared" si="9"/>
        <v/>
      </c>
      <c r="J111" s="37">
        <f t="shared" si="14"/>
        <v>-3</v>
      </c>
      <c r="K111" s="37">
        <f t="shared" si="10"/>
        <v>-30</v>
      </c>
      <c r="L111" s="37"/>
      <c r="M111" s="39">
        <f t="shared" si="11"/>
        <v>0</v>
      </c>
      <c r="N111" s="39">
        <f t="shared" si="12"/>
        <v>0</v>
      </c>
    </row>
    <row r="112" spans="1:14">
      <c r="A112" s="58">
        <f t="shared" si="13"/>
        <v>0</v>
      </c>
      <c r="G112" s="15"/>
      <c r="H112" s="37">
        <v>107</v>
      </c>
      <c r="I112" s="38" t="str">
        <f t="shared" si="9"/>
        <v/>
      </c>
      <c r="J112" s="37">
        <f t="shared" si="14"/>
        <v>-3</v>
      </c>
      <c r="K112" s="37">
        <f t="shared" si="10"/>
        <v>-30</v>
      </c>
      <c r="L112" s="37"/>
      <c r="M112" s="39">
        <f t="shared" si="11"/>
        <v>0</v>
      </c>
      <c r="N112" s="39">
        <f t="shared" si="12"/>
        <v>0</v>
      </c>
    </row>
    <row r="113" spans="1:14">
      <c r="A113" s="58">
        <f t="shared" si="13"/>
        <v>0</v>
      </c>
      <c r="G113" s="15"/>
      <c r="H113" s="37">
        <v>108</v>
      </c>
      <c r="I113" s="38" t="str">
        <f t="shared" si="9"/>
        <v/>
      </c>
      <c r="J113" s="37">
        <f t="shared" si="14"/>
        <v>-3</v>
      </c>
      <c r="K113" s="37">
        <f t="shared" si="10"/>
        <v>-30</v>
      </c>
      <c r="L113" s="37"/>
      <c r="M113" s="39">
        <f t="shared" si="11"/>
        <v>0</v>
      </c>
      <c r="N113" s="39">
        <f t="shared" si="12"/>
        <v>0</v>
      </c>
    </row>
    <row r="114" spans="1:14">
      <c r="A114" s="58">
        <f t="shared" si="13"/>
        <v>0</v>
      </c>
      <c r="G114" s="15"/>
      <c r="H114" s="37">
        <v>109</v>
      </c>
      <c r="I114" s="38" t="str">
        <f t="shared" si="9"/>
        <v/>
      </c>
      <c r="J114" s="37">
        <f t="shared" si="14"/>
        <v>-3</v>
      </c>
      <c r="K114" s="37">
        <f t="shared" si="10"/>
        <v>-30</v>
      </c>
      <c r="L114" s="37"/>
      <c r="M114" s="39">
        <f t="shared" si="11"/>
        <v>0</v>
      </c>
      <c r="N114" s="39">
        <f t="shared" si="12"/>
        <v>0</v>
      </c>
    </row>
    <row r="115" spans="1:14">
      <c r="A115" s="58">
        <f t="shared" si="13"/>
        <v>0</v>
      </c>
      <c r="G115" s="15"/>
      <c r="H115" s="37">
        <v>110</v>
      </c>
      <c r="I115" s="38" t="str">
        <f t="shared" si="9"/>
        <v/>
      </c>
      <c r="J115" s="37">
        <f t="shared" si="14"/>
        <v>-3</v>
      </c>
      <c r="K115" s="37">
        <f t="shared" si="10"/>
        <v>-30</v>
      </c>
      <c r="L115" s="37"/>
      <c r="M115" s="39">
        <f t="shared" si="11"/>
        <v>0</v>
      </c>
      <c r="N115" s="39">
        <f t="shared" si="12"/>
        <v>0</v>
      </c>
    </row>
    <row r="116" spans="1:14">
      <c r="A116" s="58">
        <f t="shared" si="13"/>
        <v>0</v>
      </c>
      <c r="G116" s="15"/>
      <c r="H116" s="37">
        <v>111</v>
      </c>
      <c r="I116" s="38" t="str">
        <f t="shared" si="9"/>
        <v/>
      </c>
      <c r="J116" s="37">
        <f t="shared" si="14"/>
        <v>-3</v>
      </c>
      <c r="K116" s="37">
        <f t="shared" si="10"/>
        <v>-30</v>
      </c>
      <c r="L116" s="37"/>
      <c r="M116" s="39">
        <f t="shared" si="11"/>
        <v>0</v>
      </c>
      <c r="N116" s="39">
        <f t="shared" si="12"/>
        <v>0</v>
      </c>
    </row>
    <row r="117" spans="1:14">
      <c r="A117" s="58">
        <f t="shared" si="13"/>
        <v>0</v>
      </c>
      <c r="G117" s="15"/>
      <c r="H117" s="37">
        <v>112</v>
      </c>
      <c r="I117" s="38" t="str">
        <f t="shared" si="9"/>
        <v/>
      </c>
      <c r="J117" s="37">
        <f t="shared" si="14"/>
        <v>-3</v>
      </c>
      <c r="K117" s="37">
        <f t="shared" si="10"/>
        <v>-30</v>
      </c>
      <c r="L117" s="37"/>
      <c r="M117" s="39">
        <f t="shared" si="11"/>
        <v>0</v>
      </c>
      <c r="N117" s="39">
        <f t="shared" si="12"/>
        <v>0</v>
      </c>
    </row>
    <row r="118" spans="1:14">
      <c r="A118" s="58">
        <f t="shared" si="13"/>
        <v>0</v>
      </c>
      <c r="G118" s="15"/>
      <c r="H118" s="37">
        <v>113</v>
      </c>
      <c r="I118" s="38" t="str">
        <f t="shared" si="9"/>
        <v/>
      </c>
      <c r="J118" s="37">
        <f t="shared" si="14"/>
        <v>-3</v>
      </c>
      <c r="K118" s="37">
        <f t="shared" si="10"/>
        <v>-30</v>
      </c>
      <c r="L118" s="37"/>
      <c r="M118" s="39">
        <f t="shared" si="11"/>
        <v>0</v>
      </c>
      <c r="N118" s="39">
        <f t="shared" si="12"/>
        <v>0</v>
      </c>
    </row>
    <row r="119" spans="1:14">
      <c r="A119" s="58">
        <f t="shared" si="13"/>
        <v>0</v>
      </c>
      <c r="G119" s="15"/>
      <c r="H119" s="37">
        <v>114</v>
      </c>
      <c r="I119" s="38" t="str">
        <f t="shared" si="9"/>
        <v/>
      </c>
      <c r="J119" s="37">
        <f t="shared" si="14"/>
        <v>-3</v>
      </c>
      <c r="K119" s="37">
        <f t="shared" si="10"/>
        <v>-30</v>
      </c>
      <c r="L119" s="37"/>
      <c r="M119" s="39">
        <f t="shared" si="11"/>
        <v>0</v>
      </c>
      <c r="N119" s="39">
        <f t="shared" si="12"/>
        <v>0</v>
      </c>
    </row>
    <row r="120" spans="1:14">
      <c r="A120" s="58">
        <f t="shared" si="13"/>
        <v>0</v>
      </c>
      <c r="G120" s="15"/>
      <c r="H120" s="37">
        <v>115</v>
      </c>
      <c r="I120" s="38" t="str">
        <f t="shared" si="9"/>
        <v/>
      </c>
      <c r="J120" s="37">
        <f t="shared" si="14"/>
        <v>-3</v>
      </c>
      <c r="K120" s="37">
        <f t="shared" si="10"/>
        <v>-30</v>
      </c>
      <c r="L120" s="37"/>
      <c r="M120" s="39">
        <f t="shared" si="11"/>
        <v>0</v>
      </c>
      <c r="N120" s="39">
        <f t="shared" si="12"/>
        <v>0</v>
      </c>
    </row>
    <row r="121" spans="1:14">
      <c r="A121" s="58">
        <f t="shared" si="13"/>
        <v>0</v>
      </c>
      <c r="G121" s="15"/>
      <c r="H121" s="37">
        <v>116</v>
      </c>
      <c r="I121" s="38" t="str">
        <f t="shared" si="9"/>
        <v/>
      </c>
      <c r="J121" s="37">
        <f t="shared" si="14"/>
        <v>-3</v>
      </c>
      <c r="K121" s="37">
        <f t="shared" si="10"/>
        <v>-30</v>
      </c>
      <c r="L121" s="37"/>
      <c r="M121" s="39">
        <f t="shared" si="11"/>
        <v>0</v>
      </c>
      <c r="N121" s="39">
        <f t="shared" si="12"/>
        <v>0</v>
      </c>
    </row>
    <row r="122" spans="1:14">
      <c r="A122" s="58">
        <f t="shared" si="13"/>
        <v>0</v>
      </c>
      <c r="G122" s="15"/>
      <c r="H122" s="37">
        <v>117</v>
      </c>
      <c r="I122" s="38" t="str">
        <f t="shared" si="9"/>
        <v/>
      </c>
      <c r="J122" s="37">
        <f t="shared" si="14"/>
        <v>-3</v>
      </c>
      <c r="K122" s="37">
        <f t="shared" si="10"/>
        <v>-30</v>
      </c>
      <c r="L122" s="37"/>
      <c r="M122" s="39">
        <f t="shared" si="11"/>
        <v>0</v>
      </c>
      <c r="N122" s="39">
        <f t="shared" si="12"/>
        <v>0</v>
      </c>
    </row>
    <row r="123" spans="1:14">
      <c r="A123" s="58">
        <f t="shared" si="13"/>
        <v>0</v>
      </c>
      <c r="G123" s="15"/>
      <c r="H123" s="37">
        <v>118</v>
      </c>
      <c r="I123" s="38" t="str">
        <f t="shared" si="9"/>
        <v/>
      </c>
      <c r="J123" s="37">
        <f t="shared" si="14"/>
        <v>-3</v>
      </c>
      <c r="K123" s="37">
        <f t="shared" si="10"/>
        <v>-30</v>
      </c>
      <c r="L123" s="37"/>
      <c r="M123" s="39">
        <f t="shared" si="11"/>
        <v>0</v>
      </c>
      <c r="N123" s="39">
        <f t="shared" si="12"/>
        <v>0</v>
      </c>
    </row>
    <row r="124" spans="1:14">
      <c r="A124" s="58">
        <f t="shared" si="13"/>
        <v>0</v>
      </c>
      <c r="G124" s="15"/>
      <c r="H124" s="37">
        <v>119</v>
      </c>
      <c r="I124" s="38" t="str">
        <f t="shared" si="9"/>
        <v/>
      </c>
      <c r="J124" s="37">
        <f t="shared" si="14"/>
        <v>-3</v>
      </c>
      <c r="K124" s="37">
        <f t="shared" si="10"/>
        <v>-30</v>
      </c>
      <c r="L124" s="37"/>
      <c r="M124" s="39">
        <f t="shared" si="11"/>
        <v>0</v>
      </c>
      <c r="N124" s="39">
        <f t="shared" si="12"/>
        <v>0</v>
      </c>
    </row>
    <row r="125" spans="1:14">
      <c r="A125" s="58">
        <f t="shared" si="13"/>
        <v>0</v>
      </c>
      <c r="G125" s="15"/>
      <c r="H125" s="37">
        <v>120</v>
      </c>
      <c r="I125" s="38" t="str">
        <f t="shared" si="9"/>
        <v/>
      </c>
      <c r="J125" s="37">
        <f t="shared" si="14"/>
        <v>-3</v>
      </c>
      <c r="K125" s="37">
        <f t="shared" si="10"/>
        <v>-30</v>
      </c>
      <c r="L125" s="37"/>
      <c r="M125" s="39">
        <f t="shared" si="11"/>
        <v>0</v>
      </c>
      <c r="N125" s="39">
        <f t="shared" si="12"/>
        <v>0</v>
      </c>
    </row>
    <row r="126" spans="1:14">
      <c r="A126" s="58">
        <f t="shared" si="13"/>
        <v>0</v>
      </c>
      <c r="G126" s="15"/>
      <c r="H126" s="37">
        <v>121</v>
      </c>
      <c r="I126" s="38" t="str">
        <f t="shared" si="9"/>
        <v/>
      </c>
      <c r="J126" s="37">
        <f t="shared" si="14"/>
        <v>-3</v>
      </c>
      <c r="K126" s="37">
        <f t="shared" si="10"/>
        <v>-30</v>
      </c>
      <c r="L126" s="37"/>
      <c r="M126" s="39">
        <f t="shared" si="11"/>
        <v>0</v>
      </c>
      <c r="N126" s="39">
        <f t="shared" si="12"/>
        <v>0</v>
      </c>
    </row>
    <row r="127" spans="1:14">
      <c r="A127" s="58">
        <f t="shared" si="13"/>
        <v>0</v>
      </c>
      <c r="G127" s="15"/>
      <c r="H127" s="37">
        <v>122</v>
      </c>
      <c r="I127" s="38" t="str">
        <f t="shared" si="9"/>
        <v/>
      </c>
      <c r="J127" s="37">
        <f t="shared" si="14"/>
        <v>-3</v>
      </c>
      <c r="K127" s="37">
        <f t="shared" si="10"/>
        <v>-30</v>
      </c>
      <c r="L127" s="37"/>
      <c r="M127" s="39">
        <f t="shared" si="11"/>
        <v>0</v>
      </c>
      <c r="N127" s="39">
        <f t="shared" si="12"/>
        <v>0</v>
      </c>
    </row>
    <row r="128" spans="1:14">
      <c r="A128" s="58">
        <f t="shared" si="13"/>
        <v>0</v>
      </c>
      <c r="G128" s="15"/>
      <c r="H128" s="37">
        <v>123</v>
      </c>
      <c r="I128" s="38" t="str">
        <f t="shared" si="9"/>
        <v/>
      </c>
      <c r="J128" s="37">
        <f t="shared" si="14"/>
        <v>-3</v>
      </c>
      <c r="K128" s="37">
        <f t="shared" si="10"/>
        <v>-30</v>
      </c>
      <c r="L128" s="37"/>
      <c r="M128" s="39">
        <f t="shared" si="11"/>
        <v>0</v>
      </c>
      <c r="N128" s="39">
        <f t="shared" si="12"/>
        <v>0</v>
      </c>
    </row>
    <row r="129" spans="1:14">
      <c r="A129" s="58">
        <f t="shared" si="13"/>
        <v>0</v>
      </c>
      <c r="G129" s="15"/>
      <c r="H129" s="37">
        <v>124</v>
      </c>
      <c r="I129" s="38" t="str">
        <f t="shared" si="9"/>
        <v/>
      </c>
      <c r="J129" s="37">
        <f t="shared" si="14"/>
        <v>-3</v>
      </c>
      <c r="K129" s="37">
        <f t="shared" si="10"/>
        <v>-30</v>
      </c>
      <c r="L129" s="37"/>
      <c r="M129" s="39">
        <f t="shared" si="11"/>
        <v>0</v>
      </c>
      <c r="N129" s="39">
        <f t="shared" si="12"/>
        <v>0</v>
      </c>
    </row>
    <row r="130" spans="1:14">
      <c r="A130" s="58">
        <f t="shared" si="13"/>
        <v>0</v>
      </c>
      <c r="G130" s="15"/>
      <c r="H130" s="37">
        <v>125</v>
      </c>
      <c r="I130" s="38" t="str">
        <f t="shared" si="9"/>
        <v/>
      </c>
      <c r="J130" s="37">
        <f t="shared" si="14"/>
        <v>-3</v>
      </c>
      <c r="K130" s="37">
        <f t="shared" si="10"/>
        <v>-30</v>
      </c>
      <c r="L130" s="37"/>
      <c r="M130" s="39">
        <f t="shared" si="11"/>
        <v>0</v>
      </c>
      <c r="N130" s="39">
        <f t="shared" si="12"/>
        <v>0</v>
      </c>
    </row>
    <row r="131" spans="1:14">
      <c r="A131" s="58">
        <f t="shared" si="13"/>
        <v>0</v>
      </c>
      <c r="G131" s="15"/>
      <c r="H131" s="37">
        <v>126</v>
      </c>
      <c r="I131" s="38" t="str">
        <f t="shared" si="9"/>
        <v/>
      </c>
      <c r="J131" s="37">
        <f t="shared" si="14"/>
        <v>-3</v>
      </c>
      <c r="K131" s="37">
        <f t="shared" si="10"/>
        <v>-30</v>
      </c>
      <c r="L131" s="37"/>
      <c r="M131" s="39">
        <f t="shared" si="11"/>
        <v>0</v>
      </c>
      <c r="N131" s="39">
        <f t="shared" si="12"/>
        <v>0</v>
      </c>
    </row>
    <row r="132" spans="1:14">
      <c r="A132" s="58">
        <f t="shared" si="13"/>
        <v>0</v>
      </c>
      <c r="G132" s="15"/>
      <c r="H132" s="37">
        <v>127</v>
      </c>
      <c r="I132" s="38" t="str">
        <f t="shared" si="9"/>
        <v/>
      </c>
      <c r="J132" s="37">
        <f t="shared" si="14"/>
        <v>-3</v>
      </c>
      <c r="K132" s="37">
        <f t="shared" si="10"/>
        <v>-30</v>
      </c>
      <c r="L132" s="37"/>
      <c r="M132" s="39">
        <f t="shared" si="11"/>
        <v>0</v>
      </c>
      <c r="N132" s="39">
        <f t="shared" si="12"/>
        <v>0</v>
      </c>
    </row>
    <row r="133" spans="1:14">
      <c r="A133" s="58">
        <f t="shared" si="13"/>
        <v>0</v>
      </c>
      <c r="G133" s="15"/>
      <c r="H133" s="37">
        <v>128</v>
      </c>
      <c r="I133" s="38" t="str">
        <f t="shared" si="9"/>
        <v/>
      </c>
      <c r="J133" s="37">
        <f t="shared" si="14"/>
        <v>-3</v>
      </c>
      <c r="K133" s="37">
        <f t="shared" si="10"/>
        <v>-30</v>
      </c>
      <c r="L133" s="37"/>
      <c r="M133" s="39">
        <f t="shared" si="11"/>
        <v>0</v>
      </c>
      <c r="N133" s="39">
        <f t="shared" si="12"/>
        <v>0</v>
      </c>
    </row>
    <row r="134" spans="1:14">
      <c r="A134" s="58">
        <f t="shared" si="13"/>
        <v>0</v>
      </c>
      <c r="G134" s="15"/>
      <c r="H134" s="37">
        <v>129</v>
      </c>
      <c r="I134" s="38" t="str">
        <f t="shared" ref="I134:I197" si="15">IF(H134&lt;$H$2+1,($I$2-($I$2-1)*(LOG(H134)/LOG($H$2))),"")</f>
        <v/>
      </c>
      <c r="J134" s="37">
        <f t="shared" si="14"/>
        <v>-4</v>
      </c>
      <c r="K134" s="37">
        <f t="shared" ref="K134:K197" si="16">J134*$J$2</f>
        <v>-40</v>
      </c>
      <c r="L134" s="37"/>
      <c r="M134" s="39">
        <f t="shared" ref="M134:M197" si="17">IF(I134&lt;&gt;"",K134+I134+L134,0)</f>
        <v>0</v>
      </c>
      <c r="N134" s="39">
        <f t="shared" ref="N134:N197" si="18">IF(I134&lt;&gt;"",M134*L$2,0)</f>
        <v>0</v>
      </c>
    </row>
    <row r="135" spans="1:14">
      <c r="A135" s="58">
        <f t="shared" ref="A135:A198" si="19">N135</f>
        <v>0</v>
      </c>
      <c r="G135" s="15"/>
      <c r="H135" s="37">
        <v>130</v>
      </c>
      <c r="I135" s="38" t="str">
        <f t="shared" si="15"/>
        <v/>
      </c>
      <c r="J135" s="37">
        <f t="shared" ref="J135:J198" si="20">INT(LOG($H$2,2))-ROUNDUP(LOG(H135,2),0)+IF(OR($H$2=1,$H$2=2,$H$2=4,$H$2=8,$H$2=16,$H$2=32,$H$2=64,$H$2=128,$H$2=256),0,1)</f>
        <v>-4</v>
      </c>
      <c r="K135" s="37">
        <f t="shared" si="16"/>
        <v>-40</v>
      </c>
      <c r="L135" s="37"/>
      <c r="M135" s="39">
        <f t="shared" si="17"/>
        <v>0</v>
      </c>
      <c r="N135" s="39">
        <f t="shared" si="18"/>
        <v>0</v>
      </c>
    </row>
    <row r="136" spans="1:14">
      <c r="A136" s="58">
        <f t="shared" si="19"/>
        <v>0</v>
      </c>
      <c r="G136" s="15"/>
      <c r="H136" s="37">
        <v>131</v>
      </c>
      <c r="I136" s="38" t="str">
        <f t="shared" si="15"/>
        <v/>
      </c>
      <c r="J136" s="37">
        <f t="shared" si="20"/>
        <v>-4</v>
      </c>
      <c r="K136" s="37">
        <f t="shared" si="16"/>
        <v>-40</v>
      </c>
      <c r="L136" s="37"/>
      <c r="M136" s="39">
        <f t="shared" si="17"/>
        <v>0</v>
      </c>
      <c r="N136" s="39">
        <f t="shared" si="18"/>
        <v>0</v>
      </c>
    </row>
    <row r="137" spans="1:14">
      <c r="A137" s="58">
        <f t="shared" si="19"/>
        <v>0</v>
      </c>
      <c r="G137" s="15"/>
      <c r="H137" s="37">
        <v>132</v>
      </c>
      <c r="I137" s="38" t="str">
        <f t="shared" si="15"/>
        <v/>
      </c>
      <c r="J137" s="37">
        <f t="shared" si="20"/>
        <v>-4</v>
      </c>
      <c r="K137" s="37">
        <f t="shared" si="16"/>
        <v>-40</v>
      </c>
      <c r="L137" s="37"/>
      <c r="M137" s="39">
        <f t="shared" si="17"/>
        <v>0</v>
      </c>
      <c r="N137" s="39">
        <f t="shared" si="18"/>
        <v>0</v>
      </c>
    </row>
    <row r="138" spans="1:14">
      <c r="A138" s="58">
        <f t="shared" si="19"/>
        <v>0</v>
      </c>
      <c r="G138" s="15"/>
      <c r="H138" s="37">
        <v>133</v>
      </c>
      <c r="I138" s="38" t="str">
        <f t="shared" si="15"/>
        <v/>
      </c>
      <c r="J138" s="37">
        <f t="shared" si="20"/>
        <v>-4</v>
      </c>
      <c r="K138" s="37">
        <f t="shared" si="16"/>
        <v>-40</v>
      </c>
      <c r="L138" s="37"/>
      <c r="M138" s="39">
        <f t="shared" si="17"/>
        <v>0</v>
      </c>
      <c r="N138" s="39">
        <f t="shared" si="18"/>
        <v>0</v>
      </c>
    </row>
    <row r="139" spans="1:14">
      <c r="A139" s="58">
        <f t="shared" si="19"/>
        <v>0</v>
      </c>
      <c r="G139" s="15"/>
      <c r="H139" s="37">
        <v>134</v>
      </c>
      <c r="I139" s="38" t="str">
        <f t="shared" si="15"/>
        <v/>
      </c>
      <c r="J139" s="37">
        <f t="shared" si="20"/>
        <v>-4</v>
      </c>
      <c r="K139" s="37">
        <f t="shared" si="16"/>
        <v>-40</v>
      </c>
      <c r="L139" s="37"/>
      <c r="M139" s="39">
        <f t="shared" si="17"/>
        <v>0</v>
      </c>
      <c r="N139" s="39">
        <f t="shared" si="18"/>
        <v>0</v>
      </c>
    </row>
    <row r="140" spans="1:14">
      <c r="A140" s="58">
        <f t="shared" si="19"/>
        <v>0</v>
      </c>
      <c r="G140" s="15"/>
      <c r="H140" s="37">
        <v>135</v>
      </c>
      <c r="I140" s="38" t="str">
        <f t="shared" si="15"/>
        <v/>
      </c>
      <c r="J140" s="37">
        <f t="shared" si="20"/>
        <v>-4</v>
      </c>
      <c r="K140" s="37">
        <f t="shared" si="16"/>
        <v>-40</v>
      </c>
      <c r="L140" s="37"/>
      <c r="M140" s="39">
        <f t="shared" si="17"/>
        <v>0</v>
      </c>
      <c r="N140" s="39">
        <f t="shared" si="18"/>
        <v>0</v>
      </c>
    </row>
    <row r="141" spans="1:14">
      <c r="A141" s="58">
        <f t="shared" si="19"/>
        <v>0</v>
      </c>
      <c r="G141" s="15"/>
      <c r="H141" s="37">
        <v>136</v>
      </c>
      <c r="I141" s="38" t="str">
        <f t="shared" si="15"/>
        <v/>
      </c>
      <c r="J141" s="37">
        <f t="shared" si="20"/>
        <v>-4</v>
      </c>
      <c r="K141" s="37">
        <f t="shared" si="16"/>
        <v>-40</v>
      </c>
      <c r="L141" s="37"/>
      <c r="M141" s="39">
        <f t="shared" si="17"/>
        <v>0</v>
      </c>
      <c r="N141" s="39">
        <f t="shared" si="18"/>
        <v>0</v>
      </c>
    </row>
    <row r="142" spans="1:14">
      <c r="A142" s="58">
        <f t="shared" si="19"/>
        <v>0</v>
      </c>
      <c r="G142" s="15"/>
      <c r="H142" s="37">
        <v>137</v>
      </c>
      <c r="I142" s="38" t="str">
        <f t="shared" si="15"/>
        <v/>
      </c>
      <c r="J142" s="37">
        <f t="shared" si="20"/>
        <v>-4</v>
      </c>
      <c r="K142" s="37">
        <f t="shared" si="16"/>
        <v>-40</v>
      </c>
      <c r="L142" s="37"/>
      <c r="M142" s="39">
        <f t="shared" si="17"/>
        <v>0</v>
      </c>
      <c r="N142" s="39">
        <f t="shared" si="18"/>
        <v>0</v>
      </c>
    </row>
    <row r="143" spans="1:14">
      <c r="A143" s="58">
        <f t="shared" si="19"/>
        <v>0</v>
      </c>
      <c r="G143" s="15"/>
      <c r="H143" s="37">
        <v>138</v>
      </c>
      <c r="I143" s="38" t="str">
        <f t="shared" si="15"/>
        <v/>
      </c>
      <c r="J143" s="37">
        <f t="shared" si="20"/>
        <v>-4</v>
      </c>
      <c r="K143" s="37">
        <f t="shared" si="16"/>
        <v>-40</v>
      </c>
      <c r="L143" s="37"/>
      <c r="M143" s="39">
        <f t="shared" si="17"/>
        <v>0</v>
      </c>
      <c r="N143" s="39">
        <f t="shared" si="18"/>
        <v>0</v>
      </c>
    </row>
    <row r="144" spans="1:14">
      <c r="A144" s="58">
        <f t="shared" si="19"/>
        <v>0</v>
      </c>
      <c r="G144" s="15"/>
      <c r="H144" s="37">
        <v>139</v>
      </c>
      <c r="I144" s="38" t="str">
        <f t="shared" si="15"/>
        <v/>
      </c>
      <c r="J144" s="37">
        <f t="shared" si="20"/>
        <v>-4</v>
      </c>
      <c r="K144" s="37">
        <f t="shared" si="16"/>
        <v>-40</v>
      </c>
      <c r="L144" s="37"/>
      <c r="M144" s="39">
        <f t="shared" si="17"/>
        <v>0</v>
      </c>
      <c r="N144" s="39">
        <f t="shared" si="18"/>
        <v>0</v>
      </c>
    </row>
    <row r="145" spans="1:14">
      <c r="A145" s="58">
        <f t="shared" si="19"/>
        <v>0</v>
      </c>
      <c r="G145" s="15"/>
      <c r="H145" s="37">
        <v>140</v>
      </c>
      <c r="I145" s="38" t="str">
        <f t="shared" si="15"/>
        <v/>
      </c>
      <c r="J145" s="37">
        <f t="shared" si="20"/>
        <v>-4</v>
      </c>
      <c r="K145" s="37">
        <f t="shared" si="16"/>
        <v>-40</v>
      </c>
      <c r="L145" s="37"/>
      <c r="M145" s="39">
        <f t="shared" si="17"/>
        <v>0</v>
      </c>
      <c r="N145" s="39">
        <f t="shared" si="18"/>
        <v>0</v>
      </c>
    </row>
    <row r="146" spans="1:14">
      <c r="A146" s="58">
        <f t="shared" si="19"/>
        <v>0</v>
      </c>
      <c r="G146" s="15"/>
      <c r="H146" s="37">
        <v>141</v>
      </c>
      <c r="I146" s="38" t="str">
        <f t="shared" si="15"/>
        <v/>
      </c>
      <c r="J146" s="37">
        <f t="shared" si="20"/>
        <v>-4</v>
      </c>
      <c r="K146" s="37">
        <f t="shared" si="16"/>
        <v>-40</v>
      </c>
      <c r="L146" s="37"/>
      <c r="M146" s="39">
        <f t="shared" si="17"/>
        <v>0</v>
      </c>
      <c r="N146" s="39">
        <f t="shared" si="18"/>
        <v>0</v>
      </c>
    </row>
    <row r="147" spans="1:14">
      <c r="A147" s="58">
        <f t="shared" si="19"/>
        <v>0</v>
      </c>
      <c r="G147" s="15"/>
      <c r="H147" s="37">
        <v>142</v>
      </c>
      <c r="I147" s="38" t="str">
        <f t="shared" si="15"/>
        <v/>
      </c>
      <c r="J147" s="37">
        <f t="shared" si="20"/>
        <v>-4</v>
      </c>
      <c r="K147" s="37">
        <f t="shared" si="16"/>
        <v>-40</v>
      </c>
      <c r="L147" s="37"/>
      <c r="M147" s="39">
        <f t="shared" si="17"/>
        <v>0</v>
      </c>
      <c r="N147" s="39">
        <f t="shared" si="18"/>
        <v>0</v>
      </c>
    </row>
    <row r="148" spans="1:14">
      <c r="A148" s="58">
        <f t="shared" si="19"/>
        <v>0</v>
      </c>
      <c r="G148" s="15"/>
      <c r="H148" s="37">
        <v>143</v>
      </c>
      <c r="I148" s="38" t="str">
        <f t="shared" si="15"/>
        <v/>
      </c>
      <c r="J148" s="37">
        <f t="shared" si="20"/>
        <v>-4</v>
      </c>
      <c r="K148" s="37">
        <f t="shared" si="16"/>
        <v>-40</v>
      </c>
      <c r="L148" s="37"/>
      <c r="M148" s="39">
        <f t="shared" si="17"/>
        <v>0</v>
      </c>
      <c r="N148" s="39">
        <f t="shared" si="18"/>
        <v>0</v>
      </c>
    </row>
    <row r="149" spans="1:14">
      <c r="A149" s="58">
        <f t="shared" si="19"/>
        <v>0</v>
      </c>
      <c r="G149" s="15"/>
      <c r="H149" s="37">
        <v>144</v>
      </c>
      <c r="I149" s="38" t="str">
        <f t="shared" si="15"/>
        <v/>
      </c>
      <c r="J149" s="37">
        <f t="shared" si="20"/>
        <v>-4</v>
      </c>
      <c r="K149" s="37">
        <f t="shared" si="16"/>
        <v>-40</v>
      </c>
      <c r="L149" s="37"/>
      <c r="M149" s="39">
        <f t="shared" si="17"/>
        <v>0</v>
      </c>
      <c r="N149" s="39">
        <f t="shared" si="18"/>
        <v>0</v>
      </c>
    </row>
    <row r="150" spans="1:14">
      <c r="A150" s="58">
        <f t="shared" si="19"/>
        <v>0</v>
      </c>
      <c r="G150" s="15"/>
      <c r="H150" s="37">
        <v>145</v>
      </c>
      <c r="I150" s="38" t="str">
        <f t="shared" si="15"/>
        <v/>
      </c>
      <c r="J150" s="37">
        <f t="shared" si="20"/>
        <v>-4</v>
      </c>
      <c r="K150" s="37">
        <f t="shared" si="16"/>
        <v>-40</v>
      </c>
      <c r="L150" s="37"/>
      <c r="M150" s="39">
        <f t="shared" si="17"/>
        <v>0</v>
      </c>
      <c r="N150" s="39">
        <f t="shared" si="18"/>
        <v>0</v>
      </c>
    </row>
    <row r="151" spans="1:14">
      <c r="A151" s="58">
        <f t="shared" si="19"/>
        <v>0</v>
      </c>
      <c r="G151" s="15"/>
      <c r="H151" s="37">
        <v>146</v>
      </c>
      <c r="I151" s="38" t="str">
        <f t="shared" si="15"/>
        <v/>
      </c>
      <c r="J151" s="37">
        <f t="shared" si="20"/>
        <v>-4</v>
      </c>
      <c r="K151" s="37">
        <f t="shared" si="16"/>
        <v>-40</v>
      </c>
      <c r="L151" s="37"/>
      <c r="M151" s="39">
        <f t="shared" si="17"/>
        <v>0</v>
      </c>
      <c r="N151" s="39">
        <f t="shared" si="18"/>
        <v>0</v>
      </c>
    </row>
    <row r="152" spans="1:14">
      <c r="A152" s="58">
        <f t="shared" si="19"/>
        <v>0</v>
      </c>
      <c r="G152" s="15"/>
      <c r="H152" s="37">
        <v>147</v>
      </c>
      <c r="I152" s="38" t="str">
        <f t="shared" si="15"/>
        <v/>
      </c>
      <c r="J152" s="37">
        <f t="shared" si="20"/>
        <v>-4</v>
      </c>
      <c r="K152" s="37">
        <f t="shared" si="16"/>
        <v>-40</v>
      </c>
      <c r="L152" s="37"/>
      <c r="M152" s="39">
        <f t="shared" si="17"/>
        <v>0</v>
      </c>
      <c r="N152" s="39">
        <f t="shared" si="18"/>
        <v>0</v>
      </c>
    </row>
    <row r="153" spans="1:14">
      <c r="A153" s="58">
        <f t="shared" si="19"/>
        <v>0</v>
      </c>
      <c r="G153" s="15"/>
      <c r="H153" s="37">
        <v>148</v>
      </c>
      <c r="I153" s="38" t="str">
        <f t="shared" si="15"/>
        <v/>
      </c>
      <c r="J153" s="37">
        <f t="shared" si="20"/>
        <v>-4</v>
      </c>
      <c r="K153" s="37">
        <f t="shared" si="16"/>
        <v>-40</v>
      </c>
      <c r="L153" s="37"/>
      <c r="M153" s="39">
        <f t="shared" si="17"/>
        <v>0</v>
      </c>
      <c r="N153" s="39">
        <f t="shared" si="18"/>
        <v>0</v>
      </c>
    </row>
    <row r="154" spans="1:14">
      <c r="A154" s="58">
        <f t="shared" si="19"/>
        <v>0</v>
      </c>
      <c r="G154" s="15"/>
      <c r="H154" s="37">
        <v>149</v>
      </c>
      <c r="I154" s="38" t="str">
        <f t="shared" si="15"/>
        <v/>
      </c>
      <c r="J154" s="37">
        <f t="shared" si="20"/>
        <v>-4</v>
      </c>
      <c r="K154" s="37">
        <f t="shared" si="16"/>
        <v>-40</v>
      </c>
      <c r="L154" s="37"/>
      <c r="M154" s="39">
        <f t="shared" si="17"/>
        <v>0</v>
      </c>
      <c r="N154" s="39">
        <f t="shared" si="18"/>
        <v>0</v>
      </c>
    </row>
    <row r="155" spans="1:14">
      <c r="A155" s="58">
        <f t="shared" si="19"/>
        <v>0</v>
      </c>
      <c r="G155" s="15"/>
      <c r="H155" s="37">
        <v>150</v>
      </c>
      <c r="I155" s="38" t="str">
        <f t="shared" si="15"/>
        <v/>
      </c>
      <c r="J155" s="37">
        <f t="shared" si="20"/>
        <v>-4</v>
      </c>
      <c r="K155" s="37">
        <f t="shared" si="16"/>
        <v>-40</v>
      </c>
      <c r="L155" s="37"/>
      <c r="M155" s="39">
        <f t="shared" si="17"/>
        <v>0</v>
      </c>
      <c r="N155" s="39">
        <f t="shared" si="18"/>
        <v>0</v>
      </c>
    </row>
    <row r="156" spans="1:14">
      <c r="A156" s="58">
        <f t="shared" si="19"/>
        <v>0</v>
      </c>
      <c r="G156" s="15"/>
      <c r="H156" s="37">
        <v>151</v>
      </c>
      <c r="I156" s="38" t="str">
        <f t="shared" si="15"/>
        <v/>
      </c>
      <c r="J156" s="37">
        <f t="shared" si="20"/>
        <v>-4</v>
      </c>
      <c r="K156" s="37">
        <f t="shared" si="16"/>
        <v>-40</v>
      </c>
      <c r="L156" s="37"/>
      <c r="M156" s="39">
        <f t="shared" si="17"/>
        <v>0</v>
      </c>
      <c r="N156" s="39">
        <f t="shared" si="18"/>
        <v>0</v>
      </c>
    </row>
    <row r="157" spans="1:14">
      <c r="A157" s="58">
        <f t="shared" si="19"/>
        <v>0</v>
      </c>
      <c r="G157" s="15"/>
      <c r="H157" s="37">
        <v>152</v>
      </c>
      <c r="I157" s="38" t="str">
        <f t="shared" si="15"/>
        <v/>
      </c>
      <c r="J157" s="37">
        <f t="shared" si="20"/>
        <v>-4</v>
      </c>
      <c r="K157" s="37">
        <f t="shared" si="16"/>
        <v>-40</v>
      </c>
      <c r="L157" s="37"/>
      <c r="M157" s="39">
        <f t="shared" si="17"/>
        <v>0</v>
      </c>
      <c r="N157" s="39">
        <f t="shared" si="18"/>
        <v>0</v>
      </c>
    </row>
    <row r="158" spans="1:14">
      <c r="A158" s="58">
        <f t="shared" si="19"/>
        <v>0</v>
      </c>
      <c r="G158" s="15"/>
      <c r="H158" s="37">
        <v>153</v>
      </c>
      <c r="I158" s="38" t="str">
        <f t="shared" si="15"/>
        <v/>
      </c>
      <c r="J158" s="37">
        <f t="shared" si="20"/>
        <v>-4</v>
      </c>
      <c r="K158" s="37">
        <f t="shared" si="16"/>
        <v>-40</v>
      </c>
      <c r="L158" s="37"/>
      <c r="M158" s="39">
        <f t="shared" si="17"/>
        <v>0</v>
      </c>
      <c r="N158" s="39">
        <f t="shared" si="18"/>
        <v>0</v>
      </c>
    </row>
    <row r="159" spans="1:14">
      <c r="A159" s="58">
        <f t="shared" si="19"/>
        <v>0</v>
      </c>
      <c r="G159" s="15"/>
      <c r="H159" s="37">
        <v>154</v>
      </c>
      <c r="I159" s="38" t="str">
        <f t="shared" si="15"/>
        <v/>
      </c>
      <c r="J159" s="37">
        <f t="shared" si="20"/>
        <v>-4</v>
      </c>
      <c r="K159" s="37">
        <f t="shared" si="16"/>
        <v>-40</v>
      </c>
      <c r="L159" s="37"/>
      <c r="M159" s="39">
        <f t="shared" si="17"/>
        <v>0</v>
      </c>
      <c r="N159" s="39">
        <f t="shared" si="18"/>
        <v>0</v>
      </c>
    </row>
    <row r="160" spans="1:14">
      <c r="A160" s="58">
        <f t="shared" si="19"/>
        <v>0</v>
      </c>
      <c r="G160" s="15"/>
      <c r="H160" s="37">
        <v>155</v>
      </c>
      <c r="I160" s="38" t="str">
        <f t="shared" si="15"/>
        <v/>
      </c>
      <c r="J160" s="37">
        <f t="shared" si="20"/>
        <v>-4</v>
      </c>
      <c r="K160" s="37">
        <f t="shared" si="16"/>
        <v>-40</v>
      </c>
      <c r="L160" s="37"/>
      <c r="M160" s="39">
        <f t="shared" si="17"/>
        <v>0</v>
      </c>
      <c r="N160" s="39">
        <f t="shared" si="18"/>
        <v>0</v>
      </c>
    </row>
    <row r="161" spans="1:14">
      <c r="A161" s="58">
        <f t="shared" si="19"/>
        <v>0</v>
      </c>
      <c r="G161" s="15"/>
      <c r="H161" s="37">
        <v>156</v>
      </c>
      <c r="I161" s="38" t="str">
        <f t="shared" si="15"/>
        <v/>
      </c>
      <c r="J161" s="37">
        <f t="shared" si="20"/>
        <v>-4</v>
      </c>
      <c r="K161" s="37">
        <f t="shared" si="16"/>
        <v>-40</v>
      </c>
      <c r="L161" s="37"/>
      <c r="M161" s="39">
        <f t="shared" si="17"/>
        <v>0</v>
      </c>
      <c r="N161" s="39">
        <f t="shared" si="18"/>
        <v>0</v>
      </c>
    </row>
    <row r="162" spans="1:14">
      <c r="A162" s="58">
        <f t="shared" si="19"/>
        <v>0</v>
      </c>
      <c r="G162" s="15"/>
      <c r="H162" s="37">
        <v>157</v>
      </c>
      <c r="I162" s="38" t="str">
        <f t="shared" si="15"/>
        <v/>
      </c>
      <c r="J162" s="37">
        <f t="shared" si="20"/>
        <v>-4</v>
      </c>
      <c r="K162" s="37">
        <f t="shared" si="16"/>
        <v>-40</v>
      </c>
      <c r="L162" s="37"/>
      <c r="M162" s="39">
        <f t="shared" si="17"/>
        <v>0</v>
      </c>
      <c r="N162" s="39">
        <f t="shared" si="18"/>
        <v>0</v>
      </c>
    </row>
    <row r="163" spans="1:14">
      <c r="A163" s="58">
        <f t="shared" si="19"/>
        <v>0</v>
      </c>
      <c r="G163" s="15"/>
      <c r="H163" s="37">
        <v>158</v>
      </c>
      <c r="I163" s="38" t="str">
        <f t="shared" si="15"/>
        <v/>
      </c>
      <c r="J163" s="37">
        <f t="shared" si="20"/>
        <v>-4</v>
      </c>
      <c r="K163" s="37">
        <f t="shared" si="16"/>
        <v>-40</v>
      </c>
      <c r="L163" s="37"/>
      <c r="M163" s="39">
        <f t="shared" si="17"/>
        <v>0</v>
      </c>
      <c r="N163" s="39">
        <f t="shared" si="18"/>
        <v>0</v>
      </c>
    </row>
    <row r="164" spans="1:14">
      <c r="A164" s="58">
        <f t="shared" si="19"/>
        <v>0</v>
      </c>
      <c r="G164" s="15"/>
      <c r="H164" s="37">
        <v>159</v>
      </c>
      <c r="I164" s="38" t="str">
        <f t="shared" si="15"/>
        <v/>
      </c>
      <c r="J164" s="37">
        <f t="shared" si="20"/>
        <v>-4</v>
      </c>
      <c r="K164" s="37">
        <f t="shared" si="16"/>
        <v>-40</v>
      </c>
      <c r="L164" s="37"/>
      <c r="M164" s="39">
        <f t="shared" si="17"/>
        <v>0</v>
      </c>
      <c r="N164" s="39">
        <f t="shared" si="18"/>
        <v>0</v>
      </c>
    </row>
    <row r="165" spans="1:14">
      <c r="A165" s="58">
        <f t="shared" si="19"/>
        <v>0</v>
      </c>
      <c r="G165" s="15"/>
      <c r="H165" s="37">
        <v>160</v>
      </c>
      <c r="I165" s="38" t="str">
        <f t="shared" si="15"/>
        <v/>
      </c>
      <c r="J165" s="37">
        <f t="shared" si="20"/>
        <v>-4</v>
      </c>
      <c r="K165" s="37">
        <f t="shared" si="16"/>
        <v>-40</v>
      </c>
      <c r="L165" s="37"/>
      <c r="M165" s="39">
        <f t="shared" si="17"/>
        <v>0</v>
      </c>
      <c r="N165" s="39">
        <f t="shared" si="18"/>
        <v>0</v>
      </c>
    </row>
    <row r="166" spans="1:14">
      <c r="A166" s="58">
        <f t="shared" si="19"/>
        <v>0</v>
      </c>
      <c r="G166" s="15"/>
      <c r="H166" s="37">
        <v>161</v>
      </c>
      <c r="I166" s="38" t="str">
        <f t="shared" si="15"/>
        <v/>
      </c>
      <c r="J166" s="37">
        <f t="shared" si="20"/>
        <v>-4</v>
      </c>
      <c r="K166" s="37">
        <f t="shared" si="16"/>
        <v>-40</v>
      </c>
      <c r="L166" s="37"/>
      <c r="M166" s="39">
        <f t="shared" si="17"/>
        <v>0</v>
      </c>
      <c r="N166" s="39">
        <f t="shared" si="18"/>
        <v>0</v>
      </c>
    </row>
    <row r="167" spans="1:14">
      <c r="A167" s="58">
        <f t="shared" si="19"/>
        <v>0</v>
      </c>
      <c r="G167" s="15"/>
      <c r="H167" s="37">
        <v>162</v>
      </c>
      <c r="I167" s="38" t="str">
        <f t="shared" si="15"/>
        <v/>
      </c>
      <c r="J167" s="37">
        <f t="shared" si="20"/>
        <v>-4</v>
      </c>
      <c r="K167" s="37">
        <f t="shared" si="16"/>
        <v>-40</v>
      </c>
      <c r="L167" s="37"/>
      <c r="M167" s="39">
        <f t="shared" si="17"/>
        <v>0</v>
      </c>
      <c r="N167" s="39">
        <f t="shared" si="18"/>
        <v>0</v>
      </c>
    </row>
    <row r="168" spans="1:14">
      <c r="A168" s="58">
        <f t="shared" si="19"/>
        <v>0</v>
      </c>
      <c r="G168" s="15"/>
      <c r="H168" s="37">
        <v>163</v>
      </c>
      <c r="I168" s="38" t="str">
        <f t="shared" si="15"/>
        <v/>
      </c>
      <c r="J168" s="37">
        <f t="shared" si="20"/>
        <v>-4</v>
      </c>
      <c r="K168" s="37">
        <f t="shared" si="16"/>
        <v>-40</v>
      </c>
      <c r="L168" s="37"/>
      <c r="M168" s="39">
        <f t="shared" si="17"/>
        <v>0</v>
      </c>
      <c r="N168" s="39">
        <f t="shared" si="18"/>
        <v>0</v>
      </c>
    </row>
    <row r="169" spans="1:14">
      <c r="A169" s="58">
        <f t="shared" si="19"/>
        <v>0</v>
      </c>
      <c r="G169" s="15"/>
      <c r="H169" s="37">
        <v>164</v>
      </c>
      <c r="I169" s="38" t="str">
        <f t="shared" si="15"/>
        <v/>
      </c>
      <c r="J169" s="37">
        <f t="shared" si="20"/>
        <v>-4</v>
      </c>
      <c r="K169" s="37">
        <f t="shared" si="16"/>
        <v>-40</v>
      </c>
      <c r="L169" s="37"/>
      <c r="M169" s="39">
        <f t="shared" si="17"/>
        <v>0</v>
      </c>
      <c r="N169" s="39">
        <f t="shared" si="18"/>
        <v>0</v>
      </c>
    </row>
    <row r="170" spans="1:14">
      <c r="A170" s="58">
        <f t="shared" si="19"/>
        <v>0</v>
      </c>
      <c r="G170" s="15"/>
      <c r="H170" s="37">
        <v>165</v>
      </c>
      <c r="I170" s="38" t="str">
        <f t="shared" si="15"/>
        <v/>
      </c>
      <c r="J170" s="37">
        <f t="shared" si="20"/>
        <v>-4</v>
      </c>
      <c r="K170" s="37">
        <f t="shared" si="16"/>
        <v>-40</v>
      </c>
      <c r="L170" s="37"/>
      <c r="M170" s="39">
        <f t="shared" si="17"/>
        <v>0</v>
      </c>
      <c r="N170" s="39">
        <f t="shared" si="18"/>
        <v>0</v>
      </c>
    </row>
    <row r="171" spans="1:14">
      <c r="A171" s="58">
        <f t="shared" si="19"/>
        <v>0</v>
      </c>
      <c r="G171" s="15"/>
      <c r="H171" s="37">
        <v>166</v>
      </c>
      <c r="I171" s="38" t="str">
        <f t="shared" si="15"/>
        <v/>
      </c>
      <c r="J171" s="37">
        <f t="shared" si="20"/>
        <v>-4</v>
      </c>
      <c r="K171" s="37">
        <f t="shared" si="16"/>
        <v>-40</v>
      </c>
      <c r="L171" s="37"/>
      <c r="M171" s="39">
        <f t="shared" si="17"/>
        <v>0</v>
      </c>
      <c r="N171" s="39">
        <f t="shared" si="18"/>
        <v>0</v>
      </c>
    </row>
    <row r="172" spans="1:14">
      <c r="A172" s="58">
        <f t="shared" si="19"/>
        <v>0</v>
      </c>
      <c r="G172" s="15"/>
      <c r="H172" s="37">
        <v>167</v>
      </c>
      <c r="I172" s="38" t="str">
        <f t="shared" si="15"/>
        <v/>
      </c>
      <c r="J172" s="37">
        <f t="shared" si="20"/>
        <v>-4</v>
      </c>
      <c r="K172" s="37">
        <f t="shared" si="16"/>
        <v>-40</v>
      </c>
      <c r="L172" s="37"/>
      <c r="M172" s="39">
        <f t="shared" si="17"/>
        <v>0</v>
      </c>
      <c r="N172" s="39">
        <f t="shared" si="18"/>
        <v>0</v>
      </c>
    </row>
    <row r="173" spans="1:14">
      <c r="A173" s="58">
        <f t="shared" si="19"/>
        <v>0</v>
      </c>
      <c r="G173" s="15"/>
      <c r="H173" s="37">
        <v>168</v>
      </c>
      <c r="I173" s="38" t="str">
        <f t="shared" si="15"/>
        <v/>
      </c>
      <c r="J173" s="37">
        <f t="shared" si="20"/>
        <v>-4</v>
      </c>
      <c r="K173" s="37">
        <f t="shared" si="16"/>
        <v>-40</v>
      </c>
      <c r="L173" s="37"/>
      <c r="M173" s="39">
        <f t="shared" si="17"/>
        <v>0</v>
      </c>
      <c r="N173" s="39">
        <f t="shared" si="18"/>
        <v>0</v>
      </c>
    </row>
    <row r="174" spans="1:14">
      <c r="A174" s="58">
        <f t="shared" si="19"/>
        <v>0</v>
      </c>
      <c r="G174" s="15"/>
      <c r="H174" s="37">
        <v>169</v>
      </c>
      <c r="I174" s="38" t="str">
        <f t="shared" si="15"/>
        <v/>
      </c>
      <c r="J174" s="37">
        <f t="shared" si="20"/>
        <v>-4</v>
      </c>
      <c r="K174" s="37">
        <f t="shared" si="16"/>
        <v>-40</v>
      </c>
      <c r="L174" s="37"/>
      <c r="M174" s="39">
        <f t="shared" si="17"/>
        <v>0</v>
      </c>
      <c r="N174" s="39">
        <f t="shared" si="18"/>
        <v>0</v>
      </c>
    </row>
    <row r="175" spans="1:14">
      <c r="A175" s="58">
        <f t="shared" si="19"/>
        <v>0</v>
      </c>
      <c r="G175" s="15"/>
      <c r="H175" s="37">
        <v>170</v>
      </c>
      <c r="I175" s="38" t="str">
        <f t="shared" si="15"/>
        <v/>
      </c>
      <c r="J175" s="37">
        <f t="shared" si="20"/>
        <v>-4</v>
      </c>
      <c r="K175" s="37">
        <f t="shared" si="16"/>
        <v>-40</v>
      </c>
      <c r="L175" s="37"/>
      <c r="M175" s="39">
        <f t="shared" si="17"/>
        <v>0</v>
      </c>
      <c r="N175" s="39">
        <f t="shared" si="18"/>
        <v>0</v>
      </c>
    </row>
    <row r="176" spans="1:14">
      <c r="A176" s="58">
        <f t="shared" si="19"/>
        <v>0</v>
      </c>
      <c r="G176" s="15"/>
      <c r="H176" s="37">
        <v>171</v>
      </c>
      <c r="I176" s="38" t="str">
        <f t="shared" si="15"/>
        <v/>
      </c>
      <c r="J176" s="37">
        <f t="shared" si="20"/>
        <v>-4</v>
      </c>
      <c r="K176" s="37">
        <f t="shared" si="16"/>
        <v>-40</v>
      </c>
      <c r="L176" s="37"/>
      <c r="M176" s="39">
        <f t="shared" si="17"/>
        <v>0</v>
      </c>
      <c r="N176" s="39">
        <f t="shared" si="18"/>
        <v>0</v>
      </c>
    </row>
    <row r="177" spans="1:14">
      <c r="A177" s="58">
        <f t="shared" si="19"/>
        <v>0</v>
      </c>
      <c r="G177" s="15"/>
      <c r="H177" s="37">
        <v>172</v>
      </c>
      <c r="I177" s="38" t="str">
        <f t="shared" si="15"/>
        <v/>
      </c>
      <c r="J177" s="37">
        <f t="shared" si="20"/>
        <v>-4</v>
      </c>
      <c r="K177" s="37">
        <f t="shared" si="16"/>
        <v>-40</v>
      </c>
      <c r="L177" s="37"/>
      <c r="M177" s="39">
        <f t="shared" si="17"/>
        <v>0</v>
      </c>
      <c r="N177" s="39">
        <f t="shared" si="18"/>
        <v>0</v>
      </c>
    </row>
    <row r="178" spans="1:14">
      <c r="A178" s="58">
        <f t="shared" si="19"/>
        <v>0</v>
      </c>
      <c r="G178" s="15"/>
      <c r="H178" s="37">
        <v>173</v>
      </c>
      <c r="I178" s="38" t="str">
        <f t="shared" si="15"/>
        <v/>
      </c>
      <c r="J178" s="37">
        <f t="shared" si="20"/>
        <v>-4</v>
      </c>
      <c r="K178" s="37">
        <f t="shared" si="16"/>
        <v>-40</v>
      </c>
      <c r="L178" s="37"/>
      <c r="M178" s="39">
        <f t="shared" si="17"/>
        <v>0</v>
      </c>
      <c r="N178" s="39">
        <f t="shared" si="18"/>
        <v>0</v>
      </c>
    </row>
    <row r="179" spans="1:14">
      <c r="A179" s="58">
        <f t="shared" si="19"/>
        <v>0</v>
      </c>
      <c r="G179" s="15"/>
      <c r="H179" s="37">
        <v>174</v>
      </c>
      <c r="I179" s="38" t="str">
        <f t="shared" si="15"/>
        <v/>
      </c>
      <c r="J179" s="37">
        <f t="shared" si="20"/>
        <v>-4</v>
      </c>
      <c r="K179" s="37">
        <f t="shared" si="16"/>
        <v>-40</v>
      </c>
      <c r="L179" s="37"/>
      <c r="M179" s="39">
        <f t="shared" si="17"/>
        <v>0</v>
      </c>
      <c r="N179" s="39">
        <f t="shared" si="18"/>
        <v>0</v>
      </c>
    </row>
    <row r="180" spans="1:14">
      <c r="A180" s="58">
        <f t="shared" si="19"/>
        <v>0</v>
      </c>
      <c r="G180" s="15"/>
      <c r="H180" s="37">
        <v>175</v>
      </c>
      <c r="I180" s="38" t="str">
        <f t="shared" si="15"/>
        <v/>
      </c>
      <c r="J180" s="37">
        <f t="shared" si="20"/>
        <v>-4</v>
      </c>
      <c r="K180" s="37">
        <f t="shared" si="16"/>
        <v>-40</v>
      </c>
      <c r="L180" s="37"/>
      <c r="M180" s="39">
        <f t="shared" si="17"/>
        <v>0</v>
      </c>
      <c r="N180" s="39">
        <f t="shared" si="18"/>
        <v>0</v>
      </c>
    </row>
    <row r="181" spans="1:14">
      <c r="A181" s="58">
        <f t="shared" si="19"/>
        <v>0</v>
      </c>
      <c r="G181" s="15"/>
      <c r="H181" s="37">
        <v>176</v>
      </c>
      <c r="I181" s="38" t="str">
        <f t="shared" si="15"/>
        <v/>
      </c>
      <c r="J181" s="37">
        <f t="shared" si="20"/>
        <v>-4</v>
      </c>
      <c r="K181" s="37">
        <f t="shared" si="16"/>
        <v>-40</v>
      </c>
      <c r="L181" s="37"/>
      <c r="M181" s="39">
        <f t="shared" si="17"/>
        <v>0</v>
      </c>
      <c r="N181" s="39">
        <f t="shared" si="18"/>
        <v>0</v>
      </c>
    </row>
    <row r="182" spans="1:14">
      <c r="A182" s="58">
        <f t="shared" si="19"/>
        <v>0</v>
      </c>
      <c r="G182" s="15"/>
      <c r="H182" s="37">
        <v>177</v>
      </c>
      <c r="I182" s="38" t="str">
        <f t="shared" si="15"/>
        <v/>
      </c>
      <c r="J182" s="37">
        <f t="shared" si="20"/>
        <v>-4</v>
      </c>
      <c r="K182" s="37">
        <f t="shared" si="16"/>
        <v>-40</v>
      </c>
      <c r="L182" s="37"/>
      <c r="M182" s="39">
        <f t="shared" si="17"/>
        <v>0</v>
      </c>
      <c r="N182" s="39">
        <f t="shared" si="18"/>
        <v>0</v>
      </c>
    </row>
    <row r="183" spans="1:14">
      <c r="A183" s="58">
        <f t="shared" si="19"/>
        <v>0</v>
      </c>
      <c r="G183" s="15"/>
      <c r="H183" s="37">
        <v>178</v>
      </c>
      <c r="I183" s="38" t="str">
        <f t="shared" si="15"/>
        <v/>
      </c>
      <c r="J183" s="37">
        <f t="shared" si="20"/>
        <v>-4</v>
      </c>
      <c r="K183" s="37">
        <f t="shared" si="16"/>
        <v>-40</v>
      </c>
      <c r="L183" s="37"/>
      <c r="M183" s="39">
        <f t="shared" si="17"/>
        <v>0</v>
      </c>
      <c r="N183" s="39">
        <f t="shared" si="18"/>
        <v>0</v>
      </c>
    </row>
    <row r="184" spans="1:14">
      <c r="A184" s="58">
        <f t="shared" si="19"/>
        <v>0</v>
      </c>
      <c r="G184" s="15"/>
      <c r="H184" s="37">
        <v>179</v>
      </c>
      <c r="I184" s="38" t="str">
        <f t="shared" si="15"/>
        <v/>
      </c>
      <c r="J184" s="37">
        <f t="shared" si="20"/>
        <v>-4</v>
      </c>
      <c r="K184" s="37">
        <f t="shared" si="16"/>
        <v>-40</v>
      </c>
      <c r="L184" s="37"/>
      <c r="M184" s="39">
        <f t="shared" si="17"/>
        <v>0</v>
      </c>
      <c r="N184" s="39">
        <f t="shared" si="18"/>
        <v>0</v>
      </c>
    </row>
    <row r="185" spans="1:14">
      <c r="A185" s="58">
        <f t="shared" si="19"/>
        <v>0</v>
      </c>
      <c r="G185" s="15"/>
      <c r="H185" s="37">
        <v>180</v>
      </c>
      <c r="I185" s="38" t="str">
        <f t="shared" si="15"/>
        <v/>
      </c>
      <c r="J185" s="37">
        <f t="shared" si="20"/>
        <v>-4</v>
      </c>
      <c r="K185" s="37">
        <f t="shared" si="16"/>
        <v>-40</v>
      </c>
      <c r="L185" s="37"/>
      <c r="M185" s="39">
        <f t="shared" si="17"/>
        <v>0</v>
      </c>
      <c r="N185" s="39">
        <f t="shared" si="18"/>
        <v>0</v>
      </c>
    </row>
    <row r="186" spans="1:14">
      <c r="A186" s="58">
        <f t="shared" si="19"/>
        <v>0</v>
      </c>
      <c r="G186" s="15"/>
      <c r="H186" s="37">
        <v>181</v>
      </c>
      <c r="I186" s="38" t="str">
        <f t="shared" si="15"/>
        <v/>
      </c>
      <c r="J186" s="37">
        <f t="shared" si="20"/>
        <v>-4</v>
      </c>
      <c r="K186" s="37">
        <f t="shared" si="16"/>
        <v>-40</v>
      </c>
      <c r="L186" s="37"/>
      <c r="M186" s="39">
        <f t="shared" si="17"/>
        <v>0</v>
      </c>
      <c r="N186" s="39">
        <f t="shared" si="18"/>
        <v>0</v>
      </c>
    </row>
    <row r="187" spans="1:14">
      <c r="A187" s="58">
        <f t="shared" si="19"/>
        <v>0</v>
      </c>
      <c r="G187" s="15"/>
      <c r="H187" s="37">
        <v>182</v>
      </c>
      <c r="I187" s="38" t="str">
        <f t="shared" si="15"/>
        <v/>
      </c>
      <c r="J187" s="37">
        <f t="shared" si="20"/>
        <v>-4</v>
      </c>
      <c r="K187" s="37">
        <f t="shared" si="16"/>
        <v>-40</v>
      </c>
      <c r="L187" s="37"/>
      <c r="M187" s="39">
        <f t="shared" si="17"/>
        <v>0</v>
      </c>
      <c r="N187" s="39">
        <f t="shared" si="18"/>
        <v>0</v>
      </c>
    </row>
    <row r="188" spans="1:14">
      <c r="A188" s="58">
        <f t="shared" si="19"/>
        <v>0</v>
      </c>
      <c r="G188" s="15"/>
      <c r="H188" s="37">
        <v>183</v>
      </c>
      <c r="I188" s="38" t="str">
        <f t="shared" si="15"/>
        <v/>
      </c>
      <c r="J188" s="37">
        <f t="shared" si="20"/>
        <v>-4</v>
      </c>
      <c r="K188" s="37">
        <f t="shared" si="16"/>
        <v>-40</v>
      </c>
      <c r="L188" s="37"/>
      <c r="M188" s="39">
        <f t="shared" si="17"/>
        <v>0</v>
      </c>
      <c r="N188" s="39">
        <f t="shared" si="18"/>
        <v>0</v>
      </c>
    </row>
    <row r="189" spans="1:14">
      <c r="A189" s="58">
        <f t="shared" si="19"/>
        <v>0</v>
      </c>
      <c r="G189" s="15"/>
      <c r="H189" s="37">
        <v>184</v>
      </c>
      <c r="I189" s="38" t="str">
        <f t="shared" si="15"/>
        <v/>
      </c>
      <c r="J189" s="37">
        <f t="shared" si="20"/>
        <v>-4</v>
      </c>
      <c r="K189" s="37">
        <f t="shared" si="16"/>
        <v>-40</v>
      </c>
      <c r="L189" s="37"/>
      <c r="M189" s="39">
        <f t="shared" si="17"/>
        <v>0</v>
      </c>
      <c r="N189" s="39">
        <f t="shared" si="18"/>
        <v>0</v>
      </c>
    </row>
    <row r="190" spans="1:14">
      <c r="A190" s="58">
        <f t="shared" si="19"/>
        <v>0</v>
      </c>
      <c r="G190" s="15"/>
      <c r="H190" s="37">
        <v>185</v>
      </c>
      <c r="I190" s="38" t="str">
        <f t="shared" si="15"/>
        <v/>
      </c>
      <c r="J190" s="37">
        <f t="shared" si="20"/>
        <v>-4</v>
      </c>
      <c r="K190" s="37">
        <f t="shared" si="16"/>
        <v>-40</v>
      </c>
      <c r="L190" s="37"/>
      <c r="M190" s="39">
        <f t="shared" si="17"/>
        <v>0</v>
      </c>
      <c r="N190" s="39">
        <f t="shared" si="18"/>
        <v>0</v>
      </c>
    </row>
    <row r="191" spans="1:14">
      <c r="A191" s="58">
        <f t="shared" si="19"/>
        <v>0</v>
      </c>
      <c r="G191" s="15"/>
      <c r="H191" s="37">
        <v>186</v>
      </c>
      <c r="I191" s="38" t="str">
        <f t="shared" si="15"/>
        <v/>
      </c>
      <c r="J191" s="37">
        <f t="shared" si="20"/>
        <v>-4</v>
      </c>
      <c r="K191" s="37">
        <f t="shared" si="16"/>
        <v>-40</v>
      </c>
      <c r="L191" s="37"/>
      <c r="M191" s="39">
        <f t="shared" si="17"/>
        <v>0</v>
      </c>
      <c r="N191" s="39">
        <f t="shared" si="18"/>
        <v>0</v>
      </c>
    </row>
    <row r="192" spans="1:14">
      <c r="A192" s="58">
        <f t="shared" si="19"/>
        <v>0</v>
      </c>
      <c r="G192" s="15"/>
      <c r="H192" s="37">
        <v>187</v>
      </c>
      <c r="I192" s="38" t="str">
        <f t="shared" si="15"/>
        <v/>
      </c>
      <c r="J192" s="37">
        <f t="shared" si="20"/>
        <v>-4</v>
      </c>
      <c r="K192" s="37">
        <f t="shared" si="16"/>
        <v>-40</v>
      </c>
      <c r="L192" s="37"/>
      <c r="M192" s="39">
        <f t="shared" si="17"/>
        <v>0</v>
      </c>
      <c r="N192" s="39">
        <f t="shared" si="18"/>
        <v>0</v>
      </c>
    </row>
    <row r="193" spans="1:14">
      <c r="A193" s="58">
        <f t="shared" si="19"/>
        <v>0</v>
      </c>
      <c r="G193" s="15"/>
      <c r="H193" s="37">
        <v>188</v>
      </c>
      <c r="I193" s="38" t="str">
        <f t="shared" si="15"/>
        <v/>
      </c>
      <c r="J193" s="37">
        <f t="shared" si="20"/>
        <v>-4</v>
      </c>
      <c r="K193" s="37">
        <f t="shared" si="16"/>
        <v>-40</v>
      </c>
      <c r="L193" s="37"/>
      <c r="M193" s="39">
        <f t="shared" si="17"/>
        <v>0</v>
      </c>
      <c r="N193" s="39">
        <f t="shared" si="18"/>
        <v>0</v>
      </c>
    </row>
    <row r="194" spans="1:14">
      <c r="A194" s="58">
        <f t="shared" si="19"/>
        <v>0</v>
      </c>
      <c r="G194" s="15"/>
      <c r="H194" s="37">
        <v>189</v>
      </c>
      <c r="I194" s="38" t="str">
        <f t="shared" si="15"/>
        <v/>
      </c>
      <c r="J194" s="37">
        <f t="shared" si="20"/>
        <v>-4</v>
      </c>
      <c r="K194" s="37">
        <f t="shared" si="16"/>
        <v>-40</v>
      </c>
      <c r="L194" s="37"/>
      <c r="M194" s="39">
        <f t="shared" si="17"/>
        <v>0</v>
      </c>
      <c r="N194" s="39">
        <f t="shared" si="18"/>
        <v>0</v>
      </c>
    </row>
    <row r="195" spans="1:14">
      <c r="A195" s="58">
        <f t="shared" si="19"/>
        <v>0</v>
      </c>
      <c r="G195" s="15"/>
      <c r="H195" s="37">
        <v>190</v>
      </c>
      <c r="I195" s="38" t="str">
        <f t="shared" si="15"/>
        <v/>
      </c>
      <c r="J195" s="37">
        <f t="shared" si="20"/>
        <v>-4</v>
      </c>
      <c r="K195" s="37">
        <f t="shared" si="16"/>
        <v>-40</v>
      </c>
      <c r="L195" s="37"/>
      <c r="M195" s="39">
        <f t="shared" si="17"/>
        <v>0</v>
      </c>
      <c r="N195" s="39">
        <f t="shared" si="18"/>
        <v>0</v>
      </c>
    </row>
    <row r="196" spans="1:14">
      <c r="A196" s="58">
        <f t="shared" si="19"/>
        <v>0</v>
      </c>
      <c r="G196" s="15"/>
      <c r="H196" s="37">
        <v>191</v>
      </c>
      <c r="I196" s="38" t="str">
        <f t="shared" si="15"/>
        <v/>
      </c>
      <c r="J196" s="37">
        <f t="shared" si="20"/>
        <v>-4</v>
      </c>
      <c r="K196" s="37">
        <f t="shared" si="16"/>
        <v>-40</v>
      </c>
      <c r="L196" s="37"/>
      <c r="M196" s="39">
        <f t="shared" si="17"/>
        <v>0</v>
      </c>
      <c r="N196" s="39">
        <f t="shared" si="18"/>
        <v>0</v>
      </c>
    </row>
    <row r="197" spans="1:14">
      <c r="A197" s="58">
        <f t="shared" si="19"/>
        <v>0</v>
      </c>
      <c r="G197" s="15"/>
      <c r="H197" s="37">
        <v>192</v>
      </c>
      <c r="I197" s="38" t="str">
        <f t="shared" si="15"/>
        <v/>
      </c>
      <c r="J197" s="37">
        <f t="shared" si="20"/>
        <v>-4</v>
      </c>
      <c r="K197" s="37">
        <f t="shared" si="16"/>
        <v>-40</v>
      </c>
      <c r="L197" s="37"/>
      <c r="M197" s="39">
        <f t="shared" si="17"/>
        <v>0</v>
      </c>
      <c r="N197" s="39">
        <f t="shared" si="18"/>
        <v>0</v>
      </c>
    </row>
    <row r="198" spans="1:14">
      <c r="A198" s="58">
        <f t="shared" si="19"/>
        <v>0</v>
      </c>
      <c r="G198" s="15"/>
      <c r="H198" s="37">
        <v>193</v>
      </c>
      <c r="I198" s="38" t="str">
        <f t="shared" ref="I198:I261" si="21">IF(H198&lt;$H$2+1,($I$2-($I$2-1)*(LOG(H198)/LOG($H$2))),"")</f>
        <v/>
      </c>
      <c r="J198" s="37">
        <f t="shared" si="20"/>
        <v>-4</v>
      </c>
      <c r="K198" s="37">
        <f t="shared" ref="K198:K261" si="22">J198*$J$2</f>
        <v>-40</v>
      </c>
      <c r="L198" s="37"/>
      <c r="M198" s="39">
        <f t="shared" ref="M198:M261" si="23">IF(I198&lt;&gt;"",K198+I198+L198,0)</f>
        <v>0</v>
      </c>
      <c r="N198" s="39">
        <f t="shared" ref="N198:N261" si="24">IF(I198&lt;&gt;"",M198*L$2,0)</f>
        <v>0</v>
      </c>
    </row>
    <row r="199" spans="1:14">
      <c r="A199" s="58">
        <f t="shared" ref="A199:A262" si="25">N199</f>
        <v>0</v>
      </c>
      <c r="G199" s="15"/>
      <c r="H199" s="37">
        <v>194</v>
      </c>
      <c r="I199" s="38" t="str">
        <f t="shared" si="21"/>
        <v/>
      </c>
      <c r="J199" s="37">
        <f t="shared" ref="J199:J262" si="26">INT(LOG($H$2,2))-ROUNDUP(LOG(H199,2),0)+IF(OR($H$2=1,$H$2=2,$H$2=4,$H$2=8,$H$2=16,$H$2=32,$H$2=64,$H$2=128,$H$2=256),0,1)</f>
        <v>-4</v>
      </c>
      <c r="K199" s="37">
        <f t="shared" si="22"/>
        <v>-40</v>
      </c>
      <c r="L199" s="37"/>
      <c r="M199" s="39">
        <f t="shared" si="23"/>
        <v>0</v>
      </c>
      <c r="N199" s="39">
        <f t="shared" si="24"/>
        <v>0</v>
      </c>
    </row>
    <row r="200" spans="1:14">
      <c r="A200" s="58">
        <f t="shared" si="25"/>
        <v>0</v>
      </c>
      <c r="G200" s="15"/>
      <c r="H200" s="37">
        <v>195</v>
      </c>
      <c r="I200" s="38" t="str">
        <f t="shared" si="21"/>
        <v/>
      </c>
      <c r="J200" s="37">
        <f t="shared" si="26"/>
        <v>-4</v>
      </c>
      <c r="K200" s="37">
        <f t="shared" si="22"/>
        <v>-40</v>
      </c>
      <c r="L200" s="37"/>
      <c r="M200" s="39">
        <f t="shared" si="23"/>
        <v>0</v>
      </c>
      <c r="N200" s="39">
        <f t="shared" si="24"/>
        <v>0</v>
      </c>
    </row>
    <row r="201" spans="1:14">
      <c r="A201" s="58">
        <f t="shared" si="25"/>
        <v>0</v>
      </c>
      <c r="G201" s="15"/>
      <c r="H201" s="37">
        <v>196</v>
      </c>
      <c r="I201" s="38" t="str">
        <f t="shared" si="21"/>
        <v/>
      </c>
      <c r="J201" s="37">
        <f t="shared" si="26"/>
        <v>-4</v>
      </c>
      <c r="K201" s="37">
        <f t="shared" si="22"/>
        <v>-40</v>
      </c>
      <c r="L201" s="37"/>
      <c r="M201" s="39">
        <f t="shared" si="23"/>
        <v>0</v>
      </c>
      <c r="N201" s="39">
        <f t="shared" si="24"/>
        <v>0</v>
      </c>
    </row>
    <row r="202" spans="1:14">
      <c r="A202" s="58">
        <f t="shared" si="25"/>
        <v>0</v>
      </c>
      <c r="G202" s="15"/>
      <c r="H202" s="37">
        <v>197</v>
      </c>
      <c r="I202" s="38" t="str">
        <f t="shared" si="21"/>
        <v/>
      </c>
      <c r="J202" s="37">
        <f t="shared" si="26"/>
        <v>-4</v>
      </c>
      <c r="K202" s="37">
        <f t="shared" si="22"/>
        <v>-40</v>
      </c>
      <c r="L202" s="37"/>
      <c r="M202" s="39">
        <f t="shared" si="23"/>
        <v>0</v>
      </c>
      <c r="N202" s="39">
        <f t="shared" si="24"/>
        <v>0</v>
      </c>
    </row>
    <row r="203" spans="1:14">
      <c r="A203" s="58">
        <f t="shared" si="25"/>
        <v>0</v>
      </c>
      <c r="G203" s="15"/>
      <c r="H203" s="37">
        <v>198</v>
      </c>
      <c r="I203" s="38" t="str">
        <f t="shared" si="21"/>
        <v/>
      </c>
      <c r="J203" s="37">
        <f t="shared" si="26"/>
        <v>-4</v>
      </c>
      <c r="K203" s="37">
        <f t="shared" si="22"/>
        <v>-40</v>
      </c>
      <c r="L203" s="37"/>
      <c r="M203" s="39">
        <f t="shared" si="23"/>
        <v>0</v>
      </c>
      <c r="N203" s="39">
        <f t="shared" si="24"/>
        <v>0</v>
      </c>
    </row>
    <row r="204" spans="1:14">
      <c r="A204" s="58">
        <f t="shared" si="25"/>
        <v>0</v>
      </c>
      <c r="G204" s="15"/>
      <c r="H204" s="37">
        <v>199</v>
      </c>
      <c r="I204" s="38" t="str">
        <f t="shared" si="21"/>
        <v/>
      </c>
      <c r="J204" s="37">
        <f t="shared" si="26"/>
        <v>-4</v>
      </c>
      <c r="K204" s="37">
        <f t="shared" si="22"/>
        <v>-40</v>
      </c>
      <c r="L204" s="37"/>
      <c r="M204" s="39">
        <f t="shared" si="23"/>
        <v>0</v>
      </c>
      <c r="N204" s="39">
        <f t="shared" si="24"/>
        <v>0</v>
      </c>
    </row>
    <row r="205" spans="1:14">
      <c r="A205" s="58">
        <f t="shared" si="25"/>
        <v>0</v>
      </c>
      <c r="G205" s="15"/>
      <c r="H205" s="37">
        <v>200</v>
      </c>
      <c r="I205" s="38" t="str">
        <f t="shared" si="21"/>
        <v/>
      </c>
      <c r="J205" s="37">
        <f t="shared" si="26"/>
        <v>-4</v>
      </c>
      <c r="K205" s="37">
        <f t="shared" si="22"/>
        <v>-40</v>
      </c>
      <c r="L205" s="37"/>
      <c r="M205" s="39">
        <f t="shared" si="23"/>
        <v>0</v>
      </c>
      <c r="N205" s="39">
        <f t="shared" si="24"/>
        <v>0</v>
      </c>
    </row>
    <row r="206" spans="1:14">
      <c r="A206" s="58">
        <f t="shared" si="25"/>
        <v>0</v>
      </c>
      <c r="G206" s="15"/>
      <c r="H206" s="37">
        <v>201</v>
      </c>
      <c r="I206" s="38" t="str">
        <f t="shared" si="21"/>
        <v/>
      </c>
      <c r="J206" s="37">
        <f t="shared" si="26"/>
        <v>-4</v>
      </c>
      <c r="K206" s="37">
        <f t="shared" si="22"/>
        <v>-40</v>
      </c>
      <c r="L206" s="37"/>
      <c r="M206" s="39">
        <f t="shared" si="23"/>
        <v>0</v>
      </c>
      <c r="N206" s="39">
        <f t="shared" si="24"/>
        <v>0</v>
      </c>
    </row>
    <row r="207" spans="1:14">
      <c r="A207" s="58">
        <f t="shared" si="25"/>
        <v>0</v>
      </c>
      <c r="G207" s="15"/>
      <c r="H207" s="37">
        <v>202</v>
      </c>
      <c r="I207" s="38" t="str">
        <f t="shared" si="21"/>
        <v/>
      </c>
      <c r="J207" s="37">
        <f t="shared" si="26"/>
        <v>-4</v>
      </c>
      <c r="K207" s="37">
        <f t="shared" si="22"/>
        <v>-40</v>
      </c>
      <c r="L207" s="37"/>
      <c r="M207" s="39">
        <f t="shared" si="23"/>
        <v>0</v>
      </c>
      <c r="N207" s="39">
        <f t="shared" si="24"/>
        <v>0</v>
      </c>
    </row>
    <row r="208" spans="1:14">
      <c r="A208" s="58">
        <f t="shared" si="25"/>
        <v>0</v>
      </c>
      <c r="G208" s="15"/>
      <c r="H208" s="37">
        <v>203</v>
      </c>
      <c r="I208" s="38" t="str">
        <f t="shared" si="21"/>
        <v/>
      </c>
      <c r="J208" s="37">
        <f t="shared" si="26"/>
        <v>-4</v>
      </c>
      <c r="K208" s="37">
        <f t="shared" si="22"/>
        <v>-40</v>
      </c>
      <c r="L208" s="37"/>
      <c r="M208" s="39">
        <f t="shared" si="23"/>
        <v>0</v>
      </c>
      <c r="N208" s="39">
        <f t="shared" si="24"/>
        <v>0</v>
      </c>
    </row>
    <row r="209" spans="1:14">
      <c r="A209" s="58">
        <f t="shared" si="25"/>
        <v>0</v>
      </c>
      <c r="G209" s="15"/>
      <c r="H209" s="37">
        <v>204</v>
      </c>
      <c r="I209" s="38" t="str">
        <f t="shared" si="21"/>
        <v/>
      </c>
      <c r="J209" s="37">
        <f t="shared" si="26"/>
        <v>-4</v>
      </c>
      <c r="K209" s="37">
        <f t="shared" si="22"/>
        <v>-40</v>
      </c>
      <c r="L209" s="37"/>
      <c r="M209" s="39">
        <f t="shared" si="23"/>
        <v>0</v>
      </c>
      <c r="N209" s="39">
        <f t="shared" si="24"/>
        <v>0</v>
      </c>
    </row>
    <row r="210" spans="1:14">
      <c r="A210" s="58">
        <f t="shared" si="25"/>
        <v>0</v>
      </c>
      <c r="G210" s="15"/>
      <c r="H210" s="37">
        <v>205</v>
      </c>
      <c r="I210" s="38" t="str">
        <f t="shared" si="21"/>
        <v/>
      </c>
      <c r="J210" s="37">
        <f t="shared" si="26"/>
        <v>-4</v>
      </c>
      <c r="K210" s="37">
        <f t="shared" si="22"/>
        <v>-40</v>
      </c>
      <c r="L210" s="37"/>
      <c r="M210" s="39">
        <f t="shared" si="23"/>
        <v>0</v>
      </c>
      <c r="N210" s="39">
        <f t="shared" si="24"/>
        <v>0</v>
      </c>
    </row>
    <row r="211" spans="1:14">
      <c r="A211" s="58">
        <f t="shared" si="25"/>
        <v>0</v>
      </c>
      <c r="G211" s="15"/>
      <c r="H211" s="37">
        <v>206</v>
      </c>
      <c r="I211" s="38" t="str">
        <f t="shared" si="21"/>
        <v/>
      </c>
      <c r="J211" s="37">
        <f t="shared" si="26"/>
        <v>-4</v>
      </c>
      <c r="K211" s="37">
        <f t="shared" si="22"/>
        <v>-40</v>
      </c>
      <c r="L211" s="37"/>
      <c r="M211" s="39">
        <f t="shared" si="23"/>
        <v>0</v>
      </c>
      <c r="N211" s="39">
        <f t="shared" si="24"/>
        <v>0</v>
      </c>
    </row>
    <row r="212" spans="1:14">
      <c r="A212" s="58">
        <f t="shared" si="25"/>
        <v>0</v>
      </c>
      <c r="G212" s="15"/>
      <c r="H212" s="37">
        <v>207</v>
      </c>
      <c r="I212" s="38" t="str">
        <f t="shared" si="21"/>
        <v/>
      </c>
      <c r="J212" s="37">
        <f t="shared" si="26"/>
        <v>-4</v>
      </c>
      <c r="K212" s="37">
        <f t="shared" si="22"/>
        <v>-40</v>
      </c>
      <c r="L212" s="37"/>
      <c r="M212" s="39">
        <f t="shared" si="23"/>
        <v>0</v>
      </c>
      <c r="N212" s="39">
        <f t="shared" si="24"/>
        <v>0</v>
      </c>
    </row>
    <row r="213" spans="1:14">
      <c r="A213" s="58">
        <f t="shared" si="25"/>
        <v>0</v>
      </c>
      <c r="G213" s="15"/>
      <c r="H213" s="37">
        <v>208</v>
      </c>
      <c r="I213" s="38" t="str">
        <f t="shared" si="21"/>
        <v/>
      </c>
      <c r="J213" s="37">
        <f t="shared" si="26"/>
        <v>-4</v>
      </c>
      <c r="K213" s="37">
        <f t="shared" si="22"/>
        <v>-40</v>
      </c>
      <c r="L213" s="37"/>
      <c r="M213" s="39">
        <f t="shared" si="23"/>
        <v>0</v>
      </c>
      <c r="N213" s="39">
        <f t="shared" si="24"/>
        <v>0</v>
      </c>
    </row>
    <row r="214" spans="1:14">
      <c r="A214" s="58">
        <f t="shared" si="25"/>
        <v>0</v>
      </c>
      <c r="G214" s="15"/>
      <c r="H214" s="37">
        <v>209</v>
      </c>
      <c r="I214" s="38" t="str">
        <f t="shared" si="21"/>
        <v/>
      </c>
      <c r="J214" s="37">
        <f t="shared" si="26"/>
        <v>-4</v>
      </c>
      <c r="K214" s="37">
        <f t="shared" si="22"/>
        <v>-40</v>
      </c>
      <c r="L214" s="37"/>
      <c r="M214" s="39">
        <f t="shared" si="23"/>
        <v>0</v>
      </c>
      <c r="N214" s="39">
        <f t="shared" si="24"/>
        <v>0</v>
      </c>
    </row>
    <row r="215" spans="1:14">
      <c r="A215" s="58">
        <f t="shared" si="25"/>
        <v>0</v>
      </c>
      <c r="G215" s="15"/>
      <c r="H215" s="37">
        <v>210</v>
      </c>
      <c r="I215" s="38" t="str">
        <f t="shared" si="21"/>
        <v/>
      </c>
      <c r="J215" s="37">
        <f t="shared" si="26"/>
        <v>-4</v>
      </c>
      <c r="K215" s="37">
        <f t="shared" si="22"/>
        <v>-40</v>
      </c>
      <c r="L215" s="37"/>
      <c r="M215" s="39">
        <f t="shared" si="23"/>
        <v>0</v>
      </c>
      <c r="N215" s="39">
        <f t="shared" si="24"/>
        <v>0</v>
      </c>
    </row>
    <row r="216" spans="1:14">
      <c r="A216" s="58">
        <f t="shared" si="25"/>
        <v>0</v>
      </c>
      <c r="G216" s="15"/>
      <c r="H216" s="37">
        <v>211</v>
      </c>
      <c r="I216" s="38" t="str">
        <f t="shared" si="21"/>
        <v/>
      </c>
      <c r="J216" s="37">
        <f t="shared" si="26"/>
        <v>-4</v>
      </c>
      <c r="K216" s="37">
        <f t="shared" si="22"/>
        <v>-40</v>
      </c>
      <c r="L216" s="37"/>
      <c r="M216" s="39">
        <f t="shared" si="23"/>
        <v>0</v>
      </c>
      <c r="N216" s="39">
        <f t="shared" si="24"/>
        <v>0</v>
      </c>
    </row>
    <row r="217" spans="1:14">
      <c r="A217" s="58">
        <f t="shared" si="25"/>
        <v>0</v>
      </c>
      <c r="G217" s="15"/>
      <c r="H217" s="37">
        <v>212</v>
      </c>
      <c r="I217" s="38" t="str">
        <f t="shared" si="21"/>
        <v/>
      </c>
      <c r="J217" s="37">
        <f t="shared" si="26"/>
        <v>-4</v>
      </c>
      <c r="K217" s="37">
        <f t="shared" si="22"/>
        <v>-40</v>
      </c>
      <c r="L217" s="37"/>
      <c r="M217" s="39">
        <f t="shared" si="23"/>
        <v>0</v>
      </c>
      <c r="N217" s="39">
        <f t="shared" si="24"/>
        <v>0</v>
      </c>
    </row>
    <row r="218" spans="1:14">
      <c r="A218" s="58">
        <f t="shared" si="25"/>
        <v>0</v>
      </c>
      <c r="G218" s="15"/>
      <c r="H218" s="37">
        <v>213</v>
      </c>
      <c r="I218" s="38" t="str">
        <f t="shared" si="21"/>
        <v/>
      </c>
      <c r="J218" s="37">
        <f t="shared" si="26"/>
        <v>-4</v>
      </c>
      <c r="K218" s="37">
        <f t="shared" si="22"/>
        <v>-40</v>
      </c>
      <c r="L218" s="37"/>
      <c r="M218" s="39">
        <f t="shared" si="23"/>
        <v>0</v>
      </c>
      <c r="N218" s="39">
        <f t="shared" si="24"/>
        <v>0</v>
      </c>
    </row>
    <row r="219" spans="1:14">
      <c r="A219" s="58">
        <f t="shared" si="25"/>
        <v>0</v>
      </c>
      <c r="G219" s="15"/>
      <c r="H219" s="37">
        <v>214</v>
      </c>
      <c r="I219" s="38" t="str">
        <f t="shared" si="21"/>
        <v/>
      </c>
      <c r="J219" s="37">
        <f t="shared" si="26"/>
        <v>-4</v>
      </c>
      <c r="K219" s="37">
        <f t="shared" si="22"/>
        <v>-40</v>
      </c>
      <c r="L219" s="37"/>
      <c r="M219" s="39">
        <f t="shared" si="23"/>
        <v>0</v>
      </c>
      <c r="N219" s="39">
        <f t="shared" si="24"/>
        <v>0</v>
      </c>
    </row>
    <row r="220" spans="1:14">
      <c r="A220" s="58">
        <f t="shared" si="25"/>
        <v>0</v>
      </c>
      <c r="G220" s="15"/>
      <c r="H220" s="37">
        <v>215</v>
      </c>
      <c r="I220" s="38" t="str">
        <f t="shared" si="21"/>
        <v/>
      </c>
      <c r="J220" s="37">
        <f t="shared" si="26"/>
        <v>-4</v>
      </c>
      <c r="K220" s="37">
        <f t="shared" si="22"/>
        <v>-40</v>
      </c>
      <c r="L220" s="37"/>
      <c r="M220" s="39">
        <f t="shared" si="23"/>
        <v>0</v>
      </c>
      <c r="N220" s="39">
        <f t="shared" si="24"/>
        <v>0</v>
      </c>
    </row>
    <row r="221" spans="1:14">
      <c r="A221" s="58">
        <f t="shared" si="25"/>
        <v>0</v>
      </c>
      <c r="G221" s="15"/>
      <c r="H221" s="37">
        <v>216</v>
      </c>
      <c r="I221" s="38" t="str">
        <f t="shared" si="21"/>
        <v/>
      </c>
      <c r="J221" s="37">
        <f t="shared" si="26"/>
        <v>-4</v>
      </c>
      <c r="K221" s="37">
        <f t="shared" si="22"/>
        <v>-40</v>
      </c>
      <c r="L221" s="37"/>
      <c r="M221" s="39">
        <f t="shared" si="23"/>
        <v>0</v>
      </c>
      <c r="N221" s="39">
        <f t="shared" si="24"/>
        <v>0</v>
      </c>
    </row>
    <row r="222" spans="1:14">
      <c r="A222" s="58">
        <f t="shared" si="25"/>
        <v>0</v>
      </c>
      <c r="G222" s="15"/>
      <c r="H222" s="37">
        <v>217</v>
      </c>
      <c r="I222" s="38" t="str">
        <f t="shared" si="21"/>
        <v/>
      </c>
      <c r="J222" s="37">
        <f t="shared" si="26"/>
        <v>-4</v>
      </c>
      <c r="K222" s="37">
        <f t="shared" si="22"/>
        <v>-40</v>
      </c>
      <c r="L222" s="37"/>
      <c r="M222" s="39">
        <f t="shared" si="23"/>
        <v>0</v>
      </c>
      <c r="N222" s="39">
        <f t="shared" si="24"/>
        <v>0</v>
      </c>
    </row>
    <row r="223" spans="1:14">
      <c r="A223" s="58">
        <f t="shared" si="25"/>
        <v>0</v>
      </c>
      <c r="G223" s="15"/>
      <c r="H223" s="37">
        <v>218</v>
      </c>
      <c r="I223" s="38" t="str">
        <f t="shared" si="21"/>
        <v/>
      </c>
      <c r="J223" s="37">
        <f t="shared" si="26"/>
        <v>-4</v>
      </c>
      <c r="K223" s="37">
        <f t="shared" si="22"/>
        <v>-40</v>
      </c>
      <c r="L223" s="37"/>
      <c r="M223" s="39">
        <f t="shared" si="23"/>
        <v>0</v>
      </c>
      <c r="N223" s="39">
        <f t="shared" si="24"/>
        <v>0</v>
      </c>
    </row>
    <row r="224" spans="1:14">
      <c r="A224" s="58">
        <f t="shared" si="25"/>
        <v>0</v>
      </c>
      <c r="G224" s="15"/>
      <c r="H224" s="37">
        <v>219</v>
      </c>
      <c r="I224" s="38" t="str">
        <f t="shared" si="21"/>
        <v/>
      </c>
      <c r="J224" s="37">
        <f t="shared" si="26"/>
        <v>-4</v>
      </c>
      <c r="K224" s="37">
        <f t="shared" si="22"/>
        <v>-40</v>
      </c>
      <c r="L224" s="37"/>
      <c r="M224" s="39">
        <f t="shared" si="23"/>
        <v>0</v>
      </c>
      <c r="N224" s="39">
        <f t="shared" si="24"/>
        <v>0</v>
      </c>
    </row>
    <row r="225" spans="1:14">
      <c r="A225" s="58">
        <f t="shared" si="25"/>
        <v>0</v>
      </c>
      <c r="G225" s="15"/>
      <c r="H225" s="37">
        <v>220</v>
      </c>
      <c r="I225" s="38" t="str">
        <f t="shared" si="21"/>
        <v/>
      </c>
      <c r="J225" s="37">
        <f t="shared" si="26"/>
        <v>-4</v>
      </c>
      <c r="K225" s="37">
        <f t="shared" si="22"/>
        <v>-40</v>
      </c>
      <c r="L225" s="37"/>
      <c r="M225" s="39">
        <f t="shared" si="23"/>
        <v>0</v>
      </c>
      <c r="N225" s="39">
        <f t="shared" si="24"/>
        <v>0</v>
      </c>
    </row>
    <row r="226" spans="1:14">
      <c r="A226" s="58">
        <f t="shared" si="25"/>
        <v>0</v>
      </c>
      <c r="G226" s="15"/>
      <c r="H226" s="37">
        <v>221</v>
      </c>
      <c r="I226" s="38" t="str">
        <f t="shared" si="21"/>
        <v/>
      </c>
      <c r="J226" s="37">
        <f t="shared" si="26"/>
        <v>-4</v>
      </c>
      <c r="K226" s="37">
        <f t="shared" si="22"/>
        <v>-40</v>
      </c>
      <c r="L226" s="37"/>
      <c r="M226" s="39">
        <f t="shared" si="23"/>
        <v>0</v>
      </c>
      <c r="N226" s="39">
        <f t="shared" si="24"/>
        <v>0</v>
      </c>
    </row>
    <row r="227" spans="1:14">
      <c r="A227" s="58">
        <f t="shared" si="25"/>
        <v>0</v>
      </c>
      <c r="G227" s="15"/>
      <c r="H227" s="37">
        <v>222</v>
      </c>
      <c r="I227" s="38" t="str">
        <f t="shared" si="21"/>
        <v/>
      </c>
      <c r="J227" s="37">
        <f t="shared" si="26"/>
        <v>-4</v>
      </c>
      <c r="K227" s="37">
        <f t="shared" si="22"/>
        <v>-40</v>
      </c>
      <c r="L227" s="37"/>
      <c r="M227" s="39">
        <f t="shared" si="23"/>
        <v>0</v>
      </c>
      <c r="N227" s="39">
        <f t="shared" si="24"/>
        <v>0</v>
      </c>
    </row>
    <row r="228" spans="1:14">
      <c r="A228" s="58">
        <f t="shared" si="25"/>
        <v>0</v>
      </c>
      <c r="G228" s="15"/>
      <c r="H228" s="37">
        <v>223</v>
      </c>
      <c r="I228" s="38" t="str">
        <f t="shared" si="21"/>
        <v/>
      </c>
      <c r="J228" s="37">
        <f t="shared" si="26"/>
        <v>-4</v>
      </c>
      <c r="K228" s="37">
        <f t="shared" si="22"/>
        <v>-40</v>
      </c>
      <c r="L228" s="37"/>
      <c r="M228" s="39">
        <f t="shared" si="23"/>
        <v>0</v>
      </c>
      <c r="N228" s="39">
        <f t="shared" si="24"/>
        <v>0</v>
      </c>
    </row>
    <row r="229" spans="1:14">
      <c r="A229" s="58">
        <f t="shared" si="25"/>
        <v>0</v>
      </c>
      <c r="G229" s="15"/>
      <c r="H229" s="37">
        <v>224</v>
      </c>
      <c r="I229" s="38" t="str">
        <f t="shared" si="21"/>
        <v/>
      </c>
      <c r="J229" s="37">
        <f t="shared" si="26"/>
        <v>-4</v>
      </c>
      <c r="K229" s="37">
        <f t="shared" si="22"/>
        <v>-40</v>
      </c>
      <c r="L229" s="37"/>
      <c r="M229" s="39">
        <f t="shared" si="23"/>
        <v>0</v>
      </c>
      <c r="N229" s="39">
        <f t="shared" si="24"/>
        <v>0</v>
      </c>
    </row>
    <row r="230" spans="1:14">
      <c r="A230" s="58">
        <f t="shared" si="25"/>
        <v>0</v>
      </c>
      <c r="G230" s="15"/>
      <c r="H230" s="37">
        <v>225</v>
      </c>
      <c r="I230" s="38" t="str">
        <f t="shared" si="21"/>
        <v/>
      </c>
      <c r="J230" s="37">
        <f t="shared" si="26"/>
        <v>-4</v>
      </c>
      <c r="K230" s="37">
        <f t="shared" si="22"/>
        <v>-40</v>
      </c>
      <c r="L230" s="37"/>
      <c r="M230" s="39">
        <f t="shared" si="23"/>
        <v>0</v>
      </c>
      <c r="N230" s="39">
        <f t="shared" si="24"/>
        <v>0</v>
      </c>
    </row>
    <row r="231" spans="1:14">
      <c r="A231" s="58">
        <f t="shared" si="25"/>
        <v>0</v>
      </c>
      <c r="G231" s="15"/>
      <c r="H231" s="37">
        <v>226</v>
      </c>
      <c r="I231" s="38" t="str">
        <f t="shared" si="21"/>
        <v/>
      </c>
      <c r="J231" s="37">
        <f t="shared" si="26"/>
        <v>-4</v>
      </c>
      <c r="K231" s="37">
        <f t="shared" si="22"/>
        <v>-40</v>
      </c>
      <c r="L231" s="37"/>
      <c r="M231" s="39">
        <f t="shared" si="23"/>
        <v>0</v>
      </c>
      <c r="N231" s="39">
        <f t="shared" si="24"/>
        <v>0</v>
      </c>
    </row>
    <row r="232" spans="1:14">
      <c r="A232" s="58">
        <f t="shared" si="25"/>
        <v>0</v>
      </c>
      <c r="G232" s="15"/>
      <c r="H232" s="37">
        <v>227</v>
      </c>
      <c r="I232" s="38" t="str">
        <f t="shared" si="21"/>
        <v/>
      </c>
      <c r="J232" s="37">
        <f t="shared" si="26"/>
        <v>-4</v>
      </c>
      <c r="K232" s="37">
        <f t="shared" si="22"/>
        <v>-40</v>
      </c>
      <c r="L232" s="37"/>
      <c r="M232" s="39">
        <f t="shared" si="23"/>
        <v>0</v>
      </c>
      <c r="N232" s="39">
        <f t="shared" si="24"/>
        <v>0</v>
      </c>
    </row>
    <row r="233" spans="1:14">
      <c r="A233" s="58">
        <f t="shared" si="25"/>
        <v>0</v>
      </c>
      <c r="G233" s="15"/>
      <c r="H233" s="37">
        <v>228</v>
      </c>
      <c r="I233" s="38" t="str">
        <f t="shared" si="21"/>
        <v/>
      </c>
      <c r="J233" s="37">
        <f t="shared" si="26"/>
        <v>-4</v>
      </c>
      <c r="K233" s="37">
        <f t="shared" si="22"/>
        <v>-40</v>
      </c>
      <c r="L233" s="37"/>
      <c r="M233" s="39">
        <f t="shared" si="23"/>
        <v>0</v>
      </c>
      <c r="N233" s="39">
        <f t="shared" si="24"/>
        <v>0</v>
      </c>
    </row>
    <row r="234" spans="1:14">
      <c r="A234" s="58">
        <f t="shared" si="25"/>
        <v>0</v>
      </c>
      <c r="G234" s="15"/>
      <c r="H234" s="37">
        <v>229</v>
      </c>
      <c r="I234" s="38" t="str">
        <f t="shared" si="21"/>
        <v/>
      </c>
      <c r="J234" s="37">
        <f t="shared" si="26"/>
        <v>-4</v>
      </c>
      <c r="K234" s="37">
        <f t="shared" si="22"/>
        <v>-40</v>
      </c>
      <c r="L234" s="37"/>
      <c r="M234" s="39">
        <f t="shared" si="23"/>
        <v>0</v>
      </c>
      <c r="N234" s="39">
        <f t="shared" si="24"/>
        <v>0</v>
      </c>
    </row>
    <row r="235" spans="1:14">
      <c r="A235" s="58">
        <f t="shared" si="25"/>
        <v>0</v>
      </c>
      <c r="G235" s="15"/>
      <c r="H235" s="37">
        <v>230</v>
      </c>
      <c r="I235" s="38" t="str">
        <f t="shared" si="21"/>
        <v/>
      </c>
      <c r="J235" s="37">
        <f t="shared" si="26"/>
        <v>-4</v>
      </c>
      <c r="K235" s="37">
        <f t="shared" si="22"/>
        <v>-40</v>
      </c>
      <c r="L235" s="37"/>
      <c r="M235" s="39">
        <f t="shared" si="23"/>
        <v>0</v>
      </c>
      <c r="N235" s="39">
        <f t="shared" si="24"/>
        <v>0</v>
      </c>
    </row>
    <row r="236" spans="1:14">
      <c r="A236" s="58">
        <f t="shared" si="25"/>
        <v>0</v>
      </c>
      <c r="G236" s="15"/>
      <c r="H236" s="37">
        <v>231</v>
      </c>
      <c r="I236" s="38" t="str">
        <f t="shared" si="21"/>
        <v/>
      </c>
      <c r="J236" s="37">
        <f t="shared" si="26"/>
        <v>-4</v>
      </c>
      <c r="K236" s="37">
        <f t="shared" si="22"/>
        <v>-40</v>
      </c>
      <c r="L236" s="37"/>
      <c r="M236" s="39">
        <f t="shared" si="23"/>
        <v>0</v>
      </c>
      <c r="N236" s="39">
        <f t="shared" si="24"/>
        <v>0</v>
      </c>
    </row>
    <row r="237" spans="1:14">
      <c r="A237" s="58">
        <f t="shared" si="25"/>
        <v>0</v>
      </c>
      <c r="G237" s="15"/>
      <c r="H237" s="37">
        <v>232</v>
      </c>
      <c r="I237" s="38" t="str">
        <f t="shared" si="21"/>
        <v/>
      </c>
      <c r="J237" s="37">
        <f t="shared" si="26"/>
        <v>-4</v>
      </c>
      <c r="K237" s="37">
        <f t="shared" si="22"/>
        <v>-40</v>
      </c>
      <c r="L237" s="37"/>
      <c r="M237" s="39">
        <f t="shared" si="23"/>
        <v>0</v>
      </c>
      <c r="N237" s="39">
        <f t="shared" si="24"/>
        <v>0</v>
      </c>
    </row>
    <row r="238" spans="1:14">
      <c r="A238" s="58">
        <f t="shared" si="25"/>
        <v>0</v>
      </c>
      <c r="G238" s="15"/>
      <c r="H238" s="37">
        <v>233</v>
      </c>
      <c r="I238" s="38" t="str">
        <f t="shared" si="21"/>
        <v/>
      </c>
      <c r="J238" s="37">
        <f t="shared" si="26"/>
        <v>-4</v>
      </c>
      <c r="K238" s="37">
        <f t="shared" si="22"/>
        <v>-40</v>
      </c>
      <c r="L238" s="37"/>
      <c r="M238" s="39">
        <f t="shared" si="23"/>
        <v>0</v>
      </c>
      <c r="N238" s="39">
        <f t="shared" si="24"/>
        <v>0</v>
      </c>
    </row>
    <row r="239" spans="1:14">
      <c r="A239" s="58">
        <f t="shared" si="25"/>
        <v>0</v>
      </c>
      <c r="G239" s="15"/>
      <c r="H239" s="37">
        <v>234</v>
      </c>
      <c r="I239" s="38" t="str">
        <f t="shared" si="21"/>
        <v/>
      </c>
      <c r="J239" s="37">
        <f t="shared" si="26"/>
        <v>-4</v>
      </c>
      <c r="K239" s="37">
        <f t="shared" si="22"/>
        <v>-40</v>
      </c>
      <c r="L239" s="37"/>
      <c r="M239" s="39">
        <f t="shared" si="23"/>
        <v>0</v>
      </c>
      <c r="N239" s="39">
        <f t="shared" si="24"/>
        <v>0</v>
      </c>
    </row>
    <row r="240" spans="1:14">
      <c r="A240" s="58">
        <f t="shared" si="25"/>
        <v>0</v>
      </c>
      <c r="G240" s="15"/>
      <c r="H240" s="37">
        <v>235</v>
      </c>
      <c r="I240" s="38" t="str">
        <f t="shared" si="21"/>
        <v/>
      </c>
      <c r="J240" s="37">
        <f t="shared" si="26"/>
        <v>-4</v>
      </c>
      <c r="K240" s="37">
        <f t="shared" si="22"/>
        <v>-40</v>
      </c>
      <c r="L240" s="37"/>
      <c r="M240" s="39">
        <f t="shared" si="23"/>
        <v>0</v>
      </c>
      <c r="N240" s="39">
        <f t="shared" si="24"/>
        <v>0</v>
      </c>
    </row>
    <row r="241" spans="1:14">
      <c r="A241" s="58">
        <f t="shared" si="25"/>
        <v>0</v>
      </c>
      <c r="G241" s="15"/>
      <c r="H241" s="37">
        <v>236</v>
      </c>
      <c r="I241" s="38" t="str">
        <f t="shared" si="21"/>
        <v/>
      </c>
      <c r="J241" s="37">
        <f t="shared" si="26"/>
        <v>-4</v>
      </c>
      <c r="K241" s="37">
        <f t="shared" si="22"/>
        <v>-40</v>
      </c>
      <c r="L241" s="37"/>
      <c r="M241" s="39">
        <f t="shared" si="23"/>
        <v>0</v>
      </c>
      <c r="N241" s="39">
        <f t="shared" si="24"/>
        <v>0</v>
      </c>
    </row>
    <row r="242" spans="1:14">
      <c r="A242" s="58">
        <f t="shared" si="25"/>
        <v>0</v>
      </c>
      <c r="G242" s="15"/>
      <c r="H242" s="37">
        <v>237</v>
      </c>
      <c r="I242" s="38" t="str">
        <f t="shared" si="21"/>
        <v/>
      </c>
      <c r="J242" s="37">
        <f t="shared" si="26"/>
        <v>-4</v>
      </c>
      <c r="K242" s="37">
        <f t="shared" si="22"/>
        <v>-40</v>
      </c>
      <c r="L242" s="37"/>
      <c r="M242" s="39">
        <f t="shared" si="23"/>
        <v>0</v>
      </c>
      <c r="N242" s="39">
        <f t="shared" si="24"/>
        <v>0</v>
      </c>
    </row>
    <row r="243" spans="1:14">
      <c r="A243" s="58">
        <f t="shared" si="25"/>
        <v>0</v>
      </c>
      <c r="G243" s="15"/>
      <c r="H243" s="37">
        <v>238</v>
      </c>
      <c r="I243" s="38" t="str">
        <f t="shared" si="21"/>
        <v/>
      </c>
      <c r="J243" s="37">
        <f t="shared" si="26"/>
        <v>-4</v>
      </c>
      <c r="K243" s="37">
        <f t="shared" si="22"/>
        <v>-40</v>
      </c>
      <c r="L243" s="37"/>
      <c r="M243" s="39">
        <f t="shared" si="23"/>
        <v>0</v>
      </c>
      <c r="N243" s="39">
        <f t="shared" si="24"/>
        <v>0</v>
      </c>
    </row>
    <row r="244" spans="1:14">
      <c r="A244" s="58">
        <f t="shared" si="25"/>
        <v>0</v>
      </c>
      <c r="G244" s="15"/>
      <c r="H244" s="37">
        <v>239</v>
      </c>
      <c r="I244" s="38" t="str">
        <f t="shared" si="21"/>
        <v/>
      </c>
      <c r="J244" s="37">
        <f t="shared" si="26"/>
        <v>-4</v>
      </c>
      <c r="K244" s="37">
        <f t="shared" si="22"/>
        <v>-40</v>
      </c>
      <c r="L244" s="37"/>
      <c r="M244" s="39">
        <f t="shared" si="23"/>
        <v>0</v>
      </c>
      <c r="N244" s="39">
        <f t="shared" si="24"/>
        <v>0</v>
      </c>
    </row>
    <row r="245" spans="1:14">
      <c r="A245" s="58">
        <f t="shared" si="25"/>
        <v>0</v>
      </c>
      <c r="G245" s="15"/>
      <c r="H245" s="37">
        <v>240</v>
      </c>
      <c r="I245" s="38" t="str">
        <f t="shared" si="21"/>
        <v/>
      </c>
      <c r="J245" s="37">
        <f t="shared" si="26"/>
        <v>-4</v>
      </c>
      <c r="K245" s="37">
        <f t="shared" si="22"/>
        <v>-40</v>
      </c>
      <c r="L245" s="37"/>
      <c r="M245" s="39">
        <f t="shared" si="23"/>
        <v>0</v>
      </c>
      <c r="N245" s="39">
        <f t="shared" si="24"/>
        <v>0</v>
      </c>
    </row>
    <row r="246" spans="1:14">
      <c r="A246" s="58">
        <f t="shared" si="25"/>
        <v>0</v>
      </c>
      <c r="G246" s="15"/>
      <c r="H246" s="37">
        <v>241</v>
      </c>
      <c r="I246" s="38" t="str">
        <f t="shared" si="21"/>
        <v/>
      </c>
      <c r="J246" s="37">
        <f t="shared" si="26"/>
        <v>-4</v>
      </c>
      <c r="K246" s="37">
        <f t="shared" si="22"/>
        <v>-40</v>
      </c>
      <c r="L246" s="37"/>
      <c r="M246" s="39">
        <f t="shared" si="23"/>
        <v>0</v>
      </c>
      <c r="N246" s="39">
        <f t="shared" si="24"/>
        <v>0</v>
      </c>
    </row>
    <row r="247" spans="1:14">
      <c r="A247" s="58">
        <f t="shared" si="25"/>
        <v>0</v>
      </c>
      <c r="G247" s="15"/>
      <c r="H247" s="37">
        <v>242</v>
      </c>
      <c r="I247" s="38" t="str">
        <f t="shared" si="21"/>
        <v/>
      </c>
      <c r="J247" s="37">
        <f t="shared" si="26"/>
        <v>-4</v>
      </c>
      <c r="K247" s="37">
        <f t="shared" si="22"/>
        <v>-40</v>
      </c>
      <c r="L247" s="37"/>
      <c r="M247" s="39">
        <f t="shared" si="23"/>
        <v>0</v>
      </c>
      <c r="N247" s="39">
        <f t="shared" si="24"/>
        <v>0</v>
      </c>
    </row>
    <row r="248" spans="1:14">
      <c r="A248" s="58">
        <f t="shared" si="25"/>
        <v>0</v>
      </c>
      <c r="G248" s="15"/>
      <c r="H248" s="37">
        <v>243</v>
      </c>
      <c r="I248" s="38" t="str">
        <f t="shared" si="21"/>
        <v/>
      </c>
      <c r="J248" s="37">
        <f t="shared" si="26"/>
        <v>-4</v>
      </c>
      <c r="K248" s="37">
        <f t="shared" si="22"/>
        <v>-40</v>
      </c>
      <c r="L248" s="37"/>
      <c r="M248" s="39">
        <f t="shared" si="23"/>
        <v>0</v>
      </c>
      <c r="N248" s="39">
        <f t="shared" si="24"/>
        <v>0</v>
      </c>
    </row>
    <row r="249" spans="1:14">
      <c r="A249" s="58">
        <f t="shared" si="25"/>
        <v>0</v>
      </c>
      <c r="G249" s="15"/>
      <c r="H249" s="37">
        <v>244</v>
      </c>
      <c r="I249" s="38" t="str">
        <f t="shared" si="21"/>
        <v/>
      </c>
      <c r="J249" s="37">
        <f t="shared" si="26"/>
        <v>-4</v>
      </c>
      <c r="K249" s="37">
        <f t="shared" si="22"/>
        <v>-40</v>
      </c>
      <c r="L249" s="37"/>
      <c r="M249" s="39">
        <f t="shared" si="23"/>
        <v>0</v>
      </c>
      <c r="N249" s="39">
        <f t="shared" si="24"/>
        <v>0</v>
      </c>
    </row>
    <row r="250" spans="1:14">
      <c r="A250" s="58">
        <f t="shared" si="25"/>
        <v>0</v>
      </c>
      <c r="G250" s="15"/>
      <c r="H250" s="37">
        <v>245</v>
      </c>
      <c r="I250" s="38" t="str">
        <f t="shared" si="21"/>
        <v/>
      </c>
      <c r="J250" s="37">
        <f t="shared" si="26"/>
        <v>-4</v>
      </c>
      <c r="K250" s="37">
        <f t="shared" si="22"/>
        <v>-40</v>
      </c>
      <c r="L250" s="37"/>
      <c r="M250" s="39">
        <f t="shared" si="23"/>
        <v>0</v>
      </c>
      <c r="N250" s="39">
        <f t="shared" si="24"/>
        <v>0</v>
      </c>
    </row>
    <row r="251" spans="1:14">
      <c r="A251" s="58">
        <f t="shared" si="25"/>
        <v>0</v>
      </c>
      <c r="G251" s="15"/>
      <c r="H251" s="37">
        <v>246</v>
      </c>
      <c r="I251" s="38" t="str">
        <f t="shared" si="21"/>
        <v/>
      </c>
      <c r="J251" s="37">
        <f t="shared" si="26"/>
        <v>-4</v>
      </c>
      <c r="K251" s="37">
        <f t="shared" si="22"/>
        <v>-40</v>
      </c>
      <c r="L251" s="37"/>
      <c r="M251" s="39">
        <f t="shared" si="23"/>
        <v>0</v>
      </c>
      <c r="N251" s="39">
        <f t="shared" si="24"/>
        <v>0</v>
      </c>
    </row>
    <row r="252" spans="1:14">
      <c r="A252" s="58">
        <f t="shared" si="25"/>
        <v>0</v>
      </c>
      <c r="G252" s="15"/>
      <c r="H252" s="37">
        <v>247</v>
      </c>
      <c r="I252" s="38" t="str">
        <f t="shared" si="21"/>
        <v/>
      </c>
      <c r="J252" s="37">
        <f t="shared" si="26"/>
        <v>-4</v>
      </c>
      <c r="K252" s="37">
        <f t="shared" si="22"/>
        <v>-40</v>
      </c>
      <c r="L252" s="37"/>
      <c r="M252" s="39">
        <f t="shared" si="23"/>
        <v>0</v>
      </c>
      <c r="N252" s="39">
        <f t="shared" si="24"/>
        <v>0</v>
      </c>
    </row>
    <row r="253" spans="1:14">
      <c r="A253" s="58">
        <f t="shared" si="25"/>
        <v>0</v>
      </c>
      <c r="G253" s="15"/>
      <c r="H253" s="37">
        <v>248</v>
      </c>
      <c r="I253" s="38" t="str">
        <f t="shared" si="21"/>
        <v/>
      </c>
      <c r="J253" s="37">
        <f t="shared" si="26"/>
        <v>-4</v>
      </c>
      <c r="K253" s="37">
        <f t="shared" si="22"/>
        <v>-40</v>
      </c>
      <c r="L253" s="37"/>
      <c r="M253" s="39">
        <f t="shared" si="23"/>
        <v>0</v>
      </c>
      <c r="N253" s="39">
        <f t="shared" si="24"/>
        <v>0</v>
      </c>
    </row>
    <row r="254" spans="1:14">
      <c r="A254" s="58">
        <f t="shared" si="25"/>
        <v>0</v>
      </c>
      <c r="G254" s="15"/>
      <c r="H254" s="37">
        <v>249</v>
      </c>
      <c r="I254" s="38" t="str">
        <f t="shared" si="21"/>
        <v/>
      </c>
      <c r="J254" s="37">
        <f t="shared" si="26"/>
        <v>-4</v>
      </c>
      <c r="K254" s="37">
        <f t="shared" si="22"/>
        <v>-40</v>
      </c>
      <c r="L254" s="37"/>
      <c r="M254" s="39">
        <f t="shared" si="23"/>
        <v>0</v>
      </c>
      <c r="N254" s="39">
        <f t="shared" si="24"/>
        <v>0</v>
      </c>
    </row>
    <row r="255" spans="1:14">
      <c r="A255" s="58">
        <f t="shared" si="25"/>
        <v>0</v>
      </c>
      <c r="G255" s="15"/>
      <c r="H255" s="37">
        <v>250</v>
      </c>
      <c r="I255" s="38" t="str">
        <f t="shared" si="21"/>
        <v/>
      </c>
      <c r="J255" s="37">
        <f t="shared" si="26"/>
        <v>-4</v>
      </c>
      <c r="K255" s="37">
        <f t="shared" si="22"/>
        <v>-40</v>
      </c>
      <c r="L255" s="37"/>
      <c r="M255" s="39">
        <f t="shared" si="23"/>
        <v>0</v>
      </c>
      <c r="N255" s="39">
        <f t="shared" si="24"/>
        <v>0</v>
      </c>
    </row>
    <row r="256" spans="1:14">
      <c r="A256" s="58">
        <f t="shared" si="25"/>
        <v>0</v>
      </c>
      <c r="G256" s="15"/>
      <c r="H256" s="37">
        <v>251</v>
      </c>
      <c r="I256" s="38" t="str">
        <f t="shared" si="21"/>
        <v/>
      </c>
      <c r="J256" s="37">
        <f t="shared" si="26"/>
        <v>-4</v>
      </c>
      <c r="K256" s="37">
        <f t="shared" si="22"/>
        <v>-40</v>
      </c>
      <c r="L256" s="37"/>
      <c r="M256" s="39">
        <f t="shared" si="23"/>
        <v>0</v>
      </c>
      <c r="N256" s="39">
        <f t="shared" si="24"/>
        <v>0</v>
      </c>
    </row>
    <row r="257" spans="1:14">
      <c r="A257" s="58">
        <f t="shared" si="25"/>
        <v>0</v>
      </c>
      <c r="G257" s="15"/>
      <c r="H257" s="37">
        <v>252</v>
      </c>
      <c r="I257" s="38" t="str">
        <f t="shared" si="21"/>
        <v/>
      </c>
      <c r="J257" s="37">
        <f t="shared" si="26"/>
        <v>-4</v>
      </c>
      <c r="K257" s="37">
        <f t="shared" si="22"/>
        <v>-40</v>
      </c>
      <c r="L257" s="37"/>
      <c r="M257" s="39">
        <f t="shared" si="23"/>
        <v>0</v>
      </c>
      <c r="N257" s="39">
        <f t="shared" si="24"/>
        <v>0</v>
      </c>
    </row>
    <row r="258" spans="1:14">
      <c r="A258" s="58">
        <f t="shared" si="25"/>
        <v>0</v>
      </c>
      <c r="G258" s="15"/>
      <c r="H258" s="37">
        <v>253</v>
      </c>
      <c r="I258" s="38" t="str">
        <f t="shared" si="21"/>
        <v/>
      </c>
      <c r="J258" s="37">
        <f t="shared" si="26"/>
        <v>-4</v>
      </c>
      <c r="K258" s="37">
        <f t="shared" si="22"/>
        <v>-40</v>
      </c>
      <c r="L258" s="37"/>
      <c r="M258" s="39">
        <f t="shared" si="23"/>
        <v>0</v>
      </c>
      <c r="N258" s="39">
        <f t="shared" si="24"/>
        <v>0</v>
      </c>
    </row>
    <row r="259" spans="1:14">
      <c r="A259" s="58">
        <f t="shared" si="25"/>
        <v>0</v>
      </c>
      <c r="G259" s="15"/>
      <c r="H259" s="37">
        <v>254</v>
      </c>
      <c r="I259" s="38" t="str">
        <f t="shared" si="21"/>
        <v/>
      </c>
      <c r="J259" s="37">
        <f t="shared" si="26"/>
        <v>-4</v>
      </c>
      <c r="K259" s="37">
        <f t="shared" si="22"/>
        <v>-40</v>
      </c>
      <c r="L259" s="37"/>
      <c r="M259" s="39">
        <f t="shared" si="23"/>
        <v>0</v>
      </c>
      <c r="N259" s="39">
        <f t="shared" si="24"/>
        <v>0</v>
      </c>
    </row>
    <row r="260" spans="1:14">
      <c r="A260" s="58">
        <f t="shared" si="25"/>
        <v>0</v>
      </c>
      <c r="G260" s="15"/>
      <c r="H260" s="37">
        <v>255</v>
      </c>
      <c r="I260" s="38" t="str">
        <f t="shared" si="21"/>
        <v/>
      </c>
      <c r="J260" s="37">
        <f t="shared" si="26"/>
        <v>-4</v>
      </c>
      <c r="K260" s="37">
        <f t="shared" si="22"/>
        <v>-40</v>
      </c>
      <c r="L260" s="37"/>
      <c r="M260" s="39">
        <f t="shared" si="23"/>
        <v>0</v>
      </c>
      <c r="N260" s="39">
        <f t="shared" si="24"/>
        <v>0</v>
      </c>
    </row>
    <row r="261" spans="1:14">
      <c r="A261" s="58">
        <f t="shared" si="25"/>
        <v>0</v>
      </c>
      <c r="G261" s="15"/>
      <c r="H261" s="37">
        <v>256</v>
      </c>
      <c r="I261" s="38" t="str">
        <f t="shared" si="21"/>
        <v/>
      </c>
      <c r="J261" s="37">
        <f t="shared" si="26"/>
        <v>-4</v>
      </c>
      <c r="K261" s="37">
        <f t="shared" si="22"/>
        <v>-40</v>
      </c>
      <c r="L261" s="37"/>
      <c r="M261" s="39">
        <f t="shared" si="23"/>
        <v>0</v>
      </c>
      <c r="N261" s="39">
        <f t="shared" si="24"/>
        <v>0</v>
      </c>
    </row>
    <row r="262" spans="1:14">
      <c r="A262" s="58">
        <f t="shared" si="25"/>
        <v>0</v>
      </c>
      <c r="G262" s="15"/>
      <c r="H262" s="37">
        <v>257</v>
      </c>
      <c r="I262" s="38" t="str">
        <f t="shared" ref="I262:I305" si="27">IF(H262&lt;$H$2+1,($I$2-($I$2-1)*(LOG(H262)/LOG($H$2))),"")</f>
        <v/>
      </c>
      <c r="J262" s="37">
        <f t="shared" si="26"/>
        <v>-5</v>
      </c>
      <c r="K262" s="37">
        <f t="shared" ref="K262:K305" si="28">J262*$J$2</f>
        <v>-50</v>
      </c>
      <c r="L262" s="37"/>
      <c r="M262" s="39">
        <f t="shared" ref="M262:M305" si="29">IF(I262&lt;&gt;"",K262+I262+L262,0)</f>
        <v>0</v>
      </c>
      <c r="N262" s="39">
        <f t="shared" ref="N262:N305" si="30">IF(I262&lt;&gt;"",M262*L$2,0)</f>
        <v>0</v>
      </c>
    </row>
    <row r="263" spans="1:14">
      <c r="A263" s="58">
        <f t="shared" ref="A263:A305" si="31">N263</f>
        <v>0</v>
      </c>
      <c r="G263" s="15"/>
      <c r="H263" s="37">
        <v>258</v>
      </c>
      <c r="I263" s="38" t="str">
        <f t="shared" si="27"/>
        <v/>
      </c>
      <c r="J263" s="37">
        <f t="shared" ref="J263:J305" si="32">INT(LOG($H$2,2))-ROUNDUP(LOG(H263,2),0)+IF(OR($H$2=1,$H$2=2,$H$2=4,$H$2=8,$H$2=16,$H$2=32,$H$2=64,$H$2=128,$H$2=256),0,1)</f>
        <v>-5</v>
      </c>
      <c r="K263" s="37">
        <f t="shared" si="28"/>
        <v>-50</v>
      </c>
      <c r="L263" s="37"/>
      <c r="M263" s="39">
        <f t="shared" si="29"/>
        <v>0</v>
      </c>
      <c r="N263" s="39">
        <f t="shared" si="30"/>
        <v>0</v>
      </c>
    </row>
    <row r="264" spans="1:14">
      <c r="A264" s="58">
        <f t="shared" si="31"/>
        <v>0</v>
      </c>
      <c r="G264" s="15"/>
      <c r="H264" s="37">
        <v>259</v>
      </c>
      <c r="I264" s="38" t="str">
        <f t="shared" si="27"/>
        <v/>
      </c>
      <c r="J264" s="37">
        <f t="shared" si="32"/>
        <v>-5</v>
      </c>
      <c r="K264" s="37">
        <f t="shared" si="28"/>
        <v>-50</v>
      </c>
      <c r="L264" s="37"/>
      <c r="M264" s="39">
        <f t="shared" si="29"/>
        <v>0</v>
      </c>
      <c r="N264" s="39">
        <f t="shared" si="30"/>
        <v>0</v>
      </c>
    </row>
    <row r="265" spans="1:14">
      <c r="A265" s="58">
        <f t="shared" si="31"/>
        <v>0</v>
      </c>
      <c r="G265" s="15"/>
      <c r="H265" s="37">
        <v>260</v>
      </c>
      <c r="I265" s="38" t="str">
        <f t="shared" si="27"/>
        <v/>
      </c>
      <c r="J265" s="37">
        <f t="shared" si="32"/>
        <v>-5</v>
      </c>
      <c r="K265" s="37">
        <f t="shared" si="28"/>
        <v>-50</v>
      </c>
      <c r="L265" s="37"/>
      <c r="M265" s="39">
        <f t="shared" si="29"/>
        <v>0</v>
      </c>
      <c r="N265" s="39">
        <f t="shared" si="30"/>
        <v>0</v>
      </c>
    </row>
    <row r="266" spans="1:14">
      <c r="A266" s="58">
        <f t="shared" si="31"/>
        <v>0</v>
      </c>
      <c r="G266" s="15"/>
      <c r="H266" s="37">
        <v>261</v>
      </c>
      <c r="I266" s="38" t="str">
        <f t="shared" si="27"/>
        <v/>
      </c>
      <c r="J266" s="37">
        <f t="shared" si="32"/>
        <v>-5</v>
      </c>
      <c r="K266" s="37">
        <f t="shared" si="28"/>
        <v>-50</v>
      </c>
      <c r="L266" s="37"/>
      <c r="M266" s="39">
        <f t="shared" si="29"/>
        <v>0</v>
      </c>
      <c r="N266" s="39">
        <f t="shared" si="30"/>
        <v>0</v>
      </c>
    </row>
    <row r="267" spans="1:14">
      <c r="A267" s="58">
        <f t="shared" si="31"/>
        <v>0</v>
      </c>
      <c r="G267" s="15"/>
      <c r="H267" s="37">
        <v>262</v>
      </c>
      <c r="I267" s="38" t="str">
        <f t="shared" si="27"/>
        <v/>
      </c>
      <c r="J267" s="37">
        <f t="shared" si="32"/>
        <v>-5</v>
      </c>
      <c r="K267" s="37">
        <f t="shared" si="28"/>
        <v>-50</v>
      </c>
      <c r="L267" s="37"/>
      <c r="M267" s="39">
        <f t="shared" si="29"/>
        <v>0</v>
      </c>
      <c r="N267" s="39">
        <f t="shared" si="30"/>
        <v>0</v>
      </c>
    </row>
    <row r="268" spans="1:14">
      <c r="A268" s="58">
        <f t="shared" si="31"/>
        <v>0</v>
      </c>
      <c r="G268" s="15"/>
      <c r="H268" s="37">
        <v>263</v>
      </c>
      <c r="I268" s="38" t="str">
        <f t="shared" si="27"/>
        <v/>
      </c>
      <c r="J268" s="37">
        <f t="shared" si="32"/>
        <v>-5</v>
      </c>
      <c r="K268" s="37">
        <f t="shared" si="28"/>
        <v>-50</v>
      </c>
      <c r="L268" s="37"/>
      <c r="M268" s="39">
        <f t="shared" si="29"/>
        <v>0</v>
      </c>
      <c r="N268" s="39">
        <f t="shared" si="30"/>
        <v>0</v>
      </c>
    </row>
    <row r="269" spans="1:14">
      <c r="A269" s="58">
        <f t="shared" si="31"/>
        <v>0</v>
      </c>
      <c r="G269" s="15"/>
      <c r="H269" s="37">
        <v>264</v>
      </c>
      <c r="I269" s="38" t="str">
        <f t="shared" si="27"/>
        <v/>
      </c>
      <c r="J269" s="37">
        <f t="shared" si="32"/>
        <v>-5</v>
      </c>
      <c r="K269" s="37">
        <f t="shared" si="28"/>
        <v>-50</v>
      </c>
      <c r="L269" s="37"/>
      <c r="M269" s="39">
        <f t="shared" si="29"/>
        <v>0</v>
      </c>
      <c r="N269" s="39">
        <f t="shared" si="30"/>
        <v>0</v>
      </c>
    </row>
    <row r="270" spans="1:14">
      <c r="A270" s="58">
        <f t="shared" si="31"/>
        <v>0</v>
      </c>
      <c r="G270" s="15"/>
      <c r="H270" s="37">
        <v>265</v>
      </c>
      <c r="I270" s="38" t="str">
        <f t="shared" si="27"/>
        <v/>
      </c>
      <c r="J270" s="37">
        <f t="shared" si="32"/>
        <v>-5</v>
      </c>
      <c r="K270" s="37">
        <f t="shared" si="28"/>
        <v>-50</v>
      </c>
      <c r="L270" s="37"/>
      <c r="M270" s="39">
        <f t="shared" si="29"/>
        <v>0</v>
      </c>
      <c r="N270" s="39">
        <f t="shared" si="30"/>
        <v>0</v>
      </c>
    </row>
    <row r="271" spans="1:14">
      <c r="A271" s="58">
        <f t="shared" si="31"/>
        <v>0</v>
      </c>
      <c r="G271" s="15"/>
      <c r="H271" s="37">
        <v>266</v>
      </c>
      <c r="I271" s="38" t="str">
        <f t="shared" si="27"/>
        <v/>
      </c>
      <c r="J271" s="37">
        <f t="shared" si="32"/>
        <v>-5</v>
      </c>
      <c r="K271" s="37">
        <f t="shared" si="28"/>
        <v>-50</v>
      </c>
      <c r="L271" s="37"/>
      <c r="M271" s="39">
        <f t="shared" si="29"/>
        <v>0</v>
      </c>
      <c r="N271" s="39">
        <f t="shared" si="30"/>
        <v>0</v>
      </c>
    </row>
    <row r="272" spans="1:14">
      <c r="A272" s="58">
        <f t="shared" si="31"/>
        <v>0</v>
      </c>
      <c r="G272" s="15"/>
      <c r="H272" s="37">
        <v>267</v>
      </c>
      <c r="I272" s="38" t="str">
        <f t="shared" si="27"/>
        <v/>
      </c>
      <c r="J272" s="37">
        <f t="shared" si="32"/>
        <v>-5</v>
      </c>
      <c r="K272" s="37">
        <f t="shared" si="28"/>
        <v>-50</v>
      </c>
      <c r="L272" s="37"/>
      <c r="M272" s="39">
        <f t="shared" si="29"/>
        <v>0</v>
      </c>
      <c r="N272" s="39">
        <f t="shared" si="30"/>
        <v>0</v>
      </c>
    </row>
    <row r="273" spans="1:14">
      <c r="A273" s="58">
        <f t="shared" si="31"/>
        <v>0</v>
      </c>
      <c r="G273" s="15"/>
      <c r="H273" s="37">
        <v>268</v>
      </c>
      <c r="I273" s="38" t="str">
        <f t="shared" si="27"/>
        <v/>
      </c>
      <c r="J273" s="37">
        <f t="shared" si="32"/>
        <v>-5</v>
      </c>
      <c r="K273" s="37">
        <f t="shared" si="28"/>
        <v>-50</v>
      </c>
      <c r="L273" s="37"/>
      <c r="M273" s="39">
        <f t="shared" si="29"/>
        <v>0</v>
      </c>
      <c r="N273" s="39">
        <f t="shared" si="30"/>
        <v>0</v>
      </c>
    </row>
    <row r="274" spans="1:14">
      <c r="A274" s="58">
        <f t="shared" si="31"/>
        <v>0</v>
      </c>
      <c r="G274" s="15"/>
      <c r="H274" s="37">
        <v>269</v>
      </c>
      <c r="I274" s="38" t="str">
        <f t="shared" si="27"/>
        <v/>
      </c>
      <c r="J274" s="37">
        <f t="shared" si="32"/>
        <v>-5</v>
      </c>
      <c r="K274" s="37">
        <f t="shared" si="28"/>
        <v>-50</v>
      </c>
      <c r="L274" s="37"/>
      <c r="M274" s="39">
        <f t="shared" si="29"/>
        <v>0</v>
      </c>
      <c r="N274" s="39">
        <f t="shared" si="30"/>
        <v>0</v>
      </c>
    </row>
    <row r="275" spans="1:14">
      <c r="A275" s="58">
        <f t="shared" si="31"/>
        <v>0</v>
      </c>
      <c r="G275" s="15"/>
      <c r="H275" s="37">
        <v>270</v>
      </c>
      <c r="I275" s="38" t="str">
        <f t="shared" si="27"/>
        <v/>
      </c>
      <c r="J275" s="37">
        <f t="shared" si="32"/>
        <v>-5</v>
      </c>
      <c r="K275" s="37">
        <f t="shared" si="28"/>
        <v>-50</v>
      </c>
      <c r="L275" s="37"/>
      <c r="M275" s="39">
        <f t="shared" si="29"/>
        <v>0</v>
      </c>
      <c r="N275" s="39">
        <f t="shared" si="30"/>
        <v>0</v>
      </c>
    </row>
    <row r="276" spans="1:14">
      <c r="A276" s="58">
        <f t="shared" si="31"/>
        <v>0</v>
      </c>
      <c r="G276" s="15"/>
      <c r="H276" s="37">
        <v>271</v>
      </c>
      <c r="I276" s="38" t="str">
        <f t="shared" si="27"/>
        <v/>
      </c>
      <c r="J276" s="37">
        <f t="shared" si="32"/>
        <v>-5</v>
      </c>
      <c r="K276" s="37">
        <f t="shared" si="28"/>
        <v>-50</v>
      </c>
      <c r="L276" s="37"/>
      <c r="M276" s="39">
        <f t="shared" si="29"/>
        <v>0</v>
      </c>
      <c r="N276" s="39">
        <f t="shared" si="30"/>
        <v>0</v>
      </c>
    </row>
    <row r="277" spans="1:14">
      <c r="A277" s="58">
        <f t="shared" si="31"/>
        <v>0</v>
      </c>
      <c r="G277" s="15"/>
      <c r="H277" s="37">
        <v>272</v>
      </c>
      <c r="I277" s="38" t="str">
        <f t="shared" si="27"/>
        <v/>
      </c>
      <c r="J277" s="37">
        <f t="shared" si="32"/>
        <v>-5</v>
      </c>
      <c r="K277" s="37">
        <f t="shared" si="28"/>
        <v>-50</v>
      </c>
      <c r="L277" s="37"/>
      <c r="M277" s="39">
        <f t="shared" si="29"/>
        <v>0</v>
      </c>
      <c r="N277" s="39">
        <f t="shared" si="30"/>
        <v>0</v>
      </c>
    </row>
    <row r="278" spans="1:14">
      <c r="A278" s="58">
        <f t="shared" si="31"/>
        <v>0</v>
      </c>
      <c r="G278" s="15"/>
      <c r="H278" s="37">
        <v>273</v>
      </c>
      <c r="I278" s="38" t="str">
        <f t="shared" si="27"/>
        <v/>
      </c>
      <c r="J278" s="37">
        <f t="shared" si="32"/>
        <v>-5</v>
      </c>
      <c r="K278" s="37">
        <f t="shared" si="28"/>
        <v>-50</v>
      </c>
      <c r="L278" s="37"/>
      <c r="M278" s="39">
        <f t="shared" si="29"/>
        <v>0</v>
      </c>
      <c r="N278" s="39">
        <f t="shared" si="30"/>
        <v>0</v>
      </c>
    </row>
    <row r="279" spans="1:14">
      <c r="A279" s="58">
        <f t="shared" si="31"/>
        <v>0</v>
      </c>
      <c r="G279" s="15"/>
      <c r="H279" s="37">
        <v>274</v>
      </c>
      <c r="I279" s="38" t="str">
        <f t="shared" si="27"/>
        <v/>
      </c>
      <c r="J279" s="37">
        <f t="shared" si="32"/>
        <v>-5</v>
      </c>
      <c r="K279" s="37">
        <f t="shared" si="28"/>
        <v>-50</v>
      </c>
      <c r="L279" s="37"/>
      <c r="M279" s="39">
        <f t="shared" si="29"/>
        <v>0</v>
      </c>
      <c r="N279" s="39">
        <f t="shared" si="30"/>
        <v>0</v>
      </c>
    </row>
    <row r="280" spans="1:14">
      <c r="A280" s="58">
        <f t="shared" si="31"/>
        <v>0</v>
      </c>
      <c r="G280" s="15"/>
      <c r="H280" s="37">
        <v>275</v>
      </c>
      <c r="I280" s="38" t="str">
        <f t="shared" si="27"/>
        <v/>
      </c>
      <c r="J280" s="37">
        <f t="shared" si="32"/>
        <v>-5</v>
      </c>
      <c r="K280" s="37">
        <f t="shared" si="28"/>
        <v>-50</v>
      </c>
      <c r="L280" s="37"/>
      <c r="M280" s="39">
        <f t="shared" si="29"/>
        <v>0</v>
      </c>
      <c r="N280" s="39">
        <f t="shared" si="30"/>
        <v>0</v>
      </c>
    </row>
    <row r="281" spans="1:14">
      <c r="A281" s="58">
        <f t="shared" si="31"/>
        <v>0</v>
      </c>
      <c r="G281" s="15"/>
      <c r="H281" s="37">
        <v>276</v>
      </c>
      <c r="I281" s="38" t="str">
        <f t="shared" si="27"/>
        <v/>
      </c>
      <c r="J281" s="37">
        <f t="shared" si="32"/>
        <v>-5</v>
      </c>
      <c r="K281" s="37">
        <f t="shared" si="28"/>
        <v>-50</v>
      </c>
      <c r="L281" s="37"/>
      <c r="M281" s="39">
        <f t="shared" si="29"/>
        <v>0</v>
      </c>
      <c r="N281" s="39">
        <f t="shared" si="30"/>
        <v>0</v>
      </c>
    </row>
    <row r="282" spans="1:14">
      <c r="A282" s="58">
        <f t="shared" si="31"/>
        <v>0</v>
      </c>
      <c r="G282" s="15"/>
      <c r="H282" s="37">
        <v>277</v>
      </c>
      <c r="I282" s="38" t="str">
        <f t="shared" si="27"/>
        <v/>
      </c>
      <c r="J282" s="37">
        <f t="shared" si="32"/>
        <v>-5</v>
      </c>
      <c r="K282" s="37">
        <f t="shared" si="28"/>
        <v>-50</v>
      </c>
      <c r="L282" s="37"/>
      <c r="M282" s="39">
        <f t="shared" si="29"/>
        <v>0</v>
      </c>
      <c r="N282" s="39">
        <f t="shared" si="30"/>
        <v>0</v>
      </c>
    </row>
    <row r="283" spans="1:14">
      <c r="A283" s="58">
        <f t="shared" si="31"/>
        <v>0</v>
      </c>
      <c r="G283" s="15"/>
      <c r="H283" s="37">
        <v>278</v>
      </c>
      <c r="I283" s="38" t="str">
        <f t="shared" si="27"/>
        <v/>
      </c>
      <c r="J283" s="37">
        <f t="shared" si="32"/>
        <v>-5</v>
      </c>
      <c r="K283" s="37">
        <f t="shared" si="28"/>
        <v>-50</v>
      </c>
      <c r="L283" s="37"/>
      <c r="M283" s="39">
        <f t="shared" si="29"/>
        <v>0</v>
      </c>
      <c r="N283" s="39">
        <f t="shared" si="30"/>
        <v>0</v>
      </c>
    </row>
    <row r="284" spans="1:14">
      <c r="A284" s="58">
        <f t="shared" si="31"/>
        <v>0</v>
      </c>
      <c r="G284" s="15"/>
      <c r="H284" s="37">
        <v>279</v>
      </c>
      <c r="I284" s="38" t="str">
        <f t="shared" si="27"/>
        <v/>
      </c>
      <c r="J284" s="37">
        <f t="shared" si="32"/>
        <v>-5</v>
      </c>
      <c r="K284" s="37">
        <f t="shared" si="28"/>
        <v>-50</v>
      </c>
      <c r="L284" s="37"/>
      <c r="M284" s="39">
        <f t="shared" si="29"/>
        <v>0</v>
      </c>
      <c r="N284" s="39">
        <f t="shared" si="30"/>
        <v>0</v>
      </c>
    </row>
    <row r="285" spans="1:14">
      <c r="A285" s="58">
        <f t="shared" si="31"/>
        <v>0</v>
      </c>
      <c r="G285" s="15"/>
      <c r="H285" s="37">
        <v>280</v>
      </c>
      <c r="I285" s="38" t="str">
        <f t="shared" si="27"/>
        <v/>
      </c>
      <c r="J285" s="37">
        <f t="shared" si="32"/>
        <v>-5</v>
      </c>
      <c r="K285" s="37">
        <f t="shared" si="28"/>
        <v>-50</v>
      </c>
      <c r="L285" s="37"/>
      <c r="M285" s="39">
        <f t="shared" si="29"/>
        <v>0</v>
      </c>
      <c r="N285" s="39">
        <f t="shared" si="30"/>
        <v>0</v>
      </c>
    </row>
    <row r="286" spans="1:14">
      <c r="A286" s="58">
        <f t="shared" si="31"/>
        <v>0</v>
      </c>
      <c r="G286" s="15"/>
      <c r="H286" s="37">
        <v>281</v>
      </c>
      <c r="I286" s="38" t="str">
        <f t="shared" si="27"/>
        <v/>
      </c>
      <c r="J286" s="37">
        <f t="shared" si="32"/>
        <v>-5</v>
      </c>
      <c r="K286" s="37">
        <f t="shared" si="28"/>
        <v>-50</v>
      </c>
      <c r="L286" s="37"/>
      <c r="M286" s="39">
        <f t="shared" si="29"/>
        <v>0</v>
      </c>
      <c r="N286" s="39">
        <f t="shared" si="30"/>
        <v>0</v>
      </c>
    </row>
    <row r="287" spans="1:14">
      <c r="A287" s="58">
        <f t="shared" si="31"/>
        <v>0</v>
      </c>
      <c r="G287" s="15"/>
      <c r="H287" s="37">
        <v>282</v>
      </c>
      <c r="I287" s="38" t="str">
        <f t="shared" si="27"/>
        <v/>
      </c>
      <c r="J287" s="37">
        <f t="shared" si="32"/>
        <v>-5</v>
      </c>
      <c r="K287" s="37">
        <f t="shared" si="28"/>
        <v>-50</v>
      </c>
      <c r="L287" s="37"/>
      <c r="M287" s="39">
        <f t="shared" si="29"/>
        <v>0</v>
      </c>
      <c r="N287" s="39">
        <f t="shared" si="30"/>
        <v>0</v>
      </c>
    </row>
    <row r="288" spans="1:14">
      <c r="A288" s="58">
        <f t="shared" si="31"/>
        <v>0</v>
      </c>
      <c r="G288" s="15"/>
      <c r="H288" s="37">
        <v>283</v>
      </c>
      <c r="I288" s="38" t="str">
        <f t="shared" si="27"/>
        <v/>
      </c>
      <c r="J288" s="37">
        <f t="shared" si="32"/>
        <v>-5</v>
      </c>
      <c r="K288" s="37">
        <f t="shared" si="28"/>
        <v>-50</v>
      </c>
      <c r="L288" s="37"/>
      <c r="M288" s="39">
        <f t="shared" si="29"/>
        <v>0</v>
      </c>
      <c r="N288" s="39">
        <f t="shared" si="30"/>
        <v>0</v>
      </c>
    </row>
    <row r="289" spans="1:14">
      <c r="A289" s="58">
        <f t="shared" si="31"/>
        <v>0</v>
      </c>
      <c r="G289" s="15"/>
      <c r="H289" s="37">
        <v>284</v>
      </c>
      <c r="I289" s="38" t="str">
        <f t="shared" si="27"/>
        <v/>
      </c>
      <c r="J289" s="37">
        <f t="shared" si="32"/>
        <v>-5</v>
      </c>
      <c r="K289" s="37">
        <f t="shared" si="28"/>
        <v>-50</v>
      </c>
      <c r="L289" s="37"/>
      <c r="M289" s="39">
        <f t="shared" si="29"/>
        <v>0</v>
      </c>
      <c r="N289" s="39">
        <f t="shared" si="30"/>
        <v>0</v>
      </c>
    </row>
    <row r="290" spans="1:14">
      <c r="A290" s="58">
        <f t="shared" si="31"/>
        <v>0</v>
      </c>
      <c r="G290" s="15"/>
      <c r="H290" s="37">
        <v>285</v>
      </c>
      <c r="I290" s="38" t="str">
        <f t="shared" si="27"/>
        <v/>
      </c>
      <c r="J290" s="37">
        <f t="shared" si="32"/>
        <v>-5</v>
      </c>
      <c r="K290" s="37">
        <f t="shared" si="28"/>
        <v>-50</v>
      </c>
      <c r="L290" s="37"/>
      <c r="M290" s="39">
        <f t="shared" si="29"/>
        <v>0</v>
      </c>
      <c r="N290" s="39">
        <f t="shared" si="30"/>
        <v>0</v>
      </c>
    </row>
    <row r="291" spans="1:14">
      <c r="A291" s="58">
        <f t="shared" si="31"/>
        <v>0</v>
      </c>
      <c r="G291" s="15"/>
      <c r="H291" s="37">
        <v>286</v>
      </c>
      <c r="I291" s="38" t="str">
        <f t="shared" si="27"/>
        <v/>
      </c>
      <c r="J291" s="37">
        <f t="shared" si="32"/>
        <v>-5</v>
      </c>
      <c r="K291" s="37">
        <f t="shared" si="28"/>
        <v>-50</v>
      </c>
      <c r="L291" s="37"/>
      <c r="M291" s="39">
        <f t="shared" si="29"/>
        <v>0</v>
      </c>
      <c r="N291" s="39">
        <f t="shared" si="30"/>
        <v>0</v>
      </c>
    </row>
    <row r="292" spans="1:14">
      <c r="A292" s="58">
        <f t="shared" si="31"/>
        <v>0</v>
      </c>
      <c r="G292" s="15"/>
      <c r="H292" s="37">
        <v>287</v>
      </c>
      <c r="I292" s="38" t="str">
        <f t="shared" si="27"/>
        <v/>
      </c>
      <c r="J292" s="37">
        <f t="shared" si="32"/>
        <v>-5</v>
      </c>
      <c r="K292" s="37">
        <f t="shared" si="28"/>
        <v>-50</v>
      </c>
      <c r="L292" s="37"/>
      <c r="M292" s="39">
        <f t="shared" si="29"/>
        <v>0</v>
      </c>
      <c r="N292" s="39">
        <f t="shared" si="30"/>
        <v>0</v>
      </c>
    </row>
    <row r="293" spans="1:14">
      <c r="A293" s="58">
        <f t="shared" si="31"/>
        <v>0</v>
      </c>
      <c r="G293" s="15"/>
      <c r="H293" s="37">
        <v>288</v>
      </c>
      <c r="I293" s="38" t="str">
        <f t="shared" si="27"/>
        <v/>
      </c>
      <c r="J293" s="37">
        <f t="shared" si="32"/>
        <v>-5</v>
      </c>
      <c r="K293" s="37">
        <f t="shared" si="28"/>
        <v>-50</v>
      </c>
      <c r="L293" s="37"/>
      <c r="M293" s="39">
        <f t="shared" si="29"/>
        <v>0</v>
      </c>
      <c r="N293" s="39">
        <f t="shared" si="30"/>
        <v>0</v>
      </c>
    </row>
    <row r="294" spans="1:14">
      <c r="A294" s="58">
        <f t="shared" si="31"/>
        <v>0</v>
      </c>
      <c r="G294" s="15"/>
      <c r="H294" s="37">
        <v>289</v>
      </c>
      <c r="I294" s="38" t="str">
        <f t="shared" si="27"/>
        <v/>
      </c>
      <c r="J294" s="37">
        <f t="shared" si="32"/>
        <v>-5</v>
      </c>
      <c r="K294" s="37">
        <f t="shared" si="28"/>
        <v>-50</v>
      </c>
      <c r="L294" s="37"/>
      <c r="M294" s="39">
        <f t="shared" si="29"/>
        <v>0</v>
      </c>
      <c r="N294" s="39">
        <f t="shared" si="30"/>
        <v>0</v>
      </c>
    </row>
    <row r="295" spans="1:14">
      <c r="A295" s="58">
        <f t="shared" si="31"/>
        <v>0</v>
      </c>
      <c r="G295" s="15"/>
      <c r="H295" s="37">
        <v>290</v>
      </c>
      <c r="I295" s="38" t="str">
        <f t="shared" si="27"/>
        <v/>
      </c>
      <c r="J295" s="37">
        <f t="shared" si="32"/>
        <v>-5</v>
      </c>
      <c r="K295" s="37">
        <f t="shared" si="28"/>
        <v>-50</v>
      </c>
      <c r="L295" s="37"/>
      <c r="M295" s="39">
        <f t="shared" si="29"/>
        <v>0</v>
      </c>
      <c r="N295" s="39">
        <f t="shared" si="30"/>
        <v>0</v>
      </c>
    </row>
    <row r="296" spans="1:14">
      <c r="A296" s="58">
        <f t="shared" si="31"/>
        <v>0</v>
      </c>
      <c r="G296" s="15"/>
      <c r="H296" s="37">
        <v>291</v>
      </c>
      <c r="I296" s="38" t="str">
        <f t="shared" si="27"/>
        <v/>
      </c>
      <c r="J296" s="37">
        <f t="shared" si="32"/>
        <v>-5</v>
      </c>
      <c r="K296" s="37">
        <f t="shared" si="28"/>
        <v>-50</v>
      </c>
      <c r="L296" s="37"/>
      <c r="M296" s="39">
        <f t="shared" si="29"/>
        <v>0</v>
      </c>
      <c r="N296" s="39">
        <f t="shared" si="30"/>
        <v>0</v>
      </c>
    </row>
    <row r="297" spans="1:14">
      <c r="A297" s="58">
        <f t="shared" si="31"/>
        <v>0</v>
      </c>
      <c r="G297" s="15"/>
      <c r="H297" s="37">
        <v>292</v>
      </c>
      <c r="I297" s="38" t="str">
        <f t="shared" si="27"/>
        <v/>
      </c>
      <c r="J297" s="37">
        <f t="shared" si="32"/>
        <v>-5</v>
      </c>
      <c r="K297" s="37">
        <f t="shared" si="28"/>
        <v>-50</v>
      </c>
      <c r="L297" s="37"/>
      <c r="M297" s="39">
        <f t="shared" si="29"/>
        <v>0</v>
      </c>
      <c r="N297" s="39">
        <f t="shared" si="30"/>
        <v>0</v>
      </c>
    </row>
    <row r="298" spans="1:14">
      <c r="A298" s="58">
        <f t="shared" si="31"/>
        <v>0</v>
      </c>
      <c r="G298" s="15"/>
      <c r="H298" s="37">
        <v>293</v>
      </c>
      <c r="I298" s="38" t="str">
        <f t="shared" si="27"/>
        <v/>
      </c>
      <c r="J298" s="37">
        <f t="shared" si="32"/>
        <v>-5</v>
      </c>
      <c r="K298" s="37">
        <f t="shared" si="28"/>
        <v>-50</v>
      </c>
      <c r="L298" s="37"/>
      <c r="M298" s="39">
        <f t="shared" si="29"/>
        <v>0</v>
      </c>
      <c r="N298" s="39">
        <f t="shared" si="30"/>
        <v>0</v>
      </c>
    </row>
    <row r="299" spans="1:14">
      <c r="A299" s="58">
        <f t="shared" si="31"/>
        <v>0</v>
      </c>
      <c r="G299" s="15"/>
      <c r="H299" s="37">
        <v>294</v>
      </c>
      <c r="I299" s="38" t="str">
        <f t="shared" si="27"/>
        <v/>
      </c>
      <c r="J299" s="37">
        <f t="shared" si="32"/>
        <v>-5</v>
      </c>
      <c r="K299" s="37">
        <f t="shared" si="28"/>
        <v>-50</v>
      </c>
      <c r="L299" s="37"/>
      <c r="M299" s="39">
        <f t="shared" si="29"/>
        <v>0</v>
      </c>
      <c r="N299" s="39">
        <f t="shared" si="30"/>
        <v>0</v>
      </c>
    </row>
    <row r="300" spans="1:14">
      <c r="A300" s="58">
        <f t="shared" si="31"/>
        <v>0</v>
      </c>
      <c r="G300" s="15"/>
      <c r="H300" s="37">
        <v>295</v>
      </c>
      <c r="I300" s="38" t="str">
        <f t="shared" si="27"/>
        <v/>
      </c>
      <c r="J300" s="37">
        <f t="shared" si="32"/>
        <v>-5</v>
      </c>
      <c r="K300" s="37">
        <f t="shared" si="28"/>
        <v>-50</v>
      </c>
      <c r="L300" s="37"/>
      <c r="M300" s="39">
        <f t="shared" si="29"/>
        <v>0</v>
      </c>
      <c r="N300" s="39">
        <f t="shared" si="30"/>
        <v>0</v>
      </c>
    </row>
    <row r="301" spans="1:14">
      <c r="A301" s="58">
        <f t="shared" si="31"/>
        <v>0</v>
      </c>
      <c r="G301" s="15"/>
      <c r="H301" s="37">
        <v>296</v>
      </c>
      <c r="I301" s="38" t="str">
        <f t="shared" si="27"/>
        <v/>
      </c>
      <c r="J301" s="37">
        <f t="shared" si="32"/>
        <v>-5</v>
      </c>
      <c r="K301" s="37">
        <f t="shared" si="28"/>
        <v>-50</v>
      </c>
      <c r="L301" s="37"/>
      <c r="M301" s="39">
        <f t="shared" si="29"/>
        <v>0</v>
      </c>
      <c r="N301" s="39">
        <f t="shared" si="30"/>
        <v>0</v>
      </c>
    </row>
    <row r="302" spans="1:14">
      <c r="A302" s="58">
        <f t="shared" si="31"/>
        <v>0</v>
      </c>
      <c r="G302" s="15"/>
      <c r="H302" s="37">
        <v>297</v>
      </c>
      <c r="I302" s="38" t="str">
        <f t="shared" si="27"/>
        <v/>
      </c>
      <c r="J302" s="37">
        <f t="shared" si="32"/>
        <v>-5</v>
      </c>
      <c r="K302" s="37">
        <f t="shared" si="28"/>
        <v>-50</v>
      </c>
      <c r="L302" s="37"/>
      <c r="M302" s="39">
        <f t="shared" si="29"/>
        <v>0</v>
      </c>
      <c r="N302" s="39">
        <f t="shared" si="30"/>
        <v>0</v>
      </c>
    </row>
    <row r="303" spans="1:14">
      <c r="A303" s="58">
        <f t="shared" si="31"/>
        <v>0</v>
      </c>
      <c r="G303" s="15"/>
      <c r="H303" s="37">
        <v>298</v>
      </c>
      <c r="I303" s="38" t="str">
        <f t="shared" si="27"/>
        <v/>
      </c>
      <c r="J303" s="37">
        <f t="shared" si="32"/>
        <v>-5</v>
      </c>
      <c r="K303" s="37">
        <f t="shared" si="28"/>
        <v>-50</v>
      </c>
      <c r="L303" s="37"/>
      <c r="M303" s="39">
        <f t="shared" si="29"/>
        <v>0</v>
      </c>
      <c r="N303" s="39">
        <f t="shared" si="30"/>
        <v>0</v>
      </c>
    </row>
    <row r="304" spans="1:14">
      <c r="A304" s="58">
        <f t="shared" si="31"/>
        <v>0</v>
      </c>
      <c r="G304" s="15"/>
      <c r="H304" s="37">
        <v>299</v>
      </c>
      <c r="I304" s="38" t="str">
        <f t="shared" si="27"/>
        <v/>
      </c>
      <c r="J304" s="37">
        <f t="shared" si="32"/>
        <v>-5</v>
      </c>
      <c r="K304" s="37">
        <f t="shared" si="28"/>
        <v>-50</v>
      </c>
      <c r="L304" s="37"/>
      <c r="M304" s="39">
        <f t="shared" si="29"/>
        <v>0</v>
      </c>
      <c r="N304" s="39">
        <f t="shared" si="30"/>
        <v>0</v>
      </c>
    </row>
    <row r="305" spans="1:17">
      <c r="A305" s="58">
        <f t="shared" si="31"/>
        <v>0</v>
      </c>
      <c r="G305" s="15"/>
      <c r="H305" s="37">
        <v>300</v>
      </c>
      <c r="I305" s="38" t="str">
        <f t="shared" si="27"/>
        <v/>
      </c>
      <c r="J305" s="37">
        <f t="shared" si="32"/>
        <v>-5</v>
      </c>
      <c r="K305" s="37">
        <f t="shared" si="28"/>
        <v>-50</v>
      </c>
      <c r="L305" s="37"/>
      <c r="M305" s="39">
        <f t="shared" si="29"/>
        <v>0</v>
      </c>
      <c r="N305" s="39">
        <f t="shared" si="30"/>
        <v>0</v>
      </c>
    </row>
    <row r="306" spans="1:17">
      <c r="A306" s="60"/>
    </row>
    <row r="314" spans="1:17">
      <c r="L314" s="63"/>
      <c r="M314" s="63"/>
      <c r="Q314" s="53"/>
    </row>
    <row r="315" spans="1:17">
      <c r="L315" s="63"/>
      <c r="M315" s="63"/>
      <c r="Q315" s="53"/>
    </row>
    <row r="316" spans="1:17">
      <c r="L316" s="63"/>
      <c r="M316" s="63"/>
      <c r="Q316" s="53"/>
    </row>
    <row r="317" spans="1:17">
      <c r="L317" s="63"/>
      <c r="M317" s="63"/>
      <c r="Q317" s="53"/>
    </row>
  </sheetData>
  <mergeCells count="2">
    <mergeCell ref="C2:D2"/>
    <mergeCell ref="C3:D3"/>
  </mergeCells>
  <conditionalFormatting sqref="J6:N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26C709A2-1811-4DC1-A3C5-B78D46581D9A}">
      <formula1>#REF!</formula1>
    </dataValidation>
  </dataValidations>
  <hyperlinks>
    <hyperlink ref="C2:D2" r:id="rId1" display="WARSZAWA" xr:uid="{62D16597-5CBB-4BE0-AEE1-E965AAA64AA9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B8CC5-6E25-45BD-8551-D4CCF9E07BE8}">
  <dimension ref="A1:BG168"/>
  <sheetViews>
    <sheetView workbookViewId="0">
      <selection activeCell="K6" sqref="K6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4" max="4" width="9.140625" bestFit="1" customWidth="1"/>
    <col min="5" max="7" width="5.140625" customWidth="1"/>
    <col min="8" max="8" width="6.42578125" bestFit="1" customWidth="1"/>
    <col min="9" max="9" width="5.140625" customWidth="1"/>
    <col min="10" max="10" width="6.42578125" bestFit="1" customWidth="1"/>
    <col min="11" max="11" width="5.140625" customWidth="1"/>
    <col min="12" max="12" width="6.42578125" bestFit="1" customWidth="1"/>
    <col min="13" max="15" width="5.140625" customWidth="1"/>
    <col min="16" max="16" width="6.42578125" bestFit="1" customWidth="1"/>
    <col min="17" max="17" width="5.140625" customWidth="1"/>
    <col min="18" max="18" width="6.42578125" bestFit="1" customWidth="1"/>
    <col min="19" max="21" width="5.140625" customWidth="1"/>
    <col min="22" max="22" width="6.42578125" bestFit="1" customWidth="1"/>
    <col min="23" max="23" width="2" customWidth="1"/>
    <col min="24" max="28" width="5.140625" customWidth="1"/>
    <col min="29" max="29" width="6.42578125" bestFit="1" customWidth="1"/>
    <col min="30" max="30" width="5.140625" customWidth="1"/>
    <col min="31" max="31" width="6.42578125" bestFit="1" customWidth="1"/>
    <col min="32" max="34" width="5.140625" customWidth="1"/>
    <col min="35" max="35" width="6.42578125" bestFit="1" customWidth="1"/>
    <col min="36" max="36" width="5.140625" customWidth="1"/>
    <col min="37" max="37" width="6.42578125" bestFit="1" customWidth="1"/>
    <col min="38" max="38" width="5.140625" customWidth="1"/>
    <col min="39" max="39" width="6.42578125" bestFit="1" customWidth="1"/>
    <col min="40" max="49" width="6.42578125" customWidth="1"/>
    <col min="50" max="50" width="5.140625" customWidth="1"/>
    <col min="51" max="51" width="6.42578125" bestFit="1" customWidth="1"/>
    <col min="53" max="59" width="3.140625" customWidth="1"/>
  </cols>
  <sheetData>
    <row r="1" spans="1:59" ht="13.7" customHeight="1" thickTop="1">
      <c r="A1" s="3"/>
      <c r="B1" s="3"/>
      <c r="C1" s="3"/>
      <c r="D1" s="296" t="s">
        <v>112</v>
      </c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X1" s="297" t="s">
        <v>113</v>
      </c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  <c r="AR1" s="298"/>
      <c r="AS1" s="298"/>
      <c r="AT1" s="298"/>
      <c r="AU1" s="298"/>
      <c r="AV1" s="298"/>
      <c r="AW1" s="298"/>
      <c r="AX1" s="298"/>
      <c r="AY1" s="298"/>
      <c r="AZ1" s="298"/>
      <c r="BA1" s="298"/>
      <c r="BB1" s="298"/>
      <c r="BC1" s="299"/>
    </row>
    <row r="2" spans="1:59" ht="13.7" customHeight="1">
      <c r="A2" s="3"/>
      <c r="B2" s="4" t="s">
        <v>0</v>
      </c>
      <c r="C2" s="3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X2" s="300"/>
      <c r="Y2" s="301"/>
      <c r="Z2" s="301"/>
      <c r="AA2" s="301"/>
      <c r="AB2" s="301"/>
      <c r="AC2" s="301"/>
      <c r="AD2" s="301"/>
      <c r="AE2" s="301"/>
      <c r="AF2" s="301"/>
      <c r="AG2" s="301"/>
      <c r="AH2" s="301"/>
      <c r="AI2" s="301"/>
      <c r="AJ2" s="301"/>
      <c r="AK2" s="301"/>
      <c r="AL2" s="301"/>
      <c r="AM2" s="301"/>
      <c r="AN2" s="301"/>
      <c r="AO2" s="301"/>
      <c r="AP2" s="301"/>
      <c r="AQ2" s="301"/>
      <c r="AR2" s="301"/>
      <c r="AS2" s="301"/>
      <c r="AT2" s="301"/>
      <c r="AU2" s="301"/>
      <c r="AV2" s="301"/>
      <c r="AW2" s="301"/>
      <c r="AX2" s="301"/>
      <c r="AY2" s="301"/>
      <c r="AZ2" s="301"/>
      <c r="BA2" s="301"/>
      <c r="BB2" s="301"/>
      <c r="BC2" s="302"/>
    </row>
    <row r="3" spans="1:59" ht="13.7" customHeight="1" thickBot="1">
      <c r="A3" s="3"/>
      <c r="B3" s="3"/>
      <c r="C3" s="3"/>
      <c r="D3" s="75" t="s">
        <v>114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303"/>
      <c r="Y3" s="304"/>
      <c r="Z3" s="304"/>
      <c r="AA3" s="304"/>
      <c r="AB3" s="304"/>
      <c r="AC3" s="304"/>
      <c r="AD3" s="304"/>
      <c r="AE3" s="304"/>
      <c r="AF3" s="304"/>
      <c r="AG3" s="304"/>
      <c r="AH3" s="304"/>
      <c r="AI3" s="304"/>
      <c r="AJ3" s="304"/>
      <c r="AK3" s="304"/>
      <c r="AL3" s="304"/>
      <c r="AM3" s="304"/>
      <c r="AN3" s="304"/>
      <c r="AO3" s="304"/>
      <c r="AP3" s="304"/>
      <c r="AQ3" s="304"/>
      <c r="AR3" s="304"/>
      <c r="AS3" s="304"/>
      <c r="AT3" s="304"/>
      <c r="AU3" s="304"/>
      <c r="AV3" s="304"/>
      <c r="AW3" s="304"/>
      <c r="AX3" s="304"/>
      <c r="AY3" s="304"/>
      <c r="AZ3" s="304"/>
      <c r="BA3" s="304"/>
      <c r="BB3" s="304"/>
      <c r="BC3" s="305"/>
    </row>
    <row r="4" spans="1:59" ht="24.75" customHeight="1" thickTop="1">
      <c r="A4" s="289" t="s">
        <v>4</v>
      </c>
      <c r="B4" s="291" t="s">
        <v>5</v>
      </c>
      <c r="C4" s="291" t="s">
        <v>6</v>
      </c>
      <c r="D4" s="291" t="s">
        <v>7</v>
      </c>
      <c r="E4" s="294" t="s">
        <v>8</v>
      </c>
      <c r="F4" s="295"/>
      <c r="G4" s="294" t="s">
        <v>9</v>
      </c>
      <c r="H4" s="295"/>
      <c r="I4" s="294" t="s">
        <v>10</v>
      </c>
      <c r="J4" s="295"/>
      <c r="K4" s="294" t="s">
        <v>11</v>
      </c>
      <c r="L4" s="295"/>
      <c r="M4" s="294" t="s">
        <v>12</v>
      </c>
      <c r="N4" s="295"/>
      <c r="O4" s="268" t="s">
        <v>13</v>
      </c>
      <c r="P4" s="269"/>
      <c r="Q4" s="268" t="s">
        <v>14</v>
      </c>
      <c r="R4" s="269"/>
      <c r="S4" s="268" t="s">
        <v>15</v>
      </c>
      <c r="T4" s="269"/>
      <c r="U4" s="294" t="s">
        <v>16</v>
      </c>
      <c r="V4" s="295"/>
      <c r="X4" s="287" t="s">
        <v>115</v>
      </c>
      <c r="Y4" s="288"/>
      <c r="Z4" s="287" t="s">
        <v>116</v>
      </c>
      <c r="AA4" s="288"/>
      <c r="AB4" s="287" t="s">
        <v>117</v>
      </c>
      <c r="AC4" s="288"/>
      <c r="AD4" s="287" t="s">
        <v>118</v>
      </c>
      <c r="AE4" s="288"/>
      <c r="AF4" s="287" t="s">
        <v>119</v>
      </c>
      <c r="AG4" s="288"/>
      <c r="AH4" s="287" t="s">
        <v>120</v>
      </c>
      <c r="AI4" s="288"/>
      <c r="AJ4" s="287" t="s">
        <v>121</v>
      </c>
      <c r="AK4" s="288"/>
      <c r="AL4" s="287" t="s">
        <v>122</v>
      </c>
      <c r="AM4" s="288"/>
      <c r="AN4" s="287" t="s">
        <v>123</v>
      </c>
      <c r="AO4" s="288"/>
      <c r="AP4" s="287" t="s">
        <v>124</v>
      </c>
      <c r="AQ4" s="288"/>
      <c r="AR4" s="287" t="s">
        <v>125</v>
      </c>
      <c r="AS4" s="288"/>
      <c r="AT4" s="287" t="s">
        <v>126</v>
      </c>
      <c r="AU4" s="288"/>
      <c r="AV4" s="287" t="s">
        <v>127</v>
      </c>
      <c r="AW4" s="288"/>
      <c r="AX4" s="287" t="s">
        <v>128</v>
      </c>
      <c r="AY4" s="288"/>
    </row>
    <row r="5" spans="1:59" ht="18" customHeight="1">
      <c r="A5" s="290"/>
      <c r="B5" s="292"/>
      <c r="C5" s="292"/>
      <c r="D5" s="293"/>
      <c r="E5" s="76" t="s">
        <v>17</v>
      </c>
      <c r="F5" s="76" t="s">
        <v>18</v>
      </c>
      <c r="G5" s="76" t="s">
        <v>17</v>
      </c>
      <c r="H5" s="76" t="s">
        <v>18</v>
      </c>
      <c r="I5" s="76" t="s">
        <v>17</v>
      </c>
      <c r="J5" s="76" t="s">
        <v>18</v>
      </c>
      <c r="K5" s="76" t="s">
        <v>17</v>
      </c>
      <c r="L5" s="76" t="s">
        <v>18</v>
      </c>
      <c r="M5" s="76" t="s">
        <v>17</v>
      </c>
      <c r="N5" s="77" t="s">
        <v>18</v>
      </c>
      <c r="O5" s="2" t="s">
        <v>17</v>
      </c>
      <c r="P5" s="8" t="s">
        <v>18</v>
      </c>
      <c r="Q5" s="2" t="s">
        <v>17</v>
      </c>
      <c r="R5" s="8" t="s">
        <v>18</v>
      </c>
      <c r="S5" s="2" t="s">
        <v>17</v>
      </c>
      <c r="T5" s="8" t="s">
        <v>18</v>
      </c>
      <c r="U5" s="76" t="s">
        <v>17</v>
      </c>
      <c r="V5" s="77" t="s">
        <v>18</v>
      </c>
      <c r="X5" s="78" t="s">
        <v>17</v>
      </c>
      <c r="Y5" s="78" t="s">
        <v>18</v>
      </c>
      <c r="Z5" s="78" t="s">
        <v>17</v>
      </c>
      <c r="AA5" s="78" t="s">
        <v>18</v>
      </c>
      <c r="AB5" s="78" t="s">
        <v>17</v>
      </c>
      <c r="AC5" s="78" t="s">
        <v>18</v>
      </c>
      <c r="AD5" s="78" t="s">
        <v>17</v>
      </c>
      <c r="AE5" s="78" t="s">
        <v>18</v>
      </c>
      <c r="AF5" s="78" t="s">
        <v>17</v>
      </c>
      <c r="AG5" s="78" t="s">
        <v>18</v>
      </c>
      <c r="AH5" s="78" t="s">
        <v>17</v>
      </c>
      <c r="AI5" s="79" t="s">
        <v>18</v>
      </c>
      <c r="AJ5" s="78" t="s">
        <v>17</v>
      </c>
      <c r="AK5" s="79" t="s">
        <v>18</v>
      </c>
      <c r="AL5" s="78" t="s">
        <v>17</v>
      </c>
      <c r="AM5" s="79" t="s">
        <v>18</v>
      </c>
      <c r="AN5" s="78" t="s">
        <v>17</v>
      </c>
      <c r="AO5" s="79" t="s">
        <v>18</v>
      </c>
      <c r="AP5" s="78" t="s">
        <v>17</v>
      </c>
      <c r="AQ5" s="79" t="s">
        <v>18</v>
      </c>
      <c r="AR5" s="78" t="s">
        <v>17</v>
      </c>
      <c r="AS5" s="79" t="s">
        <v>18</v>
      </c>
      <c r="AT5" s="78" t="s">
        <v>17</v>
      </c>
      <c r="AU5" s="79" t="s">
        <v>18</v>
      </c>
      <c r="AV5" s="78" t="s">
        <v>17</v>
      </c>
      <c r="AW5" s="79" t="s">
        <v>18</v>
      </c>
      <c r="AX5" s="78" t="s">
        <v>17</v>
      </c>
      <c r="AY5" s="79" t="s">
        <v>18</v>
      </c>
    </row>
    <row r="6" spans="1:59" ht="14.85" customHeight="1">
      <c r="A6" s="9">
        <f t="shared" ref="A6:A28" si="0">ROW()-5</f>
        <v>1</v>
      </c>
      <c r="B6" s="218" t="s">
        <v>19</v>
      </c>
      <c r="C6" s="134"/>
      <c r="D6" s="80">
        <f>SUM(F6,H6,J6,L6,N6,P6,R6,T6,V6)-SUM(SMALL((F6,H6,J6,L6,N6,P6,R6,T6),1),SMALL((F6,H6,J6,L6,N6,P6,R6,T6),2))+SUM(LARGE((Y6,AA6,AC6,AE6,AG6,AI6,AK6,AM6,AO6,AQ6,AS6,AU6,AW6),1),LARGE((Y6,AA6,AC6,AE6,AG6,AI6,AK6,AM6,AO6,AQ6,AS6,AU6,AW6),2),LARGE((Y6,AA6,AC6,AE6,AG6,AI6,AK6,AM6,AO6,AQ6,AS6,AU6,AW6),3),AY6)</f>
        <v>907.64701528634282</v>
      </c>
      <c r="E6" s="10" t="str">
        <f>_xlfn.XLOOKUP($B6,'GP1'!$C$6:$C$101,'GP1'!$B$6:$B$101,"")</f>
        <v>4k1</v>
      </c>
      <c r="F6" s="81">
        <f>_xlfn.XLOOKUP(E6,'GP1'!$B$6:$B$55,'GP1'!$A$6:$A$55,0)</f>
        <v>25.09</v>
      </c>
      <c r="G6" s="10" t="str">
        <f>_xlfn.XLOOKUP($B6,'GP2'!$C$6:$C$101,'GP2'!$B$6:$B$101,"")</f>
        <v>1k1</v>
      </c>
      <c r="H6" s="81">
        <f>_xlfn.XLOOKUP(G6,'GP2'!$B$6:$B$55,'GP2'!$A$6:$A$55,0)</f>
        <v>96.35</v>
      </c>
      <c r="I6" s="10" t="str">
        <f>_xlfn.XLOOKUP($B6,'GP3'!$C$6:$C$101,'GP3'!$B$6:$B$101,"")</f>
        <v>2k1</v>
      </c>
      <c r="J6" s="81">
        <f>_xlfn.XLOOKUP(I6,'GP3'!$B$6:$B$55,'GP3'!$A$6:$A$55,0)</f>
        <v>61.95</v>
      </c>
      <c r="K6" s="10">
        <f>_xlfn.XLOOKUP($B6,'GP4'!$C$6:$C$101,'GP4'!$B$6:$B$101,"")</f>
        <v>2</v>
      </c>
      <c r="L6" s="81">
        <f>_xlfn.XLOOKUP(K6,'GP4'!$B$6:$B$55,'GP4'!$A$6:$A$55,0)</f>
        <v>80.068366573734622</v>
      </c>
      <c r="M6" s="10">
        <f>_xlfn.XLOOKUP($B6,'GP5'!$C$6:$C$101,'GP5'!$B$6:$B$101,"")</f>
        <v>2</v>
      </c>
      <c r="N6" s="82">
        <f>_xlfn.XLOOKUP(M6,'GP5'!$B$6:$B$55,'GP5'!$A$6:$A$55,0)</f>
        <v>47.73793949684304</v>
      </c>
      <c r="O6" s="10">
        <f>_xlfn.XLOOKUP($B6,'GP6'!$C$6:$C$101,'GP6'!$B$6:$B$101,"")</f>
        <v>1</v>
      </c>
      <c r="P6" s="82">
        <f>_xlfn.XLOOKUP(O6,'GP6'!$B$6:$B$55,'GP6'!$A$6:$A$55,0)</f>
        <v>109.38991221028695</v>
      </c>
      <c r="Q6" s="10">
        <f>_xlfn.XLOOKUP($B6,'GP7'!$C$6:$C$101,'GP7'!$B$6:$B$101,"")</f>
        <v>4</v>
      </c>
      <c r="R6" s="82">
        <f>_xlfn.XLOOKUP(Q6,'GP7'!$B$6:$B$55,'GP7'!$A$6:$A$55,0)</f>
        <v>42.663591326189277</v>
      </c>
      <c r="S6" s="10">
        <f>_xlfn.XLOOKUP($B6,'GP8'!$C$6:$C$101,'GP8'!$B$6:$B$101,"")</f>
        <v>3</v>
      </c>
      <c r="T6" s="82">
        <f>_xlfn.XLOOKUP(S6,'GP8'!$B$6:$B$55,'GP8'!$A$6:$A$55,0)</f>
        <v>38.074616879691767</v>
      </c>
      <c r="U6" s="10">
        <f>_xlfn.XLOOKUP(B6,MPW!C$6:C$101,MPW!B$6:B$101,"")</f>
        <v>1</v>
      </c>
      <c r="V6" s="82">
        <f>_xlfn.XLOOKUP(U6,MPW!B$6:B$55,MPW!A$6:A$55,0)</f>
        <v>132.01898497814861</v>
      </c>
      <c r="X6" s="10" t="str">
        <f>_xlfn.XLOOKUP($B6,'PEW1'!$C$6:$C$201,'PEW1'!$B$6:$B$201,"")</f>
        <v/>
      </c>
      <c r="Y6" s="83">
        <f>_xlfn.XLOOKUP(X6,'PEW1'!$B$6:$B$201,'PEW1'!$A$6:$A$201,0)</f>
        <v>0</v>
      </c>
      <c r="Z6" s="10" t="str">
        <f>_xlfn.XLOOKUP($B6,'PEW2'!$C$6:$C$201,'PEW2'!$B$6:$B$201,"")</f>
        <v/>
      </c>
      <c r="AA6" s="83">
        <f>_xlfn.XLOOKUP(Z6,'PEW2'!$B$6:$B$201,'PEW2'!$A$6:$A$201,0)</f>
        <v>0</v>
      </c>
      <c r="AB6" s="10" t="str">
        <f>_xlfn.XLOOKUP($B6,'PEW3'!$C$6:$C$201,'PEW3'!$B$6:$B$201,"")</f>
        <v/>
      </c>
      <c r="AC6" s="83">
        <f>_xlfn.XLOOKUP(AB6,'PEW3'!$B$6:$B$201,'PEW3'!$A$6:$A$201,0)</f>
        <v>0</v>
      </c>
      <c r="AD6" s="10" t="str">
        <f>_xlfn.XLOOKUP($B6,VFC!$C$6:$C$201,VFC!$B$6:$B$201,"")</f>
        <v/>
      </c>
      <c r="AE6" s="83">
        <f>_xlfn.XLOOKUP(AD6,VFC!$B$6:$B$201,VFC!$A$6:$A$201,0)</f>
        <v>0</v>
      </c>
      <c r="AF6" s="10" t="str">
        <f>_xlfn.XLOOKUP($B6,'PEW4'!$C$6:$C$201,'PEW4'!$B$6:$B$201,"")</f>
        <v>3K1</v>
      </c>
      <c r="AG6" s="83">
        <f>_xlfn.XLOOKUP(AF6,'PEW4'!$B$6:$B$201,'PEW4'!$A$6:$A$201,0)</f>
        <v>45.02</v>
      </c>
      <c r="AH6" s="10">
        <f>_xlfn.XLOOKUP($B6,'PEW5'!$C$6:$C$201,'PEW5'!$B$6:$B$201,"")</f>
        <v>3</v>
      </c>
      <c r="AI6" s="83">
        <f>_xlfn.XLOOKUP(AH6,'PEW5'!$B$6:$B$201,'PEW5'!$A$6:$A$201,0)</f>
        <v>69.237629613545906</v>
      </c>
      <c r="AJ6" s="10">
        <f>_xlfn.XLOOKUP($B6,'PEW6'!$C$6:$C$201,'PEW6'!$B$6:$B$201,"")</f>
        <v>1</v>
      </c>
      <c r="AK6" s="83">
        <f>_xlfn.XLOOKUP(AJ6,'PEW6'!$B$6:$B$201,'PEW6'!$A$6:$A$201,0)</f>
        <v>111.16201218948682</v>
      </c>
      <c r="AL6" s="10">
        <f>_xlfn.XLOOKUP($B6,'PEW7'!$C$6:$C$201,'PEW7'!$B$6:$B$201,"")</f>
        <v>12</v>
      </c>
      <c r="AM6" s="83">
        <f>_xlfn.XLOOKUP(AL6,'PEW7'!$B$6:$B$201,'PEW7'!$A$6:$A$201,0)</f>
        <v>3.8621520369308655</v>
      </c>
      <c r="AN6" s="10">
        <f>_xlfn.XLOOKUP($B6,'PEW8'!$C$6:$C$201,'PEW8'!$B$6:$B$201,"")</f>
        <v>1</v>
      </c>
      <c r="AO6" s="83">
        <f>_xlfn.XLOOKUP(AN6,'PEW8'!$B$6:$B$201,'PEW8'!$A$6:$A$201,0)</f>
        <v>112.67857889810772</v>
      </c>
      <c r="AP6" s="10" t="str">
        <f>_xlfn.XLOOKUP($B6,'PEW9'!$C$6:$C$201,'PEW9'!$B$6:$B$201,"")</f>
        <v/>
      </c>
      <c r="AQ6" s="83">
        <f>_xlfn.XLOOKUP(AP6,'PEW9'!$B$6:$B$201,'PEW9'!$A$6:$A$201,0)</f>
        <v>0</v>
      </c>
      <c r="AR6" s="10" t="str">
        <f>_xlfn.XLOOKUP($B6,'PEW10'!$C$6:$C$201,'PEW10'!$B$6:$B$201,"")</f>
        <v/>
      </c>
      <c r="AS6" s="83">
        <f>_xlfn.XLOOKUP(AR6,'PEW10'!$B$6:$B$201,'PEW10'!$A$6:$A$201,0)</f>
        <v>0</v>
      </c>
      <c r="AT6" s="10" t="str">
        <f>_xlfn.XLOOKUP($B6,'PEW11'!$C$6:$C$201,'PEW11'!$B$6:$B$201,"")</f>
        <v/>
      </c>
      <c r="AU6" s="83">
        <f>_xlfn.XLOOKUP(AT6,'PEW11'!$B$6:$B$201,'PEW11'!$A$6:$A$201,0)</f>
        <v>0</v>
      </c>
      <c r="AV6" s="10" t="str">
        <f>_xlfn.XLOOKUP($B6,'PEW12'!$C$6:$C$201,'PEW12'!$B$6:$B$201,"")</f>
        <v/>
      </c>
      <c r="AW6" s="83">
        <f>_xlfn.XLOOKUP(AV6,'PEW12'!$B$6:$B$201,'PEW12'!$A$6:$A$201,0)</f>
        <v>0</v>
      </c>
      <c r="AX6" s="10" t="str" cm="1">
        <f t="array" ref="AX6">_xlfn.XLOOKUP($B6,IMEW!C$6:C$201,IMEW!$B$6:B$201,"")</f>
        <v>12K1</v>
      </c>
      <c r="AY6" s="84">
        <f>_xlfn.XLOOKUP(AX6,IMEW!$B$6:$B$201,IMEW!$A$6:$A$201,0)</f>
        <v>44.39</v>
      </c>
      <c r="BA6" s="85">
        <f t="shared" ref="BA6:BA28" si="1">Y6</f>
        <v>0</v>
      </c>
      <c r="BB6" s="85">
        <f t="shared" ref="BB6:BB28" si="2">AA6</f>
        <v>0</v>
      </c>
      <c r="BC6" s="85">
        <f t="shared" ref="BC6:BC28" si="3">AC6</f>
        <v>0</v>
      </c>
      <c r="BD6" s="85">
        <f t="shared" ref="BD6:BD28" si="4">AG6</f>
        <v>45.02</v>
      </c>
      <c r="BE6" s="85">
        <f t="shared" ref="BE6:BE28" si="5">AI6</f>
        <v>69.237629613545906</v>
      </c>
      <c r="BF6" s="85">
        <f t="shared" ref="BF6:BF28" si="6">AK6</f>
        <v>111.16201218948682</v>
      </c>
      <c r="BG6" s="85">
        <f t="shared" ref="BG6:BG28" si="7">AM6</f>
        <v>3.8621520369308655</v>
      </c>
    </row>
    <row r="7" spans="1:59" ht="14.85" customHeight="1">
      <c r="A7" s="9">
        <f t="shared" si="0"/>
        <v>2</v>
      </c>
      <c r="B7" s="213" t="s">
        <v>21</v>
      </c>
      <c r="C7" s="12"/>
      <c r="D7" s="80">
        <f>SUM(F7,H7,J7,L7,N7,P7,R7,T7,V7)-SUM(SMALL((F7,H7,J7,L7,N7,P7,R7,T7),1),SMALL((F7,H7,J7,L7,N7,P7,R7,T7),2))+SUM(LARGE((Y7,AA7,AC7,AE7,AG7,AI7,AK7,AM7,AO7,AQ7,AS7,AU7,AW7),1),LARGE((Y7,AA7,AC7,AE7,AG7,AI7,AK7,AM7,AO7,AQ7,AS7,AU7,AW7),2),LARGE((Y7,AA7,AC7,AE7,AG7,AI7,AK7,AM7,AO7,AQ7,AS7,AU7,AW7),3),AY7)</f>
        <v>512.04776771339777</v>
      </c>
      <c r="E7" s="13" t="str">
        <f>_xlfn.XLOOKUP($B7,'GP1'!$C$6:$C$101,'GP1'!$B$6:$B$101,"")</f>
        <v>3k1</v>
      </c>
      <c r="F7" s="86">
        <f>_xlfn.XLOOKUP(E7,'GP1'!$B$6:$B$55,'GP1'!$A$6:$A$55,0)</f>
        <v>38.074616879691767</v>
      </c>
      <c r="G7" s="13" t="str">
        <f>_xlfn.XLOOKUP($B7,'GP2'!$C$6:$C$101,'GP2'!$B$6:$B$101,"")</f>
        <v/>
      </c>
      <c r="H7" s="86">
        <f>_xlfn.XLOOKUP(G7,'GP2'!$B$6:$B$55,'GP2'!$A$6:$A$55,0)</f>
        <v>0</v>
      </c>
      <c r="I7" s="13" t="str">
        <f>_xlfn.XLOOKUP($B7,'GP3'!$C$6:$C$101,'GP3'!$B$6:$B$101,"")</f>
        <v>3k1</v>
      </c>
      <c r="J7" s="86">
        <f>_xlfn.XLOOKUP(I7,'GP3'!$B$6:$B$55,'GP3'!$A$6:$A$55,0)</f>
        <v>35.407149332988958</v>
      </c>
      <c r="K7" s="10">
        <f>_xlfn.XLOOKUP($B7,'GP4'!$C$6:$C$101,'GP4'!$B$6:$B$101,"")</f>
        <v>3</v>
      </c>
      <c r="L7" s="81">
        <f>_xlfn.XLOOKUP(K7,'GP4'!$B$6:$B$55,'GP4'!$A$6:$A$55,0)</f>
        <v>55.204694129130715</v>
      </c>
      <c r="M7" s="13">
        <f>_xlfn.XLOOKUP($B7,'GP5'!$C$6:$C$101,'GP5'!$B$6:$B$101,"")</f>
        <v>1</v>
      </c>
      <c r="N7" s="87">
        <f>_xlfn.XLOOKUP(M7,'GP5'!$B$6:$B$55,'GP5'!$A$6:$A$55,0)</f>
        <v>92.980246132766666</v>
      </c>
      <c r="O7" s="13">
        <f>_xlfn.XLOOKUP($B7,'GP6'!$C$6:$C$101,'GP6'!$B$6:$B$101,"")</f>
        <v>3</v>
      </c>
      <c r="P7" s="87">
        <f>_xlfn.XLOOKUP(O7,'GP6'!$B$6:$B$55,'GP6'!$A$6:$A$55,0)</f>
        <v>53.084362588832192</v>
      </c>
      <c r="Q7" s="13">
        <f>_xlfn.XLOOKUP($B7,'GP7'!$C$6:$C$101,'GP7'!$B$6:$B$101,"")</f>
        <v>1</v>
      </c>
      <c r="R7" s="87">
        <f>_xlfn.XLOOKUP(Q7,'GP7'!$B$6:$B$55,'GP7'!$A$6:$A$55,0)</f>
        <v>110.60485636595998</v>
      </c>
      <c r="S7" s="13">
        <f>_xlfn.XLOOKUP($B7,'GP8'!$C$6:$C$101,'GP8'!$B$6:$B$101,"")</f>
        <v>2</v>
      </c>
      <c r="T7" s="87">
        <f>_xlfn.XLOOKUP(S7,'GP8'!$B$6:$B$55,'GP8'!$A$6:$A$55,0)</f>
        <v>64.023434928341246</v>
      </c>
      <c r="U7" s="13">
        <f>_xlfn.XLOOKUP(B7,MPW!C$6:C$101,MPW!B$6:B$101,"")</f>
        <v>5</v>
      </c>
      <c r="V7" s="87">
        <f>_xlfn.XLOOKUP(U7,MPW!B$6:B$55,MPW!A$6:A$55,0)</f>
        <v>32.534160801491105</v>
      </c>
      <c r="X7" s="10" t="str">
        <f>_xlfn.XLOOKUP($B7,'PEW1'!$C$6:$C$201,'PEW1'!$B$6:$B$201,"")</f>
        <v/>
      </c>
      <c r="Y7" s="83">
        <f>_xlfn.XLOOKUP(X7,'PEW1'!$B$6:$B$201,'PEW1'!$A$6:$A$201,0)</f>
        <v>0</v>
      </c>
      <c r="Z7" s="10" t="str">
        <f>_xlfn.XLOOKUP($B7,'PEW2'!$C$6:$C$201,'PEW2'!$B$6:$B$201,"")</f>
        <v/>
      </c>
      <c r="AA7" s="83">
        <f>_xlfn.XLOOKUP(Z7,'PEW2'!$B$6:$B$201,'PEW2'!$A$6:$A$201,0)</f>
        <v>0</v>
      </c>
      <c r="AB7" s="10" t="str">
        <f>_xlfn.XLOOKUP($B7,'PEW3'!$C$6:$C$201,'PEW3'!$B$6:$B$201,"")</f>
        <v/>
      </c>
      <c r="AC7" s="83">
        <f>_xlfn.XLOOKUP(AB7,'PEW3'!$B$6:$B$201,'PEW3'!$A$6:$A$201,0)</f>
        <v>0</v>
      </c>
      <c r="AD7" s="10" t="str">
        <f>_xlfn.XLOOKUP($B7,VFC!$C$6:$C$201,VFC!$B$6:$B$201,"")</f>
        <v/>
      </c>
      <c r="AE7" s="83">
        <f>_xlfn.XLOOKUP(AD7,VFC!$B$6:$B$201,VFC!$A$6:$A$201,0)</f>
        <v>0</v>
      </c>
      <c r="AF7" s="10" t="str">
        <f>_xlfn.XLOOKUP($B7,'PEW4'!$C$6:$C$201,'PEW4'!$B$6:$B$201,"")</f>
        <v/>
      </c>
      <c r="AG7" s="83">
        <f>_xlfn.XLOOKUP(AF7,'PEW4'!$B$6:$B$201,'PEW4'!$A$6:$A$201,0)</f>
        <v>0</v>
      </c>
      <c r="AH7" s="10">
        <f>_xlfn.XLOOKUP($B7,'PEW5'!$C$6:$C$201,'PEW5'!$B$6:$B$201,"")</f>
        <v>5</v>
      </c>
      <c r="AI7" s="83">
        <f>_xlfn.XLOOKUP(AH7,'PEW5'!$B$6:$B$201,'PEW5'!$A$6:$A$201,0)</f>
        <v>42.715462122189749</v>
      </c>
      <c r="AJ7" s="10">
        <f>_xlfn.XLOOKUP($B7,'PEW6'!$C$6:$C$201,'PEW6'!$B$6:$B$201,"")</f>
        <v>7</v>
      </c>
      <c r="AK7" s="83">
        <f>_xlfn.XLOOKUP(AJ7,'PEW6'!$B$6:$B$201,'PEW6'!$A$6:$A$201,0)</f>
        <v>22.825933764994346</v>
      </c>
      <c r="AL7" s="10" t="str">
        <f>_xlfn.XLOOKUP($B7,'PEW7'!$C$6:$C$201,'PEW7'!$B$6:$B$201,"")</f>
        <v/>
      </c>
      <c r="AM7" s="83">
        <f>_xlfn.XLOOKUP(AL7,'PEW7'!$B$6:$B$201,'PEW7'!$A$6:$A$201,0)</f>
        <v>0</v>
      </c>
      <c r="AN7" s="10" t="str">
        <f>_xlfn.XLOOKUP($B7,'PEW8'!$C$6:$C$201,'PEW8'!$B$6:$B$201,"")</f>
        <v/>
      </c>
      <c r="AO7" s="83">
        <f>_xlfn.XLOOKUP(AN7,'PEW8'!$B$6:$B$201,'PEW8'!$A$6:$A$201,0)</f>
        <v>0</v>
      </c>
      <c r="AP7" s="10" t="str">
        <f>_xlfn.XLOOKUP($B7,'PEW9'!$C$6:$C$201,'PEW9'!$B$6:$B$201,"")</f>
        <v/>
      </c>
      <c r="AQ7" s="83">
        <f>_xlfn.XLOOKUP(AP7,'PEW9'!$B$6:$B$201,'PEW9'!$A$6:$A$201,0)</f>
        <v>0</v>
      </c>
      <c r="AR7" s="10" t="str">
        <f>_xlfn.XLOOKUP($B7,'PEW10'!$C$6:$C$201,'PEW10'!$B$6:$B$201,"")</f>
        <v/>
      </c>
      <c r="AS7" s="83">
        <f>_xlfn.XLOOKUP(AR7,'PEW10'!$B$6:$B$201,'PEW10'!$A$6:$A$201,0)</f>
        <v>0</v>
      </c>
      <c r="AT7" s="10" t="str">
        <f>_xlfn.XLOOKUP($B7,'PEW11'!$C$6:$C$201,'PEW11'!$B$6:$B$201,"")</f>
        <v/>
      </c>
      <c r="AU7" s="83">
        <f>_xlfn.XLOOKUP(AT7,'PEW11'!$B$6:$B$201,'PEW11'!$A$6:$A$201,0)</f>
        <v>0</v>
      </c>
      <c r="AV7" s="10" t="str">
        <f>_xlfn.XLOOKUP($B7,'PEW12'!$C$6:$C$201,'PEW12'!$B$6:$B$201,"")</f>
        <v/>
      </c>
      <c r="AW7" s="83">
        <f>_xlfn.XLOOKUP(AV7,'PEW12'!$B$6:$B$201,'PEW12'!$A$6:$A$201,0)</f>
        <v>0</v>
      </c>
      <c r="AX7" s="10" t="str" cm="1">
        <f t="array" ref="AX7">_xlfn.XLOOKUP($B7,IMEW!C$6:C$201,IMEW!$B$6:B$201,"")</f>
        <v/>
      </c>
      <c r="AY7" s="84">
        <f>_xlfn.XLOOKUP(AX7,IMEW!$B$6:$B$201,IMEW!$A$6:$A$201,0)</f>
        <v>0</v>
      </c>
      <c r="BA7" s="85">
        <f t="shared" si="1"/>
        <v>0</v>
      </c>
      <c r="BB7" s="85">
        <f t="shared" si="2"/>
        <v>0</v>
      </c>
      <c r="BC7" s="85">
        <f t="shared" si="3"/>
        <v>0</v>
      </c>
      <c r="BD7" s="85">
        <f t="shared" si="4"/>
        <v>0</v>
      </c>
      <c r="BE7" s="85">
        <f t="shared" si="5"/>
        <v>42.715462122189749</v>
      </c>
      <c r="BF7" s="85">
        <f t="shared" si="6"/>
        <v>22.825933764994346</v>
      </c>
      <c r="BG7" s="85">
        <f t="shared" si="7"/>
        <v>0</v>
      </c>
    </row>
    <row r="8" spans="1:59" ht="15.75" customHeight="1">
      <c r="A8" s="9">
        <f t="shared" si="0"/>
        <v>3</v>
      </c>
      <c r="B8" s="11" t="s">
        <v>20</v>
      </c>
      <c r="C8" s="135"/>
      <c r="D8" s="80">
        <f>SUM(F8,H8,J8,L8,N8,P8,R8,T8,V8)-SUM(SMALL((F8,H8,J8,L8,N8,P8,R8,T8),1),SMALL((F8,H8,J8,L8,N8,P8,R8,T8),2))+SUM(LARGE((Y8,AA8,AC8,AE8,AG8,AI8,AK8,AM8,AO8,AQ8,AS8,AU8,AW8),1),LARGE((Y8,AA8,AC8,AE8,AG8,AI8,AK8,AM8,AO8,AQ8,AS8,AU8,AW8),2),LARGE((Y8,AA8,AC8,AE8,AG8,AI8,AK8,AM8,AO8,AQ8,AS8,AU8,AW8),3),AY8)</f>
        <v>527.08192354154403</v>
      </c>
      <c r="E8" s="13">
        <f>_xlfn.XLOOKUP($B8,'GP1'!$C$6:$C$101,'GP1'!$B$6:$B$101,"")</f>
        <v>3</v>
      </c>
      <c r="F8" s="86">
        <f>_xlfn.XLOOKUP(E8,'GP1'!$B$6:$B$55,'GP1'!$A$6:$A$55,0)</f>
        <v>40.112279154887787</v>
      </c>
      <c r="G8" s="13">
        <f>_xlfn.XLOOKUP($B8,'GP2'!$C$6:$C$101,'GP2'!$B$6:$B$101,"")</f>
        <v>4</v>
      </c>
      <c r="H8" s="86">
        <f>_xlfn.XLOOKUP(G8,'GP2'!$B$6:$B$55,'GP2'!$A$6:$A$55,0)</f>
        <v>40.499060424929844</v>
      </c>
      <c r="I8" s="13">
        <f>_xlfn.XLOOKUP($B8,'GP3'!$C$6:$C$101,'GP3'!$B$6:$B$101,"")</f>
        <v>1</v>
      </c>
      <c r="J8" s="86">
        <f>_xlfn.XLOOKUP(I8,'GP3'!$B$6:$B$55,'GP3'!$A$6:$A$55,0)</f>
        <v>97.216380644951499</v>
      </c>
      <c r="K8" s="10">
        <f>_xlfn.XLOOKUP($B8,'GP4'!$C$6:$C$101,'GP4'!$B$6:$B$101,"")</f>
        <v>6</v>
      </c>
      <c r="L8" s="81">
        <f>_xlfn.XLOOKUP(K8,'GP4'!$B$6:$B$55,'GP4'!$A$6:$A$55,0)</f>
        <v>24.668204336905362</v>
      </c>
      <c r="M8" s="13" t="str">
        <f>_xlfn.XLOOKUP($B8,'GP5'!$C$6:$C$101,'GP5'!$B$6:$B$101,"")</f>
        <v/>
      </c>
      <c r="N8" s="87">
        <f>_xlfn.XLOOKUP(M8,'GP5'!$B$6:$B$55,'GP5'!$A$6:$A$55,0)</f>
        <v>0</v>
      </c>
      <c r="O8" s="13">
        <f>_xlfn.XLOOKUP($B8,'GP6'!$C$6:$C$101,'GP6'!$B$6:$B$101,"")</f>
        <v>2</v>
      </c>
      <c r="P8" s="87">
        <f>_xlfn.XLOOKUP(O8,'GP6'!$B$6:$B$55,'GP6'!$A$6:$A$55,0)</f>
        <v>78.176138352656224</v>
      </c>
      <c r="Q8" s="13">
        <f>_xlfn.XLOOKUP($B8,'GP7'!$C$6:$C$101,'GP7'!$B$6:$B$101,"")</f>
        <v>3</v>
      </c>
      <c r="R8" s="87">
        <f>_xlfn.XLOOKUP(Q8,'GP7'!$B$6:$B$55,'GP7'!$A$6:$A$55,0)</f>
        <v>55.204694129130715</v>
      </c>
      <c r="S8" s="13">
        <f>_xlfn.XLOOKUP($B8,'GP8'!$C$6:$C$101,'GP8'!$B$6:$B$101,"")</f>
        <v>1</v>
      </c>
      <c r="T8" s="87">
        <f>_xlfn.XLOOKUP(S8,'GP8'!$B$6:$B$55,'GP8'!$A$6:$A$55,0)</f>
        <v>97.216380644951499</v>
      </c>
      <c r="U8" s="13">
        <f>_xlfn.XLOOKUP(B8,MPW!C$6:C$101,MPW!B$6:B$101,"")</f>
        <v>2</v>
      </c>
      <c r="V8" s="87">
        <f>_xlfn.XLOOKUP(U8,MPW!B$6:B$55,MPW!A$6:A$55,0)</f>
        <v>95.015644864607268</v>
      </c>
      <c r="X8" s="10" t="str">
        <f>_xlfn.XLOOKUP($B8,'PEW1'!$C$6:$C$201,'PEW1'!$B$6:$B$201,"")</f>
        <v/>
      </c>
      <c r="Y8" s="83">
        <f>_xlfn.XLOOKUP(X8,'PEW1'!$B$6:$B$201,'PEW1'!$A$6:$A$201,0)</f>
        <v>0</v>
      </c>
      <c r="Z8" s="10" t="str">
        <f>_xlfn.XLOOKUP($B8,'PEW2'!$C$6:$C$201,'PEW2'!$B$6:$B$201,"")</f>
        <v/>
      </c>
      <c r="AA8" s="83">
        <f>_xlfn.XLOOKUP(Z8,'PEW2'!$B$6:$B$201,'PEW2'!$A$6:$A$201,0)</f>
        <v>0</v>
      </c>
      <c r="AB8" s="10" t="str">
        <f>_xlfn.XLOOKUP($B8,'PEW3'!$C$6:$C$201,'PEW3'!$B$6:$B$201,"")</f>
        <v/>
      </c>
      <c r="AC8" s="83">
        <f>_xlfn.XLOOKUP(AB8,'PEW3'!$B$6:$B$201,'PEW3'!$A$6:$A$201,0)</f>
        <v>0</v>
      </c>
      <c r="AD8" s="10" t="str">
        <f>_xlfn.XLOOKUP($B8,VFC!$C$6:$C$201,VFC!$B$6:$B$201,"")</f>
        <v/>
      </c>
      <c r="AE8" s="83">
        <f>_xlfn.XLOOKUP(AD8,VFC!$B$6:$B$201,VFC!$A$6:$A$201,0)</f>
        <v>0</v>
      </c>
      <c r="AF8" s="10" t="str">
        <f>_xlfn.XLOOKUP($B8,'PEW4'!$C$6:$C$201,'PEW4'!$B$6:$B$201,"")</f>
        <v/>
      </c>
      <c r="AG8" s="83">
        <f>_xlfn.XLOOKUP(AF8,'PEW4'!$B$6:$B$201,'PEW4'!$A$6:$A$201,0)</f>
        <v>0</v>
      </c>
      <c r="AH8" s="10" t="str">
        <f>_xlfn.XLOOKUP($B8,'PEW5'!$C$6:$C$201,'PEW5'!$B$6:$B$201,"")</f>
        <v/>
      </c>
      <c r="AI8" s="83">
        <f>_xlfn.XLOOKUP(AH8,'PEW5'!$B$6:$B$201,'PEW5'!$A$6:$A$201,0)</f>
        <v>0</v>
      </c>
      <c r="AJ8" s="10" t="str">
        <f>_xlfn.XLOOKUP($B8,'PEW6'!$C$6:$C$201,'PEW6'!$B$6:$B$201,"")</f>
        <v/>
      </c>
      <c r="AK8" s="83">
        <f>_xlfn.XLOOKUP(AJ8,'PEW6'!$B$6:$B$201,'PEW6'!$A$6:$A$201,0)</f>
        <v>0</v>
      </c>
      <c r="AL8" s="10" t="str">
        <f>_xlfn.XLOOKUP($B8,'PEW7'!$C$6:$C$201,'PEW7'!$B$6:$B$201,"")</f>
        <v/>
      </c>
      <c r="AM8" s="83">
        <f>_xlfn.XLOOKUP(AL8,'PEW7'!$B$6:$B$201,'PEW7'!$A$6:$A$201,0)</f>
        <v>0</v>
      </c>
      <c r="AN8" s="10" t="str">
        <f>_xlfn.XLOOKUP($B8,'PEW8'!$C$6:$C$201,'PEW8'!$B$6:$B$201,"")</f>
        <v/>
      </c>
      <c r="AO8" s="83">
        <f>_xlfn.XLOOKUP(AN8,'PEW8'!$B$6:$B$201,'PEW8'!$A$6:$A$201,0)</f>
        <v>0</v>
      </c>
      <c r="AP8" s="10" t="str">
        <f>_xlfn.XLOOKUP($B8,'PEW9'!$C$6:$C$201,'PEW9'!$B$6:$B$201,"")</f>
        <v/>
      </c>
      <c r="AQ8" s="83">
        <f>_xlfn.XLOOKUP(AP8,'PEW9'!$B$6:$B$201,'PEW9'!$A$6:$A$201,0)</f>
        <v>0</v>
      </c>
      <c r="AR8" s="10" t="str">
        <f>_xlfn.XLOOKUP($B8,'PEW10'!$C$6:$C$201,'PEW10'!$B$6:$B$201,"")</f>
        <v/>
      </c>
      <c r="AS8" s="83">
        <f>_xlfn.XLOOKUP(AR8,'PEW10'!$B$6:$B$201,'PEW10'!$A$6:$A$201,0)</f>
        <v>0</v>
      </c>
      <c r="AT8" s="10" t="str">
        <f>_xlfn.XLOOKUP($B8,'PEW11'!$C$6:$C$201,'PEW11'!$B$6:$B$201,"")</f>
        <v/>
      </c>
      <c r="AU8" s="83">
        <f>_xlfn.XLOOKUP(AT8,'PEW11'!$B$6:$B$201,'PEW11'!$A$6:$A$201,0)</f>
        <v>0</v>
      </c>
      <c r="AV8" s="10" t="str">
        <f>_xlfn.XLOOKUP($B8,'PEW12'!$C$6:$C$201,'PEW12'!$B$6:$B$201,"")</f>
        <v/>
      </c>
      <c r="AW8" s="83">
        <f>_xlfn.XLOOKUP(AV8,'PEW12'!$B$6:$B$201,'PEW12'!$A$6:$A$201,0)</f>
        <v>0</v>
      </c>
      <c r="AX8" s="10" cm="1">
        <f t="array" ref="AX8">_xlfn.XLOOKUP($B8,IMEW!C$6:C$201,IMEW!$B$6:B$201,"")</f>
        <v>29</v>
      </c>
      <c r="AY8" s="84">
        <f>_xlfn.XLOOKUP(AX8,IMEW!$B$6:$B$201,IMEW!$A$6:$A$201,0)</f>
        <v>23.641345325429359</v>
      </c>
      <c r="BA8" s="85">
        <f t="shared" si="1"/>
        <v>0</v>
      </c>
      <c r="BB8" s="85">
        <f t="shared" si="2"/>
        <v>0</v>
      </c>
      <c r="BC8" s="85">
        <f t="shared" si="3"/>
        <v>0</v>
      </c>
      <c r="BD8" s="85">
        <f t="shared" si="4"/>
        <v>0</v>
      </c>
      <c r="BE8" s="85">
        <f t="shared" si="5"/>
        <v>0</v>
      </c>
      <c r="BF8" s="85">
        <f t="shared" si="6"/>
        <v>0</v>
      </c>
      <c r="BG8" s="85">
        <f t="shared" si="7"/>
        <v>0</v>
      </c>
    </row>
    <row r="9" spans="1:59" ht="14.85" customHeight="1">
      <c r="A9" s="9">
        <f t="shared" si="0"/>
        <v>4</v>
      </c>
      <c r="B9" s="11" t="s">
        <v>22</v>
      </c>
      <c r="C9" s="12"/>
      <c r="D9" s="80">
        <f>SUM(F9,H9,J9,L9,N9,P9,R9,T9,V9)-SUM(SMALL((F9,H9,J9,L9,N9,P9,R9,T9),1),SMALL((F9,H9,J9,L9,N9,P9,R9,T9),2))+SUM(LARGE((Y9,AA9,AC9,AE9,AG9,AI9,AK9,AM9,AO9,AQ9,AS9,AU9,AW9),1),LARGE((Y9,AA9,AC9,AE9,AG9,AI9,AK9,AM9,AO9,AQ9,AS9,AU9,AW9),2),LARGE((Y9,AA9,AC9,AE9,AG9,AI9,AK9,AM9,AO9,AQ9,AS9,AU9,AW9),3),AY9)</f>
        <v>380.9312577944371</v>
      </c>
      <c r="E9" s="13">
        <f>_xlfn.XLOOKUP($B9,'GP1'!$C$6:$C$101,'GP1'!$B$6:$B$101,"")</f>
        <v>1</v>
      </c>
      <c r="F9" s="86">
        <f>_xlfn.XLOOKUP(E9,'GP1'!$B$6:$B$55,'GP1'!$A$6:$A$55,0)</f>
        <v>98</v>
      </c>
      <c r="G9" s="13">
        <f>_xlfn.XLOOKUP($B9,'GP2'!$C$6:$C$101,'GP2'!$B$6:$B$101,"")</f>
        <v>2</v>
      </c>
      <c r="H9" s="86">
        <f>_xlfn.XLOOKUP(G9,'GP2'!$B$6:$B$55,'GP2'!$A$6:$A$55,0)</f>
        <v>78.176138352656224</v>
      </c>
      <c r="I9" s="13">
        <f>_xlfn.XLOOKUP($B9,'GP3'!$C$6:$C$101,'GP3'!$B$6:$B$101,"")</f>
        <v>3</v>
      </c>
      <c r="J9" s="86">
        <f>_xlfn.XLOOKUP(I9,'GP3'!$B$6:$B$55,'GP3'!$A$6:$A$55,0)</f>
        <v>38.074616879691767</v>
      </c>
      <c r="K9" s="10">
        <f>_xlfn.XLOOKUP($B9,'GP4'!$C$6:$C$101,'GP4'!$B$6:$B$101,"")</f>
        <v>5</v>
      </c>
      <c r="L9" s="81">
        <f>_xlfn.XLOOKUP(K9,'GP4'!$B$6:$B$55,'GP4'!$A$6:$A$55,0)</f>
        <v>28.263412343478148</v>
      </c>
      <c r="M9" s="13" t="str">
        <f>_xlfn.XLOOKUP($B9,'GP5'!$C$6:$C$101,'GP5'!$B$6:$B$101,"")</f>
        <v/>
      </c>
      <c r="N9" s="87">
        <f>_xlfn.XLOOKUP(M9,'GP5'!$B$6:$B$55,'GP5'!$A$6:$A$55,0)</f>
        <v>0</v>
      </c>
      <c r="O9" s="13">
        <f>_xlfn.XLOOKUP($B9,'GP6'!$C$6:$C$101,'GP6'!$B$6:$B$101,"")</f>
        <v>4</v>
      </c>
      <c r="P9" s="87">
        <f>_xlfn.XLOOKUP(O9,'GP6'!$B$6:$B$55,'GP6'!$A$6:$A$55,0)</f>
        <v>40.499060424929844</v>
      </c>
      <c r="Q9" s="13">
        <f>_xlfn.XLOOKUP($B9,'GP7'!$C$6:$C$101,'GP7'!$B$6:$B$101,"")</f>
        <v>8</v>
      </c>
      <c r="R9" s="87">
        <f>_xlfn.XLOOKUP(Q9,'GP7'!$B$6:$B$55,'GP7'!$A$6:$A$55,0)</f>
        <v>18.995386989283922</v>
      </c>
      <c r="S9" s="13">
        <f>_xlfn.XLOOKUP($B9,'GP8'!$C$6:$C$101,'GP8'!$B$6:$B$101,"")</f>
        <v>4</v>
      </c>
      <c r="T9" s="87">
        <f>_xlfn.XLOOKUP(S9,'GP8'!$B$6:$B$55,'GP8'!$A$6:$A$55,0)</f>
        <v>25.091695663413823</v>
      </c>
      <c r="U9" s="13">
        <f>_xlfn.XLOOKUP(B9,MPW!C$6:C$101,MPW!B$6:B$101,"")</f>
        <v>3</v>
      </c>
      <c r="V9" s="87">
        <f>_xlfn.XLOOKUP(U9,MPW!B$6:B$55,MPW!A$6:A$55,0)</f>
        <v>65.066702018559553</v>
      </c>
      <c r="X9" s="10" t="str">
        <f>_xlfn.XLOOKUP($B9,'PEW1'!$C$6:$C$201,'PEW1'!$B$6:$B$201,"")</f>
        <v/>
      </c>
      <c r="Y9" s="83">
        <f>_xlfn.XLOOKUP(X9,'PEW1'!$B$6:$B$201,'PEW1'!$A$6:$A$201,0)</f>
        <v>0</v>
      </c>
      <c r="Z9" s="10" t="str">
        <f>_xlfn.XLOOKUP($B9,'PEW2'!$C$6:$C$201,'PEW2'!$B$6:$B$201,"")</f>
        <v/>
      </c>
      <c r="AA9" s="83">
        <f>_xlfn.XLOOKUP(Z9,'PEW2'!$B$6:$B$201,'PEW2'!$A$6:$A$201,0)</f>
        <v>0</v>
      </c>
      <c r="AB9" s="10" t="str">
        <f>_xlfn.XLOOKUP($B9,'PEW3'!$C$6:$C$201,'PEW3'!$B$6:$B$201,"")</f>
        <v/>
      </c>
      <c r="AC9" s="83">
        <f>_xlfn.XLOOKUP(AB9,'PEW3'!$B$6:$B$201,'PEW3'!$A$6:$A$201,0)</f>
        <v>0</v>
      </c>
      <c r="AD9" s="10" t="str">
        <f>_xlfn.XLOOKUP($B9,VFC!$C$6:$C$201,VFC!$B$6:$B$201,"")</f>
        <v/>
      </c>
      <c r="AE9" s="83">
        <f>_xlfn.XLOOKUP(AD9,VFC!$B$6:$B$201,VFC!$A$6:$A$201,0)</f>
        <v>0</v>
      </c>
      <c r="AF9" s="10" t="str">
        <f>_xlfn.XLOOKUP($B9,'PEW4'!$C$6:$C$201,'PEW4'!$B$6:$B$201,"")</f>
        <v/>
      </c>
      <c r="AG9" s="83">
        <f>_xlfn.XLOOKUP(AF9,'PEW4'!$B$6:$B$201,'PEW4'!$A$6:$A$201,0)</f>
        <v>0</v>
      </c>
      <c r="AH9" s="10" t="str">
        <f>_xlfn.XLOOKUP($B9,'PEW5'!$C$6:$C$201,'PEW5'!$B$6:$B$201,"")</f>
        <v/>
      </c>
      <c r="AI9" s="83">
        <f>_xlfn.XLOOKUP(AH9,'PEW5'!$B$6:$B$201,'PEW5'!$A$6:$A$201,0)</f>
        <v>0</v>
      </c>
      <c r="AJ9" s="10" t="str">
        <f>_xlfn.XLOOKUP($B9,'PEW6'!$C$6:$C$201,'PEW6'!$B$6:$B$201,"")</f>
        <v/>
      </c>
      <c r="AK9" s="83">
        <f>_xlfn.XLOOKUP(AJ9,'PEW6'!$B$6:$B$201,'PEW6'!$A$6:$A$201,0)</f>
        <v>0</v>
      </c>
      <c r="AL9" s="10" t="str">
        <f>_xlfn.XLOOKUP($B9,'PEW7'!$C$6:$C$201,'PEW7'!$B$6:$B$201,"")</f>
        <v/>
      </c>
      <c r="AM9" s="83">
        <f>_xlfn.XLOOKUP(AL9,'PEW7'!$B$6:$B$201,'PEW7'!$A$6:$A$201,0)</f>
        <v>0</v>
      </c>
      <c r="AN9" s="10" t="str">
        <f>_xlfn.XLOOKUP($B9,'PEW8'!$C$6:$C$201,'PEW8'!$B$6:$B$201,"")</f>
        <v/>
      </c>
      <c r="AO9" s="83">
        <f>_xlfn.XLOOKUP(AN9,'PEW8'!$B$6:$B$201,'PEW8'!$A$6:$A$201,0)</f>
        <v>0</v>
      </c>
      <c r="AP9" s="10" t="str">
        <f>_xlfn.XLOOKUP($B9,'PEW9'!$C$6:$C$201,'PEW9'!$B$6:$B$201,"")</f>
        <v/>
      </c>
      <c r="AQ9" s="83">
        <f>_xlfn.XLOOKUP(AP9,'PEW9'!$B$6:$B$201,'PEW9'!$A$6:$A$201,0)</f>
        <v>0</v>
      </c>
      <c r="AR9" s="10" t="str">
        <f>_xlfn.XLOOKUP($B9,'PEW10'!$C$6:$C$201,'PEW10'!$B$6:$B$201,"")</f>
        <v/>
      </c>
      <c r="AS9" s="83">
        <f>_xlfn.XLOOKUP(AR9,'PEW10'!$B$6:$B$201,'PEW10'!$A$6:$A$201,0)</f>
        <v>0</v>
      </c>
      <c r="AT9" s="10" t="str">
        <f>_xlfn.XLOOKUP($B9,'PEW11'!$C$6:$C$201,'PEW11'!$B$6:$B$201,"")</f>
        <v/>
      </c>
      <c r="AU9" s="83">
        <f>_xlfn.XLOOKUP(AT9,'PEW11'!$B$6:$B$201,'PEW11'!$A$6:$A$201,0)</f>
        <v>0</v>
      </c>
      <c r="AV9" s="10" t="str">
        <f>_xlfn.XLOOKUP($B9,'PEW12'!$C$6:$C$201,'PEW12'!$B$6:$B$201,"")</f>
        <v/>
      </c>
      <c r="AW9" s="83">
        <f>_xlfn.XLOOKUP(AV9,'PEW12'!$B$6:$B$201,'PEW12'!$A$6:$A$201,0)</f>
        <v>0</v>
      </c>
      <c r="AX9" s="10" cm="1">
        <f t="array" ref="AX9">_xlfn.XLOOKUP($B9,IMEW!C$6:C$201,IMEW!$B$6:B$201,"")</f>
        <v>38</v>
      </c>
      <c r="AY9" s="84">
        <f>_xlfn.XLOOKUP(AX9,IMEW!$B$6:$B$201,IMEW!$A$6:$A$201,0)</f>
        <v>7.7596321117077389</v>
      </c>
      <c r="BA9" s="85">
        <f t="shared" si="1"/>
        <v>0</v>
      </c>
      <c r="BB9" s="85">
        <f t="shared" si="2"/>
        <v>0</v>
      </c>
      <c r="BC9" s="85">
        <f t="shared" si="3"/>
        <v>0</v>
      </c>
      <c r="BD9" s="85">
        <f t="shared" si="4"/>
        <v>0</v>
      </c>
      <c r="BE9" s="85">
        <f t="shared" si="5"/>
        <v>0</v>
      </c>
      <c r="BF9" s="85">
        <f t="shared" si="6"/>
        <v>0</v>
      </c>
      <c r="BG9" s="85">
        <f t="shared" si="7"/>
        <v>0</v>
      </c>
    </row>
    <row r="10" spans="1:59" ht="14.85" customHeight="1">
      <c r="A10" s="9">
        <f t="shared" si="0"/>
        <v>5</v>
      </c>
      <c r="B10" s="213" t="s">
        <v>23</v>
      </c>
      <c r="C10" s="12"/>
      <c r="D10" s="80">
        <f>SUM(F10,H10,J10,L10,N10,P10,R10,T10,V10)-SUM(SMALL((F10,H10,J10,L10,N10,P10,R10,T10),1),SMALL((F10,H10,J10,L10,N10,P10,R10,T10),2))+SUM(LARGE((Y10,AA10,AC10,AE10,AG10,AI10,AK10,AM10,AO10,AQ10,AS10,AU10,AW10),1),LARGE((Y10,AA10,AC10,AE10,AG10,AI10,AK10,AM10,AO10,AQ10,AS10,AU10,AW10),2),LARGE((Y10,AA10,AC10,AE10,AG10,AI10,AK10,AM10,AO10,AQ10,AS10,AU10,AW10),3),AY10)</f>
        <v>328.12649705499979</v>
      </c>
      <c r="E10" s="13" t="str">
        <f>_xlfn.XLOOKUP($B10,'GP1'!$C$6:$C$101,'GP1'!$B$6:$B$101,"")</f>
        <v/>
      </c>
      <c r="F10" s="86">
        <f>_xlfn.XLOOKUP(E10,'GP1'!$B$6:$B$55,'GP1'!$A$6:$A$55,0)</f>
        <v>0</v>
      </c>
      <c r="G10" s="13">
        <f>_xlfn.XLOOKUP($B10,'GP2'!$C$6:$C$101,'GP2'!$B$6:$B$101,"")</f>
        <v>1</v>
      </c>
      <c r="H10" s="86">
        <f>_xlfn.XLOOKUP(G10,'GP2'!$B$6:$B$55,'GP2'!$A$6:$A$55,0)</f>
        <v>109.38991221028695</v>
      </c>
      <c r="I10" s="13" t="str">
        <f>_xlfn.XLOOKUP($B10,'GP3'!$C$6:$C$101,'GP3'!$B$6:$B$101,"")</f>
        <v/>
      </c>
      <c r="J10" s="86">
        <f>_xlfn.XLOOKUP(I10,'GP3'!$B$6:$B$55,'GP3'!$A$6:$A$55,0)</f>
        <v>0</v>
      </c>
      <c r="K10" s="10">
        <f>_xlfn.XLOOKUP($B10,'GP4'!$C$6:$C$101,'GP4'!$B$6:$B$101,"")</f>
        <v>1</v>
      </c>
      <c r="L10" s="81">
        <f>_xlfn.XLOOKUP(K10,'GP4'!$B$6:$B$55,'GP4'!$A$6:$A$55,0)</f>
        <v>110.60485636595998</v>
      </c>
      <c r="M10" s="13" t="str">
        <f>_xlfn.XLOOKUP($B10,'GP5'!$C$6:$C$101,'GP5'!$B$6:$B$101,"")</f>
        <v/>
      </c>
      <c r="N10" s="87">
        <f>_xlfn.XLOOKUP(M10,'GP5'!$B$6:$B$55,'GP5'!$A$6:$A$55,0)</f>
        <v>0</v>
      </c>
      <c r="O10" s="13" t="str">
        <f>_xlfn.XLOOKUP($B10,'GP6'!$C$6:$C$101,'GP6'!$B$6:$B$101,"")</f>
        <v/>
      </c>
      <c r="P10" s="87">
        <f>_xlfn.XLOOKUP(O10,'GP6'!$B$6:$B$55,'GP6'!$A$6:$A$55,0)</f>
        <v>0</v>
      </c>
      <c r="Q10" s="13">
        <f>_xlfn.XLOOKUP($B10,'GP7'!$C$6:$C$101,'GP7'!$B$6:$B$101,"")</f>
        <v>2</v>
      </c>
      <c r="R10" s="87">
        <f>_xlfn.XLOOKUP(Q10,'GP7'!$B$6:$B$55,'GP7'!$A$6:$A$55,0)</f>
        <v>80.068366573734622</v>
      </c>
      <c r="S10" s="13" t="str">
        <f>_xlfn.XLOOKUP($B10,'GP8'!$C$6:$C$101,'GP8'!$B$6:$B$101,"")</f>
        <v/>
      </c>
      <c r="T10" s="87">
        <f>_xlfn.XLOOKUP(S10,'GP8'!$B$6:$B$55,'GP8'!$A$6:$A$55,0)</f>
        <v>0</v>
      </c>
      <c r="U10" s="13">
        <f>_xlfn.XLOOKUP(B10,MPW!C$6:C$101,MPW!B$6:B$101,"")</f>
        <v>6</v>
      </c>
      <c r="V10" s="87">
        <f>_xlfn.XLOOKUP(U10,MPW!B$6:B$55,MPW!A$6:A$55,0)</f>
        <v>28.063361905018223</v>
      </c>
      <c r="X10" s="10" t="str">
        <f>_xlfn.XLOOKUP($B10,'PEW1'!$C$6:$C$201,'PEW1'!$B$6:$B$201,"")</f>
        <v/>
      </c>
      <c r="Y10" s="83">
        <f>_xlfn.XLOOKUP(X10,'PEW1'!$B$6:$B$201,'PEW1'!$A$6:$A$201,0)</f>
        <v>0</v>
      </c>
      <c r="Z10" s="10" t="str">
        <f>_xlfn.XLOOKUP($B10,'PEW2'!$C$6:$C$201,'PEW2'!$B$6:$B$201,"")</f>
        <v/>
      </c>
      <c r="AA10" s="83">
        <f>_xlfn.XLOOKUP(Z10,'PEW2'!$B$6:$B$201,'PEW2'!$A$6:$A$201,0)</f>
        <v>0</v>
      </c>
      <c r="AB10" s="10" t="str">
        <f>_xlfn.XLOOKUP($B10,'PEW3'!$C$6:$C$201,'PEW3'!$B$6:$B$201,"")</f>
        <v/>
      </c>
      <c r="AC10" s="83">
        <f>_xlfn.XLOOKUP(AB10,'PEW3'!$B$6:$B$201,'PEW3'!$A$6:$A$201,0)</f>
        <v>0</v>
      </c>
      <c r="AD10" s="10" t="str">
        <f>_xlfn.XLOOKUP($B10,VFC!$C$6:$C$201,VFC!$B$6:$B$201,"")</f>
        <v/>
      </c>
      <c r="AE10" s="83">
        <f>_xlfn.XLOOKUP(AD10,VFC!$B$6:$B$201,VFC!$A$6:$A$201,0)</f>
        <v>0</v>
      </c>
      <c r="AF10" s="10" t="str">
        <f>_xlfn.XLOOKUP($B10,'PEW4'!$C$6:$C$201,'PEW4'!$B$6:$B$201,"")</f>
        <v/>
      </c>
      <c r="AG10" s="83">
        <f>_xlfn.XLOOKUP(AF10,'PEW4'!$B$6:$B$201,'PEW4'!$A$6:$A$201,0)</f>
        <v>0</v>
      </c>
      <c r="AH10" s="10" t="str">
        <f>_xlfn.XLOOKUP($B10,'PEW5'!$C$6:$C$201,'PEW5'!$B$6:$B$201,"")</f>
        <v/>
      </c>
      <c r="AI10" s="83">
        <f>_xlfn.XLOOKUP(AH10,'PEW5'!$B$6:$B$201,'PEW5'!$A$6:$A$201,0)</f>
        <v>0</v>
      </c>
      <c r="AJ10" s="10" t="str">
        <f>_xlfn.XLOOKUP($B10,'PEW6'!$C$6:$C$201,'PEW6'!$B$6:$B$201,"")</f>
        <v/>
      </c>
      <c r="AK10" s="83">
        <f>_xlfn.XLOOKUP(AJ10,'PEW6'!$B$6:$B$201,'PEW6'!$A$6:$A$201,0)</f>
        <v>0</v>
      </c>
      <c r="AL10" s="10" t="str">
        <f>_xlfn.XLOOKUP($B10,'PEW7'!$C$6:$C$201,'PEW7'!$B$6:$B$201,"")</f>
        <v/>
      </c>
      <c r="AM10" s="83">
        <f>_xlfn.XLOOKUP(AL10,'PEW7'!$B$6:$B$201,'PEW7'!$A$6:$A$201,0)</f>
        <v>0</v>
      </c>
      <c r="AN10" s="10" t="str">
        <f>_xlfn.XLOOKUP($B10,'PEW8'!$C$6:$C$201,'PEW8'!$B$6:$B$201,"")</f>
        <v/>
      </c>
      <c r="AO10" s="83">
        <f>_xlfn.XLOOKUP(AN10,'PEW8'!$B$6:$B$201,'PEW8'!$A$6:$A$201,0)</f>
        <v>0</v>
      </c>
      <c r="AP10" s="10" t="str">
        <f>_xlfn.XLOOKUP($B10,'PEW9'!$C$6:$C$201,'PEW9'!$B$6:$B$201,"")</f>
        <v/>
      </c>
      <c r="AQ10" s="83">
        <f>_xlfn.XLOOKUP(AP10,'PEW9'!$B$6:$B$201,'PEW9'!$A$6:$A$201,0)</f>
        <v>0</v>
      </c>
      <c r="AR10" s="10" t="str">
        <f>_xlfn.XLOOKUP($B10,'PEW10'!$C$6:$C$201,'PEW10'!$B$6:$B$201,"")</f>
        <v/>
      </c>
      <c r="AS10" s="83">
        <f>_xlfn.XLOOKUP(AR10,'PEW10'!$B$6:$B$201,'PEW10'!$A$6:$A$201,0)</f>
        <v>0</v>
      </c>
      <c r="AT10" s="10" t="str">
        <f>_xlfn.XLOOKUP($B10,'PEW11'!$C$6:$C$201,'PEW11'!$B$6:$B$201,"")</f>
        <v/>
      </c>
      <c r="AU10" s="83">
        <f>_xlfn.XLOOKUP(AT10,'PEW11'!$B$6:$B$201,'PEW11'!$A$6:$A$201,0)</f>
        <v>0</v>
      </c>
      <c r="AV10" s="10" t="str">
        <f>_xlfn.XLOOKUP($B10,'PEW12'!$C$6:$C$201,'PEW12'!$B$6:$B$201,"")</f>
        <v/>
      </c>
      <c r="AW10" s="83">
        <f>_xlfn.XLOOKUP(AV10,'PEW12'!$B$6:$B$201,'PEW12'!$A$6:$A$201,0)</f>
        <v>0</v>
      </c>
      <c r="AX10" s="10" t="str" cm="1">
        <f t="array" ref="AX10">_xlfn.XLOOKUP($B10,IMEW!C$6:C$201,IMEW!$B$6:B$201,"")</f>
        <v/>
      </c>
      <c r="AY10" s="84">
        <f>_xlfn.XLOOKUP(AX10,IMEW!$B$6:$B$201,IMEW!$A$6:$A$201,0)</f>
        <v>0</v>
      </c>
      <c r="BA10" s="85">
        <f t="shared" si="1"/>
        <v>0</v>
      </c>
      <c r="BB10" s="85">
        <f t="shared" si="2"/>
        <v>0</v>
      </c>
      <c r="BC10" s="85">
        <f t="shared" si="3"/>
        <v>0</v>
      </c>
      <c r="BD10" s="85">
        <f t="shared" si="4"/>
        <v>0</v>
      </c>
      <c r="BE10" s="85">
        <f t="shared" si="5"/>
        <v>0</v>
      </c>
      <c r="BF10" s="85">
        <f t="shared" si="6"/>
        <v>0</v>
      </c>
      <c r="BG10" s="85">
        <f t="shared" si="7"/>
        <v>0</v>
      </c>
    </row>
    <row r="11" spans="1:59" ht="14.85" customHeight="1">
      <c r="A11" s="9">
        <f t="shared" si="0"/>
        <v>6</v>
      </c>
      <c r="B11" s="11" t="s">
        <v>24</v>
      </c>
      <c r="C11" s="12"/>
      <c r="D11" s="80">
        <f>SUM(F11,H11,J11,L11,N11,P11,R11,T11,V11)-SUM(SMALL((F11,H11,J11,L11,N11,P11,R11,T11),1),SMALL((F11,H11,J11,L11,N11,P11,R11,T11),2))+SUM(LARGE((Y11,AA11,AC11,AE11,AG11,AI11,AK11,AM11,AO11,AQ11,AS11,AU11,AW11),1),LARGE((Y11,AA11,AC11,AE11,AG11,AI11,AK11,AM11,AO11,AQ11,AS11,AU11,AW11),2),LARGE((Y11,AA11,AC11,AE11,AG11,AI11,AK11,AM11,AO11,AQ11,AS11,AU11,AW11),3),AY11)</f>
        <v>243.13953829290517</v>
      </c>
      <c r="E11" s="13">
        <f>_xlfn.XLOOKUP($B11,'GP1'!$C$6:$C$101,'GP1'!$B$6:$B$101,"")</f>
        <v>2</v>
      </c>
      <c r="F11" s="86">
        <f>_xlfn.XLOOKUP(E11,'GP1'!$B$6:$B$55,'GP1'!$A$6:$A$55,0)</f>
        <v>65.666666666666657</v>
      </c>
      <c r="G11" s="13">
        <f>_xlfn.XLOOKUP($B11,'GP2'!$C$6:$C$101,'GP2'!$B$6:$B$101,"")</f>
        <v>5</v>
      </c>
      <c r="H11" s="86">
        <f>_xlfn.XLOOKUP(G11,'GP2'!$B$6:$B$55,'GP2'!$A$6:$A$55,0)</f>
        <v>25.750469787535074</v>
      </c>
      <c r="I11" s="13">
        <f>_xlfn.XLOOKUP($B11,'GP3'!$C$6:$C$101,'GP3'!$B$6:$B$101,"")</f>
        <v>4</v>
      </c>
      <c r="J11" s="86">
        <f>_xlfn.XLOOKUP(I11,'GP3'!$B$6:$B$55,'GP3'!$A$6:$A$55,0)</f>
        <v>25.091695663413823</v>
      </c>
      <c r="K11" s="10">
        <f>_xlfn.XLOOKUP($B11,'GP4'!$C$6:$C$101,'GP4'!$B$6:$B$101,"")</f>
        <v>7</v>
      </c>
      <c r="L11" s="81">
        <f>_xlfn.XLOOKUP(K11,'GP4'!$B$6:$B$55,'GP4'!$A$6:$A$55,0)</f>
        <v>21.628499279099643</v>
      </c>
      <c r="M11" s="13" t="str">
        <f>_xlfn.XLOOKUP($B11,'GP5'!$C$6:$C$101,'GP5'!$B$6:$B$101,"")</f>
        <v/>
      </c>
      <c r="N11" s="87">
        <f>_xlfn.XLOOKUP(M11,'GP5'!$B$6:$B$55,'GP5'!$A$6:$A$55,0)</f>
        <v>0</v>
      </c>
      <c r="O11" s="13">
        <f>_xlfn.XLOOKUP($B11,'GP6'!$C$6:$C$101,'GP6'!$B$6:$B$101,"")</f>
        <v>7</v>
      </c>
      <c r="P11" s="87">
        <f>_xlfn.XLOOKUP(O11,'GP6'!$B$6:$B$55,'GP6'!$A$6:$A$55,0)</f>
        <v>18.590196039301418</v>
      </c>
      <c r="Q11" s="13">
        <f>_xlfn.XLOOKUP($B11,'GP7'!$C$6:$C$101,'GP7'!$B$6:$B$101,"")</f>
        <v>5</v>
      </c>
      <c r="R11" s="87">
        <f>_xlfn.XLOOKUP(Q11,'GP7'!$B$6:$B$55,'GP7'!$A$6:$A$55,0)</f>
        <v>28.263412343478148</v>
      </c>
      <c r="S11" s="13" t="str">
        <f>_xlfn.XLOOKUP($B11,'GP8'!$C$6:$C$101,'GP8'!$B$6:$B$101,"")</f>
        <v/>
      </c>
      <c r="T11" s="87">
        <f>_xlfn.XLOOKUP(S11,'GP8'!$B$6:$B$55,'GP8'!$A$6:$A$55,0)</f>
        <v>0</v>
      </c>
      <c r="U11" s="13">
        <f>_xlfn.XLOOKUP(B11,MPW!C$6:C$101,MPW!B$6:B$101,"")</f>
        <v>4</v>
      </c>
      <c r="V11" s="87">
        <f>_xlfn.XLOOKUP(U11,MPW!B$6:B$55,MPW!A$6:A$55,0)</f>
        <v>50.005976425016385</v>
      </c>
      <c r="X11" s="10" t="str">
        <f>_xlfn.XLOOKUP($B11,'PEW1'!$C$6:$C$201,'PEW1'!$B$6:$B$201,"")</f>
        <v/>
      </c>
      <c r="Y11" s="83">
        <f>_xlfn.XLOOKUP(X11,'PEW1'!$B$6:$B$201,'PEW1'!$A$6:$A$201,0)</f>
        <v>0</v>
      </c>
      <c r="Z11" s="10" t="str">
        <f>_xlfn.XLOOKUP($B11,'PEW2'!$C$6:$C$201,'PEW2'!$B$6:$B$201,"")</f>
        <v/>
      </c>
      <c r="AA11" s="83">
        <f>_xlfn.XLOOKUP(Z11,'PEW2'!$B$6:$B$201,'PEW2'!$A$6:$A$201,0)</f>
        <v>0</v>
      </c>
      <c r="AB11" s="10" t="str">
        <f>_xlfn.XLOOKUP($B11,'PEW3'!$C$6:$C$201,'PEW3'!$B$6:$B$201,"")</f>
        <v/>
      </c>
      <c r="AC11" s="83">
        <f>_xlfn.XLOOKUP(AB11,'PEW3'!$B$6:$B$201,'PEW3'!$A$6:$A$201,0)</f>
        <v>0</v>
      </c>
      <c r="AD11" s="10" t="str">
        <f>_xlfn.XLOOKUP($B11,VFC!$C$6:$C$201,VFC!$B$6:$B$201,"")</f>
        <v/>
      </c>
      <c r="AE11" s="83">
        <f>_xlfn.XLOOKUP(AD11,VFC!$B$6:$B$201,VFC!$A$6:$A$201,0)</f>
        <v>0</v>
      </c>
      <c r="AF11" s="10" t="str">
        <f>_xlfn.XLOOKUP($B11,'PEW4'!$C$6:$C$201,'PEW4'!$B$6:$B$201,"")</f>
        <v/>
      </c>
      <c r="AG11" s="83">
        <f>_xlfn.XLOOKUP(AF11,'PEW4'!$B$6:$B$201,'PEW4'!$A$6:$A$201,0)</f>
        <v>0</v>
      </c>
      <c r="AH11" s="10" t="str">
        <f>_xlfn.XLOOKUP($B11,'PEW5'!$C$6:$C$201,'PEW5'!$B$6:$B$201,"")</f>
        <v/>
      </c>
      <c r="AI11" s="83">
        <f>_xlfn.XLOOKUP(AH11,'PEW5'!$B$6:$B$201,'PEW5'!$A$6:$A$201,0)</f>
        <v>0</v>
      </c>
      <c r="AJ11" s="10" t="str">
        <f>_xlfn.XLOOKUP($B11,'PEW6'!$C$6:$C$201,'PEW6'!$B$6:$B$201,"")</f>
        <v/>
      </c>
      <c r="AK11" s="83">
        <f>_xlfn.XLOOKUP(AJ11,'PEW6'!$B$6:$B$201,'PEW6'!$A$6:$A$201,0)</f>
        <v>0</v>
      </c>
      <c r="AL11" s="10" t="str">
        <f>_xlfn.XLOOKUP($B11,'PEW7'!$C$6:$C$201,'PEW7'!$B$6:$B$201,"")</f>
        <v/>
      </c>
      <c r="AM11" s="83">
        <f>_xlfn.XLOOKUP(AL11,'PEW7'!$B$6:$B$201,'PEW7'!$A$6:$A$201,0)</f>
        <v>0</v>
      </c>
      <c r="AN11" s="10" t="str">
        <f>_xlfn.XLOOKUP($B11,'PEW8'!$C$6:$C$201,'PEW8'!$B$6:$B$201,"")</f>
        <v/>
      </c>
      <c r="AO11" s="83">
        <f>_xlfn.XLOOKUP(AN11,'PEW8'!$B$6:$B$201,'PEW8'!$A$6:$A$201,0)</f>
        <v>0</v>
      </c>
      <c r="AP11" s="10" t="str">
        <f>_xlfn.XLOOKUP($B11,'PEW9'!$C$6:$C$201,'PEW9'!$B$6:$B$201,"")</f>
        <v/>
      </c>
      <c r="AQ11" s="83">
        <f>_xlfn.XLOOKUP(AP11,'PEW9'!$B$6:$B$201,'PEW9'!$A$6:$A$201,0)</f>
        <v>0</v>
      </c>
      <c r="AR11" s="10" t="str">
        <f>_xlfn.XLOOKUP($B11,'PEW10'!$C$6:$C$201,'PEW10'!$B$6:$B$201,"")</f>
        <v/>
      </c>
      <c r="AS11" s="83">
        <f>_xlfn.XLOOKUP(AR11,'PEW10'!$B$6:$B$201,'PEW10'!$A$6:$A$201,0)</f>
        <v>0</v>
      </c>
      <c r="AT11" s="10" t="str">
        <f>_xlfn.XLOOKUP($B11,'PEW11'!$C$6:$C$201,'PEW11'!$B$6:$B$201,"")</f>
        <v/>
      </c>
      <c r="AU11" s="83">
        <f>_xlfn.XLOOKUP(AT11,'PEW11'!$B$6:$B$201,'PEW11'!$A$6:$A$201,0)</f>
        <v>0</v>
      </c>
      <c r="AV11" s="10" t="str">
        <f>_xlfn.XLOOKUP($B11,'PEW12'!$C$6:$C$201,'PEW12'!$B$6:$B$201,"")</f>
        <v/>
      </c>
      <c r="AW11" s="83">
        <f>_xlfn.XLOOKUP(AV11,'PEW12'!$B$6:$B$201,'PEW12'!$A$6:$A$201,0)</f>
        <v>0</v>
      </c>
      <c r="AX11" s="10" cm="1">
        <f t="array" ref="AX11">_xlfn.XLOOKUP($B11,IMEW!C$6:C$201,IMEW!$B$6:B$201,"")</f>
        <v>37</v>
      </c>
      <c r="AY11" s="84">
        <f>_xlfn.XLOOKUP(AX11,IMEW!$B$6:$B$201,IMEW!$A$6:$A$201,0)</f>
        <v>8.1426220883940292</v>
      </c>
      <c r="BA11" s="85">
        <f t="shared" si="1"/>
        <v>0</v>
      </c>
      <c r="BB11" s="85">
        <f t="shared" si="2"/>
        <v>0</v>
      </c>
      <c r="BC11" s="85">
        <f t="shared" si="3"/>
        <v>0</v>
      </c>
      <c r="BD11" s="85">
        <f t="shared" si="4"/>
        <v>0</v>
      </c>
      <c r="BE11" s="85">
        <f t="shared" si="5"/>
        <v>0</v>
      </c>
      <c r="BF11" s="85">
        <f t="shared" si="6"/>
        <v>0</v>
      </c>
      <c r="BG11" s="85">
        <f t="shared" si="7"/>
        <v>0</v>
      </c>
    </row>
    <row r="12" spans="1:59" ht="14.85" customHeight="1">
      <c r="A12" s="9">
        <f t="shared" si="0"/>
        <v>7</v>
      </c>
      <c r="B12" s="11" t="s">
        <v>129</v>
      </c>
      <c r="C12" s="12"/>
      <c r="D12" s="80">
        <f>SUM(F12,H12,J12,L12,N12,P12,R12,T12,V12)-SUM(SMALL((F12,H12,J12,L12,N12,P12,R12,T12),1),SMALL((F12,H12,J12,L12,N12,P12,R12,T12),2))+SUM(LARGE((Y12,AA12,AC12,AE12,AG12,AI12,AK12,AM12,AO12,AQ12,AS12,AU12,AW12),1),LARGE((Y12,AA12,AC12,AE12,AG12,AI12,AK12,AM12,AO12,AQ12,AS12,AU12,AW12),2),LARGE((Y12,AA12,AC12,AE12,AG12,AI12,AK12,AM12,AO12,AQ12,AS12,AU12,AW12),3),AY12)</f>
        <v>234.15516991103317</v>
      </c>
      <c r="E12" s="13" t="str">
        <f>_xlfn.XLOOKUP($B12,'GP1'!$C$6:$C$101,'GP1'!$B$6:$B$101,"")</f>
        <v/>
      </c>
      <c r="F12" s="86">
        <f>_xlfn.XLOOKUP(E12,'GP1'!$B$6:$B$55,'GP1'!$A$6:$A$55,0)</f>
        <v>0</v>
      </c>
      <c r="G12" s="13" t="str">
        <f>_xlfn.XLOOKUP($B12,'GP2'!$C$6:$C$101,'GP2'!$B$6:$B$101,"")</f>
        <v/>
      </c>
      <c r="H12" s="86">
        <f>_xlfn.XLOOKUP(G12,'GP2'!$B$6:$B$55,'GP2'!$A$6:$A$55,0)</f>
        <v>0</v>
      </c>
      <c r="I12" s="13" t="str">
        <f>_xlfn.XLOOKUP($B12,'GP3'!$C$6:$C$101,'GP3'!$B$6:$B$101,"")</f>
        <v/>
      </c>
      <c r="J12" s="86">
        <f>_xlfn.XLOOKUP(I12,'GP3'!$B$6:$B$55,'GP3'!$A$6:$A$55,0)</f>
        <v>0</v>
      </c>
      <c r="K12" s="10" t="str">
        <f>_xlfn.XLOOKUP($B12,'GP4'!$C$6:$C$101,'GP4'!$B$6:$B$101,"")</f>
        <v/>
      </c>
      <c r="L12" s="81">
        <f>_xlfn.XLOOKUP(K12,'GP4'!$B$6:$B$55,'GP4'!$A$6:$A$55,0)</f>
        <v>0</v>
      </c>
      <c r="M12" s="13" t="str">
        <f>_xlfn.XLOOKUP($B12,'GP5'!$C$6:$C$101,'GP5'!$B$6:$B$101,"")</f>
        <v/>
      </c>
      <c r="N12" s="87">
        <f>_xlfn.XLOOKUP(M12,'GP5'!$B$6:$B$55,'GP5'!$A$6:$A$55,0)</f>
        <v>0</v>
      </c>
      <c r="O12" s="13" t="str">
        <f>_xlfn.XLOOKUP($B12,'GP6'!$C$6:$C$101,'GP6'!$B$6:$B$101,"")</f>
        <v/>
      </c>
      <c r="P12" s="87">
        <f>_xlfn.XLOOKUP(O12,'GP6'!$B$6:$B$55,'GP6'!$A$6:$A$55,0)</f>
        <v>0</v>
      </c>
      <c r="Q12" s="13" t="str">
        <f>_xlfn.XLOOKUP($B12,'GP7'!$C$6:$C$101,'GP7'!$B$6:$B$101,"")</f>
        <v/>
      </c>
      <c r="R12" s="87">
        <f>_xlfn.XLOOKUP(Q12,'GP7'!$B$6:$B$55,'GP7'!$A$6:$A$55,0)</f>
        <v>0</v>
      </c>
      <c r="S12" s="13" t="str">
        <f>_xlfn.XLOOKUP($B12,'GP8'!$C$6:$C$101,'GP8'!$B$6:$B$101,"")</f>
        <v/>
      </c>
      <c r="T12" s="87">
        <f>_xlfn.XLOOKUP(S12,'GP8'!$B$6:$B$55,'GP8'!$A$6:$A$55,0)</f>
        <v>0</v>
      </c>
      <c r="U12" s="13" t="str">
        <f>_xlfn.XLOOKUP(B12,MPW!C$6:C$101,MPW!B$6:B$101,"")</f>
        <v/>
      </c>
      <c r="V12" s="87">
        <f>_xlfn.XLOOKUP(U12,MPW!B$6:B$55,MPW!A$6:A$55,0)</f>
        <v>0</v>
      </c>
      <c r="X12" s="10" t="str">
        <f>_xlfn.XLOOKUP($B12,'PEW1'!$C$6:$C$201,'PEW1'!$B$6:$B$201,"")</f>
        <v/>
      </c>
      <c r="Y12" s="83">
        <f>_xlfn.XLOOKUP(X12,'PEW1'!$B$6:$B$201,'PEW1'!$A$6:$A$201,0)</f>
        <v>0</v>
      </c>
      <c r="Z12" s="10" t="str">
        <f>_xlfn.XLOOKUP($B12,'PEW2'!$C$6:$C$201,'PEW2'!$B$6:$B$201,"")</f>
        <v/>
      </c>
      <c r="AA12" s="83">
        <f>_xlfn.XLOOKUP(Z12,'PEW2'!$B$6:$B$201,'PEW2'!$A$6:$A$201,0)</f>
        <v>0</v>
      </c>
      <c r="AB12" s="10" t="str">
        <f>_xlfn.XLOOKUP($B12,'PEW3'!$C$6:$C$201,'PEW3'!$B$6:$B$201,"")</f>
        <v/>
      </c>
      <c r="AC12" s="83">
        <f>_xlfn.XLOOKUP(AB12,'PEW3'!$B$6:$B$201,'PEW3'!$A$6:$A$201,0)</f>
        <v>0</v>
      </c>
      <c r="AD12" s="10">
        <f>_xlfn.XLOOKUP($B12,VFC!$C$6:$C$201,VFC!$B$6:$B$201,"")</f>
        <v>2</v>
      </c>
      <c r="AE12" s="83">
        <f>_xlfn.XLOOKUP(AD12,VFC!$B$6:$B$201,VFC!$A$6:$A$201,0)</f>
        <v>81.591026368228896</v>
      </c>
      <c r="AF12" s="10" t="str">
        <f>_xlfn.XLOOKUP($B12,'PEW4'!$C$6:$C$201,'PEW4'!$B$6:$B$201,"")</f>
        <v/>
      </c>
      <c r="AG12" s="83">
        <f>_xlfn.XLOOKUP(AF12,'PEW4'!$B$6:$B$201,'PEW4'!$A$6:$A$201,0)</f>
        <v>0</v>
      </c>
      <c r="AH12" s="10">
        <f>_xlfn.XLOOKUP($B12,'PEW5'!$C$6:$C$201,'PEW5'!$B$6:$B$201,"")</f>
        <v>1</v>
      </c>
      <c r="AI12" s="83">
        <f>_xlfn.XLOOKUP(AH12,'PEW5'!$B$6:$B$201,'PEW5'!$A$6:$A$201,0)</f>
        <v>123.58667254788007</v>
      </c>
      <c r="AJ12" s="10" t="str">
        <f>_xlfn.XLOOKUP($B12,'PEW6'!$C$6:$C$201,'PEW6'!$B$6:$B$201,"")</f>
        <v/>
      </c>
      <c r="AK12" s="83">
        <f>_xlfn.XLOOKUP(AJ12,'PEW6'!$B$6:$B$201,'PEW6'!$A$6:$A$201,0)</f>
        <v>0</v>
      </c>
      <c r="AL12" s="10" t="str">
        <f>_xlfn.XLOOKUP($B12,'PEW7'!$C$6:$C$201,'PEW7'!$B$6:$B$201,"")</f>
        <v/>
      </c>
      <c r="AM12" s="83">
        <f>_xlfn.XLOOKUP(AL12,'PEW7'!$B$6:$B$201,'PEW7'!$A$6:$A$201,0)</f>
        <v>0</v>
      </c>
      <c r="AN12" s="10" t="str">
        <f>_xlfn.XLOOKUP($B12,'PEW8'!$C$6:$C$201,'PEW8'!$B$6:$B$201,"")</f>
        <v/>
      </c>
      <c r="AO12" s="83">
        <f>_xlfn.XLOOKUP(AN12,'PEW8'!$B$6:$B$201,'PEW8'!$A$6:$A$201,0)</f>
        <v>0</v>
      </c>
      <c r="AP12" s="10" t="str">
        <f>_xlfn.XLOOKUP($B12,'PEW9'!$C$6:$C$201,'PEW9'!$B$6:$B$201,"")</f>
        <v/>
      </c>
      <c r="AQ12" s="83">
        <f>_xlfn.XLOOKUP(AP12,'PEW9'!$B$6:$B$201,'PEW9'!$A$6:$A$201,0)</f>
        <v>0</v>
      </c>
      <c r="AR12" s="10" t="str">
        <f>_xlfn.XLOOKUP($B12,'PEW10'!$C$6:$C$201,'PEW10'!$B$6:$B$201,"")</f>
        <v/>
      </c>
      <c r="AS12" s="83">
        <f>_xlfn.XLOOKUP(AR12,'PEW10'!$B$6:$B$201,'PEW10'!$A$6:$A$201,0)</f>
        <v>0</v>
      </c>
      <c r="AT12" s="10" t="str">
        <f>_xlfn.XLOOKUP($B12,'PEW11'!$C$6:$C$201,'PEW11'!$B$6:$B$201,"")</f>
        <v/>
      </c>
      <c r="AU12" s="83">
        <f>_xlfn.XLOOKUP(AT12,'PEW11'!$B$6:$B$201,'PEW11'!$A$6:$A$201,0)</f>
        <v>0</v>
      </c>
      <c r="AV12" s="10" t="str">
        <f>_xlfn.XLOOKUP($B12,'PEW12'!$C$6:$C$201,'PEW12'!$B$6:$B$201,"")</f>
        <v/>
      </c>
      <c r="AW12" s="83">
        <f>_xlfn.XLOOKUP(AV12,'PEW12'!$B$6:$B$201,'PEW12'!$A$6:$A$201,0)</f>
        <v>0</v>
      </c>
      <c r="AX12" s="10" cm="1">
        <f t="array" ref="AX12">_xlfn.XLOOKUP($B12,IMEW!C$6:C$201,IMEW!$B$6:B$201,"")</f>
        <v>20</v>
      </c>
      <c r="AY12" s="84">
        <f>_xlfn.XLOOKUP(AX12,IMEW!$B$6:$B$201,IMEW!$A$6:$A$201,0)</f>
        <v>28.977470994924204</v>
      </c>
      <c r="BA12" s="85">
        <f t="shared" si="1"/>
        <v>0</v>
      </c>
      <c r="BB12" s="85">
        <f t="shared" si="2"/>
        <v>0</v>
      </c>
      <c r="BC12" s="85">
        <f t="shared" si="3"/>
        <v>0</v>
      </c>
      <c r="BD12" s="85">
        <f t="shared" si="4"/>
        <v>0</v>
      </c>
      <c r="BE12" s="85">
        <f t="shared" si="5"/>
        <v>123.58667254788007</v>
      </c>
      <c r="BF12" s="85">
        <f t="shared" si="6"/>
        <v>0</v>
      </c>
      <c r="BG12" s="85">
        <f t="shared" si="7"/>
        <v>0</v>
      </c>
    </row>
    <row r="13" spans="1:59" ht="14.85" customHeight="1">
      <c r="A13" s="9">
        <f t="shared" si="0"/>
        <v>8</v>
      </c>
      <c r="B13" s="267" t="s">
        <v>26</v>
      </c>
      <c r="C13" s="12"/>
      <c r="D13" s="80">
        <f>SUM(F13,H13,J13,L13,N13,P13,R13,T13,V13)-SUM(SMALL((F13,H13,J13,L13,N13,P13,R13,T13),1),SMALL((F13,H13,J13,L13,N13,P13,R13,T13),2))+SUM(LARGE((Y13,AA13,AC13,AE13,AG13,AI13,AK13,AM13,AO13,AQ13,AS13,AU13,AW13),1),LARGE((Y13,AA13,AC13,AE13,AG13,AI13,AK13,AM13,AO13,AQ13,AS13,AU13,AW13),2),LARGE((Y13,AA13,AC13,AE13,AG13,AI13,AK13,AM13,AO13,AQ13,AS13,AU13,AW13),3),AY13)</f>
        <v>224.40177049195364</v>
      </c>
      <c r="E13" s="13">
        <f>_xlfn.XLOOKUP($B13,'GP1'!$C$6:$C$101,'GP1'!$B$6:$B$101,"")</f>
        <v>4</v>
      </c>
      <c r="F13" s="86">
        <f>_xlfn.XLOOKUP(E13,'GP1'!$B$6:$B$55,'GP1'!$A$6:$A$55,0)</f>
        <v>27.333333333333329</v>
      </c>
      <c r="G13" s="13">
        <f>_xlfn.XLOOKUP($B13,'GP2'!$C$6:$C$101,'GP2'!$B$6:$B$101,"")</f>
        <v>6</v>
      </c>
      <c r="H13" s="86">
        <f>_xlfn.XLOOKUP(G13,'GP2'!$B$6:$B$55,'GP2'!$A$6:$A$55,0)</f>
        <v>21.870588731201465</v>
      </c>
      <c r="I13" s="13">
        <f>_xlfn.XLOOKUP($B13,'GP3'!$C$6:$C$101,'GP3'!$B$6:$B$101,"")</f>
        <v>5</v>
      </c>
      <c r="J13" s="86">
        <f>_xlfn.XLOOKUP(I13,'GP3'!$B$6:$B$55,'GP3'!$A$6:$A$55,0)</f>
        <v>9.472713708001109</v>
      </c>
      <c r="K13" s="10">
        <f>_xlfn.XLOOKUP($B13,'GP4'!$C$6:$C$101,'GP4'!$B$6:$B$101,"")</f>
        <v>9</v>
      </c>
      <c r="L13" s="81">
        <f>_xlfn.XLOOKUP(K13,'GP4'!$B$6:$B$55,'GP4'!$A$6:$A$55,0)</f>
        <v>6.6728173476214536</v>
      </c>
      <c r="M13" s="13" t="str">
        <f>_xlfn.XLOOKUP($B13,'GP5'!$C$6:$C$101,'GP5'!$B$6:$B$101,"")</f>
        <v/>
      </c>
      <c r="N13" s="87">
        <f>_xlfn.XLOOKUP(M13,'GP5'!$B$6:$B$55,'GP5'!$A$6:$A$55,0)</f>
        <v>0</v>
      </c>
      <c r="O13" s="13">
        <f>_xlfn.XLOOKUP($B13,'GP6'!$C$6:$C$101,'GP6'!$B$6:$B$101,"")</f>
        <v>8</v>
      </c>
      <c r="P13" s="87">
        <f>_xlfn.XLOOKUP(O13,'GP6'!$B$6:$B$55,'GP6'!$A$6:$A$55,0)</f>
        <v>15.74859063739477</v>
      </c>
      <c r="Q13" s="13">
        <f>_xlfn.XLOOKUP($B13,'GP7'!$C$6:$C$101,'GP7'!$B$6:$B$101,"")</f>
        <v>7</v>
      </c>
      <c r="R13" s="87">
        <f>_xlfn.XLOOKUP(Q13,'GP7'!$B$6:$B$55,'GP7'!$A$6:$A$55,0)</f>
        <v>21.628499279099643</v>
      </c>
      <c r="S13" s="13" t="str">
        <f>_xlfn.XLOOKUP($B13,'GP8'!$C$6:$C$101,'GP8'!$B$6:$B$101,"")</f>
        <v/>
      </c>
      <c r="T13" s="87">
        <f>_xlfn.XLOOKUP(S13,'GP8'!$B$6:$B$55,'GP8'!$A$6:$A$55,0)</f>
        <v>0</v>
      </c>
      <c r="U13" s="13">
        <f>_xlfn.XLOOKUP(B13,MPW!C$6:C$101,MPW!B$6:B$101,"")</f>
        <v>8</v>
      </c>
      <c r="V13" s="87">
        <f>_xlfn.XLOOKUP(U13,MPW!B$6:B$55,MPW!A$6:A$55,0)</f>
        <v>21.008964637524588</v>
      </c>
      <c r="X13" s="10" t="str">
        <f>_xlfn.XLOOKUP($B13,'PEW1'!$C$6:$C$201,'PEW1'!$B$6:$B$201,"")</f>
        <v/>
      </c>
      <c r="Y13" s="83">
        <f>_xlfn.XLOOKUP(X13,'PEW1'!$B$6:$B$201,'PEW1'!$A$6:$A$201,0)</f>
        <v>0</v>
      </c>
      <c r="Z13" s="10" t="str">
        <f>_xlfn.XLOOKUP($B13,'PEW2'!$C$6:$C$201,'PEW2'!$B$6:$B$201,"")</f>
        <v/>
      </c>
      <c r="AA13" s="83">
        <f>_xlfn.XLOOKUP(Z13,'PEW2'!$B$6:$B$201,'PEW2'!$A$6:$A$201,0)</f>
        <v>0</v>
      </c>
      <c r="AB13" s="10">
        <f>_xlfn.XLOOKUP($B13,'PEW3'!$C$6:$C$201,'PEW3'!$B$6:$B$201,"")</f>
        <v>6</v>
      </c>
      <c r="AC13" s="83">
        <f>_xlfn.XLOOKUP(AB13,'PEW3'!$B$6:$B$201,'PEW3'!$A$6:$A$201,0)</f>
        <v>43.361480691666195</v>
      </c>
      <c r="AD13" s="10" t="str">
        <f>_xlfn.XLOOKUP($B13,VFC!$C$6:$C$201,VFC!$B$6:$B$201,"")</f>
        <v/>
      </c>
      <c r="AE13" s="83">
        <f>_xlfn.XLOOKUP(AD13,VFC!$B$6:$B$201,VFC!$A$6:$A$201,0)</f>
        <v>0</v>
      </c>
      <c r="AF13" s="10">
        <f>_xlfn.XLOOKUP($B13,'PEW4'!$C$6:$C$201,'PEW4'!$B$6:$B$201,"")</f>
        <v>6</v>
      </c>
      <c r="AG13" s="83">
        <f>_xlfn.XLOOKUP(AF13,'PEW4'!$B$6:$B$201,'PEW4'!$A$6:$A$201,0)</f>
        <v>25.770780722522993</v>
      </c>
      <c r="AH13" s="10" t="str">
        <f>_xlfn.XLOOKUP($B13,'PEW5'!$C$6:$C$201,'PEW5'!$B$6:$B$201,"")</f>
        <v/>
      </c>
      <c r="AI13" s="83">
        <f>_xlfn.XLOOKUP(AH13,'PEW5'!$B$6:$B$201,'PEW5'!$A$6:$A$201,0)</f>
        <v>0</v>
      </c>
      <c r="AJ13" s="10" t="str">
        <f>_xlfn.XLOOKUP($B13,'PEW6'!$C$6:$C$201,'PEW6'!$B$6:$B$201,"")</f>
        <v/>
      </c>
      <c r="AK13" s="83">
        <f>_xlfn.XLOOKUP(AJ13,'PEW6'!$B$6:$B$201,'PEW6'!$A$6:$A$201,0)</f>
        <v>0</v>
      </c>
      <c r="AL13" s="10" t="str">
        <f>_xlfn.XLOOKUP($B13,'PEW7'!$C$6:$C$201,'PEW7'!$B$6:$B$201,"")</f>
        <v/>
      </c>
      <c r="AM13" s="83">
        <f>_xlfn.XLOOKUP(AL13,'PEW7'!$B$6:$B$201,'PEW7'!$A$6:$A$201,0)</f>
        <v>0</v>
      </c>
      <c r="AN13" s="10">
        <f>_xlfn.XLOOKUP($B13,'PEW8'!$C$6:$C$201,'PEW8'!$B$6:$B$201,"")</f>
        <v>10</v>
      </c>
      <c r="AO13" s="83">
        <f>_xlfn.XLOOKUP(AN13,'PEW8'!$B$6:$B$201,'PEW8'!$A$6:$A$201,0)</f>
        <v>9.3063808376298098</v>
      </c>
      <c r="AP13" s="10" t="str">
        <f>_xlfn.XLOOKUP($B13,'PEW9'!$C$6:$C$201,'PEW9'!$B$6:$B$201,"")</f>
        <v/>
      </c>
      <c r="AQ13" s="83">
        <f>_xlfn.XLOOKUP(AP13,'PEW9'!$B$6:$B$201,'PEW9'!$A$6:$A$201,0)</f>
        <v>0</v>
      </c>
      <c r="AR13" s="10" t="str">
        <f>_xlfn.XLOOKUP($B13,'PEW10'!$C$6:$C$201,'PEW10'!$B$6:$B$201,"")</f>
        <v/>
      </c>
      <c r="AS13" s="83">
        <f>_xlfn.XLOOKUP(AR13,'PEW10'!$B$6:$B$201,'PEW10'!$A$6:$A$201,0)</f>
        <v>0</v>
      </c>
      <c r="AT13" s="10" t="str">
        <f>_xlfn.XLOOKUP($B13,'PEW11'!$C$6:$C$201,'PEW11'!$B$6:$B$201,"")</f>
        <v/>
      </c>
      <c r="AU13" s="83">
        <f>_xlfn.XLOOKUP(AT13,'PEW11'!$B$6:$B$201,'PEW11'!$A$6:$A$201,0)</f>
        <v>0</v>
      </c>
      <c r="AV13" s="10" t="str">
        <f>_xlfn.XLOOKUP($B13,'PEW12'!$C$6:$C$201,'PEW12'!$B$6:$B$201,"")</f>
        <v/>
      </c>
      <c r="AW13" s="83">
        <f>_xlfn.XLOOKUP(AV13,'PEW12'!$B$6:$B$201,'PEW12'!$A$6:$A$201,0)</f>
        <v>0</v>
      </c>
      <c r="AX13" s="10" cm="1">
        <f t="array" ref="AX13">_xlfn.XLOOKUP($B13,IMEW!C$6:C$201,IMEW!$B$6:B$201,"")</f>
        <v>32</v>
      </c>
      <c r="AY13" s="84">
        <f>_xlfn.XLOOKUP(AX13,IMEW!$B$6:$B$201,IMEW!$A$6:$A$201,0)</f>
        <v>22.227620565958258</v>
      </c>
      <c r="BA13" s="85">
        <f t="shared" si="1"/>
        <v>0</v>
      </c>
      <c r="BB13" s="85">
        <f t="shared" si="2"/>
        <v>0</v>
      </c>
      <c r="BC13" s="85">
        <f t="shared" si="3"/>
        <v>43.361480691666195</v>
      </c>
      <c r="BD13" s="85">
        <f t="shared" si="4"/>
        <v>25.770780722522993</v>
      </c>
      <c r="BE13" s="85">
        <f t="shared" si="5"/>
        <v>0</v>
      </c>
      <c r="BF13" s="85">
        <f t="shared" si="6"/>
        <v>0</v>
      </c>
      <c r="BG13" s="85">
        <f t="shared" si="7"/>
        <v>0</v>
      </c>
    </row>
    <row r="14" spans="1:59" ht="14.85" customHeight="1">
      <c r="A14" s="9">
        <f t="shared" si="0"/>
        <v>9</v>
      </c>
      <c r="B14" s="213" t="s">
        <v>25</v>
      </c>
      <c r="C14" s="12"/>
      <c r="D14" s="80">
        <f>SUM(F14,H14,J14,L14,N14,P14,R14,T14,V14)-SUM(SMALL((F14,H14,J14,L14,N14,P14,R14,T14),1),SMALL((F14,H14,J14,L14,N14,P14,R14,T14),2))+SUM(LARGE((Y14,AA14,AC14,AE14,AG14,AI14,AK14,AM14,AO14,AQ14,AS14,AU14,AW14),1),LARGE((Y14,AA14,AC14,AE14,AG14,AI14,AK14,AM14,AO14,AQ14,AS14,AU14,AW14),2),LARGE((Y14,AA14,AC14,AE14,AG14,AI14,AK14,AM14,AO14,AQ14,AS14,AU14,AW14),3),AY14)</f>
        <v>183.8217618107976</v>
      </c>
      <c r="E14" s="13">
        <f>_xlfn.XLOOKUP($B14,'GP1'!$C$6:$C$101,'GP1'!$B$6:$B$101,"")</f>
        <v>6</v>
      </c>
      <c r="F14" s="86">
        <f>_xlfn.XLOOKUP(E14,'GP1'!$B$6:$B$55,'GP1'!$A$6:$A$55,0)</f>
        <v>7.7789458215544443</v>
      </c>
      <c r="G14" s="13">
        <f>_xlfn.XLOOKUP($B14,'GP2'!$C$6:$C$101,'GP2'!$B$6:$B$101,"")</f>
        <v>3</v>
      </c>
      <c r="H14" s="86">
        <f>_xlfn.XLOOKUP(G14,'GP2'!$B$6:$B$55,'GP2'!$A$6:$A$55,0)</f>
        <v>53.084362588832192</v>
      </c>
      <c r="I14" s="13" t="str">
        <f>_xlfn.XLOOKUP($B14,'GP3'!$C$6:$C$101,'GP3'!$B$6:$B$101,"")</f>
        <v/>
      </c>
      <c r="J14" s="86">
        <f>_xlfn.XLOOKUP(I14,'GP3'!$B$6:$B$55,'GP3'!$A$6:$A$55,0)</f>
        <v>0</v>
      </c>
      <c r="K14" s="10">
        <f>_xlfn.XLOOKUP($B14,'GP4'!$C$6:$C$101,'GP4'!$B$6:$B$101,"")</f>
        <v>4</v>
      </c>
      <c r="L14" s="81">
        <f>_xlfn.XLOOKUP(K14,'GP4'!$B$6:$B$55,'GP4'!$A$6:$A$55,0)</f>
        <v>42.663591326189277</v>
      </c>
      <c r="M14" s="13" t="str">
        <f>_xlfn.XLOOKUP($B14,'GP5'!$C$6:$C$101,'GP5'!$B$6:$B$101,"")</f>
        <v/>
      </c>
      <c r="N14" s="87">
        <f>_xlfn.XLOOKUP(M14,'GP5'!$B$6:$B$55,'GP5'!$A$6:$A$55,0)</f>
        <v>0</v>
      </c>
      <c r="O14" s="13">
        <f>_xlfn.XLOOKUP($B14,'GP6'!$C$6:$C$101,'GP6'!$B$6:$B$101,"")</f>
        <v>6</v>
      </c>
      <c r="P14" s="87">
        <f>_xlfn.XLOOKUP(O14,'GP6'!$B$6:$B$55,'GP6'!$A$6:$A$55,0)</f>
        <v>21.870588731201465</v>
      </c>
      <c r="Q14" s="13">
        <f>_xlfn.XLOOKUP($B14,'GP7'!$C$6:$C$101,'GP7'!$B$6:$B$101,"")</f>
        <v>6</v>
      </c>
      <c r="R14" s="87">
        <f>_xlfn.XLOOKUP(Q14,'GP7'!$B$6:$B$55,'GP7'!$A$6:$A$55,0)</f>
        <v>24.668204336905362</v>
      </c>
      <c r="S14" s="13">
        <f>_xlfn.XLOOKUP($B14,'GP8'!$C$6:$C$101,'GP8'!$B$6:$B$101,"")</f>
        <v>5</v>
      </c>
      <c r="T14" s="87">
        <f>_xlfn.XLOOKUP(S14,'GP8'!$B$6:$B$55,'GP8'!$A$6:$A$55,0)</f>
        <v>9.472713708001109</v>
      </c>
      <c r="U14" s="13">
        <f>_xlfn.XLOOKUP(B14,MPW!C$6:C$101,MPW!B$6:B$101,"")</f>
        <v>7</v>
      </c>
      <c r="V14" s="87">
        <f>_xlfn.XLOOKUP(U14,MPW!B$6:B$55,MPW!A$6:A$55,0)</f>
        <v>24.283355298113769</v>
      </c>
      <c r="X14" s="10" t="str">
        <f>_xlfn.XLOOKUP($B14,'PEW1'!$C$6:$C$201,'PEW1'!$B$6:$B$201,"")</f>
        <v/>
      </c>
      <c r="Y14" s="83">
        <f>_xlfn.XLOOKUP(X14,'PEW1'!$B$6:$B$201,'PEW1'!$A$6:$A$201,0)</f>
        <v>0</v>
      </c>
      <c r="Z14" s="10" t="str">
        <f>_xlfn.XLOOKUP($B14,'PEW2'!$C$6:$C$201,'PEW2'!$B$6:$B$201,"")</f>
        <v/>
      </c>
      <c r="AA14" s="83">
        <f>_xlfn.XLOOKUP(Z14,'PEW2'!$B$6:$B$201,'PEW2'!$A$6:$A$201,0)</f>
        <v>0</v>
      </c>
      <c r="AB14" s="10" t="str">
        <f>_xlfn.XLOOKUP($B14,'PEW3'!$C$6:$C$201,'PEW3'!$B$6:$B$201,"")</f>
        <v/>
      </c>
      <c r="AC14" s="83">
        <f>_xlfn.XLOOKUP(AB14,'PEW3'!$B$6:$B$201,'PEW3'!$A$6:$A$201,0)</f>
        <v>0</v>
      </c>
      <c r="AD14" s="10" t="str">
        <f>_xlfn.XLOOKUP($B14,VFC!$C$6:$C$201,VFC!$B$6:$B$201,"")</f>
        <v/>
      </c>
      <c r="AE14" s="83">
        <f>_xlfn.XLOOKUP(AD14,VFC!$B$6:$B$201,VFC!$A$6:$A$201,0)</f>
        <v>0</v>
      </c>
      <c r="AF14" s="10" t="str">
        <f>_xlfn.XLOOKUP($B14,'PEW4'!$C$6:$C$201,'PEW4'!$B$6:$B$201,"")</f>
        <v/>
      </c>
      <c r="AG14" s="83">
        <f>_xlfn.XLOOKUP(AF14,'PEW4'!$B$6:$B$201,'PEW4'!$A$6:$A$201,0)</f>
        <v>0</v>
      </c>
      <c r="AH14" s="10" t="str">
        <f>_xlfn.XLOOKUP($B14,'PEW5'!$C$6:$C$201,'PEW5'!$B$6:$B$201,"")</f>
        <v/>
      </c>
      <c r="AI14" s="83">
        <f>_xlfn.XLOOKUP(AH14,'PEW5'!$B$6:$B$201,'PEW5'!$A$6:$A$201,0)</f>
        <v>0</v>
      </c>
      <c r="AJ14" s="10" t="str">
        <f>_xlfn.XLOOKUP($B14,'PEW6'!$C$6:$C$201,'PEW6'!$B$6:$B$201,"")</f>
        <v/>
      </c>
      <c r="AK14" s="83">
        <f>_xlfn.XLOOKUP(AJ14,'PEW6'!$B$6:$B$201,'PEW6'!$A$6:$A$201,0)</f>
        <v>0</v>
      </c>
      <c r="AL14" s="10" t="str">
        <f>_xlfn.XLOOKUP($B14,'PEW7'!$C$6:$C$201,'PEW7'!$B$6:$B$201,"")</f>
        <v/>
      </c>
      <c r="AM14" s="83">
        <f>_xlfn.XLOOKUP(AL14,'PEW7'!$B$6:$B$201,'PEW7'!$A$6:$A$201,0)</f>
        <v>0</v>
      </c>
      <c r="AN14" s="10" t="str">
        <f>_xlfn.XLOOKUP($B14,'PEW8'!$C$6:$C$201,'PEW8'!$B$6:$B$201,"")</f>
        <v/>
      </c>
      <c r="AO14" s="83">
        <f>_xlfn.XLOOKUP(AN14,'PEW8'!$B$6:$B$201,'PEW8'!$A$6:$A$201,0)</f>
        <v>0</v>
      </c>
      <c r="AP14" s="10" t="str">
        <f>_xlfn.XLOOKUP($B14,'PEW9'!$C$6:$C$201,'PEW9'!$B$6:$B$201,"")</f>
        <v/>
      </c>
      <c r="AQ14" s="83">
        <f>_xlfn.XLOOKUP(AP14,'PEW9'!$B$6:$B$201,'PEW9'!$A$6:$A$201,0)</f>
        <v>0</v>
      </c>
      <c r="AR14" s="10" t="str">
        <f>_xlfn.XLOOKUP($B14,'PEW10'!$C$6:$C$201,'PEW10'!$B$6:$B$201,"")</f>
        <v/>
      </c>
      <c r="AS14" s="83">
        <f>_xlfn.XLOOKUP(AR14,'PEW10'!$B$6:$B$201,'PEW10'!$A$6:$A$201,0)</f>
        <v>0</v>
      </c>
      <c r="AT14" s="10" t="str">
        <f>_xlfn.XLOOKUP($B14,'PEW11'!$C$6:$C$201,'PEW11'!$B$6:$B$201,"")</f>
        <v/>
      </c>
      <c r="AU14" s="83">
        <f>_xlfn.XLOOKUP(AT14,'PEW11'!$B$6:$B$201,'PEW11'!$A$6:$A$201,0)</f>
        <v>0</v>
      </c>
      <c r="AV14" s="10" t="str">
        <f>_xlfn.XLOOKUP($B14,'PEW12'!$C$6:$C$201,'PEW12'!$B$6:$B$201,"")</f>
        <v/>
      </c>
      <c r="AW14" s="83">
        <f>_xlfn.XLOOKUP(AV14,'PEW12'!$B$6:$B$201,'PEW12'!$A$6:$A$201,0)</f>
        <v>0</v>
      </c>
      <c r="AX14" s="10" t="str" cm="1">
        <f t="array" ref="AX14">_xlfn.XLOOKUP($B14,IMEW!C$6:C$201,IMEW!$B$6:B$201,"")</f>
        <v/>
      </c>
      <c r="AY14" s="84">
        <f>_xlfn.XLOOKUP(AX14,IMEW!$B$6:$B$201,IMEW!$A$6:$A$201,0)</f>
        <v>0</v>
      </c>
      <c r="BA14" s="85">
        <f t="shared" si="1"/>
        <v>0</v>
      </c>
      <c r="BB14" s="85">
        <f t="shared" si="2"/>
        <v>0</v>
      </c>
      <c r="BC14" s="85">
        <f t="shared" si="3"/>
        <v>0</v>
      </c>
      <c r="BD14" s="85">
        <f t="shared" si="4"/>
        <v>0</v>
      </c>
      <c r="BE14" s="85">
        <f t="shared" si="5"/>
        <v>0</v>
      </c>
      <c r="BF14" s="85">
        <f t="shared" si="6"/>
        <v>0</v>
      </c>
      <c r="BG14" s="85">
        <f t="shared" si="7"/>
        <v>0</v>
      </c>
    </row>
    <row r="15" spans="1:59" ht="14.85" customHeight="1">
      <c r="A15" s="9">
        <f t="shared" si="0"/>
        <v>10</v>
      </c>
      <c r="B15" s="11" t="s">
        <v>27</v>
      </c>
      <c r="C15" s="12"/>
      <c r="D15" s="80">
        <f>SUM(F15,H15,J15,L15,N15,P15,R15,T15,V15)-SUM(SMALL((F15,H15,J15,L15,N15,P15,R15,T15),1),SMALL((F15,H15,J15,L15,N15,P15,R15,T15),2))+SUM(LARGE((Y15,AA15,AC15,AE15,AG15,AI15,AK15,AM15,AO15,AQ15,AS15,AU15,AW15),1),LARGE((Y15,AA15,AC15,AE15,AG15,AI15,AK15,AM15,AO15,AQ15,AS15,AU15,AW15),2),LARGE((Y15,AA15,AC15,AE15,AG15,AI15,AK15,AM15,AO15,AQ15,AS15,AU15,AW15),3),AY15)</f>
        <v>63.49384857461353</v>
      </c>
      <c r="E15" s="13">
        <f>_xlfn.XLOOKUP($B15,'GP1'!$C$6:$C$101,'GP1'!$B$6:$B$101,"")</f>
        <v>5</v>
      </c>
      <c r="F15" s="86">
        <f>_xlfn.XLOOKUP(E15,'GP1'!$B$6:$B$55,'GP1'!$A$6:$A$55,0)</f>
        <v>12.07517445017308</v>
      </c>
      <c r="G15" s="13" t="str">
        <f>_xlfn.XLOOKUP($B15,'GP2'!$C$6:$C$101,'GP2'!$B$6:$B$101,"")</f>
        <v/>
      </c>
      <c r="H15" s="86">
        <f>_xlfn.XLOOKUP(G15,'GP2'!$B$6:$B$55,'GP2'!$A$6:$A$55,0)</f>
        <v>0</v>
      </c>
      <c r="I15" s="13" t="str">
        <f>_xlfn.XLOOKUP($B15,'GP3'!$C$6:$C$101,'GP3'!$B$6:$B$101,"")</f>
        <v/>
      </c>
      <c r="J15" s="86">
        <f>_xlfn.XLOOKUP(I15,'GP3'!$B$6:$B$55,'GP3'!$A$6:$A$55,0)</f>
        <v>0</v>
      </c>
      <c r="K15" s="10">
        <f>_xlfn.XLOOKUP($B15,'GP4'!$C$6:$C$101,'GP4'!$B$6:$B$101,"")</f>
        <v>8</v>
      </c>
      <c r="L15" s="81">
        <f>_xlfn.XLOOKUP(K15,'GP4'!$B$6:$B$55,'GP4'!$A$6:$A$55,0)</f>
        <v>18.995386989283922</v>
      </c>
      <c r="M15" s="13" t="str">
        <f>_xlfn.XLOOKUP($B15,'GP5'!$C$6:$C$101,'GP5'!$B$6:$B$101,"")</f>
        <v/>
      </c>
      <c r="N15" s="87">
        <f>_xlfn.XLOOKUP(M15,'GP5'!$B$6:$B$55,'GP5'!$A$6:$A$55,0)</f>
        <v>0</v>
      </c>
      <c r="O15" s="13">
        <f>_xlfn.XLOOKUP($B15,'GP6'!$C$6:$C$101,'GP6'!$B$6:$B$101,"")</f>
        <v>5</v>
      </c>
      <c r="P15" s="87">
        <f>_xlfn.XLOOKUP(O15,'GP6'!$B$6:$B$55,'GP6'!$A$6:$A$55,0)</f>
        <v>25.750469787535074</v>
      </c>
      <c r="Q15" s="13">
        <f>_xlfn.XLOOKUP($B15,'GP7'!$C$6:$C$101,'GP7'!$B$6:$B$101,"")</f>
        <v>9</v>
      </c>
      <c r="R15" s="87">
        <f>_xlfn.XLOOKUP(Q15,'GP7'!$B$6:$B$55,'GP7'!$A$6:$A$55,0)</f>
        <v>6.6728173476214536</v>
      </c>
      <c r="S15" s="13" t="str">
        <f>_xlfn.XLOOKUP($B15,'GP8'!$C$6:$C$101,'GP8'!$B$6:$B$101,"")</f>
        <v/>
      </c>
      <c r="T15" s="87">
        <f>_xlfn.XLOOKUP(S15,'GP8'!$B$6:$B$55,'GP8'!$A$6:$A$55,0)</f>
        <v>0</v>
      </c>
      <c r="U15" s="13" t="str">
        <f>_xlfn.XLOOKUP(B15,MPW!C$6:C$101,MPW!B$6:B$101,"")</f>
        <v/>
      </c>
      <c r="V15" s="87">
        <f>_xlfn.XLOOKUP(U15,MPW!B$6:B$55,MPW!A$6:A$55,0)</f>
        <v>0</v>
      </c>
      <c r="X15" s="10" t="str">
        <f>_xlfn.XLOOKUP($B15,'PEW1'!$C$6:$C$201,'PEW1'!$B$6:$B$201,"")</f>
        <v/>
      </c>
      <c r="Y15" s="83">
        <f>_xlfn.XLOOKUP(X15,'PEW1'!$B$6:$B$201,'PEW1'!$A$6:$A$201,0)</f>
        <v>0</v>
      </c>
      <c r="Z15" s="10" t="str">
        <f>_xlfn.XLOOKUP($B15,'PEW2'!$C$6:$C$201,'PEW2'!$B$6:$B$201,"")</f>
        <v/>
      </c>
      <c r="AA15" s="83">
        <f>_xlfn.XLOOKUP(Z15,'PEW2'!$B$6:$B$201,'PEW2'!$A$6:$A$201,0)</f>
        <v>0</v>
      </c>
      <c r="AB15" s="10" t="str">
        <f>_xlfn.XLOOKUP($B15,'PEW3'!$C$6:$C$201,'PEW3'!$B$6:$B$201,"")</f>
        <v/>
      </c>
      <c r="AC15" s="83">
        <f>_xlfn.XLOOKUP(AB15,'PEW3'!$B$6:$B$201,'PEW3'!$A$6:$A$201,0)</f>
        <v>0</v>
      </c>
      <c r="AD15" s="10" t="str">
        <f>_xlfn.XLOOKUP($B15,VFC!$C$6:$C$201,VFC!$B$6:$B$201,"")</f>
        <v/>
      </c>
      <c r="AE15" s="83">
        <f>_xlfn.XLOOKUP(AD15,VFC!$B$6:$B$201,VFC!$A$6:$A$201,0)</f>
        <v>0</v>
      </c>
      <c r="AF15" s="10" t="str">
        <f>_xlfn.XLOOKUP($B15,'PEW4'!$C$6:$C$201,'PEW4'!$B$6:$B$201,"")</f>
        <v/>
      </c>
      <c r="AG15" s="83">
        <f>_xlfn.XLOOKUP(AF15,'PEW4'!$B$6:$B$201,'PEW4'!$A$6:$A$201,0)</f>
        <v>0</v>
      </c>
      <c r="AH15" s="10" t="str">
        <f>_xlfn.XLOOKUP($B15,'PEW5'!$C$6:$C$201,'PEW5'!$B$6:$B$201,"")</f>
        <v/>
      </c>
      <c r="AI15" s="83">
        <f>_xlfn.XLOOKUP(AH15,'PEW5'!$B$6:$B$201,'PEW5'!$A$6:$A$201,0)</f>
        <v>0</v>
      </c>
      <c r="AJ15" s="10" t="str">
        <f>_xlfn.XLOOKUP($B15,'PEW6'!$C$6:$C$201,'PEW6'!$B$6:$B$201,"")</f>
        <v/>
      </c>
      <c r="AK15" s="83">
        <f>_xlfn.XLOOKUP(AJ15,'PEW6'!$B$6:$B$201,'PEW6'!$A$6:$A$201,0)</f>
        <v>0</v>
      </c>
      <c r="AL15" s="10" t="str">
        <f>_xlfn.XLOOKUP($B15,'PEW7'!$C$6:$C$201,'PEW7'!$B$6:$B$201,"")</f>
        <v/>
      </c>
      <c r="AM15" s="83">
        <f>_xlfn.XLOOKUP(AL15,'PEW7'!$B$6:$B$201,'PEW7'!$A$6:$A$201,0)</f>
        <v>0</v>
      </c>
      <c r="AN15" s="10" t="str">
        <f>_xlfn.XLOOKUP($B15,'PEW8'!$C$6:$C$201,'PEW8'!$B$6:$B$201,"")</f>
        <v/>
      </c>
      <c r="AO15" s="83">
        <f>_xlfn.XLOOKUP(AN15,'PEW8'!$B$6:$B$201,'PEW8'!$A$6:$A$201,0)</f>
        <v>0</v>
      </c>
      <c r="AP15" s="10" t="str">
        <f>_xlfn.XLOOKUP($B15,'PEW9'!$C$6:$C$201,'PEW9'!$B$6:$B$201,"")</f>
        <v/>
      </c>
      <c r="AQ15" s="83">
        <f>_xlfn.XLOOKUP(AP15,'PEW9'!$B$6:$B$201,'PEW9'!$A$6:$A$201,0)</f>
        <v>0</v>
      </c>
      <c r="AR15" s="10" t="str">
        <f>_xlfn.XLOOKUP($B15,'PEW10'!$C$6:$C$201,'PEW10'!$B$6:$B$201,"")</f>
        <v/>
      </c>
      <c r="AS15" s="83">
        <f>_xlfn.XLOOKUP(AR15,'PEW10'!$B$6:$B$201,'PEW10'!$A$6:$A$201,0)</f>
        <v>0</v>
      </c>
      <c r="AT15" s="10" t="str">
        <f>_xlfn.XLOOKUP($B15,'PEW11'!$C$6:$C$201,'PEW11'!$B$6:$B$201,"")</f>
        <v/>
      </c>
      <c r="AU15" s="83">
        <f>_xlfn.XLOOKUP(AT15,'PEW11'!$B$6:$B$201,'PEW11'!$A$6:$A$201,0)</f>
        <v>0</v>
      </c>
      <c r="AV15" s="10" t="str">
        <f>_xlfn.XLOOKUP($B15,'PEW12'!$C$6:$C$201,'PEW12'!$B$6:$B$201,"")</f>
        <v/>
      </c>
      <c r="AW15" s="83">
        <f>_xlfn.XLOOKUP(AV15,'PEW12'!$B$6:$B$201,'PEW12'!$A$6:$A$201,0)</f>
        <v>0</v>
      </c>
      <c r="AX15" s="10" t="str" cm="1">
        <f t="array" ref="AX15">_xlfn.XLOOKUP($B15,IMEW!C$6:C$201,IMEW!$B$6:B$201,"")</f>
        <v/>
      </c>
      <c r="AY15" s="84">
        <f>_xlfn.XLOOKUP(AX15,IMEW!$B$6:$B$201,IMEW!$A$6:$A$201,0)</f>
        <v>0</v>
      </c>
      <c r="BA15" s="85">
        <f t="shared" si="1"/>
        <v>0</v>
      </c>
      <c r="BB15" s="85">
        <f t="shared" si="2"/>
        <v>0</v>
      </c>
      <c r="BC15" s="85">
        <f t="shared" si="3"/>
        <v>0</v>
      </c>
      <c r="BD15" s="85">
        <f t="shared" si="4"/>
        <v>0</v>
      </c>
      <c r="BE15" s="85">
        <f t="shared" si="5"/>
        <v>0</v>
      </c>
      <c r="BF15" s="85">
        <f t="shared" si="6"/>
        <v>0</v>
      </c>
      <c r="BG15" s="85">
        <f t="shared" si="7"/>
        <v>0</v>
      </c>
    </row>
    <row r="16" spans="1:59" ht="14.85" customHeight="1">
      <c r="A16" s="9">
        <f t="shared" si="0"/>
        <v>11</v>
      </c>
      <c r="B16" s="11" t="s">
        <v>28</v>
      </c>
      <c r="C16" s="12"/>
      <c r="D16" s="80">
        <f>SUM(F16,H16,J16,L16,N16,P16,R16,T16,V16)-SUM(SMALL((F16,H16,J16,L16,N16,P16,R16,T16),1),SMALL((F16,H16,J16,L16,N16,P16,R16,T16),2))+SUM(LARGE((Y16,AA16,AC16,AE16,AG16,AI16,AK16,AM16,AO16,AQ16,AS16,AU16,AW16),1),LARGE((Y16,AA16,AC16,AE16,AG16,AI16,AK16,AM16,AO16,AQ16,AS16,AU16,AW16),2),LARGE((Y16,AA16,AC16,AE16,AG16,AI16,AK16,AM16,AO16,AQ16,AS16,AU16,AW16),3),AY16)</f>
        <v>38.448407346092601</v>
      </c>
      <c r="E16" s="13">
        <f>_xlfn.XLOOKUP($B16,'GP1'!$C$6:$C$101,'GP1'!$B$6:$B$101,"")</f>
        <v>7</v>
      </c>
      <c r="F16" s="86">
        <f>_xlfn.XLOOKUP(E16,'GP1'!$B$6:$B$55,'GP1'!$A$6:$A$55,0)</f>
        <v>4.1465362730591337</v>
      </c>
      <c r="G16" s="13">
        <f>_xlfn.XLOOKUP($B16,'GP2'!$C$6:$C$101,'GP2'!$B$6:$B$101,"")</f>
        <v>8</v>
      </c>
      <c r="H16" s="86">
        <f>_xlfn.XLOOKUP(G16,'GP2'!$B$6:$B$55,'GP2'!$A$6:$A$55,0)</f>
        <v>15.74859063739477</v>
      </c>
      <c r="I16" s="13" t="str">
        <f>_xlfn.XLOOKUP($B16,'GP3'!$C$6:$C$101,'GP3'!$B$6:$B$101,"")</f>
        <v/>
      </c>
      <c r="J16" s="86">
        <f>_xlfn.XLOOKUP(I16,'GP3'!$B$6:$B$55,'GP3'!$A$6:$A$55,0)</f>
        <v>0</v>
      </c>
      <c r="K16" s="10">
        <f>_xlfn.XLOOKUP($B16,'GP4'!$C$6:$C$101,'GP4'!$B$6:$B$101,"")</f>
        <v>10</v>
      </c>
      <c r="L16" s="81">
        <f>_xlfn.XLOOKUP(K16,'GP4'!$B$6:$B$55,'GP4'!$A$6:$A$55,0)</f>
        <v>4.5952080065727898</v>
      </c>
      <c r="M16" s="13" t="str">
        <f>_xlfn.XLOOKUP($B16,'GP5'!$C$6:$C$101,'GP5'!$B$6:$B$101,"")</f>
        <v/>
      </c>
      <c r="N16" s="87">
        <f>_xlfn.XLOOKUP(M16,'GP5'!$B$6:$B$55,'GP5'!$A$6:$A$55,0)</f>
        <v>0</v>
      </c>
      <c r="O16" s="13">
        <f>_xlfn.XLOOKUP($B16,'GP6'!$C$6:$C$101,'GP6'!$B$6:$B$101,"")</f>
        <v>9</v>
      </c>
      <c r="P16" s="87">
        <f>_xlfn.XLOOKUP(O16,'GP6'!$B$6:$B$55,'GP6'!$A$6:$A$55,0)</f>
        <v>3.2421170374730792</v>
      </c>
      <c r="Q16" s="13">
        <f>_xlfn.XLOOKUP($B16,'GP7'!$C$6:$C$101,'GP7'!$B$6:$B$101,"")</f>
        <v>10</v>
      </c>
      <c r="R16" s="87">
        <f>_xlfn.XLOOKUP(Q16,'GP7'!$B$6:$B$55,'GP7'!$A$6:$A$55,0)</f>
        <v>4.5952080065727898</v>
      </c>
      <c r="S16" s="13" t="str">
        <f>_xlfn.XLOOKUP($B16,'GP8'!$C$6:$C$101,'GP8'!$B$6:$B$101,"")</f>
        <v/>
      </c>
      <c r="T16" s="87">
        <f>_xlfn.XLOOKUP(S16,'GP8'!$B$6:$B$55,'GP8'!$A$6:$A$55,0)</f>
        <v>0</v>
      </c>
      <c r="U16" s="13">
        <f>_xlfn.XLOOKUP(B16,MPW!C$6:C$101,MPW!B$6:B$101,"")</f>
        <v>9</v>
      </c>
      <c r="V16" s="87">
        <f>_xlfn.XLOOKUP(U16,MPW!B$6:B$55,MPW!A$6:A$55,0)</f>
        <v>6.1207473850200413</v>
      </c>
      <c r="X16" s="10" t="str">
        <f>_xlfn.XLOOKUP($B16,'PEW1'!$C$6:$C$201,'PEW1'!$B$6:$B$201,"")</f>
        <v/>
      </c>
      <c r="Y16" s="83">
        <f>_xlfn.XLOOKUP(X16,'PEW1'!$B$6:$B$201,'PEW1'!$A$6:$A$201,0)</f>
        <v>0</v>
      </c>
      <c r="Z16" s="10" t="str">
        <f>_xlfn.XLOOKUP($B16,'PEW2'!$C$6:$C$201,'PEW2'!$B$6:$B$201,"")</f>
        <v/>
      </c>
      <c r="AA16" s="83">
        <f>_xlfn.XLOOKUP(Z16,'PEW2'!$B$6:$B$201,'PEW2'!$A$6:$A$201,0)</f>
        <v>0</v>
      </c>
      <c r="AB16" s="10" t="str">
        <f>_xlfn.XLOOKUP($B16,'PEW3'!$C$6:$C$201,'PEW3'!$B$6:$B$201,"")</f>
        <v/>
      </c>
      <c r="AC16" s="83">
        <f>_xlfn.XLOOKUP(AB16,'PEW3'!$B$6:$B$201,'PEW3'!$A$6:$A$201,0)</f>
        <v>0</v>
      </c>
      <c r="AD16" s="10" t="str">
        <f>_xlfn.XLOOKUP($B16,VFC!$C$6:$C$201,VFC!$B$6:$B$201,"")</f>
        <v/>
      </c>
      <c r="AE16" s="83">
        <f>_xlfn.XLOOKUP(AD16,VFC!$B$6:$B$201,VFC!$A$6:$A$201,0)</f>
        <v>0</v>
      </c>
      <c r="AF16" s="10" t="str">
        <f>_xlfn.XLOOKUP($B16,'PEW4'!$C$6:$C$201,'PEW4'!$B$6:$B$201,"")</f>
        <v/>
      </c>
      <c r="AG16" s="83">
        <f>_xlfn.XLOOKUP(AF16,'PEW4'!$B$6:$B$201,'PEW4'!$A$6:$A$201,0)</f>
        <v>0</v>
      </c>
      <c r="AH16" s="10" t="str">
        <f>_xlfn.XLOOKUP($B16,'PEW5'!$C$6:$C$201,'PEW5'!$B$6:$B$201,"")</f>
        <v/>
      </c>
      <c r="AI16" s="83">
        <f>_xlfn.XLOOKUP(AH16,'PEW5'!$B$6:$B$201,'PEW5'!$A$6:$A$201,0)</f>
        <v>0</v>
      </c>
      <c r="AJ16" s="10" t="str">
        <f>_xlfn.XLOOKUP($B16,'PEW6'!$C$6:$C$201,'PEW6'!$B$6:$B$201,"")</f>
        <v/>
      </c>
      <c r="AK16" s="83">
        <f>_xlfn.XLOOKUP(AJ16,'PEW6'!$B$6:$B$201,'PEW6'!$A$6:$A$201,0)</f>
        <v>0</v>
      </c>
      <c r="AL16" s="10" t="str">
        <f>_xlfn.XLOOKUP($B16,'PEW7'!$C$6:$C$201,'PEW7'!$B$6:$B$201,"")</f>
        <v/>
      </c>
      <c r="AM16" s="83">
        <f>_xlfn.XLOOKUP(AL16,'PEW7'!$B$6:$B$201,'PEW7'!$A$6:$A$201,0)</f>
        <v>0</v>
      </c>
      <c r="AN16" s="10" t="str">
        <f>_xlfn.XLOOKUP($B16,'PEW8'!$C$6:$C$201,'PEW8'!$B$6:$B$201,"")</f>
        <v/>
      </c>
      <c r="AO16" s="83">
        <f>_xlfn.XLOOKUP(AN16,'PEW8'!$B$6:$B$201,'PEW8'!$A$6:$A$201,0)</f>
        <v>0</v>
      </c>
      <c r="AP16" s="10" t="str">
        <f>_xlfn.XLOOKUP($B16,'PEW9'!$C$6:$C$201,'PEW9'!$B$6:$B$201,"")</f>
        <v/>
      </c>
      <c r="AQ16" s="83">
        <f>_xlfn.XLOOKUP(AP16,'PEW9'!$B$6:$B$201,'PEW9'!$A$6:$A$201,0)</f>
        <v>0</v>
      </c>
      <c r="AR16" s="10" t="str">
        <f>_xlfn.XLOOKUP($B16,'PEW10'!$C$6:$C$201,'PEW10'!$B$6:$B$201,"")</f>
        <v/>
      </c>
      <c r="AS16" s="83">
        <f>_xlfn.XLOOKUP(AR16,'PEW10'!$B$6:$B$201,'PEW10'!$A$6:$A$201,0)</f>
        <v>0</v>
      </c>
      <c r="AT16" s="10" t="str">
        <f>_xlfn.XLOOKUP($B16,'PEW11'!$C$6:$C$201,'PEW11'!$B$6:$B$201,"")</f>
        <v/>
      </c>
      <c r="AU16" s="83">
        <f>_xlfn.XLOOKUP(AT16,'PEW11'!$B$6:$B$201,'PEW11'!$A$6:$A$201,0)</f>
        <v>0</v>
      </c>
      <c r="AV16" s="10" t="str">
        <f>_xlfn.XLOOKUP($B16,'PEW12'!$C$6:$C$201,'PEW12'!$B$6:$B$201,"")</f>
        <v/>
      </c>
      <c r="AW16" s="83">
        <f>_xlfn.XLOOKUP(AV16,'PEW12'!$B$6:$B$201,'PEW12'!$A$6:$A$201,0)</f>
        <v>0</v>
      </c>
      <c r="AX16" s="10" t="str" cm="1">
        <f t="array" ref="AX16">_xlfn.XLOOKUP($B16,IMEW!C$6:C$201,IMEW!$B$6:B$201,"")</f>
        <v/>
      </c>
      <c r="AY16" s="84">
        <f>_xlfn.XLOOKUP(AX16,IMEW!$B$6:$B$201,IMEW!$A$6:$A$201,0)</f>
        <v>0</v>
      </c>
      <c r="BA16" s="85">
        <f t="shared" si="1"/>
        <v>0</v>
      </c>
      <c r="BB16" s="85">
        <f t="shared" si="2"/>
        <v>0</v>
      </c>
      <c r="BC16" s="85">
        <f t="shared" si="3"/>
        <v>0</v>
      </c>
      <c r="BD16" s="85">
        <f t="shared" si="4"/>
        <v>0</v>
      </c>
      <c r="BE16" s="85">
        <f t="shared" si="5"/>
        <v>0</v>
      </c>
      <c r="BF16" s="85">
        <f t="shared" si="6"/>
        <v>0</v>
      </c>
      <c r="BG16" s="85">
        <f t="shared" si="7"/>
        <v>0</v>
      </c>
    </row>
    <row r="17" spans="1:59" ht="14.85" customHeight="1">
      <c r="A17" s="9">
        <f t="shared" si="0"/>
        <v>12</v>
      </c>
      <c r="B17" s="11" t="s">
        <v>29</v>
      </c>
      <c r="C17" s="12"/>
      <c r="D17" s="80">
        <f>SUM(F17,H17,J17,L17,N17,P17,R17,T17,V17)-SUM(SMALL((F17,H17,J17,L17,N17,P17,R17,T17),1),SMALL((F17,H17,J17,L17,N17,P17,R17,T17),2))+SUM(LARGE((Y17,AA17,AC17,AE17,AG17,AI17,AK17,AM17,AO17,AQ17,AS17,AU17,AW17),1),LARGE((Y17,AA17,AC17,AE17,AG17,AI17,AK17,AM17,AO17,AQ17,AS17,AU17,AW17),2),LARGE((Y17,AA17,AC17,AE17,AG17,AI17,AK17,AM17,AO17,AQ17,AS17,AU17,AW17),3),AY17)</f>
        <v>37.619898085190123</v>
      </c>
      <c r="E17" s="13">
        <f>_xlfn.XLOOKUP($B17,'GP1'!$C$6:$C$101,'GP1'!$B$6:$B$101,"")</f>
        <v>8</v>
      </c>
      <c r="F17" s="86">
        <f>_xlfn.XLOOKUP(E17,'GP1'!$B$6:$B$55,'GP1'!$A$6:$A$55,0)</f>
        <v>1</v>
      </c>
      <c r="G17" s="13" t="str">
        <f>_xlfn.XLOOKUP($B17,'GP2'!$C$6:$C$101,'GP2'!$B$6:$B$101,"")</f>
        <v/>
      </c>
      <c r="H17" s="86">
        <f>_xlfn.XLOOKUP(G17,'GP2'!$B$6:$B$55,'GP2'!$A$6:$A$55,0)</f>
        <v>0</v>
      </c>
      <c r="I17" s="13">
        <f>_xlfn.XLOOKUP($B17,'GP3'!$C$6:$C$101,'GP3'!$B$6:$B$101,"")</f>
        <v>6</v>
      </c>
      <c r="J17" s="86">
        <f>_xlfn.XLOOKUP(I17,'GP3'!$B$6:$B$55,'GP3'!$A$6:$A$55,0)</f>
        <v>4.8816711630815135</v>
      </c>
      <c r="K17" s="10">
        <f>_xlfn.XLOOKUP($B17,'GP4'!$C$6:$C$101,'GP4'!$B$6:$B$101,"")</f>
        <v>11</v>
      </c>
      <c r="L17" s="81">
        <f>_xlfn.XLOOKUP(K17,'GP4'!$B$6:$B$55,'GP4'!$A$6:$A$55,0)</f>
        <v>2.7157817469141534</v>
      </c>
      <c r="M17" s="13">
        <f>_xlfn.XLOOKUP($B17,'GP5'!$C$6:$C$101,'GP5'!$B$6:$B$101,"")</f>
        <v>3</v>
      </c>
      <c r="N17" s="87">
        <f>_xlfn.XLOOKUP(M17,'GP5'!$B$6:$B$55,'GP5'!$A$6:$A$55,0)</f>
        <v>15.326748710922224</v>
      </c>
      <c r="O17" s="13">
        <f>_xlfn.XLOOKUP($B17,'GP6'!$C$6:$C$101,'GP6'!$B$6:$B$101,"")</f>
        <v>10</v>
      </c>
      <c r="P17" s="87">
        <f>_xlfn.XLOOKUP(O17,'GP6'!$B$6:$B$55,'GP6'!$A$6:$A$55,0)</f>
        <v>1</v>
      </c>
      <c r="Q17" s="13">
        <f>_xlfn.XLOOKUP($B17,'GP7'!$C$6:$C$101,'GP7'!$B$6:$B$101,"")</f>
        <v>11</v>
      </c>
      <c r="R17" s="87">
        <f>_xlfn.XLOOKUP(Q17,'GP7'!$B$6:$B$55,'GP7'!$A$6:$A$55,0)</f>
        <v>2.7157817469141534</v>
      </c>
      <c r="S17" s="13">
        <f>_xlfn.XLOOKUP($B17,'GP8'!$C$6:$C$101,'GP8'!$B$6:$B$101,"")</f>
        <v>6</v>
      </c>
      <c r="T17" s="87">
        <f>_xlfn.XLOOKUP(S17,'GP8'!$B$6:$B$55,'GP8'!$A$6:$A$55,0)</f>
        <v>4.8816711630815135</v>
      </c>
      <c r="U17" s="13">
        <f>_xlfn.XLOOKUP(B17,MPW!C$6:C$101,MPW!B$6:B$101,"")</f>
        <v>10</v>
      </c>
      <c r="V17" s="87">
        <f>_xlfn.XLOOKUP(U17,MPW!B$6:B$55,MPW!A$6:A$55,0)</f>
        <v>3.5371490139993114</v>
      </c>
      <c r="X17" s="10" t="str">
        <f>_xlfn.XLOOKUP($B17,'PEW1'!$C$6:$C$201,'PEW1'!$B$6:$B$201,"")</f>
        <v/>
      </c>
      <c r="Y17" s="83">
        <f>_xlfn.XLOOKUP(X17,'PEW1'!$B$6:$B$201,'PEW1'!$A$6:$A$201,0)</f>
        <v>0</v>
      </c>
      <c r="Z17" s="10" t="str">
        <f>_xlfn.XLOOKUP($B17,'PEW2'!$C$6:$C$201,'PEW2'!$B$6:$B$201,"")</f>
        <v/>
      </c>
      <c r="AA17" s="83">
        <f>_xlfn.XLOOKUP(Z17,'PEW2'!$B$6:$B$201,'PEW2'!$A$6:$A$201,0)</f>
        <v>0</v>
      </c>
      <c r="AB17" s="10">
        <f>_xlfn.XLOOKUP($B17,'PEW3'!$C$6:$C$201,'PEW3'!$B$6:$B$201,"")</f>
        <v>26</v>
      </c>
      <c r="AC17" s="83">
        <f>_xlfn.XLOOKUP(AB17,'PEW3'!$B$6:$B$201,'PEW3'!$A$6:$A$201,0)</f>
        <v>1.5610945402772529</v>
      </c>
      <c r="AD17" s="10" t="str">
        <f>_xlfn.XLOOKUP($B17,VFC!$C$6:$C$201,VFC!$B$6:$B$201,"")</f>
        <v/>
      </c>
      <c r="AE17" s="83">
        <f>_xlfn.XLOOKUP(AD17,VFC!$B$6:$B$201,VFC!$A$6:$A$201,0)</f>
        <v>0</v>
      </c>
      <c r="AF17" s="10" t="str">
        <f>_xlfn.XLOOKUP($B17,'PEW4'!$C$6:$C$201,'PEW4'!$B$6:$B$201,"")</f>
        <v/>
      </c>
      <c r="AG17" s="83">
        <f>_xlfn.XLOOKUP(AF17,'PEW4'!$B$6:$B$201,'PEW4'!$A$6:$A$201,0)</f>
        <v>0</v>
      </c>
      <c r="AH17" s="10" t="str">
        <f>_xlfn.XLOOKUP($B17,'PEW5'!$C$6:$C$201,'PEW5'!$B$6:$B$201,"")</f>
        <v/>
      </c>
      <c r="AI17" s="83">
        <f>_xlfn.XLOOKUP(AH17,'PEW5'!$B$6:$B$201,'PEW5'!$A$6:$A$201,0)</f>
        <v>0</v>
      </c>
      <c r="AJ17" s="10" t="str">
        <f>_xlfn.XLOOKUP($B17,'PEW6'!$C$6:$C$201,'PEW6'!$B$6:$B$201,"")</f>
        <v/>
      </c>
      <c r="AK17" s="83">
        <f>_xlfn.XLOOKUP(AJ17,'PEW6'!$B$6:$B$201,'PEW6'!$A$6:$A$201,0)</f>
        <v>0</v>
      </c>
      <c r="AL17" s="10" t="str">
        <f>_xlfn.XLOOKUP($B17,'PEW7'!$C$6:$C$201,'PEW7'!$B$6:$B$201,"")</f>
        <v/>
      </c>
      <c r="AM17" s="83">
        <f>_xlfn.XLOOKUP(AL17,'PEW7'!$B$6:$B$201,'PEW7'!$A$6:$A$201,0)</f>
        <v>0</v>
      </c>
      <c r="AN17" s="10">
        <f>_xlfn.XLOOKUP($B17,'PEW8'!$C$6:$C$201,'PEW8'!$B$6:$B$201,"")</f>
        <v>16</v>
      </c>
      <c r="AO17" s="83">
        <f>_xlfn.XLOOKUP(AN17,'PEW8'!$B$6:$B$201,'PEW8'!$A$6:$A$201,0)</f>
        <v>1</v>
      </c>
      <c r="AP17" s="10" t="str">
        <f>_xlfn.XLOOKUP($B17,'PEW9'!$C$6:$C$201,'PEW9'!$B$6:$B$201,"")</f>
        <v/>
      </c>
      <c r="AQ17" s="83">
        <f>_xlfn.XLOOKUP(AP17,'PEW9'!$B$6:$B$201,'PEW9'!$A$6:$A$201,0)</f>
        <v>0</v>
      </c>
      <c r="AR17" s="10" t="str">
        <f>_xlfn.XLOOKUP($B17,'PEW10'!$C$6:$C$201,'PEW10'!$B$6:$B$201,"")</f>
        <v/>
      </c>
      <c r="AS17" s="83">
        <f>_xlfn.XLOOKUP(AR17,'PEW10'!$B$6:$B$201,'PEW10'!$A$6:$A$201,0)</f>
        <v>0</v>
      </c>
      <c r="AT17" s="10" t="str">
        <f>_xlfn.XLOOKUP($B17,'PEW11'!$C$6:$C$201,'PEW11'!$B$6:$B$201,"")</f>
        <v/>
      </c>
      <c r="AU17" s="83">
        <f>_xlfn.XLOOKUP(AT17,'PEW11'!$B$6:$B$201,'PEW11'!$A$6:$A$201,0)</f>
        <v>0</v>
      </c>
      <c r="AV17" s="10" t="str">
        <f>_xlfn.XLOOKUP($B17,'PEW12'!$C$6:$C$201,'PEW12'!$B$6:$B$201,"")</f>
        <v/>
      </c>
      <c r="AW17" s="83">
        <f>_xlfn.XLOOKUP(AV17,'PEW12'!$B$6:$B$201,'PEW12'!$A$6:$A$201,0)</f>
        <v>0</v>
      </c>
      <c r="AX17" s="10" t="str" cm="1">
        <f t="array" ref="AX17">_xlfn.XLOOKUP($B17,IMEW!C$6:C$201,IMEW!$B$6:B$201,"")</f>
        <v/>
      </c>
      <c r="AY17" s="84">
        <f>_xlfn.XLOOKUP(AX17,IMEW!$B$6:$B$201,IMEW!$A$6:$A$201,0)</f>
        <v>0</v>
      </c>
      <c r="BA17" s="85">
        <f t="shared" si="1"/>
        <v>0</v>
      </c>
      <c r="BB17" s="85">
        <f t="shared" si="2"/>
        <v>0</v>
      </c>
      <c r="BC17" s="85">
        <f t="shared" si="3"/>
        <v>1.5610945402772529</v>
      </c>
      <c r="BD17" s="85">
        <f t="shared" si="4"/>
        <v>0</v>
      </c>
      <c r="BE17" s="85">
        <f t="shared" si="5"/>
        <v>0</v>
      </c>
      <c r="BF17" s="85">
        <f t="shared" si="6"/>
        <v>0</v>
      </c>
      <c r="BG17" s="85">
        <f t="shared" si="7"/>
        <v>0</v>
      </c>
    </row>
    <row r="18" spans="1:59" ht="14.85" customHeight="1">
      <c r="A18" s="9">
        <f t="shared" si="0"/>
        <v>13</v>
      </c>
      <c r="B18" s="11" t="s">
        <v>30</v>
      </c>
      <c r="C18" s="12"/>
      <c r="D18" s="80">
        <f>SUM(F18,H18,J18,L18,N18,P18,R18,T18,V18)-SUM(SMALL((F18,H18,J18,L18,N18,P18,R18,T18),1),SMALL((F18,H18,J18,L18,N18,P18,R18,T18),2))+SUM(LARGE((Y18,AA18,AC18,AE18,AG18,AI18,AK18,AM18,AO18,AQ18,AS18,AU18,AW18),1),LARGE((Y18,AA18,AC18,AE18,AG18,AI18,AK18,AM18,AO18,AQ18,AS18,AU18,AW18),2),LARGE((Y18,AA18,AC18,AE18,AG18,AI18,AK18,AM18,AO18,AQ18,AS18,AU18,AW18),3),AY18)</f>
        <v>18.590196039301418</v>
      </c>
      <c r="E18" s="13" t="str">
        <f>_xlfn.XLOOKUP($B18,'GP1'!$C$6:$C$101,'GP1'!$B$6:$B$101,"")</f>
        <v/>
      </c>
      <c r="F18" s="86">
        <f>_xlfn.XLOOKUP(E18,'GP1'!$B$6:$B$55,'GP1'!$A$6:$A$55,0)</f>
        <v>0</v>
      </c>
      <c r="G18" s="13">
        <f>_xlfn.XLOOKUP($B18,'GP2'!$C$6:$C$101,'GP2'!$B$6:$B$101,"")</f>
        <v>7</v>
      </c>
      <c r="H18" s="86">
        <f>_xlfn.XLOOKUP(G18,'GP2'!$B$6:$B$55,'GP2'!$A$6:$A$55,0)</f>
        <v>18.590196039301418</v>
      </c>
      <c r="I18" s="13" t="str">
        <f>_xlfn.XLOOKUP($B18,'GP3'!$C$6:$C$101,'GP3'!$B$6:$B$101,"")</f>
        <v/>
      </c>
      <c r="J18" s="86">
        <f>_xlfn.XLOOKUP(I18,'GP3'!$B$6:$B$55,'GP3'!$A$6:$A$55,0)</f>
        <v>0</v>
      </c>
      <c r="K18" s="10" t="str">
        <f>_xlfn.XLOOKUP($B18,'GP4'!$C$6:$C$101,'GP4'!$B$6:$B$101,"")</f>
        <v/>
      </c>
      <c r="L18" s="81">
        <f>_xlfn.XLOOKUP(K18,'GP4'!$B$6:$B$55,'GP4'!$A$6:$A$55,0)</f>
        <v>0</v>
      </c>
      <c r="M18" s="13" t="str">
        <f>_xlfn.XLOOKUP($B18,'GP5'!$C$6:$C$101,'GP5'!$B$6:$B$101,"")</f>
        <v/>
      </c>
      <c r="N18" s="87">
        <f>_xlfn.XLOOKUP(M18,'GP5'!$B$6:$B$55,'GP5'!$A$6:$A$55,0)</f>
        <v>0</v>
      </c>
      <c r="O18" s="13" t="str">
        <f>_xlfn.XLOOKUP($B18,'GP6'!$C$6:$C$101,'GP6'!$B$6:$B$101,"")</f>
        <v/>
      </c>
      <c r="P18" s="87">
        <f>_xlfn.XLOOKUP(O18,'GP6'!$B$6:$B$55,'GP6'!$A$6:$A$55,0)</f>
        <v>0</v>
      </c>
      <c r="Q18" s="13" t="str">
        <f>_xlfn.XLOOKUP($B18,'GP7'!$C$6:$C$101,'GP7'!$B$6:$B$101,"")</f>
        <v/>
      </c>
      <c r="R18" s="87">
        <f>_xlfn.XLOOKUP(Q18,'GP7'!$B$6:$B$55,'GP7'!$A$6:$A$55,0)</f>
        <v>0</v>
      </c>
      <c r="S18" s="13" t="str">
        <f>_xlfn.XLOOKUP($B18,'GP8'!$C$6:$C$101,'GP8'!$B$6:$B$101,"")</f>
        <v/>
      </c>
      <c r="T18" s="87">
        <f>_xlfn.XLOOKUP(S18,'GP8'!$B$6:$B$55,'GP8'!$A$6:$A$55,0)</f>
        <v>0</v>
      </c>
      <c r="U18" s="13" t="str">
        <f>_xlfn.XLOOKUP(B18,MPW!C$6:C$101,MPW!B$6:B$101,"")</f>
        <v/>
      </c>
      <c r="V18" s="87">
        <f>_xlfn.XLOOKUP(U18,MPW!B$6:B$55,MPW!A$6:A$55,0)</f>
        <v>0</v>
      </c>
      <c r="X18" s="10" t="str">
        <f>_xlfn.XLOOKUP($B18,'PEW1'!$C$6:$C$201,'PEW1'!$B$6:$B$201,"")</f>
        <v/>
      </c>
      <c r="Y18" s="83">
        <f>_xlfn.XLOOKUP(X18,'PEW1'!$B$6:$B$201,'PEW1'!$A$6:$A$201,0)</f>
        <v>0</v>
      </c>
      <c r="Z18" s="10" t="str">
        <f>_xlfn.XLOOKUP($B18,'PEW2'!$C$6:$C$201,'PEW2'!$B$6:$B$201,"")</f>
        <v/>
      </c>
      <c r="AA18" s="83">
        <f>_xlfn.XLOOKUP(Z18,'PEW2'!$B$6:$B$201,'PEW2'!$A$6:$A$201,0)</f>
        <v>0</v>
      </c>
      <c r="AB18" s="10" t="str">
        <f>_xlfn.XLOOKUP($B18,'PEW3'!$C$6:$C$201,'PEW3'!$B$6:$B$201,"")</f>
        <v/>
      </c>
      <c r="AC18" s="83">
        <f>_xlfn.XLOOKUP(AB18,'PEW3'!$B$6:$B$201,'PEW3'!$A$6:$A$201,0)</f>
        <v>0</v>
      </c>
      <c r="AD18" s="10" t="str">
        <f>_xlfn.XLOOKUP($B18,VFC!$C$6:$C$201,VFC!$B$6:$B$201,"")</f>
        <v/>
      </c>
      <c r="AE18" s="83">
        <f>_xlfn.XLOOKUP(AD18,VFC!$B$6:$B$201,VFC!$A$6:$A$201,0)</f>
        <v>0</v>
      </c>
      <c r="AF18" s="10" t="str">
        <f>_xlfn.XLOOKUP($B18,'PEW4'!$C$6:$C$201,'PEW4'!$B$6:$B$201,"")</f>
        <v/>
      </c>
      <c r="AG18" s="83">
        <f>_xlfn.XLOOKUP(AF18,'PEW4'!$B$6:$B$201,'PEW4'!$A$6:$A$201,0)</f>
        <v>0</v>
      </c>
      <c r="AH18" s="10" t="str">
        <f>_xlfn.XLOOKUP($B18,'PEW5'!$C$6:$C$201,'PEW5'!$B$6:$B$201,"")</f>
        <v/>
      </c>
      <c r="AI18" s="83">
        <f>_xlfn.XLOOKUP(AH18,'PEW5'!$B$6:$B$201,'PEW5'!$A$6:$A$201,0)</f>
        <v>0</v>
      </c>
      <c r="AJ18" s="10" t="str">
        <f>_xlfn.XLOOKUP($B18,'PEW6'!$C$6:$C$201,'PEW6'!$B$6:$B$201,"")</f>
        <v/>
      </c>
      <c r="AK18" s="83">
        <f>_xlfn.XLOOKUP(AJ18,'PEW6'!$B$6:$B$201,'PEW6'!$A$6:$A$201,0)</f>
        <v>0</v>
      </c>
      <c r="AL18" s="10" t="str">
        <f>_xlfn.XLOOKUP($B18,'PEW7'!$C$6:$C$201,'PEW7'!$B$6:$B$201,"")</f>
        <v/>
      </c>
      <c r="AM18" s="83">
        <f>_xlfn.XLOOKUP(AL18,'PEW7'!$B$6:$B$201,'PEW7'!$A$6:$A$201,0)</f>
        <v>0</v>
      </c>
      <c r="AN18" s="10" t="str">
        <f>_xlfn.XLOOKUP($B18,'PEW8'!$C$6:$C$201,'PEW8'!$B$6:$B$201,"")</f>
        <v/>
      </c>
      <c r="AO18" s="83">
        <f>_xlfn.XLOOKUP(AN18,'PEW8'!$B$6:$B$201,'PEW8'!$A$6:$A$201,0)</f>
        <v>0</v>
      </c>
      <c r="AP18" s="10" t="str">
        <f>_xlfn.XLOOKUP($B18,'PEW9'!$C$6:$C$201,'PEW9'!$B$6:$B$201,"")</f>
        <v/>
      </c>
      <c r="AQ18" s="83">
        <f>_xlfn.XLOOKUP(AP18,'PEW9'!$B$6:$B$201,'PEW9'!$A$6:$A$201,0)</f>
        <v>0</v>
      </c>
      <c r="AR18" s="10" t="str">
        <f>_xlfn.XLOOKUP($B18,'PEW10'!$C$6:$C$201,'PEW10'!$B$6:$B$201,"")</f>
        <v/>
      </c>
      <c r="AS18" s="83">
        <f>_xlfn.XLOOKUP(AR18,'PEW10'!$B$6:$B$201,'PEW10'!$A$6:$A$201,0)</f>
        <v>0</v>
      </c>
      <c r="AT18" s="10" t="str">
        <f>_xlfn.XLOOKUP($B18,'PEW11'!$C$6:$C$201,'PEW11'!$B$6:$B$201,"")</f>
        <v/>
      </c>
      <c r="AU18" s="83">
        <f>_xlfn.XLOOKUP(AT18,'PEW11'!$B$6:$B$201,'PEW11'!$A$6:$A$201,0)</f>
        <v>0</v>
      </c>
      <c r="AV18" s="10" t="str">
        <f>_xlfn.XLOOKUP($B18,'PEW12'!$C$6:$C$201,'PEW12'!$B$6:$B$201,"")</f>
        <v/>
      </c>
      <c r="AW18" s="83">
        <f>_xlfn.XLOOKUP(AV18,'PEW12'!$B$6:$B$201,'PEW12'!$A$6:$A$201,0)</f>
        <v>0</v>
      </c>
      <c r="AX18" s="10" t="str" cm="1">
        <f t="array" ref="AX18">_xlfn.XLOOKUP($B18,IMEW!C$6:C$201,IMEW!$B$6:B$201,"")</f>
        <v/>
      </c>
      <c r="AY18" s="84">
        <f>_xlfn.XLOOKUP(AX18,IMEW!$B$6:$B$201,IMEW!$A$6:$A$201,0)</f>
        <v>0</v>
      </c>
      <c r="BA18" s="85">
        <f t="shared" si="1"/>
        <v>0</v>
      </c>
      <c r="BB18" s="85">
        <f t="shared" si="2"/>
        <v>0</v>
      </c>
      <c r="BC18" s="85">
        <f t="shared" si="3"/>
        <v>0</v>
      </c>
      <c r="BD18" s="85">
        <f t="shared" si="4"/>
        <v>0</v>
      </c>
      <c r="BE18" s="85">
        <f t="shared" si="5"/>
        <v>0</v>
      </c>
      <c r="BF18" s="85">
        <f t="shared" si="6"/>
        <v>0</v>
      </c>
      <c r="BG18" s="85">
        <f t="shared" si="7"/>
        <v>0</v>
      </c>
    </row>
    <row r="19" spans="1:59" ht="14.85" customHeight="1">
      <c r="A19" s="9">
        <f t="shared" si="0"/>
        <v>14</v>
      </c>
      <c r="B19" s="11" t="s">
        <v>130</v>
      </c>
      <c r="C19" s="12"/>
      <c r="D19" s="80">
        <f>SUM(F19,H19,J19,L19,N19,P19,R19,T19,V19)-SUM(SMALL((F19,H19,J19,L19,N19,P19,R19,T19),1),SMALL((F19,H19,J19,L19,N19,P19,R19,T19),2))+SUM(LARGE((Y19,AA19,AC19,AE19,AG19,AI19,AK19,AM19,AO19,AQ19,AS19,AU19,AW19),1),LARGE((Y19,AA19,AC19,AE19,AG19,AI19,AK19,AM19,AO19,AQ19,AS19,AU19,AW19),2),LARGE((Y19,AA19,AC19,AE19,AG19,AI19,AK19,AM19,AO19,AQ19,AS19,AU19,AW19),3),AY19)</f>
        <v>5.3314807786924829</v>
      </c>
      <c r="E19" s="13" t="str">
        <f>_xlfn.XLOOKUP($B19,'GP1'!$C$6:$C$101,'GP1'!$B$6:$B$101,"")</f>
        <v/>
      </c>
      <c r="F19" s="86">
        <f>_xlfn.XLOOKUP(E19,'GP1'!$B$6:$B$55,'GP1'!$A$6:$A$55,0)</f>
        <v>0</v>
      </c>
      <c r="G19" s="13" t="str">
        <f>_xlfn.XLOOKUP($B19,'GP2'!$C$6:$C$101,'GP2'!$B$6:$B$101,"")</f>
        <v/>
      </c>
      <c r="H19" s="86">
        <f>_xlfn.XLOOKUP(G19,'GP2'!$B$6:$B$55,'GP2'!$A$6:$A$55,0)</f>
        <v>0</v>
      </c>
      <c r="I19" s="13" t="str">
        <f>_xlfn.XLOOKUP($B19,'GP3'!$C$6:$C$101,'GP3'!$B$6:$B$101,"")</f>
        <v/>
      </c>
      <c r="J19" s="86">
        <f>_xlfn.XLOOKUP(I19,'GP3'!$B$6:$B$55,'GP3'!$A$6:$A$55,0)</f>
        <v>0</v>
      </c>
      <c r="K19" s="10" t="str">
        <f>_xlfn.XLOOKUP($B19,'GP4'!$C$6:$C$101,'GP4'!$B$6:$B$101,"")</f>
        <v/>
      </c>
      <c r="L19" s="81">
        <f>_xlfn.XLOOKUP(K19,'GP4'!$B$6:$B$55,'GP4'!$A$6:$A$55,0)</f>
        <v>0</v>
      </c>
      <c r="M19" s="13" t="str">
        <f>_xlfn.XLOOKUP($B19,'GP5'!$C$6:$C$101,'GP5'!$B$6:$B$101,"")</f>
        <v/>
      </c>
      <c r="N19" s="87">
        <f>_xlfn.XLOOKUP(M19,'GP5'!$B$6:$B$55,'GP5'!$A$6:$A$55,0)</f>
        <v>0</v>
      </c>
      <c r="O19" s="13" t="str">
        <f>_xlfn.XLOOKUP($B19,'GP6'!$C$6:$C$101,'GP6'!$B$6:$B$101,"")</f>
        <v/>
      </c>
      <c r="P19" s="87">
        <f>_xlfn.XLOOKUP(O19,'GP6'!$B$6:$B$55,'GP6'!$A$6:$A$55,0)</f>
        <v>0</v>
      </c>
      <c r="Q19" s="13" t="str">
        <f>_xlfn.XLOOKUP($B19,'GP7'!$C$6:$C$101,'GP7'!$B$6:$B$101,"")</f>
        <v/>
      </c>
      <c r="R19" s="87">
        <f>_xlfn.XLOOKUP(Q19,'GP7'!$B$6:$B$55,'GP7'!$A$6:$A$55,0)</f>
        <v>0</v>
      </c>
      <c r="S19" s="13" t="str">
        <f>_xlfn.XLOOKUP($B19,'GP8'!$C$6:$C$101,'GP8'!$B$6:$B$101,"")</f>
        <v/>
      </c>
      <c r="T19" s="87">
        <f>_xlfn.XLOOKUP(S19,'GP8'!$B$6:$B$55,'GP8'!$A$6:$A$55,0)</f>
        <v>0</v>
      </c>
      <c r="U19" s="13" t="str">
        <f>_xlfn.XLOOKUP(B19,MPW!C$6:C$101,MPW!B$6:B$101,"")</f>
        <v/>
      </c>
      <c r="V19" s="87">
        <f>_xlfn.XLOOKUP(U19,MPW!B$6:B$55,MPW!A$6:A$55,0)</f>
        <v>0</v>
      </c>
      <c r="X19" s="10" t="str">
        <f>_xlfn.XLOOKUP($B19,'PEW1'!$C$6:$C$201,'PEW1'!$B$6:$B$201,"")</f>
        <v/>
      </c>
      <c r="Y19" s="83">
        <f>_xlfn.XLOOKUP(X19,'PEW1'!$B$6:$B$201,'PEW1'!$A$6:$A$201,0)</f>
        <v>0</v>
      </c>
      <c r="Z19" s="10" t="str">
        <f>_xlfn.XLOOKUP($B19,'PEW2'!$C$6:$C$201,'PEW2'!$B$6:$B$201,"")</f>
        <v/>
      </c>
      <c r="AA19" s="83">
        <f>_xlfn.XLOOKUP(Z19,'PEW2'!$B$6:$B$201,'PEW2'!$A$6:$A$201,0)</f>
        <v>0</v>
      </c>
      <c r="AB19" s="10" t="str">
        <f>_xlfn.XLOOKUP($B19,'PEW3'!$C$6:$C$201,'PEW3'!$B$6:$B$201,"")</f>
        <v/>
      </c>
      <c r="AC19" s="83">
        <f>_xlfn.XLOOKUP(AB19,'PEW3'!$B$6:$B$201,'PEW3'!$A$6:$A$201,0)</f>
        <v>0</v>
      </c>
      <c r="AD19" s="10" t="str">
        <f>_xlfn.XLOOKUP($B19,VFC!$C$6:$C$201,VFC!$B$6:$B$201,"")</f>
        <v/>
      </c>
      <c r="AE19" s="83">
        <f>_xlfn.XLOOKUP(AD19,VFC!$B$6:$B$201,VFC!$A$6:$A$201,0)</f>
        <v>0</v>
      </c>
      <c r="AF19" s="10" t="str">
        <f>_xlfn.XLOOKUP($B19,'PEW4'!$C$6:$C$201,'PEW4'!$B$6:$B$201,"")</f>
        <v/>
      </c>
      <c r="AG19" s="83">
        <f>_xlfn.XLOOKUP(AF19,'PEW4'!$B$6:$B$201,'PEW4'!$A$6:$A$201,0)</f>
        <v>0</v>
      </c>
      <c r="AH19" s="10" t="str">
        <f>_xlfn.XLOOKUP($B19,'PEW5'!$C$6:$C$201,'PEW5'!$B$6:$B$201,"")</f>
        <v/>
      </c>
      <c r="AI19" s="83">
        <f>_xlfn.XLOOKUP(AH19,'PEW5'!$B$6:$B$201,'PEW5'!$A$6:$A$201,0)</f>
        <v>0</v>
      </c>
      <c r="AJ19" s="10" t="str">
        <f>_xlfn.XLOOKUP($B19,'PEW6'!$C$6:$C$201,'PEW6'!$B$6:$B$201,"")</f>
        <v/>
      </c>
      <c r="AK19" s="83">
        <f>_xlfn.XLOOKUP(AJ19,'PEW6'!$B$6:$B$201,'PEW6'!$A$6:$A$201,0)</f>
        <v>0</v>
      </c>
      <c r="AL19" s="10" t="str">
        <f>_xlfn.XLOOKUP($B19,'PEW7'!$C$6:$C$201,'PEW7'!$B$6:$B$201,"")</f>
        <v/>
      </c>
      <c r="AM19" s="83">
        <f>_xlfn.XLOOKUP(AL19,'PEW7'!$B$6:$B$201,'PEW7'!$A$6:$A$201,0)</f>
        <v>0</v>
      </c>
      <c r="AN19" s="10" t="str">
        <f>_xlfn.XLOOKUP($B19,'PEW8'!$C$6:$C$201,'PEW8'!$B$6:$B$201,"")</f>
        <v/>
      </c>
      <c r="AO19" s="83">
        <f>_xlfn.XLOOKUP(AN19,'PEW8'!$B$6:$B$201,'PEW8'!$A$6:$A$201,0)</f>
        <v>0</v>
      </c>
      <c r="AP19" s="10" t="str">
        <f>_xlfn.XLOOKUP($B19,'PEW9'!$C$6:$C$201,'PEW9'!$B$6:$B$201,"")</f>
        <v/>
      </c>
      <c r="AQ19" s="83">
        <f>_xlfn.XLOOKUP(AP19,'PEW9'!$B$6:$B$201,'PEW9'!$A$6:$A$201,0)</f>
        <v>0</v>
      </c>
      <c r="AR19" s="10" t="str">
        <f>_xlfn.XLOOKUP($B19,'PEW10'!$C$6:$C$201,'PEW10'!$B$6:$B$201,"")</f>
        <v/>
      </c>
      <c r="AS19" s="83">
        <f>_xlfn.XLOOKUP(AR19,'PEW10'!$B$6:$B$201,'PEW10'!$A$6:$A$201,0)</f>
        <v>0</v>
      </c>
      <c r="AT19" s="10" t="str">
        <f>_xlfn.XLOOKUP($B19,'PEW11'!$C$6:$C$201,'PEW11'!$B$6:$B$201,"")</f>
        <v/>
      </c>
      <c r="AU19" s="83">
        <f>_xlfn.XLOOKUP(AT19,'PEW11'!$B$6:$B$201,'PEW11'!$A$6:$A$201,0)</f>
        <v>0</v>
      </c>
      <c r="AV19" s="10" t="str">
        <f>_xlfn.XLOOKUP($B19,'PEW12'!$C$6:$C$201,'PEW12'!$B$6:$B$201,"")</f>
        <v/>
      </c>
      <c r="AW19" s="83">
        <f>_xlfn.XLOOKUP(AV19,'PEW12'!$B$6:$B$201,'PEW12'!$A$6:$A$201,0)</f>
        <v>0</v>
      </c>
      <c r="AX19" s="10" cm="1">
        <f t="array" ref="AX19">_xlfn.XLOOKUP($B19,IMEW!C$6:C$201,IMEW!$B$6:B$201,"")</f>
        <v>45</v>
      </c>
      <c r="AY19" s="84">
        <f>_xlfn.XLOOKUP(AX19,IMEW!$B$6:$B$201,IMEW!$A$6:$A$201,0)</f>
        <v>5.3314807786924829</v>
      </c>
      <c r="BA19" s="85">
        <f t="shared" si="1"/>
        <v>0</v>
      </c>
      <c r="BB19" s="85">
        <f t="shared" si="2"/>
        <v>0</v>
      </c>
      <c r="BC19" s="85">
        <f t="shared" si="3"/>
        <v>0</v>
      </c>
      <c r="BD19" s="85">
        <f t="shared" si="4"/>
        <v>0</v>
      </c>
      <c r="BE19" s="85">
        <f t="shared" si="5"/>
        <v>0</v>
      </c>
      <c r="BF19" s="85">
        <f t="shared" si="6"/>
        <v>0</v>
      </c>
      <c r="BG19" s="85">
        <f t="shared" si="7"/>
        <v>0</v>
      </c>
    </row>
    <row r="20" spans="1:59" ht="14.85" customHeight="1">
      <c r="A20" s="9">
        <f t="shared" si="0"/>
        <v>15</v>
      </c>
      <c r="B20" s="11" t="s">
        <v>31</v>
      </c>
      <c r="C20" s="12"/>
      <c r="D20" s="80">
        <f>SUM(F20,H20,J20,L20,N20,P20,R20,T20,V20)-SUM(SMALL((F20,H20,J20,L20,N20,P20,R20,T20),1),SMALL((F20,H20,J20,L20,N20,P20,R20,T20),2))+SUM(LARGE((Y20,AA20,AC20,AE20,AG20,AI20,AK20,AM20,AO20,AQ20,AS20,AU20,AW20),1),LARGE((Y20,AA20,AC20,AE20,AG20,AI20,AK20,AM20,AO20,AQ20,AS20,AU20,AW20),2),LARGE((Y20,AA20,AC20,AE20,AG20,AI20,AK20,AM20,AO20,AQ20,AS20,AU20,AW20),3),AY20)</f>
        <v>2.2000000000000002</v>
      </c>
      <c r="E20" s="13" t="str">
        <f>_xlfn.XLOOKUP($B20,'GP1'!$C$6:$C$101,'GP1'!$B$6:$B$101,"")</f>
        <v/>
      </c>
      <c r="F20" s="86">
        <f>_xlfn.XLOOKUP(E20,'GP1'!$B$6:$B$55,'GP1'!$A$6:$A$55,0)</f>
        <v>0</v>
      </c>
      <c r="G20" s="13" t="str">
        <f>_xlfn.XLOOKUP($B20,'GP2'!$C$6:$C$101,'GP2'!$B$6:$B$101,"")</f>
        <v/>
      </c>
      <c r="H20" s="86">
        <f>_xlfn.XLOOKUP(G20,'GP2'!$B$6:$B$55,'GP2'!$A$6:$A$55,0)</f>
        <v>0</v>
      </c>
      <c r="I20" s="13" t="str">
        <f>_xlfn.XLOOKUP($B20,'GP3'!$C$6:$C$101,'GP3'!$B$6:$B$101,"")</f>
        <v/>
      </c>
      <c r="J20" s="86">
        <f>_xlfn.XLOOKUP(I20,'GP3'!$B$6:$B$55,'GP3'!$A$6:$A$55,0)</f>
        <v>0</v>
      </c>
      <c r="K20" s="10" t="str">
        <f>_xlfn.XLOOKUP($B20,'GP4'!$C$6:$C$101,'GP4'!$B$6:$B$101,"")</f>
        <v/>
      </c>
      <c r="L20" s="81">
        <f>_xlfn.XLOOKUP(K20,'GP4'!$B$6:$B$55,'GP4'!$A$6:$A$55,0)</f>
        <v>0</v>
      </c>
      <c r="M20" s="13" t="str">
        <f>_xlfn.XLOOKUP($B20,'GP5'!$C$6:$C$101,'GP5'!$B$6:$B$101,"")</f>
        <v/>
      </c>
      <c r="N20" s="87">
        <f>_xlfn.XLOOKUP(M20,'GP5'!$B$6:$B$55,'GP5'!$A$6:$A$55,0)</f>
        <v>0</v>
      </c>
      <c r="O20" s="13" t="str">
        <f>_xlfn.XLOOKUP($B20,'GP6'!$C$6:$C$101,'GP6'!$B$6:$B$101,"")</f>
        <v/>
      </c>
      <c r="P20" s="87">
        <f>_xlfn.XLOOKUP(O20,'GP6'!$B$6:$B$55,'GP6'!$A$6:$A$55,0)</f>
        <v>0</v>
      </c>
      <c r="Q20" s="13">
        <f>_xlfn.XLOOKUP($B20,'GP7'!$C$6:$C$101,'GP7'!$B$6:$B$101,"")</f>
        <v>12</v>
      </c>
      <c r="R20" s="87">
        <f>_xlfn.XLOOKUP(Q20,'GP7'!$B$6:$B$55,'GP7'!$A$6:$A$55,0)</f>
        <v>1</v>
      </c>
      <c r="S20" s="13" t="str">
        <f>_xlfn.XLOOKUP($B20,'GP8'!$C$6:$C$101,'GP8'!$B$6:$B$101,"")</f>
        <v/>
      </c>
      <c r="T20" s="87">
        <f>_xlfn.XLOOKUP(S20,'GP8'!$B$6:$B$55,'GP8'!$A$6:$A$55,0)</f>
        <v>0</v>
      </c>
      <c r="U20" s="13">
        <f>_xlfn.XLOOKUP(B20,MPW!C$6:C$101,MPW!B$6:B$101,"")</f>
        <v>11</v>
      </c>
      <c r="V20" s="87">
        <f>_xlfn.XLOOKUP(U20,MPW!B$6:B$55,MPW!A$6:A$55,0)</f>
        <v>1.2</v>
      </c>
      <c r="X20" s="10" t="str">
        <f>_xlfn.XLOOKUP($B20,'PEW1'!$C$6:$C$201,'PEW1'!$B$6:$B$201,"")</f>
        <v/>
      </c>
      <c r="Y20" s="83">
        <f>_xlfn.XLOOKUP(X20,'PEW1'!$B$6:$B$201,'PEW1'!$A$6:$A$201,0)</f>
        <v>0</v>
      </c>
      <c r="Z20" s="10" t="str">
        <f>_xlfn.XLOOKUP($B20,'PEW2'!$C$6:$C$201,'PEW2'!$B$6:$B$201,"")</f>
        <v/>
      </c>
      <c r="AA20" s="83">
        <f>_xlfn.XLOOKUP(Z20,'PEW2'!$B$6:$B$201,'PEW2'!$A$6:$A$201,0)</f>
        <v>0</v>
      </c>
      <c r="AB20" s="10" t="str">
        <f>_xlfn.XLOOKUP($B20,'PEW3'!$C$6:$C$201,'PEW3'!$B$6:$B$201,"")</f>
        <v/>
      </c>
      <c r="AC20" s="83">
        <f>_xlfn.XLOOKUP(AB20,'PEW3'!$B$6:$B$201,'PEW3'!$A$6:$A$201,0)</f>
        <v>0</v>
      </c>
      <c r="AD20" s="10" t="str">
        <f>_xlfn.XLOOKUP($B20,VFC!$C$6:$C$201,VFC!$B$6:$B$201,"")</f>
        <v/>
      </c>
      <c r="AE20" s="83">
        <f>_xlfn.XLOOKUP(AD20,VFC!$B$6:$B$201,VFC!$A$6:$A$201,0)</f>
        <v>0</v>
      </c>
      <c r="AF20" s="10" t="str">
        <f>_xlfn.XLOOKUP($B20,'PEW4'!$C$6:$C$201,'PEW4'!$B$6:$B$201,"")</f>
        <v/>
      </c>
      <c r="AG20" s="83">
        <f>_xlfn.XLOOKUP(AF20,'PEW4'!$B$6:$B$201,'PEW4'!$A$6:$A$201,0)</f>
        <v>0</v>
      </c>
      <c r="AH20" s="10" t="str">
        <f>_xlfn.XLOOKUP($B20,'PEW5'!$C$6:$C$201,'PEW5'!$B$6:$B$201,"")</f>
        <v/>
      </c>
      <c r="AI20" s="83">
        <f>_xlfn.XLOOKUP(AH20,'PEW5'!$B$6:$B$201,'PEW5'!$A$6:$A$201,0)</f>
        <v>0</v>
      </c>
      <c r="AJ20" s="10" t="str">
        <f>_xlfn.XLOOKUP($B20,'PEW6'!$C$6:$C$201,'PEW6'!$B$6:$B$201,"")</f>
        <v/>
      </c>
      <c r="AK20" s="83">
        <f>_xlfn.XLOOKUP(AJ20,'PEW6'!$B$6:$B$201,'PEW6'!$A$6:$A$201,0)</f>
        <v>0</v>
      </c>
      <c r="AL20" s="10" t="str">
        <f>_xlfn.XLOOKUP($B20,'PEW7'!$C$6:$C$201,'PEW7'!$B$6:$B$201,"")</f>
        <v/>
      </c>
      <c r="AM20" s="83">
        <f>_xlfn.XLOOKUP(AL20,'PEW7'!$B$6:$B$201,'PEW7'!$A$6:$A$201,0)</f>
        <v>0</v>
      </c>
      <c r="AN20" s="10" t="str">
        <f>_xlfn.XLOOKUP($B20,'PEW8'!$C$6:$C$201,'PEW8'!$B$6:$B$201,"")</f>
        <v/>
      </c>
      <c r="AO20" s="83">
        <f>_xlfn.XLOOKUP(AN20,'PEW8'!$B$6:$B$201,'PEW8'!$A$6:$A$201,0)</f>
        <v>0</v>
      </c>
      <c r="AP20" s="10" t="str">
        <f>_xlfn.XLOOKUP($B20,'PEW9'!$C$6:$C$201,'PEW9'!$B$6:$B$201,"")</f>
        <v/>
      </c>
      <c r="AQ20" s="83">
        <f>_xlfn.XLOOKUP(AP20,'PEW9'!$B$6:$B$201,'PEW9'!$A$6:$A$201,0)</f>
        <v>0</v>
      </c>
      <c r="AR20" s="10" t="str">
        <f>_xlfn.XLOOKUP($B20,'PEW10'!$C$6:$C$201,'PEW10'!$B$6:$B$201,"")</f>
        <v/>
      </c>
      <c r="AS20" s="83">
        <f>_xlfn.XLOOKUP(AR20,'PEW10'!$B$6:$B$201,'PEW10'!$A$6:$A$201,0)</f>
        <v>0</v>
      </c>
      <c r="AT20" s="10" t="str">
        <f>_xlfn.XLOOKUP($B20,'PEW11'!$C$6:$C$201,'PEW11'!$B$6:$B$201,"")</f>
        <v/>
      </c>
      <c r="AU20" s="83">
        <f>_xlfn.XLOOKUP(AT20,'PEW11'!$B$6:$B$201,'PEW11'!$A$6:$A$201,0)</f>
        <v>0</v>
      </c>
      <c r="AV20" s="10" t="str">
        <f>_xlfn.XLOOKUP($B20,'PEW12'!$C$6:$C$201,'PEW12'!$B$6:$B$201,"")</f>
        <v/>
      </c>
      <c r="AW20" s="83">
        <f>_xlfn.XLOOKUP(AV20,'PEW12'!$B$6:$B$201,'PEW12'!$A$6:$A$201,0)</f>
        <v>0</v>
      </c>
      <c r="AX20" s="10" t="str" cm="1">
        <f t="array" ref="AX20">_xlfn.XLOOKUP($B20,IMEW!C$6:C$201,IMEW!$B$6:B$201,"")</f>
        <v/>
      </c>
      <c r="AY20" s="84">
        <f>_xlfn.XLOOKUP(AX20,IMEW!$B$6:$B$201,IMEW!$A$6:$A$201,0)</f>
        <v>0</v>
      </c>
      <c r="BA20" s="85">
        <f t="shared" si="1"/>
        <v>0</v>
      </c>
      <c r="BB20" s="85">
        <f t="shared" si="2"/>
        <v>0</v>
      </c>
      <c r="BC20" s="85">
        <f t="shared" si="3"/>
        <v>0</v>
      </c>
      <c r="BD20" s="85">
        <f t="shared" si="4"/>
        <v>0</v>
      </c>
      <c r="BE20" s="85">
        <f t="shared" si="5"/>
        <v>0</v>
      </c>
      <c r="BF20" s="85">
        <f t="shared" si="6"/>
        <v>0</v>
      </c>
      <c r="BG20" s="85">
        <f t="shared" si="7"/>
        <v>0</v>
      </c>
    </row>
    <row r="21" spans="1:59" ht="14.85" customHeight="1">
      <c r="A21" s="9">
        <f t="shared" si="0"/>
        <v>16</v>
      </c>
      <c r="B21" s="11" t="s">
        <v>32</v>
      </c>
      <c r="C21" s="12"/>
      <c r="D21" s="80">
        <f>SUM(F21,H21,J21,L21,N21,P21,R21,T21,V21)-SUM(SMALL((F21,H21,J21,L21,N21,P21,R21,T21),1),SMALL((F21,H21,J21,L21,N21,P21,R21,T21),2))+SUM(LARGE((Y21,AA21,AC21,AE21,AG21,AI21,AK21,AM21,AO21,AQ21,AS21,AU21,AW21),1),LARGE((Y21,AA21,AC21,AE21,AG21,AI21,AK21,AM21,AO21,AQ21,AS21,AU21,AW21),2),LARGE((Y21,AA21,AC21,AE21,AG21,AI21,AK21,AM21,AO21,AQ21,AS21,AU21,AW21),3),AY21)</f>
        <v>2</v>
      </c>
      <c r="E21" s="13" t="str">
        <f>_xlfn.XLOOKUP($B21,'GP1'!$C$6:$C$101,'GP1'!$B$6:$B$101,"")</f>
        <v/>
      </c>
      <c r="F21" s="86">
        <f>_xlfn.XLOOKUP(E21,'GP1'!$B$6:$B$55,'GP1'!$A$6:$A$55,0)</f>
        <v>0</v>
      </c>
      <c r="G21" s="13" t="str">
        <f>_xlfn.XLOOKUP($B21,'GP2'!$C$6:$C$101,'GP2'!$B$6:$B$101,"")</f>
        <v/>
      </c>
      <c r="H21" s="86">
        <f>_xlfn.XLOOKUP(G21,'GP2'!$B$6:$B$55,'GP2'!$A$6:$A$55,0)</f>
        <v>0</v>
      </c>
      <c r="I21" s="13" t="str">
        <f>_xlfn.XLOOKUP($B21,'GP3'!$C$6:$C$101,'GP3'!$B$6:$B$101,"")</f>
        <v/>
      </c>
      <c r="J21" s="86">
        <f>_xlfn.XLOOKUP(I21,'GP3'!$B$6:$B$55,'GP3'!$A$6:$A$55,0)</f>
        <v>0</v>
      </c>
      <c r="K21" s="10">
        <f>_xlfn.XLOOKUP($B21,'GP4'!$C$6:$C$101,'GP4'!$B$6:$B$101,"")</f>
        <v>12</v>
      </c>
      <c r="L21" s="81">
        <f>_xlfn.XLOOKUP(K21,'GP4'!$B$6:$B$55,'GP4'!$A$6:$A$55,0)</f>
        <v>1</v>
      </c>
      <c r="M21" s="13" t="str">
        <f>_xlfn.XLOOKUP($B21,'GP5'!$C$6:$C$101,'GP5'!$B$6:$B$101,"")</f>
        <v/>
      </c>
      <c r="N21" s="87">
        <f>_xlfn.XLOOKUP(M21,'GP5'!$B$6:$B$55,'GP5'!$A$6:$A$55,0)</f>
        <v>0</v>
      </c>
      <c r="O21" s="13" t="str">
        <f>_xlfn.XLOOKUP($B21,'GP6'!$C$6:$C$101,'GP6'!$B$6:$B$101,"")</f>
        <v/>
      </c>
      <c r="P21" s="87">
        <f>_xlfn.XLOOKUP(O21,'GP6'!$B$6:$B$55,'GP6'!$A$6:$A$55,0)</f>
        <v>0</v>
      </c>
      <c r="Q21" s="13" t="str">
        <f>_xlfn.XLOOKUP($B21,'GP7'!$C$6:$C$101,'GP7'!$B$6:$B$101,"")</f>
        <v/>
      </c>
      <c r="R21" s="87">
        <f>_xlfn.XLOOKUP(Q21,'GP7'!$B$6:$B$55,'GP7'!$A$6:$A$55,0)</f>
        <v>0</v>
      </c>
      <c r="S21" s="13">
        <f>_xlfn.XLOOKUP($B21,'GP8'!$C$6:$C$101,'GP8'!$B$6:$B$101,"")</f>
        <v>7</v>
      </c>
      <c r="T21" s="87">
        <f>_xlfn.XLOOKUP(S21,'GP8'!$B$6:$B$55,'GP8'!$A$6:$A$55,0)</f>
        <v>1</v>
      </c>
      <c r="U21" s="13" t="str">
        <f>_xlfn.XLOOKUP(B21,MPW!C$6:C$101,MPW!B$6:B$101,"")</f>
        <v/>
      </c>
      <c r="V21" s="87">
        <f>_xlfn.XLOOKUP(U21,MPW!B$6:B$55,MPW!A$6:A$55,0)</f>
        <v>0</v>
      </c>
      <c r="X21" s="10" t="str">
        <f>_xlfn.XLOOKUP($B21,'PEW1'!$C$6:$C$201,'PEW1'!$B$6:$B$201,"")</f>
        <v/>
      </c>
      <c r="Y21" s="83">
        <f>_xlfn.XLOOKUP(X21,'PEW1'!$B$6:$B$201,'PEW1'!$A$6:$A$201,0)</f>
        <v>0</v>
      </c>
      <c r="Z21" s="10" t="str">
        <f>_xlfn.XLOOKUP($B21,'PEW2'!$C$6:$C$201,'PEW2'!$B$6:$B$201,"")</f>
        <v/>
      </c>
      <c r="AA21" s="83">
        <f>_xlfn.XLOOKUP(Z21,'PEW2'!$B$6:$B$201,'PEW2'!$A$6:$A$201,0)</f>
        <v>0</v>
      </c>
      <c r="AB21" s="10" t="str">
        <f>_xlfn.XLOOKUP($B21,'PEW3'!$C$6:$C$201,'PEW3'!$B$6:$B$201,"")</f>
        <v/>
      </c>
      <c r="AC21" s="83">
        <f>_xlfn.XLOOKUP(AB21,'PEW3'!$B$6:$B$201,'PEW3'!$A$6:$A$201,0)</f>
        <v>0</v>
      </c>
      <c r="AD21" s="10" t="str">
        <f>_xlfn.XLOOKUP($B21,VFC!$C$6:$C$201,VFC!$B$6:$B$201,"")</f>
        <v/>
      </c>
      <c r="AE21" s="83">
        <f>_xlfn.XLOOKUP(AD21,VFC!$B$6:$B$201,VFC!$A$6:$A$201,0)</f>
        <v>0</v>
      </c>
      <c r="AF21" s="10" t="str">
        <f>_xlfn.XLOOKUP($B21,'PEW4'!$C$6:$C$201,'PEW4'!$B$6:$B$201,"")</f>
        <v/>
      </c>
      <c r="AG21" s="83">
        <f>_xlfn.XLOOKUP(AF21,'PEW4'!$B$6:$B$201,'PEW4'!$A$6:$A$201,0)</f>
        <v>0</v>
      </c>
      <c r="AH21" s="10" t="str">
        <f>_xlfn.XLOOKUP($B21,'PEW5'!$C$6:$C$201,'PEW5'!$B$6:$B$201,"")</f>
        <v/>
      </c>
      <c r="AI21" s="83">
        <f>_xlfn.XLOOKUP(AH21,'PEW5'!$B$6:$B$201,'PEW5'!$A$6:$A$201,0)</f>
        <v>0</v>
      </c>
      <c r="AJ21" s="10" t="str">
        <f>_xlfn.XLOOKUP($B21,'PEW6'!$C$6:$C$201,'PEW6'!$B$6:$B$201,"")</f>
        <v/>
      </c>
      <c r="AK21" s="83">
        <f>_xlfn.XLOOKUP(AJ21,'PEW6'!$B$6:$B$201,'PEW6'!$A$6:$A$201,0)</f>
        <v>0</v>
      </c>
      <c r="AL21" s="10" t="str">
        <f>_xlfn.XLOOKUP($B21,'PEW7'!$C$6:$C$201,'PEW7'!$B$6:$B$201,"")</f>
        <v/>
      </c>
      <c r="AM21" s="83">
        <f>_xlfn.XLOOKUP(AL21,'PEW7'!$B$6:$B$201,'PEW7'!$A$6:$A$201,0)</f>
        <v>0</v>
      </c>
      <c r="AN21" s="10" t="str">
        <f>_xlfn.XLOOKUP($B21,'PEW8'!$C$6:$C$201,'PEW8'!$B$6:$B$201,"")</f>
        <v/>
      </c>
      <c r="AO21" s="83">
        <f>_xlfn.XLOOKUP(AN21,'PEW8'!$B$6:$B$201,'PEW8'!$A$6:$A$201,0)</f>
        <v>0</v>
      </c>
      <c r="AP21" s="10" t="str">
        <f>_xlfn.XLOOKUP($B21,'PEW9'!$C$6:$C$201,'PEW9'!$B$6:$B$201,"")</f>
        <v/>
      </c>
      <c r="AQ21" s="83">
        <f>_xlfn.XLOOKUP(AP21,'PEW9'!$B$6:$B$201,'PEW9'!$A$6:$A$201,0)</f>
        <v>0</v>
      </c>
      <c r="AR21" s="10" t="str">
        <f>_xlfn.XLOOKUP($B21,'PEW10'!$C$6:$C$201,'PEW10'!$B$6:$B$201,"")</f>
        <v/>
      </c>
      <c r="AS21" s="83">
        <f>_xlfn.XLOOKUP(AR21,'PEW10'!$B$6:$B$201,'PEW10'!$A$6:$A$201,0)</f>
        <v>0</v>
      </c>
      <c r="AT21" s="10" t="str">
        <f>_xlfn.XLOOKUP($B21,'PEW11'!$C$6:$C$201,'PEW11'!$B$6:$B$201,"")</f>
        <v/>
      </c>
      <c r="AU21" s="83">
        <f>_xlfn.XLOOKUP(AT21,'PEW11'!$B$6:$B$201,'PEW11'!$A$6:$A$201,0)</f>
        <v>0</v>
      </c>
      <c r="AV21" s="10" t="str">
        <f>_xlfn.XLOOKUP($B21,'PEW12'!$C$6:$C$201,'PEW12'!$B$6:$B$201,"")</f>
        <v/>
      </c>
      <c r="AW21" s="83">
        <f>_xlfn.XLOOKUP(AV21,'PEW12'!$B$6:$B$201,'PEW12'!$A$6:$A$201,0)</f>
        <v>0</v>
      </c>
      <c r="AX21" s="10" t="str" cm="1">
        <f t="array" ref="AX21">_xlfn.XLOOKUP($B21,IMEW!C$6:C$201,IMEW!$B$6:B$201,"")</f>
        <v/>
      </c>
      <c r="AY21" s="84">
        <f>_xlfn.XLOOKUP(AX21,IMEW!$B$6:$B$201,IMEW!$A$6:$A$201,0)</f>
        <v>0</v>
      </c>
      <c r="BA21" s="85">
        <f t="shared" si="1"/>
        <v>0</v>
      </c>
      <c r="BB21" s="85">
        <f t="shared" si="2"/>
        <v>0</v>
      </c>
      <c r="BC21" s="85">
        <f t="shared" si="3"/>
        <v>0</v>
      </c>
      <c r="BD21" s="85">
        <f t="shared" si="4"/>
        <v>0</v>
      </c>
      <c r="BE21" s="85">
        <f t="shared" si="5"/>
        <v>0</v>
      </c>
      <c r="BF21" s="85">
        <f t="shared" si="6"/>
        <v>0</v>
      </c>
      <c r="BG21" s="85">
        <f t="shared" si="7"/>
        <v>0</v>
      </c>
    </row>
    <row r="22" spans="1:59" ht="14.85" customHeight="1">
      <c r="A22" s="9">
        <f t="shared" si="0"/>
        <v>17</v>
      </c>
      <c r="B22" s="267" t="s">
        <v>33</v>
      </c>
      <c r="C22" s="12"/>
      <c r="D22" s="80">
        <f>SUM(F22,H22,J22,L22,N22,P22,R22,T22,V22)-SUM(SMALL((F22,H22,J22,L22,N22,P22,R22,T22),1),SMALL((F22,H22,J22,L22,N22,P22,R22,T22),2))+SUM(LARGE((Y22,AA22,AC22,AE22,AG22,AI22,AK22,AM22,AO22,AQ22,AS22,AU22,AW22),1),LARGE((Y22,AA22,AC22,AE22,AG22,AI22,AK22,AM22,AO22,AQ22,AS22,AU22,AW22),2),LARGE((Y22,AA22,AC22,AE22,AG22,AI22,AK22,AM22,AO22,AQ22,AS22,AU22,AW22),3),AY22)</f>
        <v>8.8779352550114297</v>
      </c>
      <c r="E22" s="13" t="str">
        <f>_xlfn.XLOOKUP($B22,'GP1'!$C$6:$C$101,'GP1'!$B$6:$B$101,"")</f>
        <v/>
      </c>
      <c r="F22" s="86">
        <f>_xlfn.XLOOKUP(E22,'GP1'!$B$6:$B$55,'GP1'!$A$6:$A$55,0)</f>
        <v>0</v>
      </c>
      <c r="G22" s="13">
        <f>_xlfn.XLOOKUP($B22,'GP2'!$C$6:$C$101,'GP2'!$B$6:$B$101,"")</f>
        <v>10</v>
      </c>
      <c r="H22" s="86">
        <f>_xlfn.XLOOKUP(G22,'GP2'!$B$6:$B$55,'GP2'!$A$6:$A$55,0)</f>
        <v>1</v>
      </c>
      <c r="I22" s="13" t="str">
        <f>_xlfn.XLOOKUP($B22,'GP3'!$C$6:$C$101,'GP3'!$B$6:$B$101,"")</f>
        <v/>
      </c>
      <c r="J22" s="86">
        <f>_xlfn.XLOOKUP(I22,'GP3'!$B$6:$B$55,'GP3'!$A$6:$A$55,0)</f>
        <v>0</v>
      </c>
      <c r="K22" s="10" t="str">
        <f>_xlfn.XLOOKUP($B22,'GP4'!$C$6:$C$101,'GP4'!$B$6:$B$101,"")</f>
        <v/>
      </c>
      <c r="L22" s="81">
        <f>_xlfn.XLOOKUP(K22,'GP4'!$B$6:$B$55,'GP4'!$A$6:$A$55,0)</f>
        <v>0</v>
      </c>
      <c r="M22" s="13" t="str">
        <f>_xlfn.XLOOKUP($B22,'GP5'!$C$6:$C$101,'GP5'!$B$6:$B$101,"")</f>
        <v/>
      </c>
      <c r="N22" s="87">
        <f>_xlfn.XLOOKUP(M22,'GP5'!$B$6:$B$55,'GP5'!$A$6:$A$55,0)</f>
        <v>0</v>
      </c>
      <c r="O22" s="13" t="str">
        <f>_xlfn.XLOOKUP($B22,'GP6'!$C$6:$C$101,'GP6'!$B$6:$B$101,"")</f>
        <v/>
      </c>
      <c r="P22" s="87">
        <f>_xlfn.XLOOKUP(O22,'GP6'!$B$6:$B$55,'GP6'!$A$6:$A$55,0)</f>
        <v>0</v>
      </c>
      <c r="Q22" s="13" t="str">
        <f>_xlfn.XLOOKUP($B22,'GP7'!$C$6:$C$101,'GP7'!$B$6:$B$101,"")</f>
        <v/>
      </c>
      <c r="R22" s="87">
        <f>_xlfn.XLOOKUP(Q22,'GP7'!$B$6:$B$55,'GP7'!$A$6:$A$55,0)</f>
        <v>0</v>
      </c>
      <c r="S22" s="13" t="str">
        <f>_xlfn.XLOOKUP($B22,'GP8'!$C$6:$C$101,'GP8'!$B$6:$B$101,"")</f>
        <v/>
      </c>
      <c r="T22" s="87">
        <f>_xlfn.XLOOKUP(S22,'GP8'!$B$6:$B$55,'GP8'!$A$6:$A$55,0)</f>
        <v>0</v>
      </c>
      <c r="U22" s="13" t="str">
        <f>_xlfn.XLOOKUP(B22,MPW!C$6:C$101,MPW!B$6:B$101,"")</f>
        <v/>
      </c>
      <c r="V22" s="87">
        <f>_xlfn.XLOOKUP(U22,MPW!B$6:B$55,MPW!A$6:A$55,0)</f>
        <v>0</v>
      </c>
      <c r="X22" s="10" t="str">
        <f>_xlfn.XLOOKUP($B22,'PEW1'!$C$6:$C$201,'PEW1'!$B$6:$B$201,"")</f>
        <v/>
      </c>
      <c r="Y22" s="83">
        <f>_xlfn.XLOOKUP(X22,'PEW1'!$B$6:$B$201,'PEW1'!$A$6:$A$201,0)</f>
        <v>0</v>
      </c>
      <c r="Z22" s="10" t="str">
        <f>_xlfn.XLOOKUP($B22,'PEW2'!$C$6:$C$201,'PEW2'!$B$6:$B$201,"")</f>
        <v/>
      </c>
      <c r="AA22" s="83">
        <f>_xlfn.XLOOKUP(Z22,'PEW2'!$B$6:$B$201,'PEW2'!$A$6:$A$201,0)</f>
        <v>0</v>
      </c>
      <c r="AB22" s="10" t="str">
        <f>_xlfn.XLOOKUP($B22,'PEW3'!$C$6:$C$201,'PEW3'!$B$6:$B$201,"")</f>
        <v/>
      </c>
      <c r="AC22" s="83">
        <f>_xlfn.XLOOKUP(AB22,'PEW3'!$B$6:$B$201,'PEW3'!$A$6:$A$201,0)</f>
        <v>0</v>
      </c>
      <c r="AD22" s="10" t="str">
        <f>_xlfn.XLOOKUP($B22,VFC!$C$6:$C$201,VFC!$B$6:$B$201,"")</f>
        <v/>
      </c>
      <c r="AE22" s="83">
        <f>_xlfn.XLOOKUP(AD22,VFC!$B$6:$B$201,VFC!$A$6:$A$201,0)</f>
        <v>0</v>
      </c>
      <c r="AF22" s="10" t="str">
        <f>_xlfn.XLOOKUP($B22,'PEW4'!$C$6:$C$201,'PEW4'!$B$6:$B$201,"")</f>
        <v/>
      </c>
      <c r="AG22" s="83">
        <f>_xlfn.XLOOKUP(AF22,'PEW4'!$B$6:$B$201,'PEW4'!$A$6:$A$201,0)</f>
        <v>0</v>
      </c>
      <c r="AH22" s="10" t="str">
        <f>_xlfn.XLOOKUP($B22,'PEW5'!$C$6:$C$201,'PEW5'!$B$6:$B$201,"")</f>
        <v/>
      </c>
      <c r="AI22" s="83">
        <f>_xlfn.XLOOKUP(AH22,'PEW5'!$B$6:$B$201,'PEW5'!$A$6:$A$201,0)</f>
        <v>0</v>
      </c>
      <c r="AJ22" s="10" t="str">
        <f>_xlfn.XLOOKUP($B22,'PEW6'!$C$6:$C$201,'PEW6'!$B$6:$B$201,"")</f>
        <v/>
      </c>
      <c r="AK22" s="83">
        <f>_xlfn.XLOOKUP(AJ22,'PEW6'!$B$6:$B$201,'PEW6'!$A$6:$A$201,0)</f>
        <v>0</v>
      </c>
      <c r="AL22" s="10" t="str">
        <f>_xlfn.XLOOKUP($B22,'PEW7'!$C$6:$C$201,'PEW7'!$B$6:$B$201,"")</f>
        <v/>
      </c>
      <c r="AM22" s="83">
        <f>_xlfn.XLOOKUP(AL22,'PEW7'!$B$6:$B$201,'PEW7'!$A$6:$A$201,0)</f>
        <v>0</v>
      </c>
      <c r="AN22" s="10" t="str">
        <f>_xlfn.XLOOKUP($B22,'PEW8'!$C$6:$C$201,'PEW8'!$B$6:$B$201,"")</f>
        <v/>
      </c>
      <c r="AO22" s="83">
        <f>_xlfn.XLOOKUP(AN22,'PEW8'!$B$6:$B$201,'PEW8'!$A$6:$A$201,0)</f>
        <v>0</v>
      </c>
      <c r="AP22" s="10" t="str">
        <f>_xlfn.XLOOKUP($B22,'PEW9'!$C$6:$C$201,'PEW9'!$B$6:$B$201,"")</f>
        <v/>
      </c>
      <c r="AQ22" s="83">
        <f>_xlfn.XLOOKUP(AP22,'PEW9'!$B$6:$B$201,'PEW9'!$A$6:$A$201,0)</f>
        <v>0</v>
      </c>
      <c r="AR22" s="10">
        <f>_xlfn.XLOOKUP($B22,'PEW10'!$C$6:$C$201,'PEW10'!$B$6:$B$201,"")</f>
        <v>17</v>
      </c>
      <c r="AS22" s="83">
        <f>_xlfn.XLOOKUP(AR22,'PEW10'!$B$6:$B$201,'PEW10'!$A$6:$A$201,0)</f>
        <v>7.8779352550114297</v>
      </c>
      <c r="AT22" s="10" t="str">
        <f>_xlfn.XLOOKUP($B22,'PEW11'!$C$6:$C$201,'PEW11'!$B$6:$B$201,"")</f>
        <v/>
      </c>
      <c r="AU22" s="83">
        <f>_xlfn.XLOOKUP(AT22,'PEW11'!$B$6:$B$201,'PEW11'!$A$6:$A$201,0)</f>
        <v>0</v>
      </c>
      <c r="AV22" s="10" t="str">
        <f>_xlfn.XLOOKUP($B22,'PEW12'!$C$6:$C$201,'PEW12'!$B$6:$B$201,"")</f>
        <v/>
      </c>
      <c r="AW22" s="83">
        <f>_xlfn.XLOOKUP(AV22,'PEW12'!$B$6:$B$201,'PEW12'!$A$6:$A$201,0)</f>
        <v>0</v>
      </c>
      <c r="AX22" s="10" t="str" cm="1">
        <f t="array" ref="AX22">_xlfn.XLOOKUP($B22,IMEW!C$6:C$201,IMEW!$B$6:B$201,"")</f>
        <v/>
      </c>
      <c r="AY22" s="84">
        <f>_xlfn.XLOOKUP(AX22,IMEW!$B$6:$B$201,IMEW!$A$6:$A$201,0)</f>
        <v>0</v>
      </c>
      <c r="BA22" s="85">
        <f t="shared" si="1"/>
        <v>0</v>
      </c>
      <c r="BB22" s="85">
        <f t="shared" si="2"/>
        <v>0</v>
      </c>
      <c r="BC22" s="85">
        <f t="shared" si="3"/>
        <v>0</v>
      </c>
      <c r="BD22" s="85">
        <f t="shared" si="4"/>
        <v>0</v>
      </c>
      <c r="BE22" s="85">
        <f t="shared" si="5"/>
        <v>0</v>
      </c>
      <c r="BF22" s="85">
        <f t="shared" si="6"/>
        <v>0</v>
      </c>
      <c r="BG22" s="85">
        <f t="shared" si="7"/>
        <v>0</v>
      </c>
    </row>
    <row r="23" spans="1:59" ht="14.25">
      <c r="A23" s="9">
        <f t="shared" si="0"/>
        <v>18</v>
      </c>
      <c r="B23" s="11"/>
      <c r="C23" s="12"/>
      <c r="D23" s="80">
        <f>SUM(F23,H23,J23,L23,N23,P23,R23,T23,V23)-SUM(SMALL((F23,H23,J23,L23,N23,P23,R23,T23),1),SMALL((F23,H23,J23,L23,N23,P23,R23,T23),2))+SUM(LARGE((Y23,AA23,AC23,AE23,AG23,AI23,AK23,AM23,AO23,AQ23,AS23,AU23,AW23),1),LARGE((Y23,AA23,AC23,AE23,AG23,AI23,AK23,AM23,AO23,AQ23,AS23,AU23,AW23),2),LARGE((Y23,AA23,AC23,AE23,AG23,AI23,AK23,AM23,AO23,AQ23,AS23,AU23,AW23),3),AY23)</f>
        <v>0</v>
      </c>
      <c r="E23" s="13" t="str">
        <f>_xlfn.XLOOKUP($B23,'GP1'!$C$6:$C$101,'GP1'!$B$6:$B$101,"")</f>
        <v/>
      </c>
      <c r="F23" s="86">
        <f>_xlfn.XLOOKUP(E23,'GP1'!$B$6:$B$55,'GP1'!$A$6:$A$55,0)</f>
        <v>0</v>
      </c>
      <c r="G23" s="13">
        <f>_xlfn.XLOOKUP($B23,'GP2'!$C$6:$C$101,'GP2'!$B$6:$B$101,"")</f>
        <v>0</v>
      </c>
      <c r="H23" s="86">
        <f>_xlfn.XLOOKUP(G23,'GP2'!$B$6:$B$55,'GP2'!$A$6:$A$55,0)</f>
        <v>0</v>
      </c>
      <c r="I23" s="13" t="str">
        <f>_xlfn.XLOOKUP($B23,'GP3'!$C$6:$C$101,'GP3'!$B$6:$B$101,"")</f>
        <v/>
      </c>
      <c r="J23" s="86">
        <f>_xlfn.XLOOKUP(I23,'GP3'!$B$6:$B$55,'GP3'!$A$6:$A$55,0)</f>
        <v>0</v>
      </c>
      <c r="K23" s="10" t="str">
        <f>_xlfn.XLOOKUP($B23,'GP4'!$C$6:$C$101,'GP4'!$B$6:$B$101,"")</f>
        <v/>
      </c>
      <c r="L23" s="81">
        <f>_xlfn.XLOOKUP(K23,'GP4'!$B$6:$B$55,'GP4'!$A$6:$A$55,0)</f>
        <v>0</v>
      </c>
      <c r="M23" s="13" t="str">
        <f>_xlfn.XLOOKUP($B23,'GP5'!$C$6:$C$101,'GP5'!$B$6:$B$101,"")</f>
        <v/>
      </c>
      <c r="N23" s="87">
        <f>_xlfn.XLOOKUP(M23,'GP5'!$B$6:$B$55,'GP5'!$A$6:$A$55,0)</f>
        <v>0</v>
      </c>
      <c r="O23" s="13" t="str">
        <f>_xlfn.XLOOKUP($B23,'GP6'!$C$6:$C$101,'GP6'!$B$6:$B$101,"")</f>
        <v/>
      </c>
      <c r="P23" s="87">
        <f>_xlfn.XLOOKUP(O23,'GP6'!$B$6:$B$55,'GP6'!$A$6:$A$55,0)</f>
        <v>0</v>
      </c>
      <c r="Q23" s="13" t="str">
        <f>_xlfn.XLOOKUP($B23,'GP7'!$C$6:$C$101,'GP7'!$B$6:$B$101,"")</f>
        <v/>
      </c>
      <c r="R23" s="87">
        <f>_xlfn.XLOOKUP(Q23,'GP7'!$B$6:$B$55,'GP7'!$A$6:$A$55,0)</f>
        <v>0</v>
      </c>
      <c r="S23" s="13" t="str">
        <f>_xlfn.XLOOKUP($B23,'GP8'!$C$6:$C$101,'GP8'!$B$6:$B$101,"")</f>
        <v/>
      </c>
      <c r="T23" s="87">
        <f>_xlfn.XLOOKUP(S23,'GP8'!$B$6:$B$55,'GP8'!$A$6:$A$55,0)</f>
        <v>0</v>
      </c>
      <c r="U23" s="13" t="str">
        <f>_xlfn.XLOOKUP(B23,MPW!C$6:C$101,MPW!B$6:B$101,"")</f>
        <v/>
      </c>
      <c r="V23" s="87">
        <f>_xlfn.XLOOKUP(U23,MPW!B$6:B$55,MPW!A$6:A$55,0)</f>
        <v>0</v>
      </c>
      <c r="X23" s="10" t="str">
        <f>_xlfn.XLOOKUP($B23,'PEW1'!$C$6:$C$201,'PEW1'!$B$6:$B$201,"")</f>
        <v/>
      </c>
      <c r="Y23" s="83">
        <f>_xlfn.XLOOKUP(X23,'PEW1'!$B$6:$B$201,'PEW1'!$A$6:$A$201,0)</f>
        <v>0</v>
      </c>
      <c r="Z23" s="10" t="str">
        <f>_xlfn.XLOOKUP($B23,'PEW2'!$C$6:$C$201,'PEW2'!$B$6:$B$201,"")</f>
        <v/>
      </c>
      <c r="AA23" s="83">
        <f>_xlfn.XLOOKUP(Z23,'PEW2'!$B$6:$B$201,'PEW2'!$A$6:$A$201,0)</f>
        <v>0</v>
      </c>
      <c r="AB23" s="10" t="str">
        <f>_xlfn.XLOOKUP($B23,'PEW3'!$C$6:$C$201,'PEW3'!$B$6:$B$201,"")</f>
        <v/>
      </c>
      <c r="AC23" s="83">
        <f>_xlfn.XLOOKUP(AB23,'PEW3'!$B$6:$B$201,'PEW3'!$A$6:$A$201,0)</f>
        <v>0</v>
      </c>
      <c r="AD23" s="10" t="str">
        <f>_xlfn.XLOOKUP($B23,VFC!$C$6:$C$201,VFC!$B$6:$B$201,"")</f>
        <v/>
      </c>
      <c r="AE23" s="83">
        <f>_xlfn.XLOOKUP(AD23,VFC!$B$6:$B$201,VFC!$A$6:$A$201,0)</f>
        <v>0</v>
      </c>
      <c r="AF23" s="10" t="str">
        <f>_xlfn.XLOOKUP($B23,'PEW4'!$C$6:$C$201,'PEW4'!$B$6:$B$201,"")</f>
        <v/>
      </c>
      <c r="AG23" s="83">
        <f>_xlfn.XLOOKUP(AF23,'PEW4'!$B$6:$B$201,'PEW4'!$A$6:$A$201,0)</f>
        <v>0</v>
      </c>
      <c r="AH23" s="10" t="str">
        <f>_xlfn.XLOOKUP($B23,'PEW5'!$C$6:$C$201,'PEW5'!$B$6:$B$201,"")</f>
        <v/>
      </c>
      <c r="AI23" s="83">
        <f>_xlfn.XLOOKUP(AH23,'PEW5'!$B$6:$B$201,'PEW5'!$A$6:$A$201,0)</f>
        <v>0</v>
      </c>
      <c r="AJ23" s="10" t="str">
        <f>_xlfn.XLOOKUP($B23,'PEW6'!$C$6:$C$201,'PEW6'!$B$6:$B$201,"")</f>
        <v/>
      </c>
      <c r="AK23" s="83">
        <f>_xlfn.XLOOKUP(AJ23,'PEW6'!$B$6:$B$201,'PEW6'!$A$6:$A$201,0)</f>
        <v>0</v>
      </c>
      <c r="AL23" s="10" t="str">
        <f>_xlfn.XLOOKUP($B23,'PEW7'!$C$6:$C$201,'PEW7'!$B$6:$B$201,"")</f>
        <v/>
      </c>
      <c r="AM23" s="83">
        <f>_xlfn.XLOOKUP(AL23,'PEW7'!$B$6:$B$201,'PEW7'!$A$6:$A$201,0)</f>
        <v>0</v>
      </c>
      <c r="AN23" s="10" t="str">
        <f>_xlfn.XLOOKUP($B23,'PEW8'!$C$6:$C$201,'PEW8'!$B$6:$B$201,"")</f>
        <v/>
      </c>
      <c r="AO23" s="83">
        <f>_xlfn.XLOOKUP(AN23,'PEW8'!$B$6:$B$201,'PEW8'!$A$6:$A$201,0)</f>
        <v>0</v>
      </c>
      <c r="AP23" s="10" t="str">
        <f>_xlfn.XLOOKUP($B23,'PEW9'!$C$6:$C$201,'PEW9'!$B$6:$B$201,"")</f>
        <v/>
      </c>
      <c r="AQ23" s="83">
        <f>_xlfn.XLOOKUP(AP23,'PEW9'!$B$6:$B$201,'PEW9'!$A$6:$A$201,0)</f>
        <v>0</v>
      </c>
      <c r="AR23" s="10" t="str">
        <f>_xlfn.XLOOKUP($B23,'PEW10'!$C$6:$C$201,'PEW10'!$B$6:$B$201,"")</f>
        <v/>
      </c>
      <c r="AS23" s="83">
        <f>_xlfn.XLOOKUP(AR23,'PEW10'!$B$6:$B$201,'PEW10'!$A$6:$A$201,0)</f>
        <v>0</v>
      </c>
      <c r="AT23" s="10" t="str">
        <f>_xlfn.XLOOKUP($B23,'PEW11'!$C$6:$C$201,'PEW11'!$B$6:$B$201,"")</f>
        <v/>
      </c>
      <c r="AU23" s="83">
        <f>_xlfn.XLOOKUP(AT23,'PEW11'!$B$6:$B$201,'PEW11'!$A$6:$A$201,0)</f>
        <v>0</v>
      </c>
      <c r="AV23" s="10" t="str">
        <f>_xlfn.XLOOKUP($B23,'PEW12'!$C$6:$C$201,'PEW12'!$B$6:$B$201,"")</f>
        <v/>
      </c>
      <c r="AW23" s="83">
        <f>_xlfn.XLOOKUP(AV23,'PEW12'!$B$6:$B$201,'PEW12'!$A$6:$A$201,0)</f>
        <v>0</v>
      </c>
      <c r="AX23" s="10" t="str" cm="1">
        <f t="array" ref="AX23">_xlfn.XLOOKUP($B23,IMEW!C$6:C$201,IMEW!$B$6:B$201,"")</f>
        <v/>
      </c>
      <c r="AY23" s="84">
        <f>_xlfn.XLOOKUP(AX23,IMEW!$B$6:$B$201,IMEW!$A$6:$A$201,0)</f>
        <v>0</v>
      </c>
      <c r="BA23" s="85">
        <f t="shared" si="1"/>
        <v>0</v>
      </c>
      <c r="BB23" s="85">
        <f t="shared" si="2"/>
        <v>0</v>
      </c>
      <c r="BC23" s="85">
        <f t="shared" si="3"/>
        <v>0</v>
      </c>
      <c r="BD23" s="85">
        <f t="shared" si="4"/>
        <v>0</v>
      </c>
      <c r="BE23" s="85">
        <f t="shared" si="5"/>
        <v>0</v>
      </c>
      <c r="BF23" s="85">
        <f t="shared" si="6"/>
        <v>0</v>
      </c>
      <c r="BG23" s="85">
        <f t="shared" si="7"/>
        <v>0</v>
      </c>
    </row>
    <row r="24" spans="1:59" ht="14.25">
      <c r="A24" s="9">
        <f t="shared" si="0"/>
        <v>19</v>
      </c>
      <c r="B24" s="11"/>
      <c r="C24" s="12"/>
      <c r="D24" s="80">
        <f>SUM(F24,H24,J24,L24,N24,P24,R24,T24,V24)-SUM(SMALL((F24,H24,J24,L24,N24,P24,R24,T24),1),SMALL((F24,H24,J24,L24,N24,P24,R24,T24),2))+SUM(LARGE((Y24,AA24,AC24,AE24,AG24,AI24,AK24,AM24,AO24,AQ24,AS24,AU24,AW24),1),LARGE((Y24,AA24,AC24,AE24,AG24,AI24,AK24,AM24,AO24,AQ24,AS24,AU24,AW24),2),LARGE((Y24,AA24,AC24,AE24,AG24,AI24,AK24,AM24,AO24,AQ24,AS24,AU24,AW24),3),AY24)</f>
        <v>0</v>
      </c>
      <c r="E24" s="13" t="str">
        <f>_xlfn.XLOOKUP($B24,'GP1'!$C$6:$C$101,'GP1'!$B$6:$B$101,"")</f>
        <v/>
      </c>
      <c r="F24" s="86">
        <f>_xlfn.XLOOKUP(E24,'GP1'!$B$6:$B$55,'GP1'!$A$6:$A$55,0)</f>
        <v>0</v>
      </c>
      <c r="G24" s="13">
        <f>_xlfn.XLOOKUP($B24,'GP2'!$C$6:$C$101,'GP2'!$B$6:$B$101,"")</f>
        <v>0</v>
      </c>
      <c r="H24" s="86">
        <f>_xlfn.XLOOKUP(G24,'GP2'!$B$6:$B$55,'GP2'!$A$6:$A$55,0)</f>
        <v>0</v>
      </c>
      <c r="I24" s="13" t="str">
        <f>_xlfn.XLOOKUP($B24,'GP3'!$C$6:$C$101,'GP3'!$B$6:$B$101,"")</f>
        <v/>
      </c>
      <c r="J24" s="86">
        <f>_xlfn.XLOOKUP(I24,'GP3'!$B$6:$B$55,'GP3'!$A$6:$A$55,0)</f>
        <v>0</v>
      </c>
      <c r="K24" s="10" t="str">
        <f>_xlfn.XLOOKUP($B24,'GP4'!$C$6:$C$101,'GP4'!$B$6:$B$101,"")</f>
        <v/>
      </c>
      <c r="L24" s="81">
        <f>_xlfn.XLOOKUP(K24,'GP4'!$B$6:$B$55,'GP4'!$A$6:$A$55,0)</f>
        <v>0</v>
      </c>
      <c r="M24" s="13" t="str">
        <f>_xlfn.XLOOKUP($B24,'GP5'!$C$6:$C$101,'GP5'!$B$6:$B$101,"")</f>
        <v/>
      </c>
      <c r="N24" s="87">
        <f>_xlfn.XLOOKUP(M24,'GP5'!$B$6:$B$55,'GP5'!$A$6:$A$55,0)</f>
        <v>0</v>
      </c>
      <c r="O24" s="13" t="str">
        <f>_xlfn.XLOOKUP($B24,'GP6'!$C$6:$C$101,'GP6'!$B$6:$B$101,"")</f>
        <v/>
      </c>
      <c r="P24" s="87">
        <f>_xlfn.XLOOKUP(O24,'GP6'!$B$6:$B$55,'GP6'!$A$6:$A$55,0)</f>
        <v>0</v>
      </c>
      <c r="Q24" s="13" t="str">
        <f>_xlfn.XLOOKUP($B24,'GP7'!$C$6:$C$101,'GP7'!$B$6:$B$101,"")</f>
        <v/>
      </c>
      <c r="R24" s="87">
        <f>_xlfn.XLOOKUP(Q24,'GP7'!$B$6:$B$55,'GP7'!$A$6:$A$55,0)</f>
        <v>0</v>
      </c>
      <c r="S24" s="13" t="str">
        <f>_xlfn.XLOOKUP($B24,'GP8'!$C$6:$C$101,'GP8'!$B$6:$B$101,"")</f>
        <v/>
      </c>
      <c r="T24" s="87">
        <f>_xlfn.XLOOKUP(S24,'GP8'!$B$6:$B$55,'GP8'!$A$6:$A$55,0)</f>
        <v>0</v>
      </c>
      <c r="U24" s="13" t="str">
        <f>_xlfn.XLOOKUP(B24,MPW!C$6:C$101,MPW!B$6:B$101,"")</f>
        <v/>
      </c>
      <c r="V24" s="87">
        <f>_xlfn.XLOOKUP(U24,MPW!B$6:B$55,MPW!A$6:A$55,0)</f>
        <v>0</v>
      </c>
      <c r="X24" s="10" t="str">
        <f>_xlfn.XLOOKUP($B24,'PEW1'!$C$6:$C$201,'PEW1'!$B$6:$B$201,"")</f>
        <v/>
      </c>
      <c r="Y24" s="83">
        <f>_xlfn.XLOOKUP(X24,'PEW1'!$B$6:$B$201,'PEW1'!$A$6:$A$201,0)</f>
        <v>0</v>
      </c>
      <c r="Z24" s="10" t="str">
        <f>_xlfn.XLOOKUP($B24,'PEW2'!$C$6:$C$201,'PEW2'!$B$6:$B$201,"")</f>
        <v/>
      </c>
      <c r="AA24" s="83">
        <f>_xlfn.XLOOKUP(Z24,'PEW2'!$B$6:$B$201,'PEW2'!$A$6:$A$201,0)</f>
        <v>0</v>
      </c>
      <c r="AB24" s="10" t="str">
        <f>_xlfn.XLOOKUP($B24,'PEW3'!$C$6:$C$201,'PEW3'!$B$6:$B$201,"")</f>
        <v/>
      </c>
      <c r="AC24" s="83">
        <f>_xlfn.XLOOKUP(AB24,'PEW3'!$B$6:$B$201,'PEW3'!$A$6:$A$201,0)</f>
        <v>0</v>
      </c>
      <c r="AD24" s="10" t="str">
        <f>_xlfn.XLOOKUP($B24,VFC!$C$6:$C$201,VFC!$B$6:$B$201,"")</f>
        <v/>
      </c>
      <c r="AE24" s="83">
        <f>_xlfn.XLOOKUP(AD24,VFC!$B$6:$B$201,VFC!$A$6:$A$201,0)</f>
        <v>0</v>
      </c>
      <c r="AF24" s="10" t="str">
        <f>_xlfn.XLOOKUP($B24,'PEW4'!$C$6:$C$201,'PEW4'!$B$6:$B$201,"")</f>
        <v/>
      </c>
      <c r="AG24" s="83">
        <f>_xlfn.XLOOKUP(AF24,'PEW4'!$B$6:$B$201,'PEW4'!$A$6:$A$201,0)</f>
        <v>0</v>
      </c>
      <c r="AH24" s="10" t="str">
        <f>_xlfn.XLOOKUP($B24,'PEW5'!$C$6:$C$201,'PEW5'!$B$6:$B$201,"")</f>
        <v/>
      </c>
      <c r="AI24" s="83">
        <f>_xlfn.XLOOKUP(AH24,'PEW5'!$B$6:$B$201,'PEW5'!$A$6:$A$201,0)</f>
        <v>0</v>
      </c>
      <c r="AJ24" s="10" t="str">
        <f>_xlfn.XLOOKUP($B24,'PEW6'!$C$6:$C$201,'PEW6'!$B$6:$B$201,"")</f>
        <v/>
      </c>
      <c r="AK24" s="83">
        <f>_xlfn.XLOOKUP(AJ24,'PEW6'!$B$6:$B$201,'PEW6'!$A$6:$A$201,0)</f>
        <v>0</v>
      </c>
      <c r="AL24" s="10" t="str">
        <f>_xlfn.XLOOKUP($B24,'PEW7'!$C$6:$C$201,'PEW7'!$B$6:$B$201,"")</f>
        <v/>
      </c>
      <c r="AM24" s="83">
        <f>_xlfn.XLOOKUP(AL24,'PEW7'!$B$6:$B$201,'PEW7'!$A$6:$A$201,0)</f>
        <v>0</v>
      </c>
      <c r="AN24" s="10" t="str">
        <f>_xlfn.XLOOKUP($B24,'PEW8'!$C$6:$C$201,'PEW8'!$B$6:$B$201,"")</f>
        <v/>
      </c>
      <c r="AO24" s="83">
        <f>_xlfn.XLOOKUP(AN24,'PEW8'!$B$6:$B$201,'PEW8'!$A$6:$A$201,0)</f>
        <v>0</v>
      </c>
      <c r="AP24" s="10" t="str">
        <f>_xlfn.XLOOKUP($B24,'PEW9'!$C$6:$C$201,'PEW9'!$B$6:$B$201,"")</f>
        <v/>
      </c>
      <c r="AQ24" s="83">
        <f>_xlfn.XLOOKUP(AP24,'PEW9'!$B$6:$B$201,'PEW9'!$A$6:$A$201,0)</f>
        <v>0</v>
      </c>
      <c r="AR24" s="10" t="str">
        <f>_xlfn.XLOOKUP($B24,'PEW10'!$C$6:$C$201,'PEW10'!$B$6:$B$201,"")</f>
        <v/>
      </c>
      <c r="AS24" s="83">
        <f>_xlfn.XLOOKUP(AR24,'PEW10'!$B$6:$B$201,'PEW10'!$A$6:$A$201,0)</f>
        <v>0</v>
      </c>
      <c r="AT24" s="10" t="str">
        <f>_xlfn.XLOOKUP($B24,'PEW11'!$C$6:$C$201,'PEW11'!$B$6:$B$201,"")</f>
        <v/>
      </c>
      <c r="AU24" s="83">
        <f>_xlfn.XLOOKUP(AT24,'PEW11'!$B$6:$B$201,'PEW11'!$A$6:$A$201,0)</f>
        <v>0</v>
      </c>
      <c r="AV24" s="10" t="str">
        <f>_xlfn.XLOOKUP($B24,'PEW12'!$C$6:$C$201,'PEW12'!$B$6:$B$201,"")</f>
        <v/>
      </c>
      <c r="AW24" s="83">
        <f>_xlfn.XLOOKUP(AV24,'PEW12'!$B$6:$B$201,'PEW12'!$A$6:$A$201,0)</f>
        <v>0</v>
      </c>
      <c r="AX24" s="10" t="str" cm="1">
        <f t="array" ref="AX24">_xlfn.XLOOKUP($B24,IMEW!C$6:C$201,IMEW!$B$6:B$201,"")</f>
        <v/>
      </c>
      <c r="AY24" s="84">
        <f>_xlfn.XLOOKUP(AX24,IMEW!$B$6:$B$201,IMEW!$A$6:$A$201,0)</f>
        <v>0</v>
      </c>
      <c r="BA24" s="85">
        <f t="shared" si="1"/>
        <v>0</v>
      </c>
      <c r="BB24" s="85">
        <f t="shared" si="2"/>
        <v>0</v>
      </c>
      <c r="BC24" s="85">
        <f t="shared" si="3"/>
        <v>0</v>
      </c>
      <c r="BD24" s="85">
        <f t="shared" si="4"/>
        <v>0</v>
      </c>
      <c r="BE24" s="85">
        <f t="shared" si="5"/>
        <v>0</v>
      </c>
      <c r="BF24" s="85">
        <f t="shared" si="6"/>
        <v>0</v>
      </c>
      <c r="BG24" s="85">
        <f t="shared" si="7"/>
        <v>0</v>
      </c>
    </row>
    <row r="25" spans="1:59" ht="14.25">
      <c r="A25" s="9">
        <f t="shared" si="0"/>
        <v>20</v>
      </c>
      <c r="B25" s="11"/>
      <c r="C25" s="12"/>
      <c r="D25" s="80">
        <f>SUM(F25,H25,J25,L25,N25,P25,R25,T25,V25)-SUM(SMALL((F25,H25,J25,L25,N25,P25,R25,T25),1),SMALL((F25,H25,J25,L25,N25,P25,R25,T25),2))+SUM(LARGE((Y25,AA25,AC25,AE25,AG25,AI25,AK25,AM25,AO25,AQ25,AS25,AU25,AW25),1),LARGE((Y25,AA25,AC25,AE25,AG25,AI25,AK25,AM25,AO25,AQ25,AS25,AU25,AW25),2),LARGE((Y25,AA25,AC25,AE25,AG25,AI25,AK25,AM25,AO25,AQ25,AS25,AU25,AW25),3),AY25)</f>
        <v>0</v>
      </c>
      <c r="E25" s="13" t="str">
        <f>_xlfn.XLOOKUP($B25,'GP1'!$C$6:$C$101,'GP1'!$B$6:$B$101,"")</f>
        <v/>
      </c>
      <c r="F25" s="86">
        <f>_xlfn.XLOOKUP(E25,'GP1'!$B$6:$B$55,'GP1'!$A$6:$A$55,0)</f>
        <v>0</v>
      </c>
      <c r="G25" s="13">
        <f>_xlfn.XLOOKUP($B25,'GP2'!$C$6:$C$101,'GP2'!$B$6:$B$101,"")</f>
        <v>0</v>
      </c>
      <c r="H25" s="86">
        <f>_xlfn.XLOOKUP(G25,'GP2'!$B$6:$B$55,'GP2'!$A$6:$A$55,0)</f>
        <v>0</v>
      </c>
      <c r="I25" s="13" t="str">
        <f>_xlfn.XLOOKUP($B25,'GP3'!$C$6:$C$101,'GP3'!$B$6:$B$101,"")</f>
        <v/>
      </c>
      <c r="J25" s="86">
        <f>_xlfn.XLOOKUP(I25,'GP3'!$B$6:$B$55,'GP3'!$A$6:$A$55,0)</f>
        <v>0</v>
      </c>
      <c r="K25" s="10" t="str">
        <f>_xlfn.XLOOKUP($B25,'GP4'!$C$6:$C$101,'GP4'!$B$6:$B$101,"")</f>
        <v/>
      </c>
      <c r="L25" s="81">
        <f>_xlfn.XLOOKUP(K25,'GP4'!$B$6:$B$55,'GP4'!$A$6:$A$55,0)</f>
        <v>0</v>
      </c>
      <c r="M25" s="13" t="str">
        <f>_xlfn.XLOOKUP($B25,'GP5'!$C$6:$C$101,'GP5'!$B$6:$B$101,"")</f>
        <v/>
      </c>
      <c r="N25" s="87">
        <f>_xlfn.XLOOKUP(M25,'GP5'!$B$6:$B$55,'GP5'!$A$6:$A$55,0)</f>
        <v>0</v>
      </c>
      <c r="O25" s="13" t="str">
        <f>_xlfn.XLOOKUP($B25,'GP6'!$C$6:$C$101,'GP6'!$B$6:$B$101,"")</f>
        <v/>
      </c>
      <c r="P25" s="87">
        <f>_xlfn.XLOOKUP(O25,'GP6'!$B$6:$B$55,'GP6'!$A$6:$A$55,0)</f>
        <v>0</v>
      </c>
      <c r="Q25" s="13" t="str">
        <f>_xlfn.XLOOKUP($B25,'GP7'!$C$6:$C$101,'GP7'!$B$6:$B$101,"")</f>
        <v/>
      </c>
      <c r="R25" s="87">
        <f>_xlfn.XLOOKUP(Q25,'GP7'!$B$6:$B$55,'GP7'!$A$6:$A$55,0)</f>
        <v>0</v>
      </c>
      <c r="S25" s="13" t="str">
        <f>_xlfn.XLOOKUP($B25,'GP8'!$C$6:$C$101,'GP8'!$B$6:$B$101,"")</f>
        <v/>
      </c>
      <c r="T25" s="87">
        <f>_xlfn.XLOOKUP(S25,'GP8'!$B$6:$B$55,'GP8'!$A$6:$A$55,0)</f>
        <v>0</v>
      </c>
      <c r="U25" s="13" t="str">
        <f>_xlfn.XLOOKUP(B25,MPW!C$6:C$101,MPW!B$6:B$101,"")</f>
        <v/>
      </c>
      <c r="V25" s="87">
        <f>_xlfn.XLOOKUP(U25,MPW!B$6:B$55,MPW!A$6:A$55,0)</f>
        <v>0</v>
      </c>
      <c r="X25" s="10" t="str">
        <f>_xlfn.XLOOKUP($B25,'PEW1'!$C$6:$C$201,'PEW1'!$B$6:$B$201,"")</f>
        <v/>
      </c>
      <c r="Y25" s="83">
        <f>_xlfn.XLOOKUP(X25,'PEW1'!$B$6:$B$201,'PEW1'!$A$6:$A$201,0)</f>
        <v>0</v>
      </c>
      <c r="Z25" s="10" t="str">
        <f>_xlfn.XLOOKUP($B25,'PEW2'!$C$6:$C$201,'PEW2'!$B$6:$B$201,"")</f>
        <v/>
      </c>
      <c r="AA25" s="83">
        <f>_xlfn.XLOOKUP(Z25,'PEW2'!$B$6:$B$201,'PEW2'!$A$6:$A$201,0)</f>
        <v>0</v>
      </c>
      <c r="AB25" s="10" t="str">
        <f>_xlfn.XLOOKUP($B25,'PEW3'!$C$6:$C$201,'PEW3'!$B$6:$B$201,"")</f>
        <v/>
      </c>
      <c r="AC25" s="83">
        <f>_xlfn.XLOOKUP(AB25,'PEW3'!$B$6:$B$201,'PEW3'!$A$6:$A$201,0)</f>
        <v>0</v>
      </c>
      <c r="AD25" s="10" t="str">
        <f>_xlfn.XLOOKUP($B25,VFC!$C$6:$C$201,VFC!$B$6:$B$201,"")</f>
        <v/>
      </c>
      <c r="AE25" s="83">
        <f>_xlfn.XLOOKUP(AD25,VFC!$B$6:$B$201,VFC!$A$6:$A$201,0)</f>
        <v>0</v>
      </c>
      <c r="AF25" s="10" t="str">
        <f>_xlfn.XLOOKUP($B25,'PEW4'!$C$6:$C$201,'PEW4'!$B$6:$B$201,"")</f>
        <v/>
      </c>
      <c r="AG25" s="83">
        <f>_xlfn.XLOOKUP(AF25,'PEW4'!$B$6:$B$201,'PEW4'!$A$6:$A$201,0)</f>
        <v>0</v>
      </c>
      <c r="AH25" s="10" t="str">
        <f>_xlfn.XLOOKUP($B25,'PEW5'!$C$6:$C$201,'PEW5'!$B$6:$B$201,"")</f>
        <v/>
      </c>
      <c r="AI25" s="83">
        <f>_xlfn.XLOOKUP(AH25,'PEW5'!$B$6:$B$201,'PEW5'!$A$6:$A$201,0)</f>
        <v>0</v>
      </c>
      <c r="AJ25" s="10" t="str">
        <f>_xlfn.XLOOKUP($B25,'PEW6'!$C$6:$C$201,'PEW6'!$B$6:$B$201,"")</f>
        <v/>
      </c>
      <c r="AK25" s="83">
        <f>_xlfn.XLOOKUP(AJ25,'PEW6'!$B$6:$B$201,'PEW6'!$A$6:$A$201,0)</f>
        <v>0</v>
      </c>
      <c r="AL25" s="10" t="str">
        <f>_xlfn.XLOOKUP($B25,'PEW7'!$C$6:$C$201,'PEW7'!$B$6:$B$201,"")</f>
        <v/>
      </c>
      <c r="AM25" s="83">
        <f>_xlfn.XLOOKUP(AL25,'PEW7'!$B$6:$B$201,'PEW7'!$A$6:$A$201,0)</f>
        <v>0</v>
      </c>
      <c r="AN25" s="10" t="str">
        <f>_xlfn.XLOOKUP($B25,'PEW8'!$C$6:$C$201,'PEW8'!$B$6:$B$201,"")</f>
        <v/>
      </c>
      <c r="AO25" s="83">
        <f>_xlfn.XLOOKUP(AN25,'PEW8'!$B$6:$B$201,'PEW8'!$A$6:$A$201,0)</f>
        <v>0</v>
      </c>
      <c r="AP25" s="10" t="str">
        <f>_xlfn.XLOOKUP($B25,'PEW9'!$C$6:$C$201,'PEW9'!$B$6:$B$201,"")</f>
        <v/>
      </c>
      <c r="AQ25" s="83">
        <f>_xlfn.XLOOKUP(AP25,'PEW9'!$B$6:$B$201,'PEW9'!$A$6:$A$201,0)</f>
        <v>0</v>
      </c>
      <c r="AR25" s="10" t="str">
        <f>_xlfn.XLOOKUP($B25,'PEW10'!$C$6:$C$201,'PEW10'!$B$6:$B$201,"")</f>
        <v/>
      </c>
      <c r="AS25" s="83">
        <f>_xlfn.XLOOKUP(AR25,'PEW10'!$B$6:$B$201,'PEW10'!$A$6:$A$201,0)</f>
        <v>0</v>
      </c>
      <c r="AT25" s="10" t="str">
        <f>_xlfn.XLOOKUP($B25,'PEW11'!$C$6:$C$201,'PEW11'!$B$6:$B$201,"")</f>
        <v/>
      </c>
      <c r="AU25" s="83">
        <f>_xlfn.XLOOKUP(AT25,'PEW11'!$B$6:$B$201,'PEW11'!$A$6:$A$201,0)</f>
        <v>0</v>
      </c>
      <c r="AV25" s="10" t="str">
        <f>_xlfn.XLOOKUP($B25,'PEW12'!$C$6:$C$201,'PEW12'!$B$6:$B$201,"")</f>
        <v/>
      </c>
      <c r="AW25" s="83">
        <f>_xlfn.XLOOKUP(AV25,'PEW12'!$B$6:$B$201,'PEW12'!$A$6:$A$201,0)</f>
        <v>0</v>
      </c>
      <c r="AX25" s="10" t="str" cm="1">
        <f t="array" ref="AX25">_xlfn.XLOOKUP($B25,IMEW!C$6:C$201,IMEW!$B$6:B$201,"")</f>
        <v/>
      </c>
      <c r="AY25" s="84">
        <f>_xlfn.XLOOKUP(AX25,IMEW!$B$6:$B$201,IMEW!$A$6:$A$201,0)</f>
        <v>0</v>
      </c>
      <c r="BA25" s="85">
        <f t="shared" si="1"/>
        <v>0</v>
      </c>
      <c r="BB25" s="85">
        <f t="shared" si="2"/>
        <v>0</v>
      </c>
      <c r="BC25" s="85">
        <f t="shared" si="3"/>
        <v>0</v>
      </c>
      <c r="BD25" s="85">
        <f t="shared" si="4"/>
        <v>0</v>
      </c>
      <c r="BE25" s="85">
        <f t="shared" si="5"/>
        <v>0</v>
      </c>
      <c r="BF25" s="85">
        <f t="shared" si="6"/>
        <v>0</v>
      </c>
      <c r="BG25" s="85">
        <f t="shared" si="7"/>
        <v>0</v>
      </c>
    </row>
    <row r="26" spans="1:59" ht="14.25">
      <c r="A26" s="9">
        <f t="shared" si="0"/>
        <v>21</v>
      </c>
      <c r="B26" s="11"/>
      <c r="C26" s="12"/>
      <c r="D26" s="80">
        <f>SUM(F26,H26,J26,L26,N26,P26,R26,T26,V26)-SUM(SMALL((F26,H26,J26,L26,N26,P26,R26,T26),1),SMALL((F26,H26,J26,L26,N26,P26,R26,T26),2))+SUM(LARGE((Y26,AA26,AC26,AE26,AG26,AI26,AK26,AM26,AO26,AQ26,AS26,AU26,AW26),1),LARGE((Y26,AA26,AC26,AE26,AG26,AI26,AK26,AM26,AO26,AQ26,AS26,AU26,AW26),2),LARGE((Y26,AA26,AC26,AE26,AG26,AI26,AK26,AM26,AO26,AQ26,AS26,AU26,AW26),3),AY26)</f>
        <v>0</v>
      </c>
      <c r="E26" s="13" t="str">
        <f>_xlfn.XLOOKUP($B26,'GP1'!$C$6:$C$101,'GP1'!$B$6:$B$101,"")</f>
        <v/>
      </c>
      <c r="F26" s="86">
        <f>_xlfn.XLOOKUP(E26,'GP1'!$B$6:$B$55,'GP1'!$A$6:$A$55,0)</f>
        <v>0</v>
      </c>
      <c r="G26" s="13">
        <f>_xlfn.XLOOKUP($B26,'GP2'!$C$6:$C$101,'GP2'!$B$6:$B$101,"")</f>
        <v>0</v>
      </c>
      <c r="H26" s="86">
        <f>_xlfn.XLOOKUP(G26,'GP2'!$B$6:$B$55,'GP2'!$A$6:$A$55,0)</f>
        <v>0</v>
      </c>
      <c r="I26" s="13" t="str">
        <f>_xlfn.XLOOKUP($B26,'GP3'!$C$6:$C$101,'GP3'!$B$6:$B$101,"")</f>
        <v/>
      </c>
      <c r="J26" s="86">
        <f>_xlfn.XLOOKUP(I26,'GP3'!$B$6:$B$55,'GP3'!$A$6:$A$55,0)</f>
        <v>0</v>
      </c>
      <c r="K26" s="10" t="str">
        <f>_xlfn.XLOOKUP($B26,'GP4'!$C$6:$C$101,'GP4'!$B$6:$B$101,"")</f>
        <v/>
      </c>
      <c r="L26" s="81">
        <f>_xlfn.XLOOKUP(K26,'GP4'!$B$6:$B$55,'GP4'!$A$6:$A$55,0)</f>
        <v>0</v>
      </c>
      <c r="M26" s="13" t="str">
        <f>_xlfn.XLOOKUP($B26,'GP5'!$C$6:$C$101,'GP5'!$B$6:$B$101,"")</f>
        <v/>
      </c>
      <c r="N26" s="87">
        <f>_xlfn.XLOOKUP(M26,'GP5'!$B$6:$B$55,'GP5'!$A$6:$A$55,0)</f>
        <v>0</v>
      </c>
      <c r="O26" s="13" t="str">
        <f>_xlfn.XLOOKUP($B26,'GP6'!$C$6:$C$101,'GP6'!$B$6:$B$101,"")</f>
        <v/>
      </c>
      <c r="P26" s="87">
        <f>_xlfn.XLOOKUP(O26,'GP6'!$B$6:$B$55,'GP6'!$A$6:$A$55,0)</f>
        <v>0</v>
      </c>
      <c r="Q26" s="13" t="str">
        <f>_xlfn.XLOOKUP($B26,'GP7'!$C$6:$C$101,'GP7'!$B$6:$B$101,"")</f>
        <v/>
      </c>
      <c r="R26" s="87">
        <f>_xlfn.XLOOKUP(Q26,'GP7'!$B$6:$B$55,'GP7'!$A$6:$A$55,0)</f>
        <v>0</v>
      </c>
      <c r="S26" s="13" t="str">
        <f>_xlfn.XLOOKUP($B26,'GP8'!$C$6:$C$101,'GP8'!$B$6:$B$101,"")</f>
        <v/>
      </c>
      <c r="T26" s="87">
        <f>_xlfn.XLOOKUP(S26,'GP8'!$B$6:$B$55,'GP8'!$A$6:$A$55,0)</f>
        <v>0</v>
      </c>
      <c r="U26" s="13" t="str">
        <f>_xlfn.XLOOKUP(B26,MPW!C$6:C$101,MPW!B$6:B$101,"")</f>
        <v/>
      </c>
      <c r="V26" s="87">
        <f>_xlfn.XLOOKUP(U26,MPW!B$6:B$55,MPW!A$6:A$55,0)</f>
        <v>0</v>
      </c>
      <c r="X26" s="10" t="str">
        <f>_xlfn.XLOOKUP($B26,'PEW1'!$C$6:$C$201,'PEW1'!$B$6:$B$201,"")</f>
        <v/>
      </c>
      <c r="Y26" s="83">
        <f>_xlfn.XLOOKUP(X26,'PEW1'!$B$6:$B$201,'PEW1'!$A$6:$A$201,0)</f>
        <v>0</v>
      </c>
      <c r="Z26" s="10" t="str">
        <f>_xlfn.XLOOKUP($B26,'PEW2'!$C$6:$C$201,'PEW2'!$B$6:$B$201,"")</f>
        <v/>
      </c>
      <c r="AA26" s="83">
        <f>_xlfn.XLOOKUP(Z26,'PEW2'!$B$6:$B$201,'PEW2'!$A$6:$A$201,0)</f>
        <v>0</v>
      </c>
      <c r="AB26" s="10" t="str">
        <f>_xlfn.XLOOKUP($B26,'PEW3'!$C$6:$C$201,'PEW3'!$B$6:$B$201,"")</f>
        <v/>
      </c>
      <c r="AC26" s="83">
        <f>_xlfn.XLOOKUP(AB26,'PEW3'!$B$6:$B$201,'PEW3'!$A$6:$A$201,0)</f>
        <v>0</v>
      </c>
      <c r="AD26" s="10" t="str">
        <f>_xlfn.XLOOKUP($B26,VFC!$C$6:$C$201,VFC!$B$6:$B$201,"")</f>
        <v/>
      </c>
      <c r="AE26" s="83">
        <f>_xlfn.XLOOKUP(AD26,VFC!$B$6:$B$201,VFC!$A$6:$A$201,0)</f>
        <v>0</v>
      </c>
      <c r="AF26" s="10" t="str">
        <f>_xlfn.XLOOKUP($B26,'PEW4'!$C$6:$C$201,'PEW4'!$B$6:$B$201,"")</f>
        <v/>
      </c>
      <c r="AG26" s="83">
        <f>_xlfn.XLOOKUP(AF26,'PEW4'!$B$6:$B$201,'PEW4'!$A$6:$A$201,0)</f>
        <v>0</v>
      </c>
      <c r="AH26" s="10" t="str">
        <f>_xlfn.XLOOKUP($B26,'PEW5'!$C$6:$C$201,'PEW5'!$B$6:$B$201,"")</f>
        <v/>
      </c>
      <c r="AI26" s="83">
        <f>_xlfn.XLOOKUP(AH26,'PEW5'!$B$6:$B$201,'PEW5'!$A$6:$A$201,0)</f>
        <v>0</v>
      </c>
      <c r="AJ26" s="10" t="str">
        <f>_xlfn.XLOOKUP($B26,'PEW6'!$C$6:$C$201,'PEW6'!$B$6:$B$201,"")</f>
        <v/>
      </c>
      <c r="AK26" s="83">
        <f>_xlfn.XLOOKUP(AJ26,'PEW6'!$B$6:$B$201,'PEW6'!$A$6:$A$201,0)</f>
        <v>0</v>
      </c>
      <c r="AL26" s="10" t="str">
        <f>_xlfn.XLOOKUP($B26,'PEW7'!$C$6:$C$201,'PEW7'!$B$6:$B$201,"")</f>
        <v/>
      </c>
      <c r="AM26" s="83">
        <f>_xlfn.XLOOKUP(AL26,'PEW7'!$B$6:$B$201,'PEW7'!$A$6:$A$201,0)</f>
        <v>0</v>
      </c>
      <c r="AN26" s="10" t="str">
        <f>_xlfn.XLOOKUP($B26,'PEW8'!$C$6:$C$201,'PEW8'!$B$6:$B$201,"")</f>
        <v/>
      </c>
      <c r="AO26" s="83">
        <f>_xlfn.XLOOKUP(AN26,'PEW8'!$B$6:$B$201,'PEW8'!$A$6:$A$201,0)</f>
        <v>0</v>
      </c>
      <c r="AP26" s="10" t="str">
        <f>_xlfn.XLOOKUP($B26,'PEW9'!$C$6:$C$201,'PEW9'!$B$6:$B$201,"")</f>
        <v/>
      </c>
      <c r="AQ26" s="83">
        <f>_xlfn.XLOOKUP(AP26,'PEW9'!$B$6:$B$201,'PEW9'!$A$6:$A$201,0)</f>
        <v>0</v>
      </c>
      <c r="AR26" s="10" t="str">
        <f>_xlfn.XLOOKUP($B26,'PEW10'!$C$6:$C$201,'PEW10'!$B$6:$B$201,"")</f>
        <v/>
      </c>
      <c r="AS26" s="83">
        <f>_xlfn.XLOOKUP(AR26,'PEW10'!$B$6:$B$201,'PEW10'!$A$6:$A$201,0)</f>
        <v>0</v>
      </c>
      <c r="AT26" s="10" t="str">
        <f>_xlfn.XLOOKUP($B26,'PEW11'!$C$6:$C$201,'PEW11'!$B$6:$B$201,"")</f>
        <v/>
      </c>
      <c r="AU26" s="83">
        <f>_xlfn.XLOOKUP(AT26,'PEW11'!$B$6:$B$201,'PEW11'!$A$6:$A$201,0)</f>
        <v>0</v>
      </c>
      <c r="AV26" s="10" t="str">
        <f>_xlfn.XLOOKUP($B26,'PEW12'!$C$6:$C$201,'PEW12'!$B$6:$B$201,"")</f>
        <v/>
      </c>
      <c r="AW26" s="83">
        <f>_xlfn.XLOOKUP(AV26,'PEW12'!$B$6:$B$201,'PEW12'!$A$6:$A$201,0)</f>
        <v>0</v>
      </c>
      <c r="AX26" s="10" t="str" cm="1">
        <f t="array" ref="AX26">_xlfn.XLOOKUP($B26,IMEW!C$6:C$201,IMEW!$B$6:B$201,"")</f>
        <v/>
      </c>
      <c r="AY26" s="84">
        <f>_xlfn.XLOOKUP(AX26,IMEW!$B$6:$B$201,IMEW!$A$6:$A$201,0)</f>
        <v>0</v>
      </c>
      <c r="BA26" s="85">
        <f t="shared" si="1"/>
        <v>0</v>
      </c>
      <c r="BB26" s="85">
        <f t="shared" si="2"/>
        <v>0</v>
      </c>
      <c r="BC26" s="85">
        <f t="shared" si="3"/>
        <v>0</v>
      </c>
      <c r="BD26" s="85">
        <f t="shared" si="4"/>
        <v>0</v>
      </c>
      <c r="BE26" s="85">
        <f t="shared" si="5"/>
        <v>0</v>
      </c>
      <c r="BF26" s="85">
        <f t="shared" si="6"/>
        <v>0</v>
      </c>
      <c r="BG26" s="85">
        <f t="shared" si="7"/>
        <v>0</v>
      </c>
    </row>
    <row r="27" spans="1:59" ht="14.25">
      <c r="A27" s="9">
        <f t="shared" si="0"/>
        <v>22</v>
      </c>
      <c r="B27" s="11"/>
      <c r="C27" s="12"/>
      <c r="D27" s="80">
        <f>SUM(F27,H27,J27,L27,N27,P27,R27,T27,V27)-SUM(SMALL((F27,H27,J27,L27,N27,P27,R27,T27),1),SMALL((F27,H27,J27,L27,N27,P27,R27,T27),2))+SUM(LARGE((Y27,AA27,AC27,AE27,AG27,AI27,AK27,AM27,AO27,AQ27,AS27,AU27,AW27),1),LARGE((Y27,AA27,AC27,AE27,AG27,AI27,AK27,AM27,AO27,AQ27,AS27,AU27,AW27),2),LARGE((Y27,AA27,AC27,AE27,AG27,AI27,AK27,AM27,AO27,AQ27,AS27,AU27,AW27),3),AY27)</f>
        <v>0</v>
      </c>
      <c r="E27" s="13" t="str">
        <f>_xlfn.XLOOKUP($B27,'GP1'!$C$6:$C$101,'GP1'!$B$6:$B$101,"")</f>
        <v/>
      </c>
      <c r="F27" s="86">
        <f>_xlfn.XLOOKUP(E27,'GP1'!$B$6:$B$55,'GP1'!$A$6:$A$55,0)</f>
        <v>0</v>
      </c>
      <c r="G27" s="13">
        <f>_xlfn.XLOOKUP($B27,'GP2'!$C$6:$C$101,'GP2'!$B$6:$B$101,"")</f>
        <v>0</v>
      </c>
      <c r="H27" s="86">
        <f>_xlfn.XLOOKUP(G27,'GP2'!$B$6:$B$55,'GP2'!$A$6:$A$55,0)</f>
        <v>0</v>
      </c>
      <c r="I27" s="13" t="str">
        <f>_xlfn.XLOOKUP($B27,'GP3'!$C$6:$C$101,'GP3'!$B$6:$B$101,"")</f>
        <v/>
      </c>
      <c r="J27" s="86">
        <f>_xlfn.XLOOKUP(I27,'GP3'!$B$6:$B$55,'GP3'!$A$6:$A$55,0)</f>
        <v>0</v>
      </c>
      <c r="K27" s="10" t="str">
        <f>_xlfn.XLOOKUP($B27,'GP4'!$C$6:$C$101,'GP4'!$B$6:$B$101,"")</f>
        <v/>
      </c>
      <c r="L27" s="81">
        <f>_xlfn.XLOOKUP(K27,'GP4'!$B$6:$B$55,'GP4'!$A$6:$A$55,0)</f>
        <v>0</v>
      </c>
      <c r="M27" s="13" t="str">
        <f>_xlfn.XLOOKUP($B27,'GP5'!$C$6:$C$101,'GP5'!$B$6:$B$101,"")</f>
        <v/>
      </c>
      <c r="N27" s="87">
        <f>_xlfn.XLOOKUP(M27,'GP5'!$B$6:$B$55,'GP5'!$A$6:$A$55,0)</f>
        <v>0</v>
      </c>
      <c r="O27" s="13" t="str">
        <f>_xlfn.XLOOKUP($B27,'GP6'!$C$6:$C$101,'GP6'!$B$6:$B$101,"")</f>
        <v/>
      </c>
      <c r="P27" s="87">
        <f>_xlfn.XLOOKUP(O27,'GP6'!$B$6:$B$55,'GP6'!$A$6:$A$55,0)</f>
        <v>0</v>
      </c>
      <c r="Q27" s="13" t="str">
        <f>_xlfn.XLOOKUP($B27,'GP7'!$C$6:$C$101,'GP7'!$B$6:$B$101,"")</f>
        <v/>
      </c>
      <c r="R27" s="87">
        <f>_xlfn.XLOOKUP(Q27,'GP7'!$B$6:$B$55,'GP7'!$A$6:$A$55,0)</f>
        <v>0</v>
      </c>
      <c r="S27" s="13" t="str">
        <f>_xlfn.XLOOKUP($B27,'GP8'!$C$6:$C$101,'GP8'!$B$6:$B$101,"")</f>
        <v/>
      </c>
      <c r="T27" s="87">
        <f>_xlfn.XLOOKUP(S27,'GP8'!$B$6:$B$55,'GP8'!$A$6:$A$55,0)</f>
        <v>0</v>
      </c>
      <c r="U27" s="13" t="str">
        <f>_xlfn.XLOOKUP(B27,MPW!C$6:C$101,MPW!B$6:B$101,"")</f>
        <v/>
      </c>
      <c r="V27" s="87">
        <f>_xlfn.XLOOKUP(U27,MPW!B$6:B$55,MPW!A$6:A$55,0)</f>
        <v>0</v>
      </c>
      <c r="X27" s="10" t="str">
        <f>_xlfn.XLOOKUP($B27,'PEW1'!$C$6:$C$201,'PEW1'!$B$6:$B$201,"")</f>
        <v/>
      </c>
      <c r="Y27" s="83">
        <f>_xlfn.XLOOKUP(X27,'PEW1'!$B$6:$B$201,'PEW1'!$A$6:$A$201,0)</f>
        <v>0</v>
      </c>
      <c r="Z27" s="10" t="str">
        <f>_xlfn.XLOOKUP($B27,'PEW2'!$C$6:$C$201,'PEW2'!$B$6:$B$201,"")</f>
        <v/>
      </c>
      <c r="AA27" s="83">
        <f>_xlfn.XLOOKUP(Z27,'PEW2'!$B$6:$B$201,'PEW2'!$A$6:$A$201,0)</f>
        <v>0</v>
      </c>
      <c r="AB27" s="10" t="str">
        <f>_xlfn.XLOOKUP($B27,'PEW3'!$C$6:$C$201,'PEW3'!$B$6:$B$201,"")</f>
        <v/>
      </c>
      <c r="AC27" s="83">
        <f>_xlfn.XLOOKUP(AB27,'PEW3'!$B$6:$B$201,'PEW3'!$A$6:$A$201,0)</f>
        <v>0</v>
      </c>
      <c r="AD27" s="10" t="str">
        <f>_xlfn.XLOOKUP($B27,VFC!$C$6:$C$201,VFC!$B$6:$B$201,"")</f>
        <v/>
      </c>
      <c r="AE27" s="83">
        <f>_xlfn.XLOOKUP(AD27,VFC!$B$6:$B$201,VFC!$A$6:$A$201,0)</f>
        <v>0</v>
      </c>
      <c r="AF27" s="10" t="str">
        <f>_xlfn.XLOOKUP($B27,'PEW4'!$C$6:$C$201,'PEW4'!$B$6:$B$201,"")</f>
        <v/>
      </c>
      <c r="AG27" s="83">
        <f>_xlfn.XLOOKUP(AF27,'PEW4'!$B$6:$B$201,'PEW4'!$A$6:$A$201,0)</f>
        <v>0</v>
      </c>
      <c r="AH27" s="10" t="str">
        <f>_xlfn.XLOOKUP($B27,'PEW5'!$C$6:$C$201,'PEW5'!$B$6:$B$201,"")</f>
        <v/>
      </c>
      <c r="AI27" s="83">
        <f>_xlfn.XLOOKUP(AH27,'PEW5'!$B$6:$B$201,'PEW5'!$A$6:$A$201,0)</f>
        <v>0</v>
      </c>
      <c r="AJ27" s="10" t="str">
        <f>_xlfn.XLOOKUP($B27,'PEW6'!$C$6:$C$201,'PEW6'!$B$6:$B$201,"")</f>
        <v/>
      </c>
      <c r="AK27" s="83">
        <f>_xlfn.XLOOKUP(AJ27,'PEW6'!$B$6:$B$201,'PEW6'!$A$6:$A$201,0)</f>
        <v>0</v>
      </c>
      <c r="AL27" s="10" t="str">
        <f>_xlfn.XLOOKUP($B27,'PEW7'!$C$6:$C$201,'PEW7'!$B$6:$B$201,"")</f>
        <v/>
      </c>
      <c r="AM27" s="83">
        <f>_xlfn.XLOOKUP(AL27,'PEW7'!$B$6:$B$201,'PEW7'!$A$6:$A$201,0)</f>
        <v>0</v>
      </c>
      <c r="AN27" s="10" t="str">
        <f>_xlfn.XLOOKUP($B27,'PEW8'!$C$6:$C$201,'PEW8'!$B$6:$B$201,"")</f>
        <v/>
      </c>
      <c r="AO27" s="83">
        <f>_xlfn.XLOOKUP(AN27,'PEW8'!$B$6:$B$201,'PEW8'!$A$6:$A$201,0)</f>
        <v>0</v>
      </c>
      <c r="AP27" s="10" t="str">
        <f>_xlfn.XLOOKUP($B27,'PEW9'!$C$6:$C$201,'PEW9'!$B$6:$B$201,"")</f>
        <v/>
      </c>
      <c r="AQ27" s="83">
        <f>_xlfn.XLOOKUP(AP27,'PEW9'!$B$6:$B$201,'PEW9'!$A$6:$A$201,0)</f>
        <v>0</v>
      </c>
      <c r="AR27" s="10" t="str">
        <f>_xlfn.XLOOKUP($B27,'PEW10'!$C$6:$C$201,'PEW10'!$B$6:$B$201,"")</f>
        <v/>
      </c>
      <c r="AS27" s="83">
        <f>_xlfn.XLOOKUP(AR27,'PEW10'!$B$6:$B$201,'PEW10'!$A$6:$A$201,0)</f>
        <v>0</v>
      </c>
      <c r="AT27" s="10" t="str">
        <f>_xlfn.XLOOKUP($B27,'PEW11'!$C$6:$C$201,'PEW11'!$B$6:$B$201,"")</f>
        <v/>
      </c>
      <c r="AU27" s="83">
        <f>_xlfn.XLOOKUP(AT27,'PEW11'!$B$6:$B$201,'PEW11'!$A$6:$A$201,0)</f>
        <v>0</v>
      </c>
      <c r="AV27" s="10" t="str">
        <f>_xlfn.XLOOKUP($B27,'PEW12'!$C$6:$C$201,'PEW12'!$B$6:$B$201,"")</f>
        <v/>
      </c>
      <c r="AW27" s="83">
        <f>_xlfn.XLOOKUP(AV27,'PEW12'!$B$6:$B$201,'PEW12'!$A$6:$A$201,0)</f>
        <v>0</v>
      </c>
      <c r="AX27" s="10" t="str" cm="1">
        <f t="array" ref="AX27">_xlfn.XLOOKUP($B27,IMEW!C$6:C$201,IMEW!$B$6:B$201,"")</f>
        <v/>
      </c>
      <c r="AY27" s="84">
        <f>_xlfn.XLOOKUP(AX27,IMEW!$B$6:$B$201,IMEW!$A$6:$A$201,0)</f>
        <v>0</v>
      </c>
      <c r="BA27" s="85">
        <f t="shared" si="1"/>
        <v>0</v>
      </c>
      <c r="BB27" s="85">
        <f t="shared" si="2"/>
        <v>0</v>
      </c>
      <c r="BC27" s="85">
        <f t="shared" si="3"/>
        <v>0</v>
      </c>
      <c r="BD27" s="85">
        <f t="shared" si="4"/>
        <v>0</v>
      </c>
      <c r="BE27" s="85">
        <f t="shared" si="5"/>
        <v>0</v>
      </c>
      <c r="BF27" s="85">
        <f t="shared" si="6"/>
        <v>0</v>
      </c>
      <c r="BG27" s="85">
        <f t="shared" si="7"/>
        <v>0</v>
      </c>
    </row>
    <row r="28" spans="1:59" ht="14.25">
      <c r="A28" s="9">
        <f t="shared" si="0"/>
        <v>23</v>
      </c>
      <c r="B28" s="11"/>
      <c r="C28" s="12"/>
      <c r="D28" s="80">
        <f>SUM(F28,H28,J28,L28,N28,P28,R28,T28,V28)-SUM(SMALL((F28,H28,J28,L28,N28,P28,R28,T28),1),SMALL((F28,H28,J28,L28,N28,P28,R28,T28),2))+SUM(LARGE((Y28,AA28,AC28,AE28,AG28,AI28,AK28,AM28,AO28,AQ28,AS28,AU28,AW28),1),LARGE((Y28,AA28,AC28,AE28,AG28,AI28,AK28,AM28,AO28,AQ28,AS28,AU28,AW28),2),LARGE((Y28,AA28,AC28,AE28,AG28,AI28,AK28,AM28,AO28,AQ28,AS28,AU28,AW28),3),AY28)</f>
        <v>0</v>
      </c>
      <c r="E28" s="13" t="str">
        <f>_xlfn.XLOOKUP($B28,'GP1'!$C$6:$C$101,'GP1'!$B$6:$B$101,"")</f>
        <v/>
      </c>
      <c r="F28" s="86">
        <f>_xlfn.XLOOKUP(E28,'GP1'!$B$6:$B$55,'GP1'!$A$6:$A$55,0)</f>
        <v>0</v>
      </c>
      <c r="G28" s="13">
        <f>_xlfn.XLOOKUP($B28,'GP2'!$C$6:$C$101,'GP2'!$B$6:$B$101,"")</f>
        <v>0</v>
      </c>
      <c r="H28" s="86">
        <f>_xlfn.XLOOKUP(G28,'GP2'!$B$6:$B$55,'GP2'!$A$6:$A$55,0)</f>
        <v>0</v>
      </c>
      <c r="I28" s="13" t="str">
        <f>_xlfn.XLOOKUP($B28,'GP3'!$C$6:$C$101,'GP3'!$B$6:$B$101,"")</f>
        <v/>
      </c>
      <c r="J28" s="86">
        <f>_xlfn.XLOOKUP(I28,'GP3'!$B$6:$B$55,'GP3'!$A$6:$A$55,0)</f>
        <v>0</v>
      </c>
      <c r="K28" s="10" t="str">
        <f>_xlfn.XLOOKUP($B28,'GP4'!$C$6:$C$101,'GP4'!$B$6:$B$101,"")</f>
        <v/>
      </c>
      <c r="L28" s="81">
        <f>_xlfn.XLOOKUP(K28,'GP4'!$B$6:$B$55,'GP4'!$A$6:$A$55,0)</f>
        <v>0</v>
      </c>
      <c r="M28" s="13" t="str">
        <f>_xlfn.XLOOKUP($B28,'GP5'!$C$6:$C$101,'GP5'!$B$6:$B$101,"")</f>
        <v/>
      </c>
      <c r="N28" s="87">
        <f>_xlfn.XLOOKUP(M28,'GP5'!$B$6:$B$55,'GP5'!$A$6:$A$55,0)</f>
        <v>0</v>
      </c>
      <c r="O28" s="13" t="str">
        <f>_xlfn.XLOOKUP($B28,'GP6'!$C$6:$C$101,'GP6'!$B$6:$B$101,"")</f>
        <v/>
      </c>
      <c r="P28" s="87">
        <f>_xlfn.XLOOKUP(O28,'GP6'!$B$6:$B$55,'GP6'!$A$6:$A$55,0)</f>
        <v>0</v>
      </c>
      <c r="Q28" s="13" t="str">
        <f>_xlfn.XLOOKUP($B28,'GP7'!$C$6:$C$101,'GP7'!$B$6:$B$101,"")</f>
        <v/>
      </c>
      <c r="R28" s="87">
        <f>_xlfn.XLOOKUP(Q28,'GP7'!$B$6:$B$55,'GP7'!$A$6:$A$55,0)</f>
        <v>0</v>
      </c>
      <c r="S28" s="13" t="str">
        <f>_xlfn.XLOOKUP($B28,'GP8'!$C$6:$C$101,'GP8'!$B$6:$B$101,"")</f>
        <v/>
      </c>
      <c r="T28" s="87">
        <f>_xlfn.XLOOKUP(S28,'GP8'!$B$6:$B$55,'GP8'!$A$6:$A$55,0)</f>
        <v>0</v>
      </c>
      <c r="U28" s="13" t="str">
        <f>_xlfn.XLOOKUP(B28,MPW!C$6:C$101,MPW!B$6:B$101,"")</f>
        <v/>
      </c>
      <c r="V28" s="87">
        <f>_xlfn.XLOOKUP(U28,MPW!B$6:B$55,MPW!A$6:A$55,0)</f>
        <v>0</v>
      </c>
      <c r="X28" s="10" t="str">
        <f>_xlfn.XLOOKUP($B28,'PEW1'!$C$6:$C$201,'PEW1'!$B$6:$B$201,"")</f>
        <v/>
      </c>
      <c r="Y28" s="83">
        <f>_xlfn.XLOOKUP(X28,'PEW1'!$B$6:$B$201,'PEW1'!$A$6:$A$201,0)</f>
        <v>0</v>
      </c>
      <c r="Z28" s="10" t="str">
        <f>_xlfn.XLOOKUP($B28,'PEW2'!$C$6:$C$201,'PEW2'!$B$6:$B$201,"")</f>
        <v/>
      </c>
      <c r="AA28" s="83">
        <f>_xlfn.XLOOKUP(Z28,'PEW2'!$B$6:$B$201,'PEW2'!$A$6:$A$201,0)</f>
        <v>0</v>
      </c>
      <c r="AB28" s="10" t="str">
        <f>_xlfn.XLOOKUP($B28,'PEW3'!$C$6:$C$201,'PEW3'!$B$6:$B$201,"")</f>
        <v/>
      </c>
      <c r="AC28" s="83">
        <f>_xlfn.XLOOKUP(AB28,'PEW3'!$B$6:$B$201,'PEW3'!$A$6:$A$201,0)</f>
        <v>0</v>
      </c>
      <c r="AD28" s="10" t="str">
        <f>_xlfn.XLOOKUP($B28,VFC!$C$6:$C$201,VFC!$B$6:$B$201,"")</f>
        <v/>
      </c>
      <c r="AE28" s="83">
        <f>_xlfn.XLOOKUP(AD28,VFC!$B$6:$B$201,VFC!$A$6:$A$201,0)</f>
        <v>0</v>
      </c>
      <c r="AF28" s="10" t="str">
        <f>_xlfn.XLOOKUP($B28,'PEW4'!$C$6:$C$201,'PEW4'!$B$6:$B$201,"")</f>
        <v/>
      </c>
      <c r="AG28" s="83">
        <f>_xlfn.XLOOKUP(AF28,'PEW4'!$B$6:$B$201,'PEW4'!$A$6:$A$201,0)</f>
        <v>0</v>
      </c>
      <c r="AH28" s="10" t="str">
        <f>_xlfn.XLOOKUP($B28,'PEW5'!$C$6:$C$201,'PEW5'!$B$6:$B$201,"")</f>
        <v/>
      </c>
      <c r="AI28" s="83">
        <f>_xlfn.XLOOKUP(AH28,'PEW5'!$B$6:$B$201,'PEW5'!$A$6:$A$201,0)</f>
        <v>0</v>
      </c>
      <c r="AJ28" s="10" t="str">
        <f>_xlfn.XLOOKUP($B28,'PEW6'!$C$6:$C$201,'PEW6'!$B$6:$B$201,"")</f>
        <v/>
      </c>
      <c r="AK28" s="83">
        <f>_xlfn.XLOOKUP(AJ28,'PEW6'!$B$6:$B$201,'PEW6'!$A$6:$A$201,0)</f>
        <v>0</v>
      </c>
      <c r="AL28" s="10" t="str">
        <f>_xlfn.XLOOKUP($B28,'PEW7'!$C$6:$C$201,'PEW7'!$B$6:$B$201,"")</f>
        <v/>
      </c>
      <c r="AM28" s="83">
        <f>_xlfn.XLOOKUP(AL28,'PEW7'!$B$6:$B$201,'PEW7'!$A$6:$A$201,0)</f>
        <v>0</v>
      </c>
      <c r="AN28" s="10" t="str">
        <f>_xlfn.XLOOKUP($B28,'PEW8'!$C$6:$C$201,'PEW8'!$B$6:$B$201,"")</f>
        <v/>
      </c>
      <c r="AO28" s="83">
        <f>_xlfn.XLOOKUP(AN28,'PEW8'!$B$6:$B$201,'PEW8'!$A$6:$A$201,0)</f>
        <v>0</v>
      </c>
      <c r="AP28" s="10" t="str">
        <f>_xlfn.XLOOKUP($B28,'PEW9'!$C$6:$C$201,'PEW9'!$B$6:$B$201,"")</f>
        <v/>
      </c>
      <c r="AQ28" s="83">
        <f>_xlfn.XLOOKUP(AP28,'PEW9'!$B$6:$B$201,'PEW9'!$A$6:$A$201,0)</f>
        <v>0</v>
      </c>
      <c r="AR28" s="10" t="str">
        <f>_xlfn.XLOOKUP($B28,'PEW10'!$C$6:$C$201,'PEW10'!$B$6:$B$201,"")</f>
        <v/>
      </c>
      <c r="AS28" s="83">
        <f>_xlfn.XLOOKUP(AR28,'PEW10'!$B$6:$B$201,'PEW10'!$A$6:$A$201,0)</f>
        <v>0</v>
      </c>
      <c r="AT28" s="10" t="str">
        <f>_xlfn.XLOOKUP($B28,'PEW11'!$C$6:$C$201,'PEW11'!$B$6:$B$201,"")</f>
        <v/>
      </c>
      <c r="AU28" s="83">
        <f>_xlfn.XLOOKUP(AT28,'PEW11'!$B$6:$B$201,'PEW11'!$A$6:$A$201,0)</f>
        <v>0</v>
      </c>
      <c r="AV28" s="10" t="str">
        <f>_xlfn.XLOOKUP($B28,'PEW12'!$C$6:$C$201,'PEW12'!$B$6:$B$201,"")</f>
        <v/>
      </c>
      <c r="AW28" s="83">
        <f>_xlfn.XLOOKUP(AV28,'PEW12'!$B$6:$B$201,'PEW12'!$A$6:$A$201,0)</f>
        <v>0</v>
      </c>
      <c r="AX28" s="10" t="str" cm="1">
        <f t="array" ref="AX28">_xlfn.XLOOKUP($B28,IMEW!C$6:C$201,IMEW!$B$6:B$201,"")</f>
        <v/>
      </c>
      <c r="AY28" s="84">
        <f>_xlfn.XLOOKUP(AX28,IMEW!$B$6:$B$201,IMEW!$A$6:$A$201,0)</f>
        <v>0</v>
      </c>
      <c r="BA28" s="85">
        <f t="shared" si="1"/>
        <v>0</v>
      </c>
      <c r="BB28" s="85">
        <f t="shared" si="2"/>
        <v>0</v>
      </c>
      <c r="BC28" s="85">
        <f t="shared" si="3"/>
        <v>0</v>
      </c>
      <c r="BD28" s="85">
        <f t="shared" si="4"/>
        <v>0</v>
      </c>
      <c r="BE28" s="85">
        <f t="shared" si="5"/>
        <v>0</v>
      </c>
      <c r="BF28" s="85">
        <f t="shared" si="6"/>
        <v>0</v>
      </c>
      <c r="BG28" s="85">
        <f t="shared" si="7"/>
        <v>0</v>
      </c>
    </row>
    <row r="29" spans="1:5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59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59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59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168" spans="3:3">
      <c r="C168" t="s">
        <v>57</v>
      </c>
    </row>
  </sheetData>
  <autoFilter ref="A5:AY5" xr:uid="{3A0A20B3-5AAD-4C6E-AC99-1ABF64677A16}">
    <sortState xmlns:xlrd2="http://schemas.microsoft.com/office/spreadsheetml/2017/richdata2" ref="A7:AY28">
      <sortCondition descending="1" ref="D5"/>
    </sortState>
  </autoFilter>
  <mergeCells count="29">
    <mergeCell ref="D1:V2"/>
    <mergeCell ref="G4:H4"/>
    <mergeCell ref="I4:J4"/>
    <mergeCell ref="K4:L4"/>
    <mergeCell ref="AH4:AI4"/>
    <mergeCell ref="M4:N4"/>
    <mergeCell ref="U4:V4"/>
    <mergeCell ref="O4:P4"/>
    <mergeCell ref="Q4:R4"/>
    <mergeCell ref="S4:T4"/>
    <mergeCell ref="X1:BC3"/>
    <mergeCell ref="AD4:AE4"/>
    <mergeCell ref="AN4:AO4"/>
    <mergeCell ref="AP4:AQ4"/>
    <mergeCell ref="AR4:AS4"/>
    <mergeCell ref="X4:Y4"/>
    <mergeCell ref="A4:A5"/>
    <mergeCell ref="B4:B5"/>
    <mergeCell ref="C4:C5"/>
    <mergeCell ref="D4:D5"/>
    <mergeCell ref="E4:F4"/>
    <mergeCell ref="AX4:AY4"/>
    <mergeCell ref="AT4:AU4"/>
    <mergeCell ref="AV4:AW4"/>
    <mergeCell ref="Z4:AA4"/>
    <mergeCell ref="AB4:AC4"/>
    <mergeCell ref="AF4:AG4"/>
    <mergeCell ref="AJ4:AK4"/>
    <mergeCell ref="AL4:AM4"/>
  </mergeCells>
  <conditionalFormatting sqref="A6:A28">
    <cfRule type="cellIs" dxfId="24" priority="14" operator="equal">
      <formula>3</formula>
    </cfRule>
    <cfRule type="cellIs" dxfId="23" priority="15" operator="equal">
      <formula>2</formula>
    </cfRule>
    <cfRule type="cellIs" dxfId="22" priority="16" operator="equal">
      <formula>1</formula>
    </cfRule>
  </conditionalFormatting>
  <conditionalFormatting sqref="D6:V28">
    <cfRule type="cellIs" dxfId="21" priority="1" operator="equal">
      <formula>0</formula>
    </cfRule>
  </conditionalFormatting>
  <conditionalFormatting sqref="X6:AY28">
    <cfRule type="cellIs" dxfId="20" priority="9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F6356-9094-48D6-9E55-3FC65DAF452B}">
  <sheetPr>
    <tabColor rgb="FF92D050"/>
  </sheetPr>
  <dimension ref="A1:AL374"/>
  <sheetViews>
    <sheetView workbookViewId="0">
      <selection activeCell="C3" sqref="C3"/>
    </sheetView>
  </sheetViews>
  <sheetFormatPr defaultColWidth="8.85546875" defaultRowHeight="14.25"/>
  <cols>
    <col min="1" max="1" width="8" style="123" customWidth="1"/>
    <col min="2" max="2" width="8.28515625" style="123" customWidth="1"/>
    <col min="3" max="3" width="34.7109375" style="123" customWidth="1"/>
    <col min="4" max="4" width="11.28515625" style="123" customWidth="1"/>
    <col min="5" max="6" width="8.85546875" style="123"/>
    <col min="7" max="7" width="0.85546875" style="123" customWidth="1"/>
    <col min="8" max="8" width="8.85546875" style="126"/>
    <col min="9" max="9" width="11" style="126" customWidth="1"/>
    <col min="10" max="10" width="15.28515625" style="126" customWidth="1"/>
    <col min="11" max="11" width="8.7109375" style="126" customWidth="1"/>
    <col min="12" max="12" width="11" style="126" customWidth="1"/>
    <col min="13" max="13" width="12.28515625" style="127" customWidth="1"/>
    <col min="14" max="15" width="13.85546875" style="88" customWidth="1"/>
    <col min="16" max="18" width="8.85546875" style="88"/>
    <col min="19" max="20" width="8.85546875" style="93"/>
    <col min="21" max="21" width="12.140625" style="93" customWidth="1"/>
    <col min="22" max="22" width="27.42578125" style="93" customWidth="1"/>
    <col min="23" max="38" width="8.85546875" style="93"/>
    <col min="39" max="16384" width="8.85546875" style="123"/>
  </cols>
  <sheetData>
    <row r="1" spans="1:36" s="93" customFormat="1">
      <c r="A1" s="88"/>
      <c r="B1" s="88"/>
      <c r="C1" s="88"/>
      <c r="D1" s="88"/>
      <c r="E1" s="88"/>
      <c r="F1" s="88"/>
      <c r="G1" s="88"/>
      <c r="H1" s="89" t="s">
        <v>34</v>
      </c>
      <c r="I1" s="90" t="s">
        <v>35</v>
      </c>
      <c r="J1" s="90" t="s">
        <v>36</v>
      </c>
      <c r="K1" s="91" t="s">
        <v>131</v>
      </c>
      <c r="L1" s="92"/>
      <c r="M1" s="92"/>
      <c r="N1" s="88"/>
      <c r="O1" s="88"/>
      <c r="P1" s="88"/>
      <c r="Q1" s="88"/>
      <c r="R1" s="88"/>
    </row>
    <row r="2" spans="1:36" s="93" customFormat="1">
      <c r="A2" s="88"/>
      <c r="B2" s="21" t="s">
        <v>38</v>
      </c>
      <c r="C2" s="133" t="s">
        <v>132</v>
      </c>
      <c r="D2" s="73"/>
      <c r="E2" s="22"/>
      <c r="F2" s="22"/>
      <c r="G2" s="22"/>
      <c r="H2" s="94">
        <v>0</v>
      </c>
      <c r="I2" s="95">
        <v>50</v>
      </c>
      <c r="J2" s="95">
        <v>10</v>
      </c>
      <c r="K2" s="96">
        <f>3*H2^(1/3)</f>
        <v>0</v>
      </c>
      <c r="L2" s="92"/>
      <c r="M2" s="92"/>
      <c r="N2" s="88"/>
      <c r="O2" s="88"/>
      <c r="P2" s="88"/>
      <c r="Q2" s="88"/>
      <c r="R2" s="88"/>
    </row>
    <row r="3" spans="1:36" s="93" customFormat="1">
      <c r="A3" s="88"/>
      <c r="B3" s="97" t="s">
        <v>40</v>
      </c>
      <c r="C3" s="74" t="s">
        <v>133</v>
      </c>
      <c r="D3" s="74"/>
      <c r="E3" s="27"/>
      <c r="F3" s="27"/>
      <c r="G3" s="27"/>
      <c r="H3" s="92"/>
      <c r="I3" s="92"/>
      <c r="J3" s="98"/>
      <c r="K3" s="92"/>
      <c r="L3" s="92"/>
      <c r="M3" s="92"/>
      <c r="N3" s="88"/>
      <c r="O3" s="88"/>
      <c r="P3" s="88"/>
      <c r="Q3" s="88"/>
      <c r="R3" s="88"/>
    </row>
    <row r="4" spans="1:36" s="93" customFormat="1" ht="10.15" customHeight="1">
      <c r="A4" s="29"/>
      <c r="B4" s="27"/>
      <c r="C4" s="29"/>
      <c r="D4" s="29"/>
      <c r="E4" s="29"/>
      <c r="F4" s="29"/>
      <c r="G4" s="29"/>
      <c r="H4" s="92"/>
      <c r="I4" s="92"/>
      <c r="J4" s="98"/>
      <c r="K4" s="92"/>
      <c r="L4" s="92"/>
      <c r="M4" s="92"/>
      <c r="N4" s="88"/>
      <c r="O4" s="88"/>
      <c r="P4" s="88"/>
      <c r="Q4" s="88"/>
      <c r="R4" s="88"/>
    </row>
    <row r="5" spans="1:36" s="93" customFormat="1" ht="34.700000000000003">
      <c r="A5" s="1" t="s">
        <v>42</v>
      </c>
      <c r="B5" s="30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9"/>
      <c r="H5" s="99" t="s">
        <v>48</v>
      </c>
      <c r="I5" s="100" t="s">
        <v>49</v>
      </c>
      <c r="J5" s="101" t="s">
        <v>50</v>
      </c>
      <c r="K5" s="100" t="s">
        <v>51</v>
      </c>
      <c r="L5" s="100" t="s">
        <v>52</v>
      </c>
      <c r="M5" s="99" t="s">
        <v>53</v>
      </c>
      <c r="N5" s="88"/>
      <c r="O5" s="88"/>
      <c r="P5" s="88"/>
      <c r="Q5" s="88"/>
      <c r="R5" s="88"/>
    </row>
    <row r="6" spans="1:36" s="93" customFormat="1" ht="14.45" customHeight="1">
      <c r="A6" s="102">
        <f t="shared" ref="A6:A37" si="0">M6</f>
        <v>0</v>
      </c>
      <c r="B6" s="35" t="str">
        <f>IF(H6&gt;$H$2,"",(ROW()-5))</f>
        <v/>
      </c>
      <c r="C6" s="36" t="s">
        <v>57</v>
      </c>
      <c r="D6" s="36"/>
      <c r="E6" s="36"/>
      <c r="F6" s="36" t="s">
        <v>55</v>
      </c>
      <c r="G6" s="29"/>
      <c r="H6" s="103">
        <v>1</v>
      </c>
      <c r="I6" s="104" t="str">
        <f t="shared" ref="I6:I69" si="1">IF(H6&lt;$H$2+1,($I$2-($I$2-1)*(LOG(H6)/LOG($H$2))),"")</f>
        <v/>
      </c>
      <c r="J6" s="103" t="e">
        <f t="shared" ref="J6:J69" si="2">INT(LOG($H$2,2))-ROUNDUP(LOG(H6,2),0)+IF(OR($H$2=1,$H$2=2,$H$2=4,$H$2=8,$H$2=16,$H$2=32,$H$2=64,$H$2=128,$H$2=256),0,1)</f>
        <v>#NUM!</v>
      </c>
      <c r="K6" s="103" t="e">
        <f t="shared" ref="K6:K69" si="3">J6*$J$2</f>
        <v>#NUM!</v>
      </c>
      <c r="L6" s="105">
        <f>3*K2</f>
        <v>0</v>
      </c>
      <c r="M6" s="105">
        <f t="shared" ref="M6:M69" si="4">IF(I6&lt;&gt;"",K6+I6+L6,0)</f>
        <v>0</v>
      </c>
      <c r="N6" s="88"/>
      <c r="O6" s="88"/>
      <c r="P6" s="88"/>
      <c r="Q6" s="88"/>
      <c r="R6" s="88"/>
    </row>
    <row r="7" spans="1:36" s="93" customFormat="1" ht="14.45" customHeight="1">
      <c r="A7" s="106">
        <f t="shared" si="0"/>
        <v>0</v>
      </c>
      <c r="B7" s="41" t="str">
        <f>IF(H7&gt;$H$2,"",(ROW()-5))</f>
        <v/>
      </c>
      <c r="C7" s="42" t="s">
        <v>57</v>
      </c>
      <c r="D7" s="42"/>
      <c r="E7" s="42"/>
      <c r="F7" s="42" t="s">
        <v>55</v>
      </c>
      <c r="G7" s="29"/>
      <c r="H7" s="107">
        <v>2</v>
      </c>
      <c r="I7" s="108" t="str">
        <f t="shared" si="1"/>
        <v/>
      </c>
      <c r="J7" s="107" t="e">
        <f t="shared" si="2"/>
        <v>#NUM!</v>
      </c>
      <c r="K7" s="107" t="e">
        <f t="shared" si="3"/>
        <v>#NUM!</v>
      </c>
      <c r="L7" s="109">
        <f>2*K2</f>
        <v>0</v>
      </c>
      <c r="M7" s="109">
        <f t="shared" si="4"/>
        <v>0</v>
      </c>
      <c r="N7" s="88"/>
      <c r="O7" s="88"/>
      <c r="P7" s="88"/>
      <c r="Q7" s="88"/>
      <c r="R7" s="88"/>
    </row>
    <row r="8" spans="1:36" s="93" customFormat="1" ht="14.45" customHeight="1">
      <c r="A8" s="102">
        <f t="shared" si="0"/>
        <v>0</v>
      </c>
      <c r="B8" s="35" t="str">
        <f>IF(H8&gt;$H$2,"",(ROW()-5))</f>
        <v/>
      </c>
      <c r="C8" s="36" t="s">
        <v>57</v>
      </c>
      <c r="D8" s="36"/>
      <c r="E8" s="36"/>
      <c r="F8" s="36" t="s">
        <v>55</v>
      </c>
      <c r="G8" s="29"/>
      <c r="H8" s="103">
        <v>3</v>
      </c>
      <c r="I8" s="104" t="str">
        <f t="shared" si="1"/>
        <v/>
      </c>
      <c r="J8" s="103" t="e">
        <f t="shared" si="2"/>
        <v>#NUM!</v>
      </c>
      <c r="K8" s="103" t="e">
        <f t="shared" si="3"/>
        <v>#NUM!</v>
      </c>
      <c r="L8" s="105">
        <f>K2</f>
        <v>0</v>
      </c>
      <c r="M8" s="105">
        <f t="shared" si="4"/>
        <v>0</v>
      </c>
      <c r="N8" s="88"/>
      <c r="O8" s="88"/>
      <c r="P8" s="88"/>
      <c r="Q8" s="88"/>
      <c r="R8" s="88"/>
    </row>
    <row r="9" spans="1:36" s="93" customFormat="1" ht="14.45" customHeight="1">
      <c r="A9" s="106">
        <f t="shared" si="0"/>
        <v>0</v>
      </c>
      <c r="B9" s="41" t="str">
        <f>IF(H9&gt;$H$2,"",3)</f>
        <v/>
      </c>
      <c r="C9" s="42" t="s">
        <v>57</v>
      </c>
      <c r="D9" s="42"/>
      <c r="E9" s="42"/>
      <c r="F9" s="42"/>
      <c r="G9" s="29"/>
      <c r="H9" s="107">
        <v>3</v>
      </c>
      <c r="I9" s="108" t="str">
        <f t="shared" si="1"/>
        <v/>
      </c>
      <c r="J9" s="107" t="e">
        <f t="shared" si="2"/>
        <v>#NUM!</v>
      </c>
      <c r="K9" s="107" t="e">
        <f t="shared" si="3"/>
        <v>#NUM!</v>
      </c>
      <c r="L9" s="109">
        <f>K2</f>
        <v>0</v>
      </c>
      <c r="M9" s="109">
        <f t="shared" si="4"/>
        <v>0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57</v>
      </c>
      <c r="AI9" s="93">
        <v>23</v>
      </c>
    </row>
    <row r="10" spans="1:36" s="93" customFormat="1" ht="14.45" customHeight="1">
      <c r="A10" s="102">
        <f t="shared" si="0"/>
        <v>0</v>
      </c>
      <c r="B10" s="35" t="str">
        <f t="shared" ref="B10:B65" si="5">IF(H10&gt;$H$2,"",(ROW()-5))</f>
        <v/>
      </c>
      <c r="C10" s="36" t="s">
        <v>57</v>
      </c>
      <c r="D10" s="36"/>
      <c r="E10" s="36"/>
      <c r="F10" s="36"/>
      <c r="G10" s="29"/>
      <c r="H10" s="103">
        <v>5</v>
      </c>
      <c r="I10" s="104" t="str">
        <f t="shared" si="1"/>
        <v/>
      </c>
      <c r="J10" s="103" t="e">
        <f t="shared" si="2"/>
        <v>#NUM!</v>
      </c>
      <c r="K10" s="103" t="e">
        <f t="shared" si="3"/>
        <v>#NUM!</v>
      </c>
      <c r="L10" s="103"/>
      <c r="M10" s="105">
        <f t="shared" si="4"/>
        <v>0</v>
      </c>
      <c r="N10" s="88"/>
      <c r="O10" s="88"/>
      <c r="P10" s="88"/>
      <c r="Q10" s="88"/>
      <c r="R10" s="88"/>
      <c r="V10" s="110"/>
      <c r="Z10" s="111"/>
      <c r="AA10" s="111"/>
      <c r="AG10" s="112"/>
      <c r="AH10" s="93" t="s">
        <v>58</v>
      </c>
      <c r="AI10" s="93">
        <v>45</v>
      </c>
    </row>
    <row r="11" spans="1:36" s="93" customFormat="1" ht="14.45" customHeight="1">
      <c r="A11" s="106">
        <f t="shared" si="0"/>
        <v>0</v>
      </c>
      <c r="B11" s="41" t="str">
        <f t="shared" si="5"/>
        <v/>
      </c>
      <c r="C11" s="42" t="s">
        <v>57</v>
      </c>
      <c r="D11" s="42"/>
      <c r="E11" s="42"/>
      <c r="F11" s="42"/>
      <c r="G11" s="29"/>
      <c r="H11" s="107">
        <v>6</v>
      </c>
      <c r="I11" s="108" t="str">
        <f t="shared" si="1"/>
        <v/>
      </c>
      <c r="J11" s="107" t="e">
        <f t="shared" si="2"/>
        <v>#NUM!</v>
      </c>
      <c r="K11" s="107" t="e">
        <f t="shared" si="3"/>
        <v>#NUM!</v>
      </c>
      <c r="L11" s="107"/>
      <c r="M11" s="109">
        <f t="shared" si="4"/>
        <v>0</v>
      </c>
      <c r="N11" s="88"/>
      <c r="O11" s="88"/>
      <c r="P11" s="88"/>
      <c r="Q11" s="88"/>
      <c r="R11" s="88"/>
      <c r="V11" s="113"/>
      <c r="Z11" s="111"/>
      <c r="AA11" s="111"/>
      <c r="AG11" s="112"/>
      <c r="AH11" s="93" t="s">
        <v>60</v>
      </c>
      <c r="AI11" s="93">
        <v>50</v>
      </c>
    </row>
    <row r="12" spans="1:36" s="93" customFormat="1" ht="14.45" customHeight="1">
      <c r="A12" s="102">
        <f t="shared" si="0"/>
        <v>0</v>
      </c>
      <c r="B12" s="35" t="str">
        <f t="shared" si="5"/>
        <v/>
      </c>
      <c r="C12" s="36" t="s">
        <v>57</v>
      </c>
      <c r="D12" s="36"/>
      <c r="E12" s="36"/>
      <c r="F12" s="36"/>
      <c r="G12" s="29"/>
      <c r="H12" s="103">
        <v>7</v>
      </c>
      <c r="I12" s="104" t="str">
        <f t="shared" si="1"/>
        <v/>
      </c>
      <c r="J12" s="103" t="e">
        <f t="shared" si="2"/>
        <v>#NUM!</v>
      </c>
      <c r="K12" s="103" t="e">
        <f t="shared" si="3"/>
        <v>#NUM!</v>
      </c>
      <c r="L12" s="103"/>
      <c r="M12" s="105">
        <f t="shared" si="4"/>
        <v>0</v>
      </c>
      <c r="N12" s="88"/>
      <c r="O12" s="88"/>
      <c r="P12" s="88"/>
      <c r="Q12" s="88"/>
      <c r="R12" s="88"/>
      <c r="Z12" s="111"/>
      <c r="AA12" s="111"/>
      <c r="AG12" s="112"/>
      <c r="AH12" s="93" t="s">
        <v>61</v>
      </c>
      <c r="AI12" s="93">
        <f>AI11-1</f>
        <v>49</v>
      </c>
    </row>
    <row r="13" spans="1:36" s="93" customFormat="1" ht="14.45" customHeight="1">
      <c r="A13" s="106">
        <f t="shared" si="0"/>
        <v>0</v>
      </c>
      <c r="B13" s="41" t="str">
        <f t="shared" si="5"/>
        <v/>
      </c>
      <c r="C13" s="42"/>
      <c r="D13" s="42"/>
      <c r="E13" s="42"/>
      <c r="F13" s="42"/>
      <c r="G13" s="29"/>
      <c r="H13" s="107">
        <v>8</v>
      </c>
      <c r="I13" s="108" t="str">
        <f t="shared" si="1"/>
        <v/>
      </c>
      <c r="J13" s="107" t="e">
        <f t="shared" si="2"/>
        <v>#NUM!</v>
      </c>
      <c r="K13" s="107" t="e">
        <f t="shared" si="3"/>
        <v>#NUM!</v>
      </c>
      <c r="L13" s="107"/>
      <c r="M13" s="109">
        <f t="shared" si="4"/>
        <v>0</v>
      </c>
      <c r="N13" s="88"/>
      <c r="O13" s="88"/>
      <c r="P13" s="88"/>
      <c r="Q13" s="88"/>
      <c r="R13" s="88"/>
      <c r="X13" s="110"/>
      <c r="AG13" s="112"/>
      <c r="AH13" s="93" t="s">
        <v>62</v>
      </c>
      <c r="AI13" s="93">
        <f>LOG(AI9)</f>
        <v>1.3617278360175928</v>
      </c>
    </row>
    <row r="14" spans="1:36" s="93" customFormat="1">
      <c r="A14" s="102">
        <f t="shared" si="0"/>
        <v>0</v>
      </c>
      <c r="B14" s="35" t="str">
        <f t="shared" si="5"/>
        <v/>
      </c>
      <c r="C14" s="36"/>
      <c r="D14" s="36"/>
      <c r="E14" s="36"/>
      <c r="F14" s="36"/>
      <c r="G14" s="29"/>
      <c r="H14" s="103">
        <v>9</v>
      </c>
      <c r="I14" s="104" t="str">
        <f t="shared" si="1"/>
        <v/>
      </c>
      <c r="J14" s="103" t="e">
        <f t="shared" si="2"/>
        <v>#NUM!</v>
      </c>
      <c r="K14" s="103" t="e">
        <f t="shared" si="3"/>
        <v>#NUM!</v>
      </c>
      <c r="L14" s="103"/>
      <c r="M14" s="105">
        <f t="shared" si="4"/>
        <v>0</v>
      </c>
      <c r="N14" s="88"/>
      <c r="O14" s="88"/>
      <c r="P14" s="88"/>
      <c r="Q14" s="88"/>
      <c r="R14" s="88"/>
      <c r="X14" s="114"/>
      <c r="Z14" s="111"/>
      <c r="AA14" s="111"/>
      <c r="AG14" s="112"/>
      <c r="AH14" s="93" t="s">
        <v>64</v>
      </c>
      <c r="AI14" s="93">
        <f>LOG(AI10)</f>
        <v>1.6532125137753437</v>
      </c>
    </row>
    <row r="15" spans="1:36" s="93" customFormat="1">
      <c r="A15" s="106">
        <f t="shared" si="0"/>
        <v>0</v>
      </c>
      <c r="B15" s="41" t="str">
        <f t="shared" si="5"/>
        <v/>
      </c>
      <c r="C15" s="42"/>
      <c r="D15" s="42"/>
      <c r="E15" s="42"/>
      <c r="F15" s="42"/>
      <c r="G15" s="29"/>
      <c r="H15" s="107">
        <v>10</v>
      </c>
      <c r="I15" s="108" t="str">
        <f t="shared" si="1"/>
        <v/>
      </c>
      <c r="J15" s="107" t="e">
        <f t="shared" si="2"/>
        <v>#NUM!</v>
      </c>
      <c r="K15" s="107" t="e">
        <f t="shared" si="3"/>
        <v>#NUM!</v>
      </c>
      <c r="L15" s="107"/>
      <c r="M15" s="109">
        <f t="shared" si="4"/>
        <v>0</v>
      </c>
      <c r="N15" s="88"/>
      <c r="O15" s="88"/>
      <c r="P15" s="88"/>
      <c r="Q15" s="88"/>
      <c r="R15" s="88"/>
      <c r="X15" s="110"/>
      <c r="Z15" s="111"/>
      <c r="AA15" s="111"/>
    </row>
    <row r="16" spans="1:36" s="93" customFormat="1">
      <c r="A16" s="102">
        <f t="shared" si="0"/>
        <v>0</v>
      </c>
      <c r="B16" s="35" t="str">
        <f t="shared" si="5"/>
        <v/>
      </c>
      <c r="C16" s="36"/>
      <c r="D16" s="36"/>
      <c r="E16" s="36"/>
      <c r="F16" s="36"/>
      <c r="G16" s="29"/>
      <c r="H16" s="103">
        <v>11</v>
      </c>
      <c r="I16" s="104" t="str">
        <f t="shared" si="1"/>
        <v/>
      </c>
      <c r="J16" s="103" t="e">
        <f t="shared" si="2"/>
        <v>#NUM!</v>
      </c>
      <c r="K16" s="103" t="e">
        <f t="shared" si="3"/>
        <v>#NUM!</v>
      </c>
      <c r="L16" s="103"/>
      <c r="M16" s="105">
        <f t="shared" si="4"/>
        <v>0</v>
      </c>
      <c r="N16" s="88"/>
      <c r="O16" s="88"/>
      <c r="P16" s="88"/>
      <c r="Q16" s="88"/>
      <c r="R16" s="115"/>
      <c r="Z16" s="111"/>
      <c r="AA16" s="111"/>
      <c r="AH16" s="116" t="s">
        <v>66</v>
      </c>
      <c r="AI16" s="93">
        <f>AI11-AI12*AI13/AI14</f>
        <v>9.6393909380186855</v>
      </c>
      <c r="AJ16" s="93" t="s">
        <v>67</v>
      </c>
    </row>
    <row r="17" spans="1:19" s="93" customFormat="1">
      <c r="A17" s="106">
        <f t="shared" si="0"/>
        <v>0</v>
      </c>
      <c r="B17" s="41" t="str">
        <f t="shared" si="5"/>
        <v/>
      </c>
      <c r="C17" s="42"/>
      <c r="D17" s="42"/>
      <c r="E17" s="42"/>
      <c r="F17" s="42"/>
      <c r="G17" s="29"/>
      <c r="H17" s="107">
        <v>12</v>
      </c>
      <c r="I17" s="108" t="str">
        <f t="shared" si="1"/>
        <v/>
      </c>
      <c r="J17" s="107" t="e">
        <f t="shared" si="2"/>
        <v>#NUM!</v>
      </c>
      <c r="K17" s="107" t="e">
        <f t="shared" si="3"/>
        <v>#NUM!</v>
      </c>
      <c r="L17" s="107"/>
      <c r="M17" s="109">
        <f t="shared" si="4"/>
        <v>0</v>
      </c>
      <c r="N17" s="88"/>
      <c r="O17" s="88"/>
      <c r="P17" s="88"/>
      <c r="Q17" s="88"/>
      <c r="R17" s="88"/>
    </row>
    <row r="18" spans="1:19" s="93" customFormat="1">
      <c r="A18" s="102">
        <f t="shared" si="0"/>
        <v>0</v>
      </c>
      <c r="B18" s="35" t="str">
        <f t="shared" si="5"/>
        <v/>
      </c>
      <c r="C18" s="36"/>
      <c r="D18" s="36"/>
      <c r="E18" s="36"/>
      <c r="F18" s="36"/>
      <c r="G18" s="29"/>
      <c r="H18" s="103">
        <v>13</v>
      </c>
      <c r="I18" s="104" t="str">
        <f t="shared" si="1"/>
        <v/>
      </c>
      <c r="J18" s="103" t="e">
        <f t="shared" si="2"/>
        <v>#NUM!</v>
      </c>
      <c r="K18" s="103" t="e">
        <f t="shared" si="3"/>
        <v>#NUM!</v>
      </c>
      <c r="L18" s="103"/>
      <c r="M18" s="105">
        <f t="shared" si="4"/>
        <v>0</v>
      </c>
      <c r="N18" s="88"/>
      <c r="O18" s="88"/>
      <c r="P18" s="88"/>
      <c r="Q18" s="88"/>
      <c r="R18" s="88"/>
    </row>
    <row r="19" spans="1:19" s="93" customFormat="1">
      <c r="A19" s="106">
        <f t="shared" si="0"/>
        <v>0</v>
      </c>
      <c r="B19" s="41" t="str">
        <f t="shared" si="5"/>
        <v/>
      </c>
      <c r="C19" s="42"/>
      <c r="D19" s="42"/>
      <c r="E19" s="42"/>
      <c r="F19" s="42"/>
      <c r="G19" s="29"/>
      <c r="H19" s="107">
        <v>14</v>
      </c>
      <c r="I19" s="108" t="str">
        <f t="shared" si="1"/>
        <v/>
      </c>
      <c r="J19" s="107" t="e">
        <f t="shared" si="2"/>
        <v>#NUM!</v>
      </c>
      <c r="K19" s="107" t="e">
        <f t="shared" si="3"/>
        <v>#NUM!</v>
      </c>
      <c r="L19" s="107"/>
      <c r="M19" s="109">
        <f t="shared" si="4"/>
        <v>0</v>
      </c>
      <c r="N19" s="88"/>
      <c r="O19" s="88"/>
      <c r="P19" s="88"/>
      <c r="Q19" s="88"/>
      <c r="R19" s="88"/>
    </row>
    <row r="20" spans="1:19" s="93" customFormat="1">
      <c r="A20" s="102">
        <f t="shared" si="0"/>
        <v>0</v>
      </c>
      <c r="B20" s="35" t="str">
        <f t="shared" si="5"/>
        <v/>
      </c>
      <c r="C20" s="36"/>
      <c r="D20" s="36"/>
      <c r="E20" s="36"/>
      <c r="F20" s="36"/>
      <c r="G20" s="29"/>
      <c r="H20" s="103">
        <v>15</v>
      </c>
      <c r="I20" s="104" t="str">
        <f t="shared" si="1"/>
        <v/>
      </c>
      <c r="J20" s="103" t="e">
        <f t="shared" si="2"/>
        <v>#NUM!</v>
      </c>
      <c r="K20" s="103" t="e">
        <f t="shared" si="3"/>
        <v>#NUM!</v>
      </c>
      <c r="L20" s="103"/>
      <c r="M20" s="105">
        <f t="shared" si="4"/>
        <v>0</v>
      </c>
      <c r="N20" s="88"/>
      <c r="O20" s="88"/>
      <c r="P20" s="88"/>
      <c r="Q20" s="88"/>
      <c r="R20" s="117"/>
      <c r="S20" s="118"/>
    </row>
    <row r="21" spans="1:19" s="93" customFormat="1">
      <c r="A21" s="106">
        <f t="shared" si="0"/>
        <v>0</v>
      </c>
      <c r="B21" s="41" t="str">
        <f t="shared" si="5"/>
        <v/>
      </c>
      <c r="C21" s="42"/>
      <c r="D21" s="42"/>
      <c r="E21" s="42"/>
      <c r="F21" s="42"/>
      <c r="G21" s="29"/>
      <c r="H21" s="107">
        <v>16</v>
      </c>
      <c r="I21" s="108" t="str">
        <f t="shared" si="1"/>
        <v/>
      </c>
      <c r="J21" s="107" t="e">
        <f t="shared" si="2"/>
        <v>#NUM!</v>
      </c>
      <c r="K21" s="107" t="e">
        <f t="shared" si="3"/>
        <v>#NUM!</v>
      </c>
      <c r="L21" s="107"/>
      <c r="M21" s="109">
        <f t="shared" si="4"/>
        <v>0</v>
      </c>
      <c r="N21" s="88"/>
      <c r="O21" s="88"/>
      <c r="P21" s="88"/>
      <c r="Q21" s="88"/>
      <c r="R21" s="88"/>
    </row>
    <row r="22" spans="1:19" s="93" customFormat="1">
      <c r="A22" s="102">
        <f t="shared" si="0"/>
        <v>0</v>
      </c>
      <c r="B22" s="35" t="str">
        <f t="shared" si="5"/>
        <v/>
      </c>
      <c r="C22" s="36"/>
      <c r="D22" s="36"/>
      <c r="E22" s="36"/>
      <c r="F22" s="36"/>
      <c r="G22" s="29"/>
      <c r="H22" s="103">
        <v>17</v>
      </c>
      <c r="I22" s="104" t="str">
        <f t="shared" si="1"/>
        <v/>
      </c>
      <c r="J22" s="103" t="e">
        <f t="shared" si="2"/>
        <v>#NUM!</v>
      </c>
      <c r="K22" s="103" t="e">
        <f t="shared" si="3"/>
        <v>#NUM!</v>
      </c>
      <c r="L22" s="103"/>
      <c r="M22" s="105">
        <f t="shared" si="4"/>
        <v>0</v>
      </c>
      <c r="N22" s="88"/>
      <c r="O22" s="88"/>
      <c r="P22" s="88"/>
      <c r="Q22" s="88"/>
      <c r="R22" s="88"/>
    </row>
    <row r="23" spans="1:19" s="93" customFormat="1">
      <c r="A23" s="106">
        <f t="shared" si="0"/>
        <v>0</v>
      </c>
      <c r="B23" s="41" t="str">
        <f t="shared" si="5"/>
        <v/>
      </c>
      <c r="C23" s="42"/>
      <c r="D23" s="42"/>
      <c r="E23" s="42"/>
      <c r="F23" s="42"/>
      <c r="G23" s="29"/>
      <c r="H23" s="107">
        <v>18</v>
      </c>
      <c r="I23" s="108" t="str">
        <f t="shared" si="1"/>
        <v/>
      </c>
      <c r="J23" s="107" t="e">
        <f t="shared" si="2"/>
        <v>#NUM!</v>
      </c>
      <c r="K23" s="107" t="e">
        <f t="shared" si="3"/>
        <v>#NUM!</v>
      </c>
      <c r="L23" s="107"/>
      <c r="M23" s="109">
        <f t="shared" si="4"/>
        <v>0</v>
      </c>
      <c r="N23" s="88"/>
      <c r="O23" s="88"/>
      <c r="P23" s="88"/>
      <c r="Q23" s="88"/>
      <c r="R23" s="88"/>
    </row>
    <row r="24" spans="1:19" s="93" customFormat="1">
      <c r="A24" s="102">
        <f t="shared" si="0"/>
        <v>0</v>
      </c>
      <c r="B24" s="35" t="str">
        <f t="shared" si="5"/>
        <v/>
      </c>
      <c r="C24" s="36"/>
      <c r="D24" s="36"/>
      <c r="E24" s="36"/>
      <c r="F24" s="36"/>
      <c r="G24" s="29"/>
      <c r="H24" s="103">
        <v>19</v>
      </c>
      <c r="I24" s="104" t="str">
        <f t="shared" si="1"/>
        <v/>
      </c>
      <c r="J24" s="103" t="e">
        <f t="shared" si="2"/>
        <v>#NUM!</v>
      </c>
      <c r="K24" s="103" t="e">
        <f t="shared" si="3"/>
        <v>#NUM!</v>
      </c>
      <c r="L24" s="103"/>
      <c r="M24" s="105">
        <f t="shared" si="4"/>
        <v>0</v>
      </c>
      <c r="N24" s="88"/>
      <c r="O24" s="88"/>
      <c r="P24" s="88"/>
      <c r="Q24" s="88"/>
      <c r="R24" s="117"/>
      <c r="S24" s="118"/>
    </row>
    <row r="25" spans="1:19" s="93" customFormat="1">
      <c r="A25" s="106">
        <f t="shared" si="0"/>
        <v>0</v>
      </c>
      <c r="B25" s="41" t="str">
        <f t="shared" si="5"/>
        <v/>
      </c>
      <c r="C25" s="42"/>
      <c r="D25" s="42"/>
      <c r="E25" s="42"/>
      <c r="F25" s="42"/>
      <c r="G25" s="29"/>
      <c r="H25" s="107">
        <v>20</v>
      </c>
      <c r="I25" s="108" t="str">
        <f t="shared" si="1"/>
        <v/>
      </c>
      <c r="J25" s="107" t="e">
        <f t="shared" si="2"/>
        <v>#NUM!</v>
      </c>
      <c r="K25" s="107" t="e">
        <f t="shared" si="3"/>
        <v>#NUM!</v>
      </c>
      <c r="L25" s="107"/>
      <c r="M25" s="109">
        <f t="shared" si="4"/>
        <v>0</v>
      </c>
      <c r="N25" s="88"/>
      <c r="O25" s="88"/>
      <c r="P25" s="88"/>
      <c r="Q25" s="88"/>
      <c r="R25" s="88"/>
    </row>
    <row r="26" spans="1:19" s="93" customFormat="1">
      <c r="A26" s="102">
        <f t="shared" si="0"/>
        <v>0</v>
      </c>
      <c r="B26" s="35" t="str">
        <f t="shared" si="5"/>
        <v/>
      </c>
      <c r="C26" s="36"/>
      <c r="D26" s="36"/>
      <c r="E26" s="36"/>
      <c r="F26" s="36"/>
      <c r="G26" s="29"/>
      <c r="H26" s="103">
        <v>21</v>
      </c>
      <c r="I26" s="104" t="str">
        <f t="shared" si="1"/>
        <v/>
      </c>
      <c r="J26" s="103" t="e">
        <f t="shared" si="2"/>
        <v>#NUM!</v>
      </c>
      <c r="K26" s="103" t="e">
        <f t="shared" si="3"/>
        <v>#NUM!</v>
      </c>
      <c r="L26" s="103"/>
      <c r="M26" s="105">
        <f t="shared" si="4"/>
        <v>0</v>
      </c>
      <c r="N26" s="88"/>
      <c r="O26" s="88"/>
      <c r="P26" s="88"/>
      <c r="Q26" s="88"/>
      <c r="R26" s="88"/>
    </row>
    <row r="27" spans="1:19" s="93" customFormat="1">
      <c r="A27" s="106">
        <f t="shared" si="0"/>
        <v>0</v>
      </c>
      <c r="B27" s="41" t="str">
        <f t="shared" si="5"/>
        <v/>
      </c>
      <c r="C27" s="42"/>
      <c r="D27" s="42"/>
      <c r="E27" s="42"/>
      <c r="F27" s="42"/>
      <c r="G27" s="29"/>
      <c r="H27" s="107">
        <v>22</v>
      </c>
      <c r="I27" s="108" t="str">
        <f t="shared" si="1"/>
        <v/>
      </c>
      <c r="J27" s="107" t="e">
        <f t="shared" si="2"/>
        <v>#NUM!</v>
      </c>
      <c r="K27" s="107" t="e">
        <f t="shared" si="3"/>
        <v>#NUM!</v>
      </c>
      <c r="L27" s="107"/>
      <c r="M27" s="109">
        <f t="shared" si="4"/>
        <v>0</v>
      </c>
      <c r="N27" s="88"/>
      <c r="O27" s="88"/>
      <c r="P27" s="88"/>
      <c r="Q27" s="88"/>
      <c r="R27" s="88"/>
    </row>
    <row r="28" spans="1:19" s="93" customFormat="1">
      <c r="A28" s="102">
        <f t="shared" si="0"/>
        <v>0</v>
      </c>
      <c r="B28" s="35" t="str">
        <f t="shared" si="5"/>
        <v/>
      </c>
      <c r="C28" s="36"/>
      <c r="D28" s="36"/>
      <c r="E28" s="36"/>
      <c r="F28" s="36"/>
      <c r="G28" s="29"/>
      <c r="H28" s="103">
        <v>23</v>
      </c>
      <c r="I28" s="104" t="str">
        <f t="shared" si="1"/>
        <v/>
      </c>
      <c r="J28" s="103" t="e">
        <f t="shared" si="2"/>
        <v>#NUM!</v>
      </c>
      <c r="K28" s="103" t="e">
        <f t="shared" si="3"/>
        <v>#NUM!</v>
      </c>
      <c r="L28" s="103"/>
      <c r="M28" s="105">
        <f t="shared" si="4"/>
        <v>0</v>
      </c>
      <c r="N28" s="88"/>
      <c r="O28" s="88"/>
      <c r="P28" s="88"/>
      <c r="Q28" s="88"/>
      <c r="R28" s="117"/>
      <c r="S28" s="118"/>
    </row>
    <row r="29" spans="1:19" s="93" customFormat="1">
      <c r="A29" s="106">
        <f t="shared" si="0"/>
        <v>0</v>
      </c>
      <c r="B29" s="41" t="str">
        <f t="shared" si="5"/>
        <v/>
      </c>
      <c r="C29" s="42"/>
      <c r="D29" s="42"/>
      <c r="E29" s="42"/>
      <c r="F29" s="42"/>
      <c r="G29" s="88"/>
      <c r="H29" s="107">
        <v>24</v>
      </c>
      <c r="I29" s="108" t="str">
        <f t="shared" si="1"/>
        <v/>
      </c>
      <c r="J29" s="107" t="e">
        <f t="shared" si="2"/>
        <v>#NUM!</v>
      </c>
      <c r="K29" s="107" t="e">
        <f t="shared" si="3"/>
        <v>#NUM!</v>
      </c>
      <c r="L29" s="107"/>
      <c r="M29" s="109">
        <f t="shared" si="4"/>
        <v>0</v>
      </c>
      <c r="N29" s="88"/>
      <c r="O29" s="88"/>
      <c r="P29" s="88"/>
      <c r="Q29" s="88"/>
      <c r="R29" s="88"/>
    </row>
    <row r="30" spans="1:19" s="93" customFormat="1">
      <c r="A30" s="102">
        <f t="shared" si="0"/>
        <v>0</v>
      </c>
      <c r="B30" s="35" t="str">
        <f t="shared" si="5"/>
        <v/>
      </c>
      <c r="C30" s="36"/>
      <c r="D30" s="36"/>
      <c r="E30" s="36"/>
      <c r="F30" s="36"/>
      <c r="G30" s="88"/>
      <c r="H30" s="103">
        <v>25</v>
      </c>
      <c r="I30" s="104" t="str">
        <f t="shared" si="1"/>
        <v/>
      </c>
      <c r="J30" s="103" t="e">
        <f t="shared" si="2"/>
        <v>#NUM!</v>
      </c>
      <c r="K30" s="103" t="e">
        <f t="shared" si="3"/>
        <v>#NUM!</v>
      </c>
      <c r="L30" s="103"/>
      <c r="M30" s="105">
        <f t="shared" si="4"/>
        <v>0</v>
      </c>
      <c r="N30" s="88"/>
      <c r="O30" s="88"/>
      <c r="P30" s="88"/>
      <c r="Q30" s="88"/>
      <c r="R30" s="88"/>
    </row>
    <row r="31" spans="1:19" s="93" customFormat="1">
      <c r="A31" s="106">
        <f t="shared" si="0"/>
        <v>0</v>
      </c>
      <c r="B31" s="41" t="str">
        <f t="shared" si="5"/>
        <v/>
      </c>
      <c r="C31" s="42"/>
      <c r="D31" s="42"/>
      <c r="E31" s="42"/>
      <c r="F31" s="42"/>
      <c r="G31" s="88"/>
      <c r="H31" s="107">
        <v>26</v>
      </c>
      <c r="I31" s="108" t="str">
        <f t="shared" si="1"/>
        <v/>
      </c>
      <c r="J31" s="107" t="e">
        <f t="shared" si="2"/>
        <v>#NUM!</v>
      </c>
      <c r="K31" s="107" t="e">
        <f t="shared" si="3"/>
        <v>#NUM!</v>
      </c>
      <c r="L31" s="107"/>
      <c r="M31" s="109">
        <f t="shared" si="4"/>
        <v>0</v>
      </c>
      <c r="N31" s="88"/>
      <c r="O31" s="88"/>
      <c r="P31" s="88"/>
      <c r="Q31" s="88"/>
      <c r="R31" s="88"/>
    </row>
    <row r="32" spans="1:19" s="93" customFormat="1">
      <c r="A32" s="102">
        <f t="shared" si="0"/>
        <v>0</v>
      </c>
      <c r="B32" s="35" t="str">
        <f t="shared" si="5"/>
        <v/>
      </c>
      <c r="C32" s="36"/>
      <c r="D32" s="36"/>
      <c r="E32" s="36"/>
      <c r="F32" s="36"/>
      <c r="G32" s="88"/>
      <c r="H32" s="103">
        <v>27</v>
      </c>
      <c r="I32" s="104" t="str">
        <f t="shared" si="1"/>
        <v/>
      </c>
      <c r="J32" s="103" t="e">
        <f t="shared" si="2"/>
        <v>#NUM!</v>
      </c>
      <c r="K32" s="103" t="e">
        <f t="shared" si="3"/>
        <v>#NUM!</v>
      </c>
      <c r="L32" s="103"/>
      <c r="M32" s="105">
        <f t="shared" si="4"/>
        <v>0</v>
      </c>
      <c r="N32" s="88"/>
      <c r="O32" s="88"/>
      <c r="P32" s="88"/>
      <c r="Q32" s="88"/>
      <c r="R32" s="117"/>
      <c r="S32" s="118"/>
    </row>
    <row r="33" spans="1:21" s="93" customFormat="1">
      <c r="A33" s="106">
        <f t="shared" si="0"/>
        <v>0</v>
      </c>
      <c r="B33" s="41" t="str">
        <f t="shared" si="5"/>
        <v/>
      </c>
      <c r="C33" s="42"/>
      <c r="D33" s="42"/>
      <c r="E33" s="42"/>
      <c r="F33" s="42"/>
      <c r="G33" s="88"/>
      <c r="H33" s="107">
        <v>28</v>
      </c>
      <c r="I33" s="108" t="str">
        <f t="shared" si="1"/>
        <v/>
      </c>
      <c r="J33" s="107" t="e">
        <f t="shared" si="2"/>
        <v>#NUM!</v>
      </c>
      <c r="K33" s="107" t="e">
        <f t="shared" si="3"/>
        <v>#NUM!</v>
      </c>
      <c r="L33" s="107"/>
      <c r="M33" s="109">
        <f t="shared" si="4"/>
        <v>0</v>
      </c>
      <c r="N33" s="88"/>
      <c r="O33" s="88"/>
      <c r="P33" s="88"/>
      <c r="Q33" s="88"/>
      <c r="R33" s="88"/>
    </row>
    <row r="34" spans="1:21" s="93" customFormat="1">
      <c r="A34" s="102">
        <f t="shared" si="0"/>
        <v>0</v>
      </c>
      <c r="B34" s="35" t="str">
        <f t="shared" si="5"/>
        <v/>
      </c>
      <c r="C34" s="36"/>
      <c r="D34" s="36"/>
      <c r="E34" s="36"/>
      <c r="F34" s="36"/>
      <c r="G34" s="88"/>
      <c r="H34" s="103">
        <v>29</v>
      </c>
      <c r="I34" s="104" t="str">
        <f t="shared" si="1"/>
        <v/>
      </c>
      <c r="J34" s="103" t="e">
        <f t="shared" si="2"/>
        <v>#NUM!</v>
      </c>
      <c r="K34" s="103" t="e">
        <f t="shared" si="3"/>
        <v>#NUM!</v>
      </c>
      <c r="L34" s="103"/>
      <c r="M34" s="105">
        <f t="shared" si="4"/>
        <v>0</v>
      </c>
      <c r="N34" s="88"/>
      <c r="O34" s="88"/>
      <c r="P34" s="88"/>
      <c r="Q34" s="88"/>
      <c r="R34" s="88"/>
    </row>
    <row r="35" spans="1:21" s="93" customFormat="1">
      <c r="A35" s="106">
        <f t="shared" si="0"/>
        <v>0</v>
      </c>
      <c r="B35" s="41" t="str">
        <f t="shared" si="5"/>
        <v/>
      </c>
      <c r="C35" s="42"/>
      <c r="D35" s="42"/>
      <c r="E35" s="42"/>
      <c r="F35" s="42"/>
      <c r="G35" s="88"/>
      <c r="H35" s="107">
        <v>30</v>
      </c>
      <c r="I35" s="108" t="str">
        <f t="shared" si="1"/>
        <v/>
      </c>
      <c r="J35" s="107" t="e">
        <f t="shared" si="2"/>
        <v>#NUM!</v>
      </c>
      <c r="K35" s="107" t="e">
        <f t="shared" si="3"/>
        <v>#NUM!</v>
      </c>
      <c r="L35" s="107"/>
      <c r="M35" s="109">
        <f t="shared" si="4"/>
        <v>0</v>
      </c>
      <c r="N35" s="88"/>
      <c r="O35" s="88"/>
      <c r="P35" s="88"/>
      <c r="Q35" s="88"/>
      <c r="R35" s="88"/>
    </row>
    <row r="36" spans="1:21" s="93" customFormat="1">
      <c r="A36" s="102">
        <f t="shared" si="0"/>
        <v>0</v>
      </c>
      <c r="B36" s="35" t="str">
        <f t="shared" si="5"/>
        <v/>
      </c>
      <c r="C36" s="36"/>
      <c r="D36" s="36"/>
      <c r="E36" s="36"/>
      <c r="F36" s="36"/>
      <c r="G36" s="88"/>
      <c r="H36" s="103">
        <v>31</v>
      </c>
      <c r="I36" s="104" t="str">
        <f t="shared" si="1"/>
        <v/>
      </c>
      <c r="J36" s="103" t="e">
        <f t="shared" si="2"/>
        <v>#NUM!</v>
      </c>
      <c r="K36" s="103" t="e">
        <f t="shared" si="3"/>
        <v>#NUM!</v>
      </c>
      <c r="L36" s="103"/>
      <c r="M36" s="105">
        <f t="shared" si="4"/>
        <v>0</v>
      </c>
      <c r="N36" s="88"/>
      <c r="O36" s="88"/>
      <c r="P36" s="88"/>
      <c r="Q36" s="88"/>
      <c r="R36" s="117"/>
      <c r="S36" s="118"/>
    </row>
    <row r="37" spans="1:21" s="93" customFormat="1">
      <c r="A37" s="106">
        <f t="shared" si="0"/>
        <v>0</v>
      </c>
      <c r="B37" s="41" t="str">
        <f t="shared" si="5"/>
        <v/>
      </c>
      <c r="C37" s="42"/>
      <c r="D37" s="42"/>
      <c r="E37" s="42"/>
      <c r="F37" s="42"/>
      <c r="G37" s="88"/>
      <c r="H37" s="107">
        <v>32</v>
      </c>
      <c r="I37" s="108" t="str">
        <f t="shared" si="1"/>
        <v/>
      </c>
      <c r="J37" s="107" t="e">
        <f t="shared" si="2"/>
        <v>#NUM!</v>
      </c>
      <c r="K37" s="107" t="e">
        <f t="shared" si="3"/>
        <v>#NUM!</v>
      </c>
      <c r="L37" s="107"/>
      <c r="M37" s="109">
        <f t="shared" si="4"/>
        <v>0</v>
      </c>
      <c r="N37" s="88"/>
      <c r="O37" s="88"/>
      <c r="P37" s="88"/>
      <c r="Q37" s="88"/>
      <c r="R37" s="88"/>
    </row>
    <row r="38" spans="1:21" s="93" customFormat="1">
      <c r="A38" s="102"/>
      <c r="B38" s="35" t="str">
        <f t="shared" si="5"/>
        <v/>
      </c>
      <c r="C38" s="36"/>
      <c r="D38" s="36"/>
      <c r="E38" s="36"/>
      <c r="F38" s="36"/>
      <c r="G38" s="88"/>
      <c r="H38" s="103">
        <v>33</v>
      </c>
      <c r="I38" s="104" t="str">
        <f t="shared" si="1"/>
        <v/>
      </c>
      <c r="J38" s="103" t="e">
        <f t="shared" si="2"/>
        <v>#NUM!</v>
      </c>
      <c r="K38" s="103" t="e">
        <f t="shared" si="3"/>
        <v>#NUM!</v>
      </c>
      <c r="L38" s="103"/>
      <c r="M38" s="105">
        <f t="shared" si="4"/>
        <v>0</v>
      </c>
      <c r="N38" s="88"/>
      <c r="O38" s="88"/>
      <c r="P38" s="88"/>
      <c r="Q38" s="88"/>
      <c r="R38" s="88"/>
    </row>
    <row r="39" spans="1:21" s="93" customFormat="1">
      <c r="A39" s="106"/>
      <c r="B39" s="41" t="str">
        <f t="shared" si="5"/>
        <v/>
      </c>
      <c r="C39" s="42"/>
      <c r="D39" s="42"/>
      <c r="E39" s="42"/>
      <c r="F39" s="42"/>
      <c r="G39" s="88"/>
      <c r="H39" s="107">
        <v>34</v>
      </c>
      <c r="I39" s="108" t="str">
        <f t="shared" si="1"/>
        <v/>
      </c>
      <c r="J39" s="107" t="e">
        <f t="shared" si="2"/>
        <v>#NUM!</v>
      </c>
      <c r="K39" s="107" t="e">
        <f t="shared" si="3"/>
        <v>#NUM!</v>
      </c>
      <c r="L39" s="107"/>
      <c r="M39" s="109">
        <f t="shared" si="4"/>
        <v>0</v>
      </c>
      <c r="N39" s="88"/>
      <c r="O39" s="88"/>
      <c r="P39" s="88"/>
      <c r="Q39" s="88"/>
      <c r="R39" s="88"/>
    </row>
    <row r="40" spans="1:21" s="93" customFormat="1">
      <c r="A40" s="102"/>
      <c r="B40" s="35" t="str">
        <f t="shared" si="5"/>
        <v/>
      </c>
      <c r="C40" s="36"/>
      <c r="D40" s="36"/>
      <c r="E40" s="36"/>
      <c r="F40" s="36"/>
      <c r="G40" s="88"/>
      <c r="H40" s="103">
        <v>35</v>
      </c>
      <c r="I40" s="104" t="str">
        <f t="shared" si="1"/>
        <v/>
      </c>
      <c r="J40" s="103" t="e">
        <f t="shared" si="2"/>
        <v>#NUM!</v>
      </c>
      <c r="K40" s="103" t="e">
        <f t="shared" si="3"/>
        <v>#NUM!</v>
      </c>
      <c r="L40" s="103"/>
      <c r="M40" s="105">
        <f t="shared" si="4"/>
        <v>0</v>
      </c>
      <c r="N40" s="88"/>
      <c r="O40" s="88"/>
      <c r="P40" s="88"/>
      <c r="Q40" s="88"/>
      <c r="R40" s="88"/>
    </row>
    <row r="41" spans="1:21" s="93" customFormat="1">
      <c r="A41" s="106"/>
      <c r="B41" s="41" t="str">
        <f t="shared" si="5"/>
        <v/>
      </c>
      <c r="C41" s="42"/>
      <c r="D41" s="42"/>
      <c r="E41" s="42"/>
      <c r="F41" s="42"/>
      <c r="G41" s="88"/>
      <c r="H41" s="107">
        <v>36</v>
      </c>
      <c r="I41" s="108" t="str">
        <f t="shared" si="1"/>
        <v/>
      </c>
      <c r="J41" s="107" t="e">
        <f t="shared" si="2"/>
        <v>#NUM!</v>
      </c>
      <c r="K41" s="107" t="e">
        <f t="shared" si="3"/>
        <v>#NUM!</v>
      </c>
      <c r="L41" s="107"/>
      <c r="M41" s="109">
        <f t="shared" si="4"/>
        <v>0</v>
      </c>
      <c r="N41" s="88"/>
      <c r="O41" s="88"/>
      <c r="P41" s="88"/>
      <c r="Q41" s="88"/>
      <c r="R41" s="88"/>
      <c r="S41" s="119"/>
    </row>
    <row r="42" spans="1:21" s="93" customFormat="1">
      <c r="A42" s="102"/>
      <c r="B42" s="35" t="str">
        <f t="shared" si="5"/>
        <v/>
      </c>
      <c r="C42" s="36"/>
      <c r="D42" s="36"/>
      <c r="E42" s="36"/>
      <c r="F42" s="36"/>
      <c r="G42" s="88"/>
      <c r="H42" s="103">
        <v>37</v>
      </c>
      <c r="I42" s="104" t="str">
        <f t="shared" si="1"/>
        <v/>
      </c>
      <c r="J42" s="103" t="e">
        <f t="shared" si="2"/>
        <v>#NUM!</v>
      </c>
      <c r="K42" s="103" t="e">
        <f t="shared" si="3"/>
        <v>#NUM!</v>
      </c>
      <c r="L42" s="103"/>
      <c r="M42" s="105">
        <f t="shared" si="4"/>
        <v>0</v>
      </c>
      <c r="N42" s="88"/>
      <c r="O42" s="88"/>
      <c r="P42" s="88"/>
      <c r="Q42" s="88"/>
      <c r="R42" s="88"/>
    </row>
    <row r="43" spans="1:21" s="93" customFormat="1">
      <c r="A43" s="106"/>
      <c r="B43" s="41" t="str">
        <f t="shared" si="5"/>
        <v/>
      </c>
      <c r="C43" s="42"/>
      <c r="D43" s="42"/>
      <c r="E43" s="42"/>
      <c r="F43" s="42"/>
      <c r="G43" s="88"/>
      <c r="H43" s="107">
        <v>38</v>
      </c>
      <c r="I43" s="108" t="str">
        <f t="shared" si="1"/>
        <v/>
      </c>
      <c r="J43" s="107" t="e">
        <f t="shared" si="2"/>
        <v>#NUM!</v>
      </c>
      <c r="K43" s="107" t="e">
        <f t="shared" si="3"/>
        <v>#NUM!</v>
      </c>
      <c r="L43" s="107"/>
      <c r="M43" s="109">
        <f t="shared" si="4"/>
        <v>0</v>
      </c>
      <c r="N43" s="88"/>
      <c r="O43" s="88"/>
      <c r="P43" s="88"/>
      <c r="Q43" s="88"/>
      <c r="R43" s="88"/>
    </row>
    <row r="44" spans="1:21" s="93" customFormat="1">
      <c r="A44" s="102"/>
      <c r="B44" s="35" t="str">
        <f t="shared" si="5"/>
        <v/>
      </c>
      <c r="C44" s="36"/>
      <c r="D44" s="36"/>
      <c r="E44" s="36"/>
      <c r="F44" s="36"/>
      <c r="G44" s="88"/>
      <c r="H44" s="103">
        <v>39</v>
      </c>
      <c r="I44" s="104" t="str">
        <f t="shared" si="1"/>
        <v/>
      </c>
      <c r="J44" s="103" t="e">
        <f t="shared" si="2"/>
        <v>#NUM!</v>
      </c>
      <c r="K44" s="103" t="e">
        <f t="shared" si="3"/>
        <v>#NUM!</v>
      </c>
      <c r="L44" s="103"/>
      <c r="M44" s="105">
        <f t="shared" si="4"/>
        <v>0</v>
      </c>
      <c r="N44" s="88"/>
      <c r="O44" s="88"/>
      <c r="P44" s="88"/>
      <c r="Q44" s="88"/>
      <c r="R44" s="88"/>
    </row>
    <row r="45" spans="1:21" s="93" customFormat="1">
      <c r="A45" s="106"/>
      <c r="B45" s="41" t="str">
        <f t="shared" si="5"/>
        <v/>
      </c>
      <c r="C45" s="42"/>
      <c r="D45" s="42"/>
      <c r="E45" s="42"/>
      <c r="F45" s="42"/>
      <c r="G45" s="88"/>
      <c r="H45" s="107">
        <v>40</v>
      </c>
      <c r="I45" s="108" t="str">
        <f t="shared" si="1"/>
        <v/>
      </c>
      <c r="J45" s="107" t="e">
        <f t="shared" si="2"/>
        <v>#NUM!</v>
      </c>
      <c r="K45" s="107" t="e">
        <f t="shared" si="3"/>
        <v>#NUM!</v>
      </c>
      <c r="L45" s="107"/>
      <c r="M45" s="109">
        <f t="shared" si="4"/>
        <v>0</v>
      </c>
      <c r="N45" s="88"/>
      <c r="O45" s="88"/>
      <c r="P45" s="88"/>
      <c r="Q45" s="88"/>
      <c r="R45" s="88"/>
    </row>
    <row r="46" spans="1:21" s="93" customFormat="1">
      <c r="A46" s="102"/>
      <c r="B46" s="35" t="str">
        <f t="shared" si="5"/>
        <v/>
      </c>
      <c r="C46" s="36"/>
      <c r="D46" s="36"/>
      <c r="E46" s="36"/>
      <c r="F46" s="36"/>
      <c r="G46" s="88"/>
      <c r="H46" s="103">
        <v>41</v>
      </c>
      <c r="I46" s="104" t="str">
        <f t="shared" si="1"/>
        <v/>
      </c>
      <c r="J46" s="103" t="e">
        <f t="shared" si="2"/>
        <v>#NUM!</v>
      </c>
      <c r="K46" s="103" t="e">
        <f t="shared" si="3"/>
        <v>#NUM!</v>
      </c>
      <c r="L46" s="103"/>
      <c r="M46" s="105">
        <f t="shared" si="4"/>
        <v>0</v>
      </c>
      <c r="N46" s="88"/>
      <c r="O46" s="88"/>
      <c r="P46" s="88"/>
      <c r="Q46" s="88"/>
      <c r="R46" s="88" t="e">
        <f>LOG($H$2,2)</f>
        <v>#NUM!</v>
      </c>
      <c r="T46" s="93">
        <f>LOG(H38,2)</f>
        <v>5.0443941193584534</v>
      </c>
      <c r="U46" s="93" t="e">
        <f>R46-T46</f>
        <v>#NUM!</v>
      </c>
    </row>
    <row r="47" spans="1:21" s="93" customFormat="1">
      <c r="A47" s="106"/>
      <c r="B47" s="41" t="str">
        <f t="shared" si="5"/>
        <v/>
      </c>
      <c r="C47" s="42"/>
      <c r="D47" s="42"/>
      <c r="E47" s="42"/>
      <c r="F47" s="42"/>
      <c r="G47" s="88"/>
      <c r="H47" s="107">
        <v>42</v>
      </c>
      <c r="I47" s="108" t="str">
        <f t="shared" si="1"/>
        <v/>
      </c>
      <c r="J47" s="107" t="e">
        <f t="shared" si="2"/>
        <v>#NUM!</v>
      </c>
      <c r="K47" s="107" t="e">
        <f t="shared" si="3"/>
        <v>#NUM!</v>
      </c>
      <c r="L47" s="107"/>
      <c r="M47" s="109">
        <f t="shared" si="4"/>
        <v>0</v>
      </c>
      <c r="N47" s="88"/>
      <c r="O47" s="88"/>
      <c r="P47" s="88"/>
      <c r="Q47" s="88"/>
      <c r="R47" s="88"/>
    </row>
    <row r="48" spans="1:21" s="93" customFormat="1">
      <c r="A48" s="102"/>
      <c r="B48" s="35" t="str">
        <f t="shared" si="5"/>
        <v/>
      </c>
      <c r="C48" s="36"/>
      <c r="D48" s="36"/>
      <c r="E48" s="36"/>
      <c r="F48" s="36"/>
      <c r="G48" s="88"/>
      <c r="H48" s="103">
        <v>43</v>
      </c>
      <c r="I48" s="104" t="str">
        <f t="shared" si="1"/>
        <v/>
      </c>
      <c r="J48" s="103" t="e">
        <f t="shared" si="2"/>
        <v>#NUM!</v>
      </c>
      <c r="K48" s="103" t="e">
        <f t="shared" si="3"/>
        <v>#NUM!</v>
      </c>
      <c r="L48" s="103"/>
      <c r="M48" s="105">
        <f t="shared" si="4"/>
        <v>0</v>
      </c>
      <c r="N48" s="88"/>
      <c r="O48" s="88"/>
      <c r="P48" s="88"/>
      <c r="Q48" s="88"/>
      <c r="R48" s="88"/>
    </row>
    <row r="49" spans="1:38" s="88" customFormat="1">
      <c r="A49" s="106"/>
      <c r="B49" s="41" t="str">
        <f t="shared" si="5"/>
        <v/>
      </c>
      <c r="C49" s="42"/>
      <c r="D49" s="42"/>
      <c r="E49" s="42"/>
      <c r="F49" s="42"/>
      <c r="H49" s="107">
        <v>44</v>
      </c>
      <c r="I49" s="108" t="str">
        <f t="shared" si="1"/>
        <v/>
      </c>
      <c r="J49" s="107" t="e">
        <f t="shared" si="2"/>
        <v>#NUM!</v>
      </c>
      <c r="K49" s="107" t="e">
        <f t="shared" si="3"/>
        <v>#NUM!</v>
      </c>
      <c r="L49" s="107"/>
      <c r="M49" s="109">
        <f t="shared" si="4"/>
        <v>0</v>
      </c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</row>
    <row r="50" spans="1:38" s="88" customFormat="1">
      <c r="A50" s="102"/>
      <c r="B50" s="35" t="str">
        <f t="shared" si="5"/>
        <v/>
      </c>
      <c r="C50" s="36"/>
      <c r="D50" s="36"/>
      <c r="E50" s="36"/>
      <c r="F50" s="36"/>
      <c r="H50" s="103">
        <v>45</v>
      </c>
      <c r="I50" s="104" t="str">
        <f t="shared" si="1"/>
        <v/>
      </c>
      <c r="J50" s="103" t="e">
        <f t="shared" si="2"/>
        <v>#NUM!</v>
      </c>
      <c r="K50" s="103" t="e">
        <f t="shared" si="3"/>
        <v>#NUM!</v>
      </c>
      <c r="L50" s="103"/>
      <c r="M50" s="105">
        <f t="shared" si="4"/>
        <v>0</v>
      </c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</row>
    <row r="51" spans="1:38" s="88" customFormat="1">
      <c r="A51" s="106"/>
      <c r="B51" s="41" t="str">
        <f t="shared" si="5"/>
        <v/>
      </c>
      <c r="C51" s="42"/>
      <c r="D51" s="42"/>
      <c r="E51" s="42"/>
      <c r="F51" s="42"/>
      <c r="H51" s="107">
        <v>46</v>
      </c>
      <c r="I51" s="108" t="str">
        <f t="shared" si="1"/>
        <v/>
      </c>
      <c r="J51" s="107" t="e">
        <f t="shared" si="2"/>
        <v>#NUM!</v>
      </c>
      <c r="K51" s="107" t="e">
        <f t="shared" si="3"/>
        <v>#NUM!</v>
      </c>
      <c r="L51" s="107"/>
      <c r="M51" s="109">
        <f t="shared" si="4"/>
        <v>0</v>
      </c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</row>
    <row r="52" spans="1:38" s="88" customFormat="1">
      <c r="A52" s="120"/>
      <c r="B52" s="35" t="str">
        <f t="shared" si="5"/>
        <v/>
      </c>
      <c r="C52" s="36"/>
      <c r="D52" s="36"/>
      <c r="E52" s="36"/>
      <c r="F52" s="36"/>
      <c r="H52" s="103">
        <v>47</v>
      </c>
      <c r="I52" s="104" t="str">
        <f t="shared" si="1"/>
        <v/>
      </c>
      <c r="J52" s="103" t="e">
        <f t="shared" si="2"/>
        <v>#NUM!</v>
      </c>
      <c r="K52" s="103" t="e">
        <f t="shared" si="3"/>
        <v>#NUM!</v>
      </c>
      <c r="L52" s="103"/>
      <c r="M52" s="105">
        <f t="shared" si="4"/>
        <v>0</v>
      </c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</row>
    <row r="53" spans="1:38" s="88" customFormat="1">
      <c r="A53" s="121"/>
      <c r="B53" s="41" t="str">
        <f t="shared" si="5"/>
        <v/>
      </c>
      <c r="C53" s="42"/>
      <c r="D53" s="42"/>
      <c r="E53" s="42"/>
      <c r="F53" s="42"/>
      <c r="H53" s="107">
        <v>48</v>
      </c>
      <c r="I53" s="108" t="str">
        <f t="shared" si="1"/>
        <v/>
      </c>
      <c r="J53" s="107" t="e">
        <f t="shared" si="2"/>
        <v>#NUM!</v>
      </c>
      <c r="K53" s="107" t="e">
        <f t="shared" si="3"/>
        <v>#NUM!</v>
      </c>
      <c r="L53" s="107"/>
      <c r="M53" s="109">
        <f t="shared" si="4"/>
        <v>0</v>
      </c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</row>
    <row r="54" spans="1:38" s="88" customFormat="1">
      <c r="A54" s="120"/>
      <c r="B54" s="35" t="str">
        <f t="shared" si="5"/>
        <v/>
      </c>
      <c r="C54" s="36"/>
      <c r="D54" s="36"/>
      <c r="E54" s="36"/>
      <c r="F54" s="36"/>
      <c r="H54" s="103">
        <v>49</v>
      </c>
      <c r="I54" s="104" t="str">
        <f t="shared" si="1"/>
        <v/>
      </c>
      <c r="J54" s="103" t="e">
        <f t="shared" si="2"/>
        <v>#NUM!</v>
      </c>
      <c r="K54" s="103" t="e">
        <f t="shared" si="3"/>
        <v>#NUM!</v>
      </c>
      <c r="L54" s="103"/>
      <c r="M54" s="105">
        <f t="shared" si="4"/>
        <v>0</v>
      </c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</row>
    <row r="55" spans="1:38" s="88" customFormat="1">
      <c r="A55" s="121"/>
      <c r="B55" s="41" t="str">
        <f t="shared" si="5"/>
        <v/>
      </c>
      <c r="C55" s="42"/>
      <c r="D55" s="42"/>
      <c r="E55" s="42"/>
      <c r="F55" s="42"/>
      <c r="H55" s="107">
        <v>50</v>
      </c>
      <c r="I55" s="108" t="str">
        <f t="shared" si="1"/>
        <v/>
      </c>
      <c r="J55" s="107" t="e">
        <f t="shared" si="2"/>
        <v>#NUM!</v>
      </c>
      <c r="K55" s="107" t="e">
        <f t="shared" si="3"/>
        <v>#NUM!</v>
      </c>
      <c r="L55" s="107"/>
      <c r="M55" s="109">
        <f t="shared" si="4"/>
        <v>0</v>
      </c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</row>
    <row r="56" spans="1:38" s="88" customFormat="1">
      <c r="A56" s="120"/>
      <c r="B56" s="35" t="str">
        <f t="shared" si="5"/>
        <v/>
      </c>
      <c r="C56" s="36"/>
      <c r="D56" s="36"/>
      <c r="E56" s="36"/>
      <c r="F56" s="36"/>
      <c r="H56" s="103">
        <v>51</v>
      </c>
      <c r="I56" s="104" t="str">
        <f t="shared" si="1"/>
        <v/>
      </c>
      <c r="J56" s="103" t="e">
        <f t="shared" si="2"/>
        <v>#NUM!</v>
      </c>
      <c r="K56" s="103" t="e">
        <f t="shared" si="3"/>
        <v>#NUM!</v>
      </c>
      <c r="L56" s="103"/>
      <c r="M56" s="105">
        <f t="shared" si="4"/>
        <v>0</v>
      </c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</row>
    <row r="57" spans="1:38" s="88" customFormat="1">
      <c r="A57" s="121"/>
      <c r="B57" s="41" t="str">
        <f t="shared" si="5"/>
        <v/>
      </c>
      <c r="C57" s="42"/>
      <c r="D57" s="42"/>
      <c r="E57" s="42"/>
      <c r="F57" s="42"/>
      <c r="H57" s="107">
        <v>52</v>
      </c>
      <c r="I57" s="108" t="str">
        <f t="shared" si="1"/>
        <v/>
      </c>
      <c r="J57" s="107" t="e">
        <f t="shared" si="2"/>
        <v>#NUM!</v>
      </c>
      <c r="K57" s="107" t="e">
        <f t="shared" si="3"/>
        <v>#NUM!</v>
      </c>
      <c r="L57" s="107"/>
      <c r="M57" s="109">
        <f t="shared" si="4"/>
        <v>0</v>
      </c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</row>
    <row r="58" spans="1:38" s="88" customFormat="1">
      <c r="A58" s="120"/>
      <c r="B58" s="35" t="str">
        <f t="shared" si="5"/>
        <v/>
      </c>
      <c r="C58" s="36"/>
      <c r="D58" s="36"/>
      <c r="E58" s="36"/>
      <c r="F58" s="36"/>
      <c r="H58" s="103">
        <v>53</v>
      </c>
      <c r="I58" s="104" t="str">
        <f t="shared" si="1"/>
        <v/>
      </c>
      <c r="J58" s="103" t="e">
        <f t="shared" si="2"/>
        <v>#NUM!</v>
      </c>
      <c r="K58" s="103" t="e">
        <f t="shared" si="3"/>
        <v>#NUM!</v>
      </c>
      <c r="L58" s="103"/>
      <c r="M58" s="105">
        <f t="shared" si="4"/>
        <v>0</v>
      </c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</row>
    <row r="59" spans="1:38" s="88" customFormat="1">
      <c r="A59" s="121"/>
      <c r="B59" s="41" t="str">
        <f t="shared" si="5"/>
        <v/>
      </c>
      <c r="C59" s="42"/>
      <c r="D59" s="42"/>
      <c r="E59" s="42"/>
      <c r="F59" s="42"/>
      <c r="H59" s="107">
        <v>54</v>
      </c>
      <c r="I59" s="108" t="str">
        <f t="shared" si="1"/>
        <v/>
      </c>
      <c r="J59" s="107" t="e">
        <f t="shared" si="2"/>
        <v>#NUM!</v>
      </c>
      <c r="K59" s="107" t="e">
        <f t="shared" si="3"/>
        <v>#NUM!</v>
      </c>
      <c r="L59" s="107"/>
      <c r="M59" s="109">
        <f t="shared" si="4"/>
        <v>0</v>
      </c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</row>
    <row r="60" spans="1:38" s="88" customFormat="1">
      <c r="A60" s="120"/>
      <c r="B60" s="35" t="str">
        <f t="shared" si="5"/>
        <v/>
      </c>
      <c r="C60" s="36"/>
      <c r="D60" s="36"/>
      <c r="E60" s="36"/>
      <c r="F60" s="36"/>
      <c r="H60" s="103">
        <v>55</v>
      </c>
      <c r="I60" s="104" t="str">
        <f t="shared" si="1"/>
        <v/>
      </c>
      <c r="J60" s="103" t="e">
        <f t="shared" si="2"/>
        <v>#NUM!</v>
      </c>
      <c r="K60" s="103" t="e">
        <f t="shared" si="3"/>
        <v>#NUM!</v>
      </c>
      <c r="L60" s="103"/>
      <c r="M60" s="105">
        <f t="shared" si="4"/>
        <v>0</v>
      </c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</row>
    <row r="61" spans="1:38" s="88" customFormat="1">
      <c r="A61" s="121"/>
      <c r="B61" s="41" t="str">
        <f t="shared" si="5"/>
        <v/>
      </c>
      <c r="C61" s="42"/>
      <c r="D61" s="42"/>
      <c r="E61" s="42"/>
      <c r="F61" s="42"/>
      <c r="H61" s="107">
        <v>56</v>
      </c>
      <c r="I61" s="108" t="str">
        <f t="shared" si="1"/>
        <v/>
      </c>
      <c r="J61" s="107" t="e">
        <f t="shared" si="2"/>
        <v>#NUM!</v>
      </c>
      <c r="K61" s="107" t="e">
        <f t="shared" si="3"/>
        <v>#NUM!</v>
      </c>
      <c r="L61" s="107"/>
      <c r="M61" s="109">
        <f t="shared" si="4"/>
        <v>0</v>
      </c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</row>
    <row r="62" spans="1:38" s="88" customFormat="1">
      <c r="A62" s="120"/>
      <c r="B62" s="35" t="str">
        <f t="shared" si="5"/>
        <v/>
      </c>
      <c r="C62" s="36"/>
      <c r="D62" s="36"/>
      <c r="E62" s="36"/>
      <c r="F62" s="36"/>
      <c r="H62" s="103">
        <v>57</v>
      </c>
      <c r="I62" s="104" t="str">
        <f t="shared" si="1"/>
        <v/>
      </c>
      <c r="J62" s="103" t="e">
        <f t="shared" si="2"/>
        <v>#NUM!</v>
      </c>
      <c r="K62" s="103" t="e">
        <f t="shared" si="3"/>
        <v>#NUM!</v>
      </c>
      <c r="L62" s="103"/>
      <c r="M62" s="105">
        <f t="shared" si="4"/>
        <v>0</v>
      </c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</row>
    <row r="63" spans="1:38" s="88" customFormat="1">
      <c r="A63" s="121"/>
      <c r="B63" s="41" t="str">
        <f t="shared" si="5"/>
        <v/>
      </c>
      <c r="C63" s="42"/>
      <c r="D63" s="42"/>
      <c r="E63" s="42"/>
      <c r="F63" s="42"/>
      <c r="H63" s="107">
        <v>58</v>
      </c>
      <c r="I63" s="108" t="str">
        <f t="shared" si="1"/>
        <v/>
      </c>
      <c r="J63" s="107" t="e">
        <f t="shared" si="2"/>
        <v>#NUM!</v>
      </c>
      <c r="K63" s="107" t="e">
        <f t="shared" si="3"/>
        <v>#NUM!</v>
      </c>
      <c r="L63" s="107"/>
      <c r="M63" s="109">
        <f t="shared" si="4"/>
        <v>0</v>
      </c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</row>
    <row r="64" spans="1:38" s="88" customFormat="1">
      <c r="A64" s="120"/>
      <c r="B64" s="35" t="str">
        <f t="shared" si="5"/>
        <v/>
      </c>
      <c r="C64" s="36"/>
      <c r="D64" s="36"/>
      <c r="E64" s="36"/>
      <c r="F64" s="36"/>
      <c r="H64" s="103">
        <v>59</v>
      </c>
      <c r="I64" s="104" t="str">
        <f t="shared" si="1"/>
        <v/>
      </c>
      <c r="J64" s="103" t="e">
        <f t="shared" si="2"/>
        <v>#NUM!</v>
      </c>
      <c r="K64" s="103" t="e">
        <f t="shared" si="3"/>
        <v>#NUM!</v>
      </c>
      <c r="L64" s="103"/>
      <c r="M64" s="105">
        <f t="shared" si="4"/>
        <v>0</v>
      </c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</row>
    <row r="65" spans="1:38" s="88" customFormat="1">
      <c r="A65" s="121"/>
      <c r="B65" s="41" t="str">
        <f t="shared" si="5"/>
        <v/>
      </c>
      <c r="C65" s="42"/>
      <c r="D65" s="42"/>
      <c r="E65" s="42"/>
      <c r="F65" s="42"/>
      <c r="H65" s="107">
        <v>60</v>
      </c>
      <c r="I65" s="108" t="str">
        <f t="shared" si="1"/>
        <v/>
      </c>
      <c r="J65" s="107" t="e">
        <f t="shared" si="2"/>
        <v>#NUM!</v>
      </c>
      <c r="K65" s="107" t="e">
        <f t="shared" si="3"/>
        <v>#NUM!</v>
      </c>
      <c r="L65" s="107"/>
      <c r="M65" s="109">
        <f t="shared" si="4"/>
        <v>0</v>
      </c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</row>
    <row r="66" spans="1:38" s="88" customFormat="1">
      <c r="A66" s="122"/>
      <c r="B66" s="35"/>
      <c r="C66" s="123"/>
      <c r="D66" s="123"/>
      <c r="E66" s="123"/>
      <c r="F66" s="123"/>
      <c r="H66" s="103">
        <v>61</v>
      </c>
      <c r="I66" s="104" t="str">
        <f t="shared" si="1"/>
        <v/>
      </c>
      <c r="J66" s="103" t="e">
        <f t="shared" si="2"/>
        <v>#NUM!</v>
      </c>
      <c r="K66" s="103" t="e">
        <f t="shared" si="3"/>
        <v>#NUM!</v>
      </c>
      <c r="L66" s="103"/>
      <c r="M66" s="105">
        <f t="shared" si="4"/>
        <v>0</v>
      </c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</row>
    <row r="67" spans="1:38" s="88" customFormat="1">
      <c r="A67" s="122"/>
      <c r="B67" s="41"/>
      <c r="C67" s="123"/>
      <c r="D67" s="123"/>
      <c r="E67" s="123"/>
      <c r="F67" s="123"/>
      <c r="H67" s="103">
        <v>62</v>
      </c>
      <c r="I67" s="104" t="str">
        <f t="shared" si="1"/>
        <v/>
      </c>
      <c r="J67" s="103" t="e">
        <f t="shared" si="2"/>
        <v>#NUM!</v>
      </c>
      <c r="K67" s="103" t="e">
        <f t="shared" si="3"/>
        <v>#NUM!</v>
      </c>
      <c r="L67" s="103"/>
      <c r="M67" s="105">
        <f t="shared" si="4"/>
        <v>0</v>
      </c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</row>
    <row r="68" spans="1:38" s="88" customFormat="1">
      <c r="A68" s="122"/>
      <c r="B68" s="35"/>
      <c r="C68" s="123"/>
      <c r="D68" s="123"/>
      <c r="E68" s="123"/>
      <c r="F68" s="123"/>
      <c r="H68" s="103">
        <v>63</v>
      </c>
      <c r="I68" s="104" t="str">
        <f t="shared" si="1"/>
        <v/>
      </c>
      <c r="J68" s="103" t="e">
        <f t="shared" si="2"/>
        <v>#NUM!</v>
      </c>
      <c r="K68" s="103" t="e">
        <f t="shared" si="3"/>
        <v>#NUM!</v>
      </c>
      <c r="L68" s="103"/>
      <c r="M68" s="105">
        <f t="shared" si="4"/>
        <v>0</v>
      </c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</row>
    <row r="69" spans="1:38" s="88" customFormat="1">
      <c r="A69" s="122"/>
      <c r="B69" s="41"/>
      <c r="C69" s="123"/>
      <c r="D69" s="123"/>
      <c r="E69" s="123"/>
      <c r="F69" s="123"/>
      <c r="H69" s="103">
        <v>64</v>
      </c>
      <c r="I69" s="104" t="str">
        <f t="shared" si="1"/>
        <v/>
      </c>
      <c r="J69" s="103" t="e">
        <f t="shared" si="2"/>
        <v>#NUM!</v>
      </c>
      <c r="K69" s="103" t="e">
        <f t="shared" si="3"/>
        <v>#NUM!</v>
      </c>
      <c r="L69" s="103"/>
      <c r="M69" s="105">
        <f t="shared" si="4"/>
        <v>0</v>
      </c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</row>
    <row r="70" spans="1:38" s="88" customFormat="1">
      <c r="A70" s="122"/>
      <c r="B70" s="123"/>
      <c r="C70" s="123"/>
      <c r="D70" s="123"/>
      <c r="E70" s="123"/>
      <c r="F70" s="123"/>
      <c r="H70" s="103">
        <v>65</v>
      </c>
      <c r="I70" s="104" t="str">
        <f t="shared" ref="I70:I133" si="6">IF(H70&lt;$H$2+1,($I$2-($I$2-1)*(LOG(H70)/LOG($H$2))),"")</f>
        <v/>
      </c>
      <c r="J70" s="103" t="e">
        <f t="shared" ref="J70:J133" si="7">INT(LOG($H$2,2))-ROUNDUP(LOG(H70,2),0)+IF(OR($H$2=1,$H$2=2,$H$2=4,$H$2=8,$H$2=16,$H$2=32,$H$2=64,$H$2=128,$H$2=256),0,1)</f>
        <v>#NUM!</v>
      </c>
      <c r="K70" s="103" t="e">
        <f t="shared" ref="K70:K133" si="8">J70*$J$2</f>
        <v>#NUM!</v>
      </c>
      <c r="L70" s="103"/>
      <c r="M70" s="105">
        <f t="shared" ref="M70:M133" si="9">IF(I70&lt;&gt;"",K70+I70+L70,0)</f>
        <v>0</v>
      </c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</row>
    <row r="71" spans="1:38" s="88" customFormat="1">
      <c r="A71" s="122"/>
      <c r="B71" s="123"/>
      <c r="C71" s="123"/>
      <c r="D71" s="123"/>
      <c r="E71" s="123"/>
      <c r="F71" s="123"/>
      <c r="H71" s="103">
        <v>66</v>
      </c>
      <c r="I71" s="104" t="str">
        <f t="shared" si="6"/>
        <v/>
      </c>
      <c r="J71" s="103" t="e">
        <f t="shared" si="7"/>
        <v>#NUM!</v>
      </c>
      <c r="K71" s="103" t="e">
        <f t="shared" si="8"/>
        <v>#NUM!</v>
      </c>
      <c r="L71" s="103"/>
      <c r="M71" s="105">
        <f t="shared" si="9"/>
        <v>0</v>
      </c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</row>
    <row r="72" spans="1:38" s="88" customFormat="1">
      <c r="A72" s="122"/>
      <c r="B72" s="123"/>
      <c r="C72" s="123"/>
      <c r="D72" s="123"/>
      <c r="E72" s="123"/>
      <c r="F72" s="123"/>
      <c r="H72" s="103">
        <v>67</v>
      </c>
      <c r="I72" s="104" t="str">
        <f t="shared" si="6"/>
        <v/>
      </c>
      <c r="J72" s="103" t="e">
        <f t="shared" si="7"/>
        <v>#NUM!</v>
      </c>
      <c r="K72" s="103" t="e">
        <f t="shared" si="8"/>
        <v>#NUM!</v>
      </c>
      <c r="L72" s="103"/>
      <c r="M72" s="105">
        <f t="shared" si="9"/>
        <v>0</v>
      </c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</row>
    <row r="73" spans="1:38" s="88" customFormat="1">
      <c r="A73" s="122"/>
      <c r="B73" s="123"/>
      <c r="C73" s="123"/>
      <c r="D73" s="123"/>
      <c r="E73" s="123"/>
      <c r="F73" s="123"/>
      <c r="H73" s="103">
        <v>68</v>
      </c>
      <c r="I73" s="104" t="str">
        <f t="shared" si="6"/>
        <v/>
      </c>
      <c r="J73" s="103" t="e">
        <f t="shared" si="7"/>
        <v>#NUM!</v>
      </c>
      <c r="K73" s="103" t="e">
        <f t="shared" si="8"/>
        <v>#NUM!</v>
      </c>
      <c r="L73" s="103"/>
      <c r="M73" s="105">
        <f t="shared" si="9"/>
        <v>0</v>
      </c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</row>
    <row r="74" spans="1:38" s="88" customFormat="1">
      <c r="A74" s="122"/>
      <c r="B74" s="123"/>
      <c r="C74" s="123"/>
      <c r="D74" s="123"/>
      <c r="E74" s="123"/>
      <c r="F74" s="123"/>
      <c r="H74" s="103">
        <v>69</v>
      </c>
      <c r="I74" s="104" t="str">
        <f t="shared" si="6"/>
        <v/>
      </c>
      <c r="J74" s="103" t="e">
        <f t="shared" si="7"/>
        <v>#NUM!</v>
      </c>
      <c r="K74" s="103" t="e">
        <f t="shared" si="8"/>
        <v>#NUM!</v>
      </c>
      <c r="L74" s="103"/>
      <c r="M74" s="105">
        <f t="shared" si="9"/>
        <v>0</v>
      </c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</row>
    <row r="75" spans="1:38" s="88" customFormat="1">
      <c r="A75" s="122"/>
      <c r="B75" s="123"/>
      <c r="C75" s="123"/>
      <c r="D75" s="123"/>
      <c r="E75" s="123"/>
      <c r="F75" s="123"/>
      <c r="H75" s="103">
        <v>70</v>
      </c>
      <c r="I75" s="104" t="str">
        <f t="shared" si="6"/>
        <v/>
      </c>
      <c r="J75" s="103" t="e">
        <f t="shared" si="7"/>
        <v>#NUM!</v>
      </c>
      <c r="K75" s="103" t="e">
        <f t="shared" si="8"/>
        <v>#NUM!</v>
      </c>
      <c r="L75" s="103"/>
      <c r="M75" s="105">
        <f t="shared" si="9"/>
        <v>0</v>
      </c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</row>
    <row r="76" spans="1:38" s="88" customFormat="1">
      <c r="A76" s="122"/>
      <c r="B76" s="123"/>
      <c r="C76" s="123"/>
      <c r="D76" s="123"/>
      <c r="E76" s="123"/>
      <c r="F76" s="123"/>
      <c r="H76" s="103">
        <v>71</v>
      </c>
      <c r="I76" s="104" t="str">
        <f t="shared" si="6"/>
        <v/>
      </c>
      <c r="J76" s="103" t="e">
        <f t="shared" si="7"/>
        <v>#NUM!</v>
      </c>
      <c r="K76" s="103" t="e">
        <f t="shared" si="8"/>
        <v>#NUM!</v>
      </c>
      <c r="L76" s="103"/>
      <c r="M76" s="105">
        <f t="shared" si="9"/>
        <v>0</v>
      </c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</row>
    <row r="77" spans="1:38" s="88" customFormat="1">
      <c r="A77" s="122"/>
      <c r="B77" s="123"/>
      <c r="C77" s="123"/>
      <c r="D77" s="123"/>
      <c r="E77" s="123"/>
      <c r="F77" s="123"/>
      <c r="H77" s="103">
        <v>72</v>
      </c>
      <c r="I77" s="104" t="str">
        <f t="shared" si="6"/>
        <v/>
      </c>
      <c r="J77" s="103" t="e">
        <f t="shared" si="7"/>
        <v>#NUM!</v>
      </c>
      <c r="K77" s="103" t="e">
        <f t="shared" si="8"/>
        <v>#NUM!</v>
      </c>
      <c r="L77" s="103"/>
      <c r="M77" s="105">
        <f t="shared" si="9"/>
        <v>0</v>
      </c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</row>
    <row r="78" spans="1:38" s="88" customFormat="1">
      <c r="A78" s="122"/>
      <c r="B78" s="123"/>
      <c r="C78" s="123"/>
      <c r="D78" s="123"/>
      <c r="E78" s="123"/>
      <c r="F78" s="123"/>
      <c r="H78" s="103">
        <v>73</v>
      </c>
      <c r="I78" s="104" t="str">
        <f t="shared" si="6"/>
        <v/>
      </c>
      <c r="J78" s="103" t="e">
        <f t="shared" si="7"/>
        <v>#NUM!</v>
      </c>
      <c r="K78" s="103" t="e">
        <f t="shared" si="8"/>
        <v>#NUM!</v>
      </c>
      <c r="L78" s="103"/>
      <c r="M78" s="105">
        <f t="shared" si="9"/>
        <v>0</v>
      </c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</row>
    <row r="79" spans="1:38" s="88" customFormat="1">
      <c r="A79" s="122"/>
      <c r="B79" s="123"/>
      <c r="C79" s="123"/>
      <c r="D79" s="123"/>
      <c r="E79" s="123"/>
      <c r="F79" s="123"/>
      <c r="H79" s="103">
        <v>74</v>
      </c>
      <c r="I79" s="104" t="str">
        <f t="shared" si="6"/>
        <v/>
      </c>
      <c r="J79" s="103" t="e">
        <f t="shared" si="7"/>
        <v>#NUM!</v>
      </c>
      <c r="K79" s="103" t="e">
        <f t="shared" si="8"/>
        <v>#NUM!</v>
      </c>
      <c r="L79" s="103"/>
      <c r="M79" s="105">
        <f t="shared" si="9"/>
        <v>0</v>
      </c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</row>
    <row r="80" spans="1:38" s="88" customFormat="1">
      <c r="A80" s="122"/>
      <c r="B80" s="123"/>
      <c r="C80" s="123"/>
      <c r="D80" s="123"/>
      <c r="E80" s="123"/>
      <c r="F80" s="123"/>
      <c r="H80" s="103">
        <v>75</v>
      </c>
      <c r="I80" s="104" t="str">
        <f t="shared" si="6"/>
        <v/>
      </c>
      <c r="J80" s="103" t="e">
        <f t="shared" si="7"/>
        <v>#NUM!</v>
      </c>
      <c r="K80" s="103" t="e">
        <f t="shared" si="8"/>
        <v>#NUM!</v>
      </c>
      <c r="L80" s="103"/>
      <c r="M80" s="105">
        <f t="shared" si="9"/>
        <v>0</v>
      </c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</row>
    <row r="81" spans="1:38" s="88" customFormat="1">
      <c r="A81" s="122"/>
      <c r="B81" s="123"/>
      <c r="C81" s="123"/>
      <c r="D81" s="123"/>
      <c r="E81" s="123"/>
      <c r="F81" s="123"/>
      <c r="H81" s="103">
        <v>76</v>
      </c>
      <c r="I81" s="104" t="str">
        <f t="shared" si="6"/>
        <v/>
      </c>
      <c r="J81" s="103" t="e">
        <f t="shared" si="7"/>
        <v>#NUM!</v>
      </c>
      <c r="K81" s="103" t="e">
        <f t="shared" si="8"/>
        <v>#NUM!</v>
      </c>
      <c r="L81" s="103"/>
      <c r="M81" s="105">
        <f t="shared" si="9"/>
        <v>0</v>
      </c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</row>
    <row r="82" spans="1:38" s="88" customFormat="1">
      <c r="A82" s="122"/>
      <c r="B82" s="123"/>
      <c r="C82" s="123"/>
      <c r="D82" s="123"/>
      <c r="E82" s="123"/>
      <c r="F82" s="123"/>
      <c r="H82" s="103">
        <v>77</v>
      </c>
      <c r="I82" s="104" t="str">
        <f t="shared" si="6"/>
        <v/>
      </c>
      <c r="J82" s="103" t="e">
        <f t="shared" si="7"/>
        <v>#NUM!</v>
      </c>
      <c r="K82" s="103" t="e">
        <f t="shared" si="8"/>
        <v>#NUM!</v>
      </c>
      <c r="L82" s="103"/>
      <c r="M82" s="105">
        <f t="shared" si="9"/>
        <v>0</v>
      </c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</row>
    <row r="83" spans="1:38" s="88" customFormat="1">
      <c r="A83" s="122"/>
      <c r="B83" s="123"/>
      <c r="C83" s="123"/>
      <c r="D83" s="123"/>
      <c r="E83" s="123"/>
      <c r="F83" s="123"/>
      <c r="H83" s="103">
        <v>78</v>
      </c>
      <c r="I83" s="104" t="str">
        <f t="shared" si="6"/>
        <v/>
      </c>
      <c r="J83" s="103" t="e">
        <f t="shared" si="7"/>
        <v>#NUM!</v>
      </c>
      <c r="K83" s="103" t="e">
        <f t="shared" si="8"/>
        <v>#NUM!</v>
      </c>
      <c r="L83" s="103"/>
      <c r="M83" s="105">
        <f t="shared" si="9"/>
        <v>0</v>
      </c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</row>
    <row r="84" spans="1:38" s="88" customFormat="1">
      <c r="A84" s="122"/>
      <c r="B84" s="123"/>
      <c r="C84" s="123"/>
      <c r="D84" s="123"/>
      <c r="E84" s="123"/>
      <c r="F84" s="123"/>
      <c r="H84" s="103">
        <v>79</v>
      </c>
      <c r="I84" s="104" t="str">
        <f t="shared" si="6"/>
        <v/>
      </c>
      <c r="J84" s="103" t="e">
        <f t="shared" si="7"/>
        <v>#NUM!</v>
      </c>
      <c r="K84" s="103" t="e">
        <f t="shared" si="8"/>
        <v>#NUM!</v>
      </c>
      <c r="L84" s="103"/>
      <c r="M84" s="105">
        <f t="shared" si="9"/>
        <v>0</v>
      </c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</row>
    <row r="85" spans="1:38" s="88" customFormat="1">
      <c r="A85" s="122"/>
      <c r="B85" s="123"/>
      <c r="C85" s="123"/>
      <c r="D85" s="123"/>
      <c r="E85" s="123"/>
      <c r="F85" s="123"/>
      <c r="H85" s="103">
        <v>80</v>
      </c>
      <c r="I85" s="104" t="str">
        <f t="shared" si="6"/>
        <v/>
      </c>
      <c r="J85" s="103" t="e">
        <f t="shared" si="7"/>
        <v>#NUM!</v>
      </c>
      <c r="K85" s="103" t="e">
        <f t="shared" si="8"/>
        <v>#NUM!</v>
      </c>
      <c r="L85" s="103"/>
      <c r="M85" s="105">
        <f t="shared" si="9"/>
        <v>0</v>
      </c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</row>
    <row r="86" spans="1:38" s="88" customFormat="1">
      <c r="A86" s="122"/>
      <c r="B86" s="123"/>
      <c r="C86" s="123"/>
      <c r="D86" s="123"/>
      <c r="E86" s="123"/>
      <c r="F86" s="123"/>
      <c r="H86" s="103">
        <v>81</v>
      </c>
      <c r="I86" s="104" t="str">
        <f t="shared" si="6"/>
        <v/>
      </c>
      <c r="J86" s="103" t="e">
        <f t="shared" si="7"/>
        <v>#NUM!</v>
      </c>
      <c r="K86" s="103" t="e">
        <f t="shared" si="8"/>
        <v>#NUM!</v>
      </c>
      <c r="L86" s="103"/>
      <c r="M86" s="105">
        <f t="shared" si="9"/>
        <v>0</v>
      </c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</row>
    <row r="87" spans="1:38" s="88" customFormat="1">
      <c r="A87" s="122"/>
      <c r="B87" s="123"/>
      <c r="C87" s="123"/>
      <c r="D87" s="123"/>
      <c r="E87" s="123"/>
      <c r="F87" s="123"/>
      <c r="H87" s="103">
        <v>82</v>
      </c>
      <c r="I87" s="104" t="str">
        <f t="shared" si="6"/>
        <v/>
      </c>
      <c r="J87" s="103" t="e">
        <f t="shared" si="7"/>
        <v>#NUM!</v>
      </c>
      <c r="K87" s="103" t="e">
        <f t="shared" si="8"/>
        <v>#NUM!</v>
      </c>
      <c r="L87" s="103"/>
      <c r="M87" s="105">
        <f t="shared" si="9"/>
        <v>0</v>
      </c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</row>
    <row r="88" spans="1:38" s="88" customFormat="1">
      <c r="A88" s="122"/>
      <c r="B88" s="123"/>
      <c r="C88" s="123"/>
      <c r="D88" s="123"/>
      <c r="E88" s="123"/>
      <c r="F88" s="123"/>
      <c r="H88" s="103">
        <v>83</v>
      </c>
      <c r="I88" s="104" t="str">
        <f t="shared" si="6"/>
        <v/>
      </c>
      <c r="J88" s="103" t="e">
        <f t="shared" si="7"/>
        <v>#NUM!</v>
      </c>
      <c r="K88" s="103" t="e">
        <f t="shared" si="8"/>
        <v>#NUM!</v>
      </c>
      <c r="L88" s="103"/>
      <c r="M88" s="105">
        <f t="shared" si="9"/>
        <v>0</v>
      </c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</row>
    <row r="89" spans="1:38" s="88" customFormat="1">
      <c r="A89" s="122"/>
      <c r="B89" s="123"/>
      <c r="C89" s="123"/>
      <c r="D89" s="123"/>
      <c r="E89" s="123"/>
      <c r="F89" s="123"/>
      <c r="H89" s="103">
        <v>84</v>
      </c>
      <c r="I89" s="104" t="str">
        <f t="shared" si="6"/>
        <v/>
      </c>
      <c r="J89" s="103" t="e">
        <f t="shared" si="7"/>
        <v>#NUM!</v>
      </c>
      <c r="K89" s="103" t="e">
        <f t="shared" si="8"/>
        <v>#NUM!</v>
      </c>
      <c r="L89" s="103"/>
      <c r="M89" s="105">
        <f t="shared" si="9"/>
        <v>0</v>
      </c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</row>
    <row r="90" spans="1:38" s="88" customFormat="1">
      <c r="A90" s="122"/>
      <c r="B90" s="123"/>
      <c r="C90" s="123"/>
      <c r="D90" s="123"/>
      <c r="E90" s="123"/>
      <c r="F90" s="123"/>
      <c r="H90" s="103">
        <v>85</v>
      </c>
      <c r="I90" s="104" t="str">
        <f t="shared" si="6"/>
        <v/>
      </c>
      <c r="J90" s="103" t="e">
        <f t="shared" si="7"/>
        <v>#NUM!</v>
      </c>
      <c r="K90" s="103" t="e">
        <f t="shared" si="8"/>
        <v>#NUM!</v>
      </c>
      <c r="L90" s="103"/>
      <c r="M90" s="105">
        <f t="shared" si="9"/>
        <v>0</v>
      </c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</row>
    <row r="91" spans="1:38" s="88" customFormat="1">
      <c r="A91" s="122"/>
      <c r="B91" s="123"/>
      <c r="C91" s="123"/>
      <c r="D91" s="123"/>
      <c r="E91" s="123"/>
      <c r="F91" s="123"/>
      <c r="H91" s="103">
        <v>86</v>
      </c>
      <c r="I91" s="104" t="str">
        <f t="shared" si="6"/>
        <v/>
      </c>
      <c r="J91" s="103" t="e">
        <f t="shared" si="7"/>
        <v>#NUM!</v>
      </c>
      <c r="K91" s="103" t="e">
        <f t="shared" si="8"/>
        <v>#NUM!</v>
      </c>
      <c r="L91" s="103"/>
      <c r="M91" s="105">
        <f t="shared" si="9"/>
        <v>0</v>
      </c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</row>
    <row r="92" spans="1:38" s="88" customFormat="1">
      <c r="A92" s="122"/>
      <c r="B92" s="123"/>
      <c r="C92" s="123"/>
      <c r="D92" s="123"/>
      <c r="E92" s="123"/>
      <c r="F92" s="123"/>
      <c r="H92" s="103">
        <v>87</v>
      </c>
      <c r="I92" s="104" t="str">
        <f t="shared" si="6"/>
        <v/>
      </c>
      <c r="J92" s="103" t="e">
        <f t="shared" si="7"/>
        <v>#NUM!</v>
      </c>
      <c r="K92" s="103" t="e">
        <f t="shared" si="8"/>
        <v>#NUM!</v>
      </c>
      <c r="L92" s="103"/>
      <c r="M92" s="105">
        <f t="shared" si="9"/>
        <v>0</v>
      </c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</row>
    <row r="93" spans="1:38" s="88" customFormat="1">
      <c r="A93" s="122"/>
      <c r="B93" s="123"/>
      <c r="C93" s="123"/>
      <c r="D93" s="123"/>
      <c r="E93" s="123"/>
      <c r="F93" s="123"/>
      <c r="H93" s="103">
        <v>88</v>
      </c>
      <c r="I93" s="104" t="str">
        <f t="shared" si="6"/>
        <v/>
      </c>
      <c r="J93" s="103" t="e">
        <f t="shared" si="7"/>
        <v>#NUM!</v>
      </c>
      <c r="K93" s="103" t="e">
        <f t="shared" si="8"/>
        <v>#NUM!</v>
      </c>
      <c r="L93" s="103"/>
      <c r="M93" s="105">
        <f t="shared" si="9"/>
        <v>0</v>
      </c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</row>
    <row r="94" spans="1:38" s="88" customFormat="1">
      <c r="A94" s="122"/>
      <c r="B94" s="123"/>
      <c r="C94" s="123"/>
      <c r="D94" s="123"/>
      <c r="E94" s="123"/>
      <c r="F94" s="123"/>
      <c r="H94" s="103">
        <v>89</v>
      </c>
      <c r="I94" s="104" t="str">
        <f t="shared" si="6"/>
        <v/>
      </c>
      <c r="J94" s="103" t="e">
        <f t="shared" si="7"/>
        <v>#NUM!</v>
      </c>
      <c r="K94" s="103" t="e">
        <f t="shared" si="8"/>
        <v>#NUM!</v>
      </c>
      <c r="L94" s="103"/>
      <c r="M94" s="105">
        <f t="shared" si="9"/>
        <v>0</v>
      </c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</row>
    <row r="95" spans="1:38" s="88" customFormat="1">
      <c r="A95" s="122"/>
      <c r="B95" s="123"/>
      <c r="C95" s="123"/>
      <c r="D95" s="123"/>
      <c r="E95" s="123"/>
      <c r="F95" s="123"/>
      <c r="H95" s="103">
        <v>90</v>
      </c>
      <c r="I95" s="104" t="str">
        <f t="shared" si="6"/>
        <v/>
      </c>
      <c r="J95" s="103" t="e">
        <f t="shared" si="7"/>
        <v>#NUM!</v>
      </c>
      <c r="K95" s="103" t="e">
        <f t="shared" si="8"/>
        <v>#NUM!</v>
      </c>
      <c r="L95" s="103"/>
      <c r="M95" s="105">
        <f t="shared" si="9"/>
        <v>0</v>
      </c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</row>
    <row r="96" spans="1:38" s="88" customFormat="1">
      <c r="A96" s="122"/>
      <c r="B96" s="123"/>
      <c r="C96" s="123"/>
      <c r="D96" s="123"/>
      <c r="E96" s="123"/>
      <c r="F96" s="123"/>
      <c r="H96" s="103">
        <v>91</v>
      </c>
      <c r="I96" s="104" t="str">
        <f t="shared" si="6"/>
        <v/>
      </c>
      <c r="J96" s="103" t="e">
        <f t="shared" si="7"/>
        <v>#NUM!</v>
      </c>
      <c r="K96" s="103" t="e">
        <f t="shared" si="8"/>
        <v>#NUM!</v>
      </c>
      <c r="L96" s="103"/>
      <c r="M96" s="105">
        <f t="shared" si="9"/>
        <v>0</v>
      </c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</row>
    <row r="97" spans="1:38" s="88" customFormat="1">
      <c r="A97" s="122"/>
      <c r="B97" s="123"/>
      <c r="C97" s="123"/>
      <c r="D97" s="123"/>
      <c r="E97" s="123"/>
      <c r="F97" s="123"/>
      <c r="H97" s="103">
        <v>92</v>
      </c>
      <c r="I97" s="104" t="str">
        <f t="shared" si="6"/>
        <v/>
      </c>
      <c r="J97" s="103" t="e">
        <f t="shared" si="7"/>
        <v>#NUM!</v>
      </c>
      <c r="K97" s="103" t="e">
        <f t="shared" si="8"/>
        <v>#NUM!</v>
      </c>
      <c r="L97" s="103"/>
      <c r="M97" s="105">
        <f t="shared" si="9"/>
        <v>0</v>
      </c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</row>
    <row r="98" spans="1:38" s="88" customFormat="1">
      <c r="A98" s="122"/>
      <c r="B98" s="123"/>
      <c r="C98" s="123"/>
      <c r="D98" s="123"/>
      <c r="E98" s="123"/>
      <c r="F98" s="123"/>
      <c r="H98" s="103">
        <v>93</v>
      </c>
      <c r="I98" s="104" t="str">
        <f t="shared" si="6"/>
        <v/>
      </c>
      <c r="J98" s="103" t="e">
        <f t="shared" si="7"/>
        <v>#NUM!</v>
      </c>
      <c r="K98" s="103" t="e">
        <f t="shared" si="8"/>
        <v>#NUM!</v>
      </c>
      <c r="L98" s="103"/>
      <c r="M98" s="105">
        <f t="shared" si="9"/>
        <v>0</v>
      </c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</row>
    <row r="99" spans="1:38" s="88" customFormat="1">
      <c r="A99" s="122"/>
      <c r="B99" s="123"/>
      <c r="C99" s="123"/>
      <c r="D99" s="123"/>
      <c r="E99" s="123"/>
      <c r="F99" s="123"/>
      <c r="H99" s="103">
        <v>94</v>
      </c>
      <c r="I99" s="104" t="str">
        <f t="shared" si="6"/>
        <v/>
      </c>
      <c r="J99" s="103" t="e">
        <f t="shared" si="7"/>
        <v>#NUM!</v>
      </c>
      <c r="K99" s="103" t="e">
        <f t="shared" si="8"/>
        <v>#NUM!</v>
      </c>
      <c r="L99" s="103"/>
      <c r="M99" s="105">
        <f t="shared" si="9"/>
        <v>0</v>
      </c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</row>
    <row r="100" spans="1:38" s="88" customFormat="1">
      <c r="A100" s="122"/>
      <c r="B100" s="123"/>
      <c r="C100" s="123"/>
      <c r="D100" s="123"/>
      <c r="E100" s="123"/>
      <c r="F100" s="123"/>
      <c r="H100" s="103">
        <v>95</v>
      </c>
      <c r="I100" s="104" t="str">
        <f t="shared" si="6"/>
        <v/>
      </c>
      <c r="J100" s="103" t="e">
        <f t="shared" si="7"/>
        <v>#NUM!</v>
      </c>
      <c r="K100" s="103" t="e">
        <f t="shared" si="8"/>
        <v>#NUM!</v>
      </c>
      <c r="L100" s="103"/>
      <c r="M100" s="105">
        <f t="shared" si="9"/>
        <v>0</v>
      </c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</row>
    <row r="101" spans="1:38" s="88" customFormat="1">
      <c r="A101" s="122"/>
      <c r="B101" s="123"/>
      <c r="C101" s="123"/>
      <c r="D101" s="123"/>
      <c r="E101" s="123"/>
      <c r="F101" s="123"/>
      <c r="H101" s="103">
        <v>96</v>
      </c>
      <c r="I101" s="104" t="str">
        <f t="shared" si="6"/>
        <v/>
      </c>
      <c r="J101" s="103" t="e">
        <f t="shared" si="7"/>
        <v>#NUM!</v>
      </c>
      <c r="K101" s="103" t="e">
        <f t="shared" si="8"/>
        <v>#NUM!</v>
      </c>
      <c r="L101" s="103"/>
      <c r="M101" s="105">
        <f t="shared" si="9"/>
        <v>0</v>
      </c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</row>
    <row r="102" spans="1:38" s="88" customFormat="1">
      <c r="A102" s="122"/>
      <c r="B102" s="123"/>
      <c r="C102" s="123"/>
      <c r="D102" s="123"/>
      <c r="E102" s="123"/>
      <c r="F102" s="123"/>
      <c r="H102" s="103">
        <v>97</v>
      </c>
      <c r="I102" s="104" t="str">
        <f t="shared" si="6"/>
        <v/>
      </c>
      <c r="J102" s="103" t="e">
        <f t="shared" si="7"/>
        <v>#NUM!</v>
      </c>
      <c r="K102" s="103" t="e">
        <f t="shared" si="8"/>
        <v>#NUM!</v>
      </c>
      <c r="L102" s="103"/>
      <c r="M102" s="105">
        <f t="shared" si="9"/>
        <v>0</v>
      </c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</row>
    <row r="103" spans="1:38" s="88" customFormat="1">
      <c r="A103" s="122"/>
      <c r="B103" s="123"/>
      <c r="C103" s="123"/>
      <c r="D103" s="123"/>
      <c r="E103" s="123"/>
      <c r="F103" s="123"/>
      <c r="H103" s="103">
        <v>98</v>
      </c>
      <c r="I103" s="104" t="str">
        <f t="shared" si="6"/>
        <v/>
      </c>
      <c r="J103" s="103" t="e">
        <f t="shared" si="7"/>
        <v>#NUM!</v>
      </c>
      <c r="K103" s="103" t="e">
        <f t="shared" si="8"/>
        <v>#NUM!</v>
      </c>
      <c r="L103" s="103"/>
      <c r="M103" s="105">
        <f t="shared" si="9"/>
        <v>0</v>
      </c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</row>
    <row r="104" spans="1:38" s="88" customFormat="1">
      <c r="A104" s="122"/>
      <c r="B104" s="123"/>
      <c r="C104" s="123"/>
      <c r="D104" s="123"/>
      <c r="E104" s="123"/>
      <c r="F104" s="123"/>
      <c r="H104" s="103">
        <v>99</v>
      </c>
      <c r="I104" s="104" t="str">
        <f t="shared" si="6"/>
        <v/>
      </c>
      <c r="J104" s="103" t="e">
        <f t="shared" si="7"/>
        <v>#NUM!</v>
      </c>
      <c r="K104" s="103" t="e">
        <f t="shared" si="8"/>
        <v>#NUM!</v>
      </c>
      <c r="L104" s="103"/>
      <c r="M104" s="105">
        <f t="shared" si="9"/>
        <v>0</v>
      </c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</row>
    <row r="105" spans="1:38" s="88" customFormat="1">
      <c r="A105" s="122"/>
      <c r="B105" s="123"/>
      <c r="C105" s="123"/>
      <c r="D105" s="123"/>
      <c r="E105" s="123"/>
      <c r="F105" s="123"/>
      <c r="H105" s="103">
        <v>100</v>
      </c>
      <c r="I105" s="104" t="str">
        <f t="shared" si="6"/>
        <v/>
      </c>
      <c r="J105" s="103" t="e">
        <f t="shared" si="7"/>
        <v>#NUM!</v>
      </c>
      <c r="K105" s="103" t="e">
        <f t="shared" si="8"/>
        <v>#NUM!</v>
      </c>
      <c r="L105" s="103"/>
      <c r="M105" s="105">
        <f t="shared" si="9"/>
        <v>0</v>
      </c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</row>
    <row r="106" spans="1:38" s="88" customFormat="1">
      <c r="A106" s="122"/>
      <c r="B106" s="123"/>
      <c r="C106" s="123"/>
      <c r="D106" s="123"/>
      <c r="E106" s="123"/>
      <c r="F106" s="123"/>
      <c r="H106" s="103">
        <v>101</v>
      </c>
      <c r="I106" s="104" t="str">
        <f t="shared" si="6"/>
        <v/>
      </c>
      <c r="J106" s="103" t="e">
        <f t="shared" si="7"/>
        <v>#NUM!</v>
      </c>
      <c r="K106" s="103" t="e">
        <f t="shared" si="8"/>
        <v>#NUM!</v>
      </c>
      <c r="L106" s="103"/>
      <c r="M106" s="105">
        <f t="shared" si="9"/>
        <v>0</v>
      </c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</row>
    <row r="107" spans="1:38" s="88" customFormat="1">
      <c r="A107" s="122"/>
      <c r="B107" s="123"/>
      <c r="C107" s="123"/>
      <c r="D107" s="123"/>
      <c r="E107" s="123"/>
      <c r="F107" s="123"/>
      <c r="H107" s="103">
        <v>102</v>
      </c>
      <c r="I107" s="104" t="str">
        <f t="shared" si="6"/>
        <v/>
      </c>
      <c r="J107" s="103" t="e">
        <f t="shared" si="7"/>
        <v>#NUM!</v>
      </c>
      <c r="K107" s="103" t="e">
        <f t="shared" si="8"/>
        <v>#NUM!</v>
      </c>
      <c r="L107" s="103"/>
      <c r="M107" s="105">
        <f t="shared" si="9"/>
        <v>0</v>
      </c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</row>
    <row r="108" spans="1:38" s="88" customFormat="1">
      <c r="A108" s="122"/>
      <c r="B108" s="123"/>
      <c r="C108" s="123"/>
      <c r="D108" s="123"/>
      <c r="E108" s="123"/>
      <c r="F108" s="123"/>
      <c r="H108" s="103">
        <v>103</v>
      </c>
      <c r="I108" s="104" t="str">
        <f t="shared" si="6"/>
        <v/>
      </c>
      <c r="J108" s="103" t="e">
        <f t="shared" si="7"/>
        <v>#NUM!</v>
      </c>
      <c r="K108" s="103" t="e">
        <f t="shared" si="8"/>
        <v>#NUM!</v>
      </c>
      <c r="L108" s="103"/>
      <c r="M108" s="105">
        <f t="shared" si="9"/>
        <v>0</v>
      </c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</row>
    <row r="109" spans="1:38" s="88" customFormat="1">
      <c r="A109" s="122"/>
      <c r="B109" s="123"/>
      <c r="C109" s="123"/>
      <c r="D109" s="123"/>
      <c r="E109" s="123"/>
      <c r="F109" s="123"/>
      <c r="H109" s="103">
        <v>104</v>
      </c>
      <c r="I109" s="104" t="str">
        <f t="shared" si="6"/>
        <v/>
      </c>
      <c r="J109" s="103" t="e">
        <f t="shared" si="7"/>
        <v>#NUM!</v>
      </c>
      <c r="K109" s="103" t="e">
        <f t="shared" si="8"/>
        <v>#NUM!</v>
      </c>
      <c r="L109" s="103"/>
      <c r="M109" s="105">
        <f t="shared" si="9"/>
        <v>0</v>
      </c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</row>
    <row r="110" spans="1:38" s="88" customFormat="1">
      <c r="A110" s="122"/>
      <c r="B110" s="123"/>
      <c r="C110" s="123"/>
      <c r="D110" s="123"/>
      <c r="E110" s="123"/>
      <c r="F110" s="123"/>
      <c r="H110" s="103">
        <v>105</v>
      </c>
      <c r="I110" s="104" t="str">
        <f t="shared" si="6"/>
        <v/>
      </c>
      <c r="J110" s="103" t="e">
        <f t="shared" si="7"/>
        <v>#NUM!</v>
      </c>
      <c r="K110" s="103" t="e">
        <f t="shared" si="8"/>
        <v>#NUM!</v>
      </c>
      <c r="L110" s="103"/>
      <c r="M110" s="105">
        <f t="shared" si="9"/>
        <v>0</v>
      </c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</row>
    <row r="111" spans="1:38" s="88" customFormat="1">
      <c r="A111" s="122"/>
      <c r="B111" s="123"/>
      <c r="C111" s="123"/>
      <c r="D111" s="123"/>
      <c r="E111" s="123"/>
      <c r="F111" s="123"/>
      <c r="H111" s="103">
        <v>106</v>
      </c>
      <c r="I111" s="104" t="str">
        <f t="shared" si="6"/>
        <v/>
      </c>
      <c r="J111" s="103" t="e">
        <f t="shared" si="7"/>
        <v>#NUM!</v>
      </c>
      <c r="K111" s="103" t="e">
        <f t="shared" si="8"/>
        <v>#NUM!</v>
      </c>
      <c r="L111" s="103"/>
      <c r="M111" s="105">
        <f t="shared" si="9"/>
        <v>0</v>
      </c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</row>
    <row r="112" spans="1:38" s="88" customFormat="1">
      <c r="A112" s="122"/>
      <c r="B112" s="123"/>
      <c r="C112" s="123"/>
      <c r="D112" s="123"/>
      <c r="E112" s="123"/>
      <c r="F112" s="123"/>
      <c r="H112" s="103">
        <v>107</v>
      </c>
      <c r="I112" s="104" t="str">
        <f t="shared" si="6"/>
        <v/>
      </c>
      <c r="J112" s="103" t="e">
        <f t="shared" si="7"/>
        <v>#NUM!</v>
      </c>
      <c r="K112" s="103" t="e">
        <f t="shared" si="8"/>
        <v>#NUM!</v>
      </c>
      <c r="L112" s="103"/>
      <c r="M112" s="105">
        <f t="shared" si="9"/>
        <v>0</v>
      </c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</row>
    <row r="113" spans="1:38" s="88" customFormat="1">
      <c r="A113" s="122"/>
      <c r="B113" s="123"/>
      <c r="C113" s="123"/>
      <c r="D113" s="123"/>
      <c r="E113" s="123"/>
      <c r="F113" s="123"/>
      <c r="H113" s="103">
        <v>108</v>
      </c>
      <c r="I113" s="104" t="str">
        <f t="shared" si="6"/>
        <v/>
      </c>
      <c r="J113" s="103" t="e">
        <f t="shared" si="7"/>
        <v>#NUM!</v>
      </c>
      <c r="K113" s="103" t="e">
        <f t="shared" si="8"/>
        <v>#NUM!</v>
      </c>
      <c r="L113" s="103"/>
      <c r="M113" s="105">
        <f t="shared" si="9"/>
        <v>0</v>
      </c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</row>
    <row r="114" spans="1:38" s="88" customFormat="1">
      <c r="A114" s="122"/>
      <c r="B114" s="123"/>
      <c r="C114" s="123"/>
      <c r="D114" s="123"/>
      <c r="E114" s="123"/>
      <c r="F114" s="123"/>
      <c r="H114" s="103">
        <v>109</v>
      </c>
      <c r="I114" s="104" t="str">
        <f t="shared" si="6"/>
        <v/>
      </c>
      <c r="J114" s="103" t="e">
        <f t="shared" si="7"/>
        <v>#NUM!</v>
      </c>
      <c r="K114" s="103" t="e">
        <f t="shared" si="8"/>
        <v>#NUM!</v>
      </c>
      <c r="L114" s="103"/>
      <c r="M114" s="105">
        <f t="shared" si="9"/>
        <v>0</v>
      </c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</row>
    <row r="115" spans="1:38" s="88" customFormat="1">
      <c r="A115" s="122"/>
      <c r="B115" s="123"/>
      <c r="C115" s="123"/>
      <c r="D115" s="123"/>
      <c r="E115" s="123"/>
      <c r="F115" s="123"/>
      <c r="H115" s="103">
        <v>110</v>
      </c>
      <c r="I115" s="104" t="str">
        <f t="shared" si="6"/>
        <v/>
      </c>
      <c r="J115" s="103" t="e">
        <f t="shared" si="7"/>
        <v>#NUM!</v>
      </c>
      <c r="K115" s="103" t="e">
        <f t="shared" si="8"/>
        <v>#NUM!</v>
      </c>
      <c r="L115" s="103"/>
      <c r="M115" s="105">
        <f t="shared" si="9"/>
        <v>0</v>
      </c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</row>
    <row r="116" spans="1:38" s="88" customFormat="1">
      <c r="A116" s="122"/>
      <c r="B116" s="123"/>
      <c r="C116" s="123"/>
      <c r="D116" s="123"/>
      <c r="E116" s="123"/>
      <c r="F116" s="123"/>
      <c r="H116" s="103">
        <v>111</v>
      </c>
      <c r="I116" s="104" t="str">
        <f t="shared" si="6"/>
        <v/>
      </c>
      <c r="J116" s="103" t="e">
        <f t="shared" si="7"/>
        <v>#NUM!</v>
      </c>
      <c r="K116" s="103" t="e">
        <f t="shared" si="8"/>
        <v>#NUM!</v>
      </c>
      <c r="L116" s="103"/>
      <c r="M116" s="105">
        <f t="shared" si="9"/>
        <v>0</v>
      </c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</row>
    <row r="117" spans="1:38" s="88" customFormat="1">
      <c r="A117" s="122"/>
      <c r="B117" s="123"/>
      <c r="C117" s="123"/>
      <c r="D117" s="123"/>
      <c r="E117" s="123"/>
      <c r="F117" s="123"/>
      <c r="H117" s="103">
        <v>112</v>
      </c>
      <c r="I117" s="104" t="str">
        <f t="shared" si="6"/>
        <v/>
      </c>
      <c r="J117" s="103" t="e">
        <f t="shared" si="7"/>
        <v>#NUM!</v>
      </c>
      <c r="K117" s="103" t="e">
        <f t="shared" si="8"/>
        <v>#NUM!</v>
      </c>
      <c r="L117" s="103"/>
      <c r="M117" s="105">
        <f t="shared" si="9"/>
        <v>0</v>
      </c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</row>
    <row r="118" spans="1:38" s="88" customFormat="1">
      <c r="A118" s="122"/>
      <c r="B118" s="123"/>
      <c r="C118" s="123"/>
      <c r="D118" s="123"/>
      <c r="E118" s="123"/>
      <c r="F118" s="123"/>
      <c r="H118" s="103">
        <v>113</v>
      </c>
      <c r="I118" s="104" t="str">
        <f t="shared" si="6"/>
        <v/>
      </c>
      <c r="J118" s="103" t="e">
        <f t="shared" si="7"/>
        <v>#NUM!</v>
      </c>
      <c r="K118" s="103" t="e">
        <f t="shared" si="8"/>
        <v>#NUM!</v>
      </c>
      <c r="L118" s="103"/>
      <c r="M118" s="105">
        <f t="shared" si="9"/>
        <v>0</v>
      </c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</row>
    <row r="119" spans="1:38" s="88" customFormat="1">
      <c r="A119" s="122"/>
      <c r="B119" s="123"/>
      <c r="C119" s="123"/>
      <c r="D119" s="123"/>
      <c r="E119" s="123"/>
      <c r="F119" s="123"/>
      <c r="H119" s="103">
        <v>114</v>
      </c>
      <c r="I119" s="104" t="str">
        <f t="shared" si="6"/>
        <v/>
      </c>
      <c r="J119" s="103" t="e">
        <f t="shared" si="7"/>
        <v>#NUM!</v>
      </c>
      <c r="K119" s="103" t="e">
        <f t="shared" si="8"/>
        <v>#NUM!</v>
      </c>
      <c r="L119" s="103"/>
      <c r="M119" s="105">
        <f t="shared" si="9"/>
        <v>0</v>
      </c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</row>
    <row r="120" spans="1:38" s="88" customFormat="1">
      <c r="A120" s="122"/>
      <c r="B120" s="123"/>
      <c r="C120" s="123"/>
      <c r="D120" s="123"/>
      <c r="E120" s="123"/>
      <c r="F120" s="123"/>
      <c r="H120" s="103">
        <v>115</v>
      </c>
      <c r="I120" s="104" t="str">
        <f t="shared" si="6"/>
        <v/>
      </c>
      <c r="J120" s="103" t="e">
        <f t="shared" si="7"/>
        <v>#NUM!</v>
      </c>
      <c r="K120" s="103" t="e">
        <f t="shared" si="8"/>
        <v>#NUM!</v>
      </c>
      <c r="L120" s="103"/>
      <c r="M120" s="105">
        <f t="shared" si="9"/>
        <v>0</v>
      </c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</row>
    <row r="121" spans="1:38" s="88" customFormat="1">
      <c r="A121" s="122"/>
      <c r="B121" s="123"/>
      <c r="C121" s="123"/>
      <c r="D121" s="123"/>
      <c r="E121" s="123"/>
      <c r="F121" s="123"/>
      <c r="H121" s="103">
        <v>116</v>
      </c>
      <c r="I121" s="104" t="str">
        <f t="shared" si="6"/>
        <v/>
      </c>
      <c r="J121" s="103" t="e">
        <f t="shared" si="7"/>
        <v>#NUM!</v>
      </c>
      <c r="K121" s="103" t="e">
        <f t="shared" si="8"/>
        <v>#NUM!</v>
      </c>
      <c r="L121" s="103"/>
      <c r="M121" s="105">
        <f t="shared" si="9"/>
        <v>0</v>
      </c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</row>
    <row r="122" spans="1:38" s="88" customFormat="1">
      <c r="A122" s="122"/>
      <c r="B122" s="123"/>
      <c r="C122" s="123"/>
      <c r="D122" s="123"/>
      <c r="E122" s="123"/>
      <c r="F122" s="123"/>
      <c r="H122" s="103">
        <v>117</v>
      </c>
      <c r="I122" s="104" t="str">
        <f t="shared" si="6"/>
        <v/>
      </c>
      <c r="J122" s="103" t="e">
        <f t="shared" si="7"/>
        <v>#NUM!</v>
      </c>
      <c r="K122" s="103" t="e">
        <f t="shared" si="8"/>
        <v>#NUM!</v>
      </c>
      <c r="L122" s="103"/>
      <c r="M122" s="105">
        <f t="shared" si="9"/>
        <v>0</v>
      </c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</row>
    <row r="123" spans="1:38" s="88" customFormat="1">
      <c r="A123" s="122"/>
      <c r="B123" s="123"/>
      <c r="C123" s="123"/>
      <c r="D123" s="123"/>
      <c r="E123" s="123"/>
      <c r="F123" s="123"/>
      <c r="H123" s="103">
        <v>118</v>
      </c>
      <c r="I123" s="104" t="str">
        <f t="shared" si="6"/>
        <v/>
      </c>
      <c r="J123" s="103" t="e">
        <f t="shared" si="7"/>
        <v>#NUM!</v>
      </c>
      <c r="K123" s="103" t="e">
        <f t="shared" si="8"/>
        <v>#NUM!</v>
      </c>
      <c r="L123" s="103"/>
      <c r="M123" s="105">
        <f t="shared" si="9"/>
        <v>0</v>
      </c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</row>
    <row r="124" spans="1:38" s="88" customFormat="1">
      <c r="A124" s="122"/>
      <c r="B124" s="123"/>
      <c r="C124" s="123"/>
      <c r="D124" s="123"/>
      <c r="E124" s="123"/>
      <c r="F124" s="123"/>
      <c r="H124" s="103">
        <v>119</v>
      </c>
      <c r="I124" s="104" t="str">
        <f t="shared" si="6"/>
        <v/>
      </c>
      <c r="J124" s="103" t="e">
        <f t="shared" si="7"/>
        <v>#NUM!</v>
      </c>
      <c r="K124" s="103" t="e">
        <f t="shared" si="8"/>
        <v>#NUM!</v>
      </c>
      <c r="L124" s="103"/>
      <c r="M124" s="105">
        <f t="shared" si="9"/>
        <v>0</v>
      </c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</row>
    <row r="125" spans="1:38" s="88" customFormat="1">
      <c r="A125" s="122"/>
      <c r="B125" s="123"/>
      <c r="C125" s="123"/>
      <c r="D125" s="123"/>
      <c r="E125" s="123"/>
      <c r="F125" s="123"/>
      <c r="H125" s="103">
        <v>120</v>
      </c>
      <c r="I125" s="104" t="str">
        <f t="shared" si="6"/>
        <v/>
      </c>
      <c r="J125" s="103" t="e">
        <f t="shared" si="7"/>
        <v>#NUM!</v>
      </c>
      <c r="K125" s="103" t="e">
        <f t="shared" si="8"/>
        <v>#NUM!</v>
      </c>
      <c r="L125" s="103"/>
      <c r="M125" s="105">
        <f t="shared" si="9"/>
        <v>0</v>
      </c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</row>
    <row r="126" spans="1:38" s="88" customFormat="1">
      <c r="A126" s="122"/>
      <c r="B126" s="123"/>
      <c r="C126" s="123"/>
      <c r="D126" s="123"/>
      <c r="E126" s="123"/>
      <c r="F126" s="123"/>
      <c r="H126" s="103">
        <v>121</v>
      </c>
      <c r="I126" s="104" t="str">
        <f t="shared" si="6"/>
        <v/>
      </c>
      <c r="J126" s="103" t="e">
        <f t="shared" si="7"/>
        <v>#NUM!</v>
      </c>
      <c r="K126" s="103" t="e">
        <f t="shared" si="8"/>
        <v>#NUM!</v>
      </c>
      <c r="L126" s="103"/>
      <c r="M126" s="105">
        <f t="shared" si="9"/>
        <v>0</v>
      </c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</row>
    <row r="127" spans="1:38" s="88" customFormat="1">
      <c r="A127" s="122"/>
      <c r="B127" s="123"/>
      <c r="C127" s="123"/>
      <c r="D127" s="123"/>
      <c r="E127" s="123"/>
      <c r="F127" s="123"/>
      <c r="H127" s="103">
        <v>122</v>
      </c>
      <c r="I127" s="104" t="str">
        <f t="shared" si="6"/>
        <v/>
      </c>
      <c r="J127" s="103" t="e">
        <f t="shared" si="7"/>
        <v>#NUM!</v>
      </c>
      <c r="K127" s="103" t="e">
        <f t="shared" si="8"/>
        <v>#NUM!</v>
      </c>
      <c r="L127" s="103"/>
      <c r="M127" s="105">
        <f t="shared" si="9"/>
        <v>0</v>
      </c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</row>
    <row r="128" spans="1:38" s="88" customFormat="1">
      <c r="A128" s="122"/>
      <c r="B128" s="123"/>
      <c r="C128" s="123"/>
      <c r="D128" s="123"/>
      <c r="E128" s="123"/>
      <c r="F128" s="123"/>
      <c r="H128" s="103">
        <v>123</v>
      </c>
      <c r="I128" s="104" t="str">
        <f t="shared" si="6"/>
        <v/>
      </c>
      <c r="J128" s="103" t="e">
        <f t="shared" si="7"/>
        <v>#NUM!</v>
      </c>
      <c r="K128" s="103" t="e">
        <f t="shared" si="8"/>
        <v>#NUM!</v>
      </c>
      <c r="L128" s="103"/>
      <c r="M128" s="105">
        <f t="shared" si="9"/>
        <v>0</v>
      </c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</row>
    <row r="129" spans="1:38" s="88" customFormat="1">
      <c r="A129" s="122"/>
      <c r="B129" s="123"/>
      <c r="C129" s="123"/>
      <c r="D129" s="123"/>
      <c r="E129" s="123"/>
      <c r="F129" s="123"/>
      <c r="H129" s="103">
        <v>124</v>
      </c>
      <c r="I129" s="104" t="str">
        <f t="shared" si="6"/>
        <v/>
      </c>
      <c r="J129" s="103" t="e">
        <f t="shared" si="7"/>
        <v>#NUM!</v>
      </c>
      <c r="K129" s="103" t="e">
        <f t="shared" si="8"/>
        <v>#NUM!</v>
      </c>
      <c r="L129" s="103"/>
      <c r="M129" s="105">
        <f t="shared" si="9"/>
        <v>0</v>
      </c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</row>
    <row r="130" spans="1:38" s="88" customFormat="1">
      <c r="A130" s="122"/>
      <c r="B130" s="123"/>
      <c r="C130" s="123"/>
      <c r="D130" s="123"/>
      <c r="E130" s="123"/>
      <c r="F130" s="123"/>
      <c r="H130" s="103">
        <v>125</v>
      </c>
      <c r="I130" s="104" t="str">
        <f t="shared" si="6"/>
        <v/>
      </c>
      <c r="J130" s="103" t="e">
        <f t="shared" si="7"/>
        <v>#NUM!</v>
      </c>
      <c r="K130" s="103" t="e">
        <f t="shared" si="8"/>
        <v>#NUM!</v>
      </c>
      <c r="L130" s="103"/>
      <c r="M130" s="105">
        <f t="shared" si="9"/>
        <v>0</v>
      </c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</row>
    <row r="131" spans="1:38" s="88" customFormat="1">
      <c r="A131" s="122"/>
      <c r="B131" s="123"/>
      <c r="C131" s="123"/>
      <c r="D131" s="123"/>
      <c r="E131" s="123"/>
      <c r="F131" s="123"/>
      <c r="H131" s="103">
        <v>126</v>
      </c>
      <c r="I131" s="104" t="str">
        <f t="shared" si="6"/>
        <v/>
      </c>
      <c r="J131" s="103" t="e">
        <f t="shared" si="7"/>
        <v>#NUM!</v>
      </c>
      <c r="K131" s="103" t="e">
        <f t="shared" si="8"/>
        <v>#NUM!</v>
      </c>
      <c r="L131" s="103"/>
      <c r="M131" s="105">
        <f t="shared" si="9"/>
        <v>0</v>
      </c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</row>
    <row r="132" spans="1:38" s="88" customFormat="1">
      <c r="A132" s="122"/>
      <c r="B132" s="123"/>
      <c r="C132" s="123"/>
      <c r="D132" s="123"/>
      <c r="E132" s="123"/>
      <c r="F132" s="123"/>
      <c r="H132" s="103">
        <v>127</v>
      </c>
      <c r="I132" s="104" t="str">
        <f t="shared" si="6"/>
        <v/>
      </c>
      <c r="J132" s="103" t="e">
        <f t="shared" si="7"/>
        <v>#NUM!</v>
      </c>
      <c r="K132" s="103" t="e">
        <f t="shared" si="8"/>
        <v>#NUM!</v>
      </c>
      <c r="L132" s="103"/>
      <c r="M132" s="105">
        <f t="shared" si="9"/>
        <v>0</v>
      </c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</row>
    <row r="133" spans="1:38" s="88" customFormat="1">
      <c r="A133" s="122"/>
      <c r="B133" s="123"/>
      <c r="C133" s="123"/>
      <c r="D133" s="123"/>
      <c r="E133" s="123"/>
      <c r="F133" s="123"/>
      <c r="H133" s="103">
        <v>128</v>
      </c>
      <c r="I133" s="104" t="str">
        <f t="shared" si="6"/>
        <v/>
      </c>
      <c r="J133" s="103" t="e">
        <f t="shared" si="7"/>
        <v>#NUM!</v>
      </c>
      <c r="K133" s="103" t="e">
        <f t="shared" si="8"/>
        <v>#NUM!</v>
      </c>
      <c r="L133" s="103"/>
      <c r="M133" s="105">
        <f t="shared" si="9"/>
        <v>0</v>
      </c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</row>
    <row r="134" spans="1:38" s="88" customFormat="1">
      <c r="A134" s="122"/>
      <c r="B134" s="123"/>
      <c r="C134" s="123"/>
      <c r="D134" s="123"/>
      <c r="E134" s="123"/>
      <c r="F134" s="123"/>
      <c r="H134" s="103">
        <v>129</v>
      </c>
      <c r="I134" s="104" t="str">
        <f t="shared" ref="I134:I197" si="10">IF(H134&lt;$H$2+1,($I$2-($I$2-1)*(LOG(H134)/LOG($H$2))),"")</f>
        <v/>
      </c>
      <c r="J134" s="103" t="e">
        <f t="shared" ref="J134:J197" si="11">INT(LOG($H$2,2))-ROUNDUP(LOG(H134,2),0)+IF(OR($H$2=1,$H$2=2,$H$2=4,$H$2=8,$H$2=16,$H$2=32,$H$2=64,$H$2=128,$H$2=256),0,1)</f>
        <v>#NUM!</v>
      </c>
      <c r="K134" s="103" t="e">
        <f t="shared" ref="K134:K197" si="12">J134*$J$2</f>
        <v>#NUM!</v>
      </c>
      <c r="L134" s="103"/>
      <c r="M134" s="105">
        <f t="shared" ref="M134:M197" si="13">IF(I134&lt;&gt;"",K134+I134+L134,0)</f>
        <v>0</v>
      </c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</row>
    <row r="135" spans="1:38" s="88" customFormat="1">
      <c r="A135" s="122"/>
      <c r="B135" s="123"/>
      <c r="C135" s="123"/>
      <c r="D135" s="123"/>
      <c r="E135" s="123"/>
      <c r="F135" s="123"/>
      <c r="H135" s="103">
        <v>130</v>
      </c>
      <c r="I135" s="104" t="str">
        <f t="shared" si="10"/>
        <v/>
      </c>
      <c r="J135" s="103" t="e">
        <f t="shared" si="11"/>
        <v>#NUM!</v>
      </c>
      <c r="K135" s="103" t="e">
        <f t="shared" si="12"/>
        <v>#NUM!</v>
      </c>
      <c r="L135" s="103"/>
      <c r="M135" s="105">
        <f t="shared" si="13"/>
        <v>0</v>
      </c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</row>
    <row r="136" spans="1:38" s="88" customFormat="1">
      <c r="A136" s="122"/>
      <c r="B136" s="123"/>
      <c r="C136" s="123"/>
      <c r="D136" s="123"/>
      <c r="E136" s="123"/>
      <c r="F136" s="123"/>
      <c r="H136" s="103">
        <v>131</v>
      </c>
      <c r="I136" s="104" t="str">
        <f t="shared" si="10"/>
        <v/>
      </c>
      <c r="J136" s="103" t="e">
        <f t="shared" si="11"/>
        <v>#NUM!</v>
      </c>
      <c r="K136" s="103" t="e">
        <f t="shared" si="12"/>
        <v>#NUM!</v>
      </c>
      <c r="L136" s="103"/>
      <c r="M136" s="105">
        <f t="shared" si="13"/>
        <v>0</v>
      </c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</row>
    <row r="137" spans="1:38" s="88" customFormat="1">
      <c r="A137" s="122"/>
      <c r="B137" s="123"/>
      <c r="C137" s="123"/>
      <c r="D137" s="123"/>
      <c r="E137" s="123"/>
      <c r="F137" s="123"/>
      <c r="H137" s="103">
        <v>132</v>
      </c>
      <c r="I137" s="104" t="str">
        <f t="shared" si="10"/>
        <v/>
      </c>
      <c r="J137" s="103" t="e">
        <f t="shared" si="11"/>
        <v>#NUM!</v>
      </c>
      <c r="K137" s="103" t="e">
        <f t="shared" si="12"/>
        <v>#NUM!</v>
      </c>
      <c r="L137" s="103"/>
      <c r="M137" s="105">
        <f t="shared" si="13"/>
        <v>0</v>
      </c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</row>
    <row r="138" spans="1:38" s="88" customFormat="1">
      <c r="A138" s="122"/>
      <c r="B138" s="123"/>
      <c r="C138" s="123"/>
      <c r="D138" s="123"/>
      <c r="E138" s="123"/>
      <c r="F138" s="123"/>
      <c r="H138" s="103">
        <v>133</v>
      </c>
      <c r="I138" s="104" t="str">
        <f t="shared" si="10"/>
        <v/>
      </c>
      <c r="J138" s="103" t="e">
        <f t="shared" si="11"/>
        <v>#NUM!</v>
      </c>
      <c r="K138" s="103" t="e">
        <f t="shared" si="12"/>
        <v>#NUM!</v>
      </c>
      <c r="L138" s="103"/>
      <c r="M138" s="105">
        <f t="shared" si="13"/>
        <v>0</v>
      </c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</row>
    <row r="139" spans="1:38" s="88" customFormat="1">
      <c r="A139" s="122"/>
      <c r="B139" s="123"/>
      <c r="C139" s="123"/>
      <c r="D139" s="123"/>
      <c r="E139" s="123"/>
      <c r="F139" s="123"/>
      <c r="H139" s="103">
        <v>134</v>
      </c>
      <c r="I139" s="104" t="str">
        <f t="shared" si="10"/>
        <v/>
      </c>
      <c r="J139" s="103" t="e">
        <f t="shared" si="11"/>
        <v>#NUM!</v>
      </c>
      <c r="K139" s="103" t="e">
        <f t="shared" si="12"/>
        <v>#NUM!</v>
      </c>
      <c r="L139" s="103"/>
      <c r="M139" s="105">
        <f t="shared" si="13"/>
        <v>0</v>
      </c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</row>
    <row r="140" spans="1:38" s="88" customFormat="1">
      <c r="A140" s="122"/>
      <c r="B140" s="123"/>
      <c r="C140" s="123"/>
      <c r="D140" s="123"/>
      <c r="E140" s="123"/>
      <c r="F140" s="123"/>
      <c r="H140" s="103">
        <v>135</v>
      </c>
      <c r="I140" s="104" t="str">
        <f t="shared" si="10"/>
        <v/>
      </c>
      <c r="J140" s="103" t="e">
        <f t="shared" si="11"/>
        <v>#NUM!</v>
      </c>
      <c r="K140" s="103" t="e">
        <f t="shared" si="12"/>
        <v>#NUM!</v>
      </c>
      <c r="L140" s="103"/>
      <c r="M140" s="105">
        <f t="shared" si="13"/>
        <v>0</v>
      </c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</row>
    <row r="141" spans="1:38" s="88" customFormat="1">
      <c r="A141" s="122"/>
      <c r="B141" s="123"/>
      <c r="C141" s="123"/>
      <c r="D141" s="123"/>
      <c r="E141" s="123"/>
      <c r="F141" s="123"/>
      <c r="H141" s="103">
        <v>136</v>
      </c>
      <c r="I141" s="104" t="str">
        <f t="shared" si="10"/>
        <v/>
      </c>
      <c r="J141" s="103" t="e">
        <f t="shared" si="11"/>
        <v>#NUM!</v>
      </c>
      <c r="K141" s="103" t="e">
        <f t="shared" si="12"/>
        <v>#NUM!</v>
      </c>
      <c r="L141" s="103"/>
      <c r="M141" s="105">
        <f t="shared" si="13"/>
        <v>0</v>
      </c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</row>
    <row r="142" spans="1:38" s="88" customFormat="1">
      <c r="A142" s="122"/>
      <c r="B142" s="123"/>
      <c r="C142" s="123"/>
      <c r="D142" s="123"/>
      <c r="E142" s="123"/>
      <c r="F142" s="123"/>
      <c r="H142" s="103">
        <v>137</v>
      </c>
      <c r="I142" s="104" t="str">
        <f t="shared" si="10"/>
        <v/>
      </c>
      <c r="J142" s="103" t="e">
        <f t="shared" si="11"/>
        <v>#NUM!</v>
      </c>
      <c r="K142" s="103" t="e">
        <f t="shared" si="12"/>
        <v>#NUM!</v>
      </c>
      <c r="L142" s="103"/>
      <c r="M142" s="105">
        <f t="shared" si="13"/>
        <v>0</v>
      </c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</row>
    <row r="143" spans="1:38" s="88" customFormat="1">
      <c r="A143" s="122"/>
      <c r="B143" s="123"/>
      <c r="C143" s="123"/>
      <c r="D143" s="123"/>
      <c r="E143" s="123"/>
      <c r="F143" s="123"/>
      <c r="H143" s="103">
        <v>138</v>
      </c>
      <c r="I143" s="104" t="str">
        <f t="shared" si="10"/>
        <v/>
      </c>
      <c r="J143" s="103" t="e">
        <f t="shared" si="11"/>
        <v>#NUM!</v>
      </c>
      <c r="K143" s="103" t="e">
        <f t="shared" si="12"/>
        <v>#NUM!</v>
      </c>
      <c r="L143" s="103"/>
      <c r="M143" s="105">
        <f t="shared" si="13"/>
        <v>0</v>
      </c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</row>
    <row r="144" spans="1:38" s="88" customFormat="1">
      <c r="A144" s="122"/>
      <c r="B144" s="123"/>
      <c r="C144" s="123"/>
      <c r="D144" s="123"/>
      <c r="E144" s="123"/>
      <c r="F144" s="123"/>
      <c r="H144" s="103">
        <v>139</v>
      </c>
      <c r="I144" s="104" t="str">
        <f t="shared" si="10"/>
        <v/>
      </c>
      <c r="J144" s="103" t="e">
        <f t="shared" si="11"/>
        <v>#NUM!</v>
      </c>
      <c r="K144" s="103" t="e">
        <f t="shared" si="12"/>
        <v>#NUM!</v>
      </c>
      <c r="L144" s="103"/>
      <c r="M144" s="105">
        <f t="shared" si="13"/>
        <v>0</v>
      </c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</row>
    <row r="145" spans="1:38" s="88" customFormat="1">
      <c r="A145" s="122"/>
      <c r="B145" s="123"/>
      <c r="C145" s="123"/>
      <c r="D145" s="123"/>
      <c r="E145" s="123"/>
      <c r="F145" s="123"/>
      <c r="H145" s="103">
        <v>140</v>
      </c>
      <c r="I145" s="104" t="str">
        <f t="shared" si="10"/>
        <v/>
      </c>
      <c r="J145" s="103" t="e">
        <f t="shared" si="11"/>
        <v>#NUM!</v>
      </c>
      <c r="K145" s="103" t="e">
        <f t="shared" si="12"/>
        <v>#NUM!</v>
      </c>
      <c r="L145" s="103"/>
      <c r="M145" s="105">
        <f t="shared" si="13"/>
        <v>0</v>
      </c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</row>
    <row r="146" spans="1:38" s="88" customFormat="1">
      <c r="A146" s="122"/>
      <c r="B146" s="123"/>
      <c r="C146" s="123"/>
      <c r="D146" s="123"/>
      <c r="E146" s="123"/>
      <c r="F146" s="123"/>
      <c r="H146" s="103">
        <v>141</v>
      </c>
      <c r="I146" s="104" t="str">
        <f t="shared" si="10"/>
        <v/>
      </c>
      <c r="J146" s="103" t="e">
        <f t="shared" si="11"/>
        <v>#NUM!</v>
      </c>
      <c r="K146" s="103" t="e">
        <f t="shared" si="12"/>
        <v>#NUM!</v>
      </c>
      <c r="L146" s="103"/>
      <c r="M146" s="105">
        <f t="shared" si="13"/>
        <v>0</v>
      </c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</row>
    <row r="147" spans="1:38" s="88" customFormat="1">
      <c r="A147" s="122"/>
      <c r="B147" s="123"/>
      <c r="C147" s="123"/>
      <c r="D147" s="123"/>
      <c r="E147" s="123"/>
      <c r="F147" s="123"/>
      <c r="H147" s="103">
        <v>142</v>
      </c>
      <c r="I147" s="104" t="str">
        <f t="shared" si="10"/>
        <v/>
      </c>
      <c r="J147" s="103" t="e">
        <f t="shared" si="11"/>
        <v>#NUM!</v>
      </c>
      <c r="K147" s="103" t="e">
        <f t="shared" si="12"/>
        <v>#NUM!</v>
      </c>
      <c r="L147" s="103"/>
      <c r="M147" s="105">
        <f t="shared" si="13"/>
        <v>0</v>
      </c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</row>
    <row r="148" spans="1:38" s="88" customFormat="1">
      <c r="A148" s="122"/>
      <c r="B148" s="123"/>
      <c r="C148" s="123"/>
      <c r="D148" s="123"/>
      <c r="E148" s="123"/>
      <c r="F148" s="123"/>
      <c r="H148" s="103">
        <v>143</v>
      </c>
      <c r="I148" s="104" t="str">
        <f t="shared" si="10"/>
        <v/>
      </c>
      <c r="J148" s="103" t="e">
        <f t="shared" si="11"/>
        <v>#NUM!</v>
      </c>
      <c r="K148" s="103" t="e">
        <f t="shared" si="12"/>
        <v>#NUM!</v>
      </c>
      <c r="L148" s="103"/>
      <c r="M148" s="105">
        <f t="shared" si="13"/>
        <v>0</v>
      </c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</row>
    <row r="149" spans="1:38" s="88" customFormat="1">
      <c r="A149" s="122"/>
      <c r="B149" s="123"/>
      <c r="C149" s="123"/>
      <c r="D149" s="123"/>
      <c r="E149" s="123"/>
      <c r="F149" s="123"/>
      <c r="H149" s="103">
        <v>144</v>
      </c>
      <c r="I149" s="104" t="str">
        <f t="shared" si="10"/>
        <v/>
      </c>
      <c r="J149" s="103" t="e">
        <f t="shared" si="11"/>
        <v>#NUM!</v>
      </c>
      <c r="K149" s="103" t="e">
        <f t="shared" si="12"/>
        <v>#NUM!</v>
      </c>
      <c r="L149" s="103"/>
      <c r="M149" s="105">
        <f t="shared" si="13"/>
        <v>0</v>
      </c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</row>
    <row r="150" spans="1:38" s="88" customFormat="1">
      <c r="A150" s="122"/>
      <c r="B150" s="123"/>
      <c r="C150" s="123"/>
      <c r="D150" s="123"/>
      <c r="E150" s="123"/>
      <c r="F150" s="123"/>
      <c r="H150" s="103">
        <v>145</v>
      </c>
      <c r="I150" s="104" t="str">
        <f t="shared" si="10"/>
        <v/>
      </c>
      <c r="J150" s="103" t="e">
        <f t="shared" si="11"/>
        <v>#NUM!</v>
      </c>
      <c r="K150" s="103" t="e">
        <f t="shared" si="12"/>
        <v>#NUM!</v>
      </c>
      <c r="L150" s="103"/>
      <c r="M150" s="105">
        <f t="shared" si="13"/>
        <v>0</v>
      </c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</row>
    <row r="151" spans="1:38" s="88" customFormat="1">
      <c r="A151" s="122"/>
      <c r="B151" s="123"/>
      <c r="C151" s="123"/>
      <c r="D151" s="123"/>
      <c r="E151" s="123"/>
      <c r="F151" s="123"/>
      <c r="H151" s="103">
        <v>146</v>
      </c>
      <c r="I151" s="104" t="str">
        <f t="shared" si="10"/>
        <v/>
      </c>
      <c r="J151" s="103" t="e">
        <f t="shared" si="11"/>
        <v>#NUM!</v>
      </c>
      <c r="K151" s="103" t="e">
        <f t="shared" si="12"/>
        <v>#NUM!</v>
      </c>
      <c r="L151" s="103"/>
      <c r="M151" s="105">
        <f t="shared" si="13"/>
        <v>0</v>
      </c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</row>
    <row r="152" spans="1:38" s="88" customFormat="1">
      <c r="A152" s="122"/>
      <c r="B152" s="123"/>
      <c r="C152" s="123"/>
      <c r="D152" s="123"/>
      <c r="E152" s="123"/>
      <c r="F152" s="123"/>
      <c r="H152" s="103">
        <v>147</v>
      </c>
      <c r="I152" s="104" t="str">
        <f t="shared" si="10"/>
        <v/>
      </c>
      <c r="J152" s="103" t="e">
        <f t="shared" si="11"/>
        <v>#NUM!</v>
      </c>
      <c r="K152" s="103" t="e">
        <f t="shared" si="12"/>
        <v>#NUM!</v>
      </c>
      <c r="L152" s="103"/>
      <c r="M152" s="105">
        <f t="shared" si="13"/>
        <v>0</v>
      </c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</row>
    <row r="153" spans="1:38" s="88" customFormat="1">
      <c r="A153" s="122"/>
      <c r="B153" s="123"/>
      <c r="C153" s="123"/>
      <c r="D153" s="123"/>
      <c r="E153" s="123"/>
      <c r="F153" s="123"/>
      <c r="H153" s="103">
        <v>148</v>
      </c>
      <c r="I153" s="104" t="str">
        <f t="shared" si="10"/>
        <v/>
      </c>
      <c r="J153" s="103" t="e">
        <f t="shared" si="11"/>
        <v>#NUM!</v>
      </c>
      <c r="K153" s="103" t="e">
        <f t="shared" si="12"/>
        <v>#NUM!</v>
      </c>
      <c r="L153" s="103"/>
      <c r="M153" s="105">
        <f t="shared" si="13"/>
        <v>0</v>
      </c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</row>
    <row r="154" spans="1:38" s="88" customFormat="1">
      <c r="A154" s="122"/>
      <c r="B154" s="123"/>
      <c r="C154" s="123"/>
      <c r="D154" s="123"/>
      <c r="E154" s="123"/>
      <c r="F154" s="123"/>
      <c r="H154" s="103">
        <v>149</v>
      </c>
      <c r="I154" s="104" t="str">
        <f t="shared" si="10"/>
        <v/>
      </c>
      <c r="J154" s="103" t="e">
        <f t="shared" si="11"/>
        <v>#NUM!</v>
      </c>
      <c r="K154" s="103" t="e">
        <f t="shared" si="12"/>
        <v>#NUM!</v>
      </c>
      <c r="L154" s="103"/>
      <c r="M154" s="105">
        <f t="shared" si="13"/>
        <v>0</v>
      </c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</row>
    <row r="155" spans="1:38" s="88" customFormat="1">
      <c r="A155" s="124"/>
      <c r="B155" s="123"/>
      <c r="C155" s="123"/>
      <c r="D155" s="123"/>
      <c r="E155" s="123"/>
      <c r="F155" s="123"/>
      <c r="H155" s="103">
        <v>150</v>
      </c>
      <c r="I155" s="104" t="str">
        <f t="shared" si="10"/>
        <v/>
      </c>
      <c r="J155" s="103" t="e">
        <f t="shared" si="11"/>
        <v>#NUM!</v>
      </c>
      <c r="K155" s="103" t="e">
        <f t="shared" si="12"/>
        <v>#NUM!</v>
      </c>
      <c r="L155" s="103"/>
      <c r="M155" s="105">
        <f t="shared" si="13"/>
        <v>0</v>
      </c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</row>
    <row r="156" spans="1:38" s="88" customFormat="1">
      <c r="A156" s="124"/>
      <c r="B156" s="123"/>
      <c r="C156" s="123"/>
      <c r="D156" s="123"/>
      <c r="E156" s="123"/>
      <c r="F156" s="123"/>
      <c r="H156" s="103">
        <v>151</v>
      </c>
      <c r="I156" s="104" t="str">
        <f t="shared" si="10"/>
        <v/>
      </c>
      <c r="J156" s="103" t="e">
        <f t="shared" si="11"/>
        <v>#NUM!</v>
      </c>
      <c r="K156" s="103" t="e">
        <f t="shared" si="12"/>
        <v>#NUM!</v>
      </c>
      <c r="L156" s="103"/>
      <c r="M156" s="105">
        <f t="shared" si="13"/>
        <v>0</v>
      </c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</row>
    <row r="157" spans="1:38" s="88" customFormat="1">
      <c r="A157" s="124"/>
      <c r="B157" s="123"/>
      <c r="C157" s="123"/>
      <c r="D157" s="123"/>
      <c r="E157" s="123"/>
      <c r="F157" s="123"/>
      <c r="H157" s="103">
        <v>152</v>
      </c>
      <c r="I157" s="104" t="str">
        <f t="shared" si="10"/>
        <v/>
      </c>
      <c r="J157" s="103" t="e">
        <f t="shared" si="11"/>
        <v>#NUM!</v>
      </c>
      <c r="K157" s="103" t="e">
        <f t="shared" si="12"/>
        <v>#NUM!</v>
      </c>
      <c r="L157" s="103"/>
      <c r="M157" s="105">
        <f t="shared" si="13"/>
        <v>0</v>
      </c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</row>
    <row r="158" spans="1:38" s="88" customFormat="1">
      <c r="A158" s="124"/>
      <c r="B158" s="123"/>
      <c r="C158" s="123"/>
      <c r="D158" s="123"/>
      <c r="E158" s="123"/>
      <c r="F158" s="123"/>
      <c r="H158" s="103">
        <v>153</v>
      </c>
      <c r="I158" s="104" t="str">
        <f t="shared" si="10"/>
        <v/>
      </c>
      <c r="J158" s="103" t="e">
        <f t="shared" si="11"/>
        <v>#NUM!</v>
      </c>
      <c r="K158" s="103" t="e">
        <f t="shared" si="12"/>
        <v>#NUM!</v>
      </c>
      <c r="L158" s="103"/>
      <c r="M158" s="105">
        <f t="shared" si="13"/>
        <v>0</v>
      </c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</row>
    <row r="159" spans="1:38" s="88" customFormat="1">
      <c r="A159" s="124"/>
      <c r="B159" s="123"/>
      <c r="C159" s="123"/>
      <c r="D159" s="123"/>
      <c r="E159" s="123"/>
      <c r="F159" s="123"/>
      <c r="H159" s="103">
        <v>154</v>
      </c>
      <c r="I159" s="104" t="str">
        <f t="shared" si="10"/>
        <v/>
      </c>
      <c r="J159" s="103" t="e">
        <f t="shared" si="11"/>
        <v>#NUM!</v>
      </c>
      <c r="K159" s="103" t="e">
        <f t="shared" si="12"/>
        <v>#NUM!</v>
      </c>
      <c r="L159" s="103"/>
      <c r="M159" s="105">
        <f t="shared" si="13"/>
        <v>0</v>
      </c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</row>
    <row r="160" spans="1:38" s="88" customFormat="1">
      <c r="A160" s="124"/>
      <c r="B160" s="123"/>
      <c r="C160" s="123"/>
      <c r="D160" s="123"/>
      <c r="E160" s="123"/>
      <c r="F160" s="123"/>
      <c r="H160" s="103">
        <v>155</v>
      </c>
      <c r="I160" s="104" t="str">
        <f t="shared" si="10"/>
        <v/>
      </c>
      <c r="J160" s="103" t="e">
        <f t="shared" si="11"/>
        <v>#NUM!</v>
      </c>
      <c r="K160" s="103" t="e">
        <f t="shared" si="12"/>
        <v>#NUM!</v>
      </c>
      <c r="L160" s="103"/>
      <c r="M160" s="105">
        <f t="shared" si="13"/>
        <v>0</v>
      </c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</row>
    <row r="161" spans="1:38" s="88" customFormat="1">
      <c r="A161" s="124"/>
      <c r="B161" s="123"/>
      <c r="C161" s="123"/>
      <c r="D161" s="123"/>
      <c r="E161" s="123"/>
      <c r="F161" s="123"/>
      <c r="H161" s="103">
        <v>156</v>
      </c>
      <c r="I161" s="104" t="str">
        <f t="shared" si="10"/>
        <v/>
      </c>
      <c r="J161" s="103" t="e">
        <f t="shared" si="11"/>
        <v>#NUM!</v>
      </c>
      <c r="K161" s="103" t="e">
        <f t="shared" si="12"/>
        <v>#NUM!</v>
      </c>
      <c r="L161" s="103"/>
      <c r="M161" s="105">
        <f t="shared" si="13"/>
        <v>0</v>
      </c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</row>
    <row r="162" spans="1:38" s="88" customFormat="1">
      <c r="A162" s="124"/>
      <c r="B162" s="123"/>
      <c r="C162" s="123"/>
      <c r="D162" s="123"/>
      <c r="E162" s="123"/>
      <c r="F162" s="123"/>
      <c r="H162" s="103">
        <v>157</v>
      </c>
      <c r="I162" s="104" t="str">
        <f t="shared" si="10"/>
        <v/>
      </c>
      <c r="J162" s="103" t="e">
        <f t="shared" si="11"/>
        <v>#NUM!</v>
      </c>
      <c r="K162" s="103" t="e">
        <f t="shared" si="12"/>
        <v>#NUM!</v>
      </c>
      <c r="L162" s="103"/>
      <c r="M162" s="105">
        <f t="shared" si="13"/>
        <v>0</v>
      </c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</row>
    <row r="163" spans="1:38" s="88" customFormat="1">
      <c r="A163" s="124"/>
      <c r="B163" s="123"/>
      <c r="C163" s="123"/>
      <c r="D163" s="123"/>
      <c r="E163" s="123"/>
      <c r="F163" s="123"/>
      <c r="H163" s="103">
        <v>158</v>
      </c>
      <c r="I163" s="104" t="str">
        <f t="shared" si="10"/>
        <v/>
      </c>
      <c r="J163" s="103" t="e">
        <f t="shared" si="11"/>
        <v>#NUM!</v>
      </c>
      <c r="K163" s="103" t="e">
        <f t="shared" si="12"/>
        <v>#NUM!</v>
      </c>
      <c r="L163" s="103"/>
      <c r="M163" s="105">
        <f t="shared" si="13"/>
        <v>0</v>
      </c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</row>
    <row r="164" spans="1:38" s="88" customFormat="1">
      <c r="A164" s="124"/>
      <c r="B164" s="123"/>
      <c r="C164" s="123"/>
      <c r="D164" s="123"/>
      <c r="E164" s="123"/>
      <c r="F164" s="123"/>
      <c r="H164" s="103">
        <v>159</v>
      </c>
      <c r="I164" s="104" t="str">
        <f t="shared" si="10"/>
        <v/>
      </c>
      <c r="J164" s="103" t="e">
        <f t="shared" si="11"/>
        <v>#NUM!</v>
      </c>
      <c r="K164" s="103" t="e">
        <f t="shared" si="12"/>
        <v>#NUM!</v>
      </c>
      <c r="L164" s="103"/>
      <c r="M164" s="105">
        <f t="shared" si="13"/>
        <v>0</v>
      </c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</row>
    <row r="165" spans="1:38" s="88" customFormat="1">
      <c r="A165" s="124"/>
      <c r="B165" s="123"/>
      <c r="C165" s="123"/>
      <c r="D165" s="123"/>
      <c r="E165" s="123"/>
      <c r="F165" s="123"/>
      <c r="H165" s="103">
        <v>160</v>
      </c>
      <c r="I165" s="104" t="str">
        <f t="shared" si="10"/>
        <v/>
      </c>
      <c r="J165" s="103" t="e">
        <f t="shared" si="11"/>
        <v>#NUM!</v>
      </c>
      <c r="K165" s="103" t="e">
        <f t="shared" si="12"/>
        <v>#NUM!</v>
      </c>
      <c r="L165" s="103"/>
      <c r="M165" s="105">
        <f t="shared" si="13"/>
        <v>0</v>
      </c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</row>
    <row r="166" spans="1:38" s="88" customFormat="1">
      <c r="A166" s="124"/>
      <c r="B166" s="123"/>
      <c r="C166" s="123"/>
      <c r="D166" s="123"/>
      <c r="E166" s="123"/>
      <c r="F166" s="123"/>
      <c r="H166" s="103">
        <v>161</v>
      </c>
      <c r="I166" s="104" t="str">
        <f t="shared" si="10"/>
        <v/>
      </c>
      <c r="J166" s="103" t="e">
        <f t="shared" si="11"/>
        <v>#NUM!</v>
      </c>
      <c r="K166" s="103" t="e">
        <f t="shared" si="12"/>
        <v>#NUM!</v>
      </c>
      <c r="L166" s="103"/>
      <c r="M166" s="105">
        <f t="shared" si="13"/>
        <v>0</v>
      </c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</row>
    <row r="167" spans="1:38" s="88" customFormat="1">
      <c r="A167" s="124"/>
      <c r="B167" s="123"/>
      <c r="C167" s="123"/>
      <c r="D167" s="123"/>
      <c r="E167" s="123"/>
      <c r="F167" s="123"/>
      <c r="H167" s="103">
        <v>162</v>
      </c>
      <c r="I167" s="104" t="str">
        <f t="shared" si="10"/>
        <v/>
      </c>
      <c r="J167" s="103" t="e">
        <f t="shared" si="11"/>
        <v>#NUM!</v>
      </c>
      <c r="K167" s="103" t="e">
        <f t="shared" si="12"/>
        <v>#NUM!</v>
      </c>
      <c r="L167" s="103"/>
      <c r="M167" s="105">
        <f t="shared" si="13"/>
        <v>0</v>
      </c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</row>
    <row r="168" spans="1:38" s="88" customFormat="1">
      <c r="A168" s="124"/>
      <c r="B168" s="123"/>
      <c r="C168" s="123"/>
      <c r="D168" s="123"/>
      <c r="E168" s="123"/>
      <c r="F168" s="123"/>
      <c r="H168" s="103">
        <v>163</v>
      </c>
      <c r="I168" s="104" t="str">
        <f t="shared" si="10"/>
        <v/>
      </c>
      <c r="J168" s="103" t="e">
        <f t="shared" si="11"/>
        <v>#NUM!</v>
      </c>
      <c r="K168" s="103" t="e">
        <f t="shared" si="12"/>
        <v>#NUM!</v>
      </c>
      <c r="L168" s="103"/>
      <c r="M168" s="105">
        <f t="shared" si="13"/>
        <v>0</v>
      </c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</row>
    <row r="169" spans="1:38" s="88" customFormat="1">
      <c r="A169" s="124"/>
      <c r="B169" s="123"/>
      <c r="C169" s="123" t="s">
        <v>57</v>
      </c>
      <c r="D169" s="123"/>
      <c r="E169" s="123"/>
      <c r="F169" s="123"/>
      <c r="H169" s="103">
        <v>164</v>
      </c>
      <c r="I169" s="104" t="str">
        <f t="shared" si="10"/>
        <v/>
      </c>
      <c r="J169" s="103" t="e">
        <f t="shared" si="11"/>
        <v>#NUM!</v>
      </c>
      <c r="K169" s="103" t="e">
        <f t="shared" si="12"/>
        <v>#NUM!</v>
      </c>
      <c r="L169" s="103"/>
      <c r="M169" s="105">
        <f t="shared" si="13"/>
        <v>0</v>
      </c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</row>
    <row r="170" spans="1:38" s="88" customFormat="1">
      <c r="A170" s="124"/>
      <c r="B170" s="123"/>
      <c r="C170" s="123"/>
      <c r="D170" s="123"/>
      <c r="E170" s="123"/>
      <c r="F170" s="123"/>
      <c r="H170" s="103">
        <v>165</v>
      </c>
      <c r="I170" s="104" t="str">
        <f t="shared" si="10"/>
        <v/>
      </c>
      <c r="J170" s="103" t="e">
        <f t="shared" si="11"/>
        <v>#NUM!</v>
      </c>
      <c r="K170" s="103" t="e">
        <f t="shared" si="12"/>
        <v>#NUM!</v>
      </c>
      <c r="L170" s="103"/>
      <c r="M170" s="105">
        <f t="shared" si="13"/>
        <v>0</v>
      </c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</row>
    <row r="171" spans="1:38" s="88" customFormat="1">
      <c r="A171" s="124"/>
      <c r="B171" s="123"/>
      <c r="C171" s="123"/>
      <c r="D171" s="123"/>
      <c r="E171" s="123"/>
      <c r="F171" s="123"/>
      <c r="H171" s="103">
        <v>166</v>
      </c>
      <c r="I171" s="104" t="str">
        <f t="shared" si="10"/>
        <v/>
      </c>
      <c r="J171" s="103" t="e">
        <f t="shared" si="11"/>
        <v>#NUM!</v>
      </c>
      <c r="K171" s="103" t="e">
        <f t="shared" si="12"/>
        <v>#NUM!</v>
      </c>
      <c r="L171" s="103"/>
      <c r="M171" s="105">
        <f t="shared" si="13"/>
        <v>0</v>
      </c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</row>
    <row r="172" spans="1:38" s="88" customFormat="1">
      <c r="A172" s="124"/>
      <c r="B172" s="123"/>
      <c r="C172" s="123"/>
      <c r="D172" s="123"/>
      <c r="E172" s="123"/>
      <c r="F172" s="123"/>
      <c r="H172" s="103">
        <v>167</v>
      </c>
      <c r="I172" s="104" t="str">
        <f t="shared" si="10"/>
        <v/>
      </c>
      <c r="J172" s="103" t="e">
        <f t="shared" si="11"/>
        <v>#NUM!</v>
      </c>
      <c r="K172" s="103" t="e">
        <f t="shared" si="12"/>
        <v>#NUM!</v>
      </c>
      <c r="L172" s="103"/>
      <c r="M172" s="105">
        <f t="shared" si="13"/>
        <v>0</v>
      </c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</row>
    <row r="173" spans="1:38" s="88" customFormat="1">
      <c r="A173" s="124"/>
      <c r="B173" s="123"/>
      <c r="C173" s="123"/>
      <c r="D173" s="123"/>
      <c r="E173" s="123"/>
      <c r="F173" s="123"/>
      <c r="H173" s="103">
        <v>168</v>
      </c>
      <c r="I173" s="104" t="str">
        <f t="shared" si="10"/>
        <v/>
      </c>
      <c r="J173" s="103" t="e">
        <f t="shared" si="11"/>
        <v>#NUM!</v>
      </c>
      <c r="K173" s="103" t="e">
        <f t="shared" si="12"/>
        <v>#NUM!</v>
      </c>
      <c r="L173" s="103"/>
      <c r="M173" s="105">
        <f t="shared" si="13"/>
        <v>0</v>
      </c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</row>
    <row r="174" spans="1:38" s="88" customFormat="1">
      <c r="A174" s="124"/>
      <c r="B174" s="123"/>
      <c r="C174" s="123"/>
      <c r="D174" s="123"/>
      <c r="E174" s="123"/>
      <c r="F174" s="123"/>
      <c r="H174" s="103">
        <v>169</v>
      </c>
      <c r="I174" s="104" t="str">
        <f t="shared" si="10"/>
        <v/>
      </c>
      <c r="J174" s="103" t="e">
        <f t="shared" si="11"/>
        <v>#NUM!</v>
      </c>
      <c r="K174" s="103" t="e">
        <f t="shared" si="12"/>
        <v>#NUM!</v>
      </c>
      <c r="L174" s="103"/>
      <c r="M174" s="105">
        <f t="shared" si="13"/>
        <v>0</v>
      </c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</row>
    <row r="175" spans="1:38" s="88" customFormat="1">
      <c r="A175" s="124"/>
      <c r="B175" s="123"/>
      <c r="C175" s="123"/>
      <c r="D175" s="123"/>
      <c r="E175" s="123"/>
      <c r="F175" s="123"/>
      <c r="H175" s="103">
        <v>170</v>
      </c>
      <c r="I175" s="104" t="str">
        <f t="shared" si="10"/>
        <v/>
      </c>
      <c r="J175" s="103" t="e">
        <f t="shared" si="11"/>
        <v>#NUM!</v>
      </c>
      <c r="K175" s="103" t="e">
        <f t="shared" si="12"/>
        <v>#NUM!</v>
      </c>
      <c r="L175" s="103"/>
      <c r="M175" s="105">
        <f t="shared" si="13"/>
        <v>0</v>
      </c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</row>
    <row r="176" spans="1:38" s="88" customFormat="1">
      <c r="A176" s="124"/>
      <c r="B176" s="123"/>
      <c r="C176" s="123"/>
      <c r="D176" s="123"/>
      <c r="E176" s="123"/>
      <c r="F176" s="123"/>
      <c r="H176" s="103">
        <v>171</v>
      </c>
      <c r="I176" s="104" t="str">
        <f t="shared" si="10"/>
        <v/>
      </c>
      <c r="J176" s="103" t="e">
        <f t="shared" si="11"/>
        <v>#NUM!</v>
      </c>
      <c r="K176" s="103" t="e">
        <f t="shared" si="12"/>
        <v>#NUM!</v>
      </c>
      <c r="L176" s="103"/>
      <c r="M176" s="105">
        <f t="shared" si="13"/>
        <v>0</v>
      </c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</row>
    <row r="177" spans="1:38" s="88" customFormat="1">
      <c r="A177" s="124"/>
      <c r="B177" s="123"/>
      <c r="C177" s="123"/>
      <c r="D177" s="123"/>
      <c r="E177" s="123"/>
      <c r="F177" s="123"/>
      <c r="H177" s="103">
        <v>172</v>
      </c>
      <c r="I177" s="104" t="str">
        <f t="shared" si="10"/>
        <v/>
      </c>
      <c r="J177" s="103" t="e">
        <f t="shared" si="11"/>
        <v>#NUM!</v>
      </c>
      <c r="K177" s="103" t="e">
        <f t="shared" si="12"/>
        <v>#NUM!</v>
      </c>
      <c r="L177" s="103"/>
      <c r="M177" s="105">
        <f t="shared" si="13"/>
        <v>0</v>
      </c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</row>
    <row r="178" spans="1:38" s="88" customFormat="1">
      <c r="A178" s="124"/>
      <c r="B178" s="123"/>
      <c r="C178" s="123"/>
      <c r="D178" s="123"/>
      <c r="E178" s="123"/>
      <c r="F178" s="123"/>
      <c r="H178" s="103">
        <v>173</v>
      </c>
      <c r="I178" s="104" t="str">
        <f t="shared" si="10"/>
        <v/>
      </c>
      <c r="J178" s="103" t="e">
        <f t="shared" si="11"/>
        <v>#NUM!</v>
      </c>
      <c r="K178" s="103" t="e">
        <f t="shared" si="12"/>
        <v>#NUM!</v>
      </c>
      <c r="L178" s="103"/>
      <c r="M178" s="105">
        <f t="shared" si="13"/>
        <v>0</v>
      </c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</row>
    <row r="179" spans="1:38" s="88" customFormat="1">
      <c r="A179" s="124"/>
      <c r="B179" s="123"/>
      <c r="C179" s="123"/>
      <c r="D179" s="123"/>
      <c r="E179" s="123"/>
      <c r="F179" s="123"/>
      <c r="H179" s="103">
        <v>174</v>
      </c>
      <c r="I179" s="104" t="str">
        <f t="shared" si="10"/>
        <v/>
      </c>
      <c r="J179" s="103" t="e">
        <f t="shared" si="11"/>
        <v>#NUM!</v>
      </c>
      <c r="K179" s="103" t="e">
        <f t="shared" si="12"/>
        <v>#NUM!</v>
      </c>
      <c r="L179" s="103"/>
      <c r="M179" s="105">
        <f t="shared" si="13"/>
        <v>0</v>
      </c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</row>
    <row r="180" spans="1:38" s="88" customFormat="1">
      <c r="A180" s="124"/>
      <c r="B180" s="123"/>
      <c r="C180" s="123"/>
      <c r="D180" s="123"/>
      <c r="E180" s="123"/>
      <c r="F180" s="123"/>
      <c r="H180" s="103">
        <v>175</v>
      </c>
      <c r="I180" s="104" t="str">
        <f t="shared" si="10"/>
        <v/>
      </c>
      <c r="J180" s="103" t="e">
        <f t="shared" si="11"/>
        <v>#NUM!</v>
      </c>
      <c r="K180" s="103" t="e">
        <f t="shared" si="12"/>
        <v>#NUM!</v>
      </c>
      <c r="L180" s="103"/>
      <c r="M180" s="105">
        <f t="shared" si="13"/>
        <v>0</v>
      </c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</row>
    <row r="181" spans="1:38" s="88" customFormat="1">
      <c r="A181" s="124"/>
      <c r="B181" s="123"/>
      <c r="C181" s="123"/>
      <c r="D181" s="123"/>
      <c r="E181" s="123"/>
      <c r="F181" s="123"/>
      <c r="H181" s="103">
        <v>176</v>
      </c>
      <c r="I181" s="104" t="str">
        <f t="shared" si="10"/>
        <v/>
      </c>
      <c r="J181" s="103" t="e">
        <f t="shared" si="11"/>
        <v>#NUM!</v>
      </c>
      <c r="K181" s="103" t="e">
        <f t="shared" si="12"/>
        <v>#NUM!</v>
      </c>
      <c r="L181" s="103"/>
      <c r="M181" s="105">
        <f t="shared" si="13"/>
        <v>0</v>
      </c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</row>
    <row r="182" spans="1:38" s="88" customFormat="1">
      <c r="A182" s="124"/>
      <c r="B182" s="123"/>
      <c r="C182" s="123"/>
      <c r="D182" s="123"/>
      <c r="E182" s="123"/>
      <c r="F182" s="123"/>
      <c r="H182" s="103">
        <v>177</v>
      </c>
      <c r="I182" s="104" t="str">
        <f t="shared" si="10"/>
        <v/>
      </c>
      <c r="J182" s="103" t="e">
        <f t="shared" si="11"/>
        <v>#NUM!</v>
      </c>
      <c r="K182" s="103" t="e">
        <f t="shared" si="12"/>
        <v>#NUM!</v>
      </c>
      <c r="L182" s="103"/>
      <c r="M182" s="105">
        <f t="shared" si="13"/>
        <v>0</v>
      </c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</row>
    <row r="183" spans="1:38" s="88" customFormat="1">
      <c r="A183" s="124"/>
      <c r="B183" s="123"/>
      <c r="C183" s="123"/>
      <c r="D183" s="123"/>
      <c r="E183" s="123"/>
      <c r="F183" s="123"/>
      <c r="H183" s="103">
        <v>178</v>
      </c>
      <c r="I183" s="104" t="str">
        <f t="shared" si="10"/>
        <v/>
      </c>
      <c r="J183" s="103" t="e">
        <f t="shared" si="11"/>
        <v>#NUM!</v>
      </c>
      <c r="K183" s="103" t="e">
        <f t="shared" si="12"/>
        <v>#NUM!</v>
      </c>
      <c r="L183" s="103"/>
      <c r="M183" s="105">
        <f t="shared" si="13"/>
        <v>0</v>
      </c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</row>
    <row r="184" spans="1:38" s="88" customFormat="1">
      <c r="A184" s="124"/>
      <c r="B184" s="123"/>
      <c r="C184" s="123"/>
      <c r="D184" s="123"/>
      <c r="E184" s="123"/>
      <c r="F184" s="123"/>
      <c r="H184" s="103">
        <v>179</v>
      </c>
      <c r="I184" s="104" t="str">
        <f t="shared" si="10"/>
        <v/>
      </c>
      <c r="J184" s="103" t="e">
        <f t="shared" si="11"/>
        <v>#NUM!</v>
      </c>
      <c r="K184" s="103" t="e">
        <f t="shared" si="12"/>
        <v>#NUM!</v>
      </c>
      <c r="L184" s="103"/>
      <c r="M184" s="105">
        <f t="shared" si="13"/>
        <v>0</v>
      </c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</row>
    <row r="185" spans="1:38" s="88" customFormat="1">
      <c r="A185" s="124"/>
      <c r="B185" s="123"/>
      <c r="C185" s="123"/>
      <c r="D185" s="123"/>
      <c r="E185" s="123"/>
      <c r="F185" s="123"/>
      <c r="H185" s="103">
        <v>180</v>
      </c>
      <c r="I185" s="104" t="str">
        <f t="shared" si="10"/>
        <v/>
      </c>
      <c r="J185" s="103" t="e">
        <f t="shared" si="11"/>
        <v>#NUM!</v>
      </c>
      <c r="K185" s="103" t="e">
        <f t="shared" si="12"/>
        <v>#NUM!</v>
      </c>
      <c r="L185" s="103"/>
      <c r="M185" s="105">
        <f t="shared" si="13"/>
        <v>0</v>
      </c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</row>
    <row r="186" spans="1:38" s="88" customFormat="1">
      <c r="A186" s="124"/>
      <c r="B186" s="123"/>
      <c r="C186" s="123"/>
      <c r="D186" s="123"/>
      <c r="E186" s="123"/>
      <c r="F186" s="123"/>
      <c r="H186" s="103">
        <v>181</v>
      </c>
      <c r="I186" s="104" t="str">
        <f t="shared" si="10"/>
        <v/>
      </c>
      <c r="J186" s="103" t="e">
        <f t="shared" si="11"/>
        <v>#NUM!</v>
      </c>
      <c r="K186" s="103" t="e">
        <f t="shared" si="12"/>
        <v>#NUM!</v>
      </c>
      <c r="L186" s="103"/>
      <c r="M186" s="105">
        <f t="shared" si="13"/>
        <v>0</v>
      </c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</row>
    <row r="187" spans="1:38" s="88" customFormat="1">
      <c r="A187" s="124"/>
      <c r="B187" s="123"/>
      <c r="C187" s="123"/>
      <c r="D187" s="123"/>
      <c r="E187" s="123"/>
      <c r="F187" s="123"/>
      <c r="H187" s="103">
        <v>182</v>
      </c>
      <c r="I187" s="104" t="str">
        <f t="shared" si="10"/>
        <v/>
      </c>
      <c r="J187" s="103" t="e">
        <f t="shared" si="11"/>
        <v>#NUM!</v>
      </c>
      <c r="K187" s="103" t="e">
        <f t="shared" si="12"/>
        <v>#NUM!</v>
      </c>
      <c r="L187" s="103"/>
      <c r="M187" s="105">
        <f t="shared" si="13"/>
        <v>0</v>
      </c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</row>
    <row r="188" spans="1:38" s="88" customFormat="1">
      <c r="A188" s="124"/>
      <c r="B188" s="123"/>
      <c r="C188" s="123"/>
      <c r="D188" s="123"/>
      <c r="E188" s="123"/>
      <c r="F188" s="123"/>
      <c r="H188" s="103">
        <v>183</v>
      </c>
      <c r="I188" s="104" t="str">
        <f t="shared" si="10"/>
        <v/>
      </c>
      <c r="J188" s="103" t="e">
        <f t="shared" si="11"/>
        <v>#NUM!</v>
      </c>
      <c r="K188" s="103" t="e">
        <f t="shared" si="12"/>
        <v>#NUM!</v>
      </c>
      <c r="L188" s="103"/>
      <c r="M188" s="105">
        <f t="shared" si="13"/>
        <v>0</v>
      </c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</row>
    <row r="189" spans="1:38" s="88" customFormat="1">
      <c r="A189" s="124"/>
      <c r="B189" s="123"/>
      <c r="C189" s="123"/>
      <c r="D189" s="123"/>
      <c r="E189" s="123"/>
      <c r="F189" s="123"/>
      <c r="H189" s="103">
        <v>184</v>
      </c>
      <c r="I189" s="104" t="str">
        <f t="shared" si="10"/>
        <v/>
      </c>
      <c r="J189" s="103" t="e">
        <f t="shared" si="11"/>
        <v>#NUM!</v>
      </c>
      <c r="K189" s="103" t="e">
        <f t="shared" si="12"/>
        <v>#NUM!</v>
      </c>
      <c r="L189" s="103"/>
      <c r="M189" s="105">
        <f t="shared" si="13"/>
        <v>0</v>
      </c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</row>
    <row r="190" spans="1:38" s="88" customFormat="1">
      <c r="A190" s="124"/>
      <c r="B190" s="123"/>
      <c r="C190" s="123"/>
      <c r="D190" s="123"/>
      <c r="E190" s="123"/>
      <c r="F190" s="123"/>
      <c r="H190" s="103">
        <v>185</v>
      </c>
      <c r="I190" s="104" t="str">
        <f t="shared" si="10"/>
        <v/>
      </c>
      <c r="J190" s="103" t="e">
        <f t="shared" si="11"/>
        <v>#NUM!</v>
      </c>
      <c r="K190" s="103" t="e">
        <f t="shared" si="12"/>
        <v>#NUM!</v>
      </c>
      <c r="L190" s="103"/>
      <c r="M190" s="105">
        <f t="shared" si="13"/>
        <v>0</v>
      </c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</row>
    <row r="191" spans="1:38" s="88" customFormat="1">
      <c r="A191" s="124"/>
      <c r="B191" s="123"/>
      <c r="C191" s="123"/>
      <c r="D191" s="123"/>
      <c r="E191" s="123"/>
      <c r="F191" s="123"/>
      <c r="H191" s="103">
        <v>186</v>
      </c>
      <c r="I191" s="104" t="str">
        <f t="shared" si="10"/>
        <v/>
      </c>
      <c r="J191" s="103" t="e">
        <f t="shared" si="11"/>
        <v>#NUM!</v>
      </c>
      <c r="K191" s="103" t="e">
        <f t="shared" si="12"/>
        <v>#NUM!</v>
      </c>
      <c r="L191" s="103"/>
      <c r="M191" s="105">
        <f t="shared" si="13"/>
        <v>0</v>
      </c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</row>
    <row r="192" spans="1:38" s="88" customFormat="1">
      <c r="A192" s="124"/>
      <c r="B192" s="123"/>
      <c r="C192" s="123"/>
      <c r="D192" s="123"/>
      <c r="E192" s="123"/>
      <c r="F192" s="123"/>
      <c r="H192" s="103">
        <v>187</v>
      </c>
      <c r="I192" s="104" t="str">
        <f t="shared" si="10"/>
        <v/>
      </c>
      <c r="J192" s="103" t="e">
        <f t="shared" si="11"/>
        <v>#NUM!</v>
      </c>
      <c r="K192" s="103" t="e">
        <f t="shared" si="12"/>
        <v>#NUM!</v>
      </c>
      <c r="L192" s="103"/>
      <c r="M192" s="105">
        <f t="shared" si="13"/>
        <v>0</v>
      </c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</row>
    <row r="193" spans="1:38" s="88" customFormat="1">
      <c r="A193" s="124"/>
      <c r="B193" s="123"/>
      <c r="C193" s="123"/>
      <c r="D193" s="123"/>
      <c r="E193" s="123"/>
      <c r="F193" s="123"/>
      <c r="H193" s="103">
        <v>188</v>
      </c>
      <c r="I193" s="104" t="str">
        <f t="shared" si="10"/>
        <v/>
      </c>
      <c r="J193" s="103" t="e">
        <f t="shared" si="11"/>
        <v>#NUM!</v>
      </c>
      <c r="K193" s="103" t="e">
        <f t="shared" si="12"/>
        <v>#NUM!</v>
      </c>
      <c r="L193" s="103"/>
      <c r="M193" s="105">
        <f t="shared" si="13"/>
        <v>0</v>
      </c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</row>
    <row r="194" spans="1:38" s="88" customFormat="1">
      <c r="A194" s="124"/>
      <c r="B194" s="123"/>
      <c r="C194" s="123"/>
      <c r="D194" s="123"/>
      <c r="E194" s="123"/>
      <c r="F194" s="123"/>
      <c r="H194" s="103">
        <v>189</v>
      </c>
      <c r="I194" s="104" t="str">
        <f t="shared" si="10"/>
        <v/>
      </c>
      <c r="J194" s="103" t="e">
        <f t="shared" si="11"/>
        <v>#NUM!</v>
      </c>
      <c r="K194" s="103" t="e">
        <f t="shared" si="12"/>
        <v>#NUM!</v>
      </c>
      <c r="L194" s="103"/>
      <c r="M194" s="105">
        <f t="shared" si="13"/>
        <v>0</v>
      </c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</row>
    <row r="195" spans="1:38" s="88" customFormat="1">
      <c r="A195" s="124"/>
      <c r="B195" s="123"/>
      <c r="C195" s="123"/>
      <c r="D195" s="123"/>
      <c r="E195" s="123"/>
      <c r="F195" s="123"/>
      <c r="H195" s="103">
        <v>190</v>
      </c>
      <c r="I195" s="104" t="str">
        <f t="shared" si="10"/>
        <v/>
      </c>
      <c r="J195" s="103" t="e">
        <f t="shared" si="11"/>
        <v>#NUM!</v>
      </c>
      <c r="K195" s="103" t="e">
        <f t="shared" si="12"/>
        <v>#NUM!</v>
      </c>
      <c r="L195" s="103"/>
      <c r="M195" s="105">
        <f t="shared" si="13"/>
        <v>0</v>
      </c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</row>
    <row r="196" spans="1:38" s="88" customFormat="1">
      <c r="A196" s="124"/>
      <c r="B196" s="123"/>
      <c r="C196" s="123"/>
      <c r="D196" s="123"/>
      <c r="E196" s="123"/>
      <c r="F196" s="123"/>
      <c r="H196" s="103">
        <v>191</v>
      </c>
      <c r="I196" s="104" t="str">
        <f t="shared" si="10"/>
        <v/>
      </c>
      <c r="J196" s="103" t="e">
        <f t="shared" si="11"/>
        <v>#NUM!</v>
      </c>
      <c r="K196" s="103" t="e">
        <f t="shared" si="12"/>
        <v>#NUM!</v>
      </c>
      <c r="L196" s="103"/>
      <c r="M196" s="105">
        <f t="shared" si="13"/>
        <v>0</v>
      </c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</row>
    <row r="197" spans="1:38" s="88" customFormat="1">
      <c r="A197" s="124"/>
      <c r="B197" s="123"/>
      <c r="C197" s="123"/>
      <c r="D197" s="123"/>
      <c r="E197" s="123"/>
      <c r="F197" s="123"/>
      <c r="H197" s="103">
        <v>192</v>
      </c>
      <c r="I197" s="104" t="str">
        <f t="shared" si="10"/>
        <v/>
      </c>
      <c r="J197" s="103" t="e">
        <f t="shared" si="11"/>
        <v>#NUM!</v>
      </c>
      <c r="K197" s="103" t="e">
        <f t="shared" si="12"/>
        <v>#NUM!</v>
      </c>
      <c r="L197" s="103"/>
      <c r="M197" s="105">
        <f t="shared" si="13"/>
        <v>0</v>
      </c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</row>
    <row r="198" spans="1:38" s="88" customFormat="1">
      <c r="A198" s="124"/>
      <c r="B198" s="123"/>
      <c r="C198" s="123"/>
      <c r="D198" s="123"/>
      <c r="E198" s="123"/>
      <c r="F198" s="123"/>
      <c r="H198" s="103">
        <v>193</v>
      </c>
      <c r="I198" s="104" t="str">
        <f t="shared" ref="I198:I261" si="14">IF(H198&lt;$H$2+1,($I$2-($I$2-1)*(LOG(H198)/LOG($H$2))),"")</f>
        <v/>
      </c>
      <c r="J198" s="103" t="e">
        <f t="shared" ref="J198:J261" si="15">INT(LOG($H$2,2))-ROUNDUP(LOG(H198,2),0)+IF(OR($H$2=1,$H$2=2,$H$2=4,$H$2=8,$H$2=16,$H$2=32,$H$2=64,$H$2=128,$H$2=256),0,1)</f>
        <v>#NUM!</v>
      </c>
      <c r="K198" s="103" t="e">
        <f t="shared" ref="K198:K261" si="16">J198*$J$2</f>
        <v>#NUM!</v>
      </c>
      <c r="L198" s="103"/>
      <c r="M198" s="105">
        <f t="shared" ref="M198:M261" si="17">IF(I198&lt;&gt;"",K198+I198+L198,0)</f>
        <v>0</v>
      </c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</row>
    <row r="199" spans="1:38" s="88" customFormat="1">
      <c r="A199" s="124"/>
      <c r="B199" s="123"/>
      <c r="C199" s="123"/>
      <c r="D199" s="123"/>
      <c r="E199" s="123"/>
      <c r="F199" s="123"/>
      <c r="H199" s="103">
        <v>194</v>
      </c>
      <c r="I199" s="104" t="str">
        <f t="shared" si="14"/>
        <v/>
      </c>
      <c r="J199" s="103" t="e">
        <f t="shared" si="15"/>
        <v>#NUM!</v>
      </c>
      <c r="K199" s="103" t="e">
        <f t="shared" si="16"/>
        <v>#NUM!</v>
      </c>
      <c r="L199" s="103"/>
      <c r="M199" s="105">
        <f t="shared" si="17"/>
        <v>0</v>
      </c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</row>
    <row r="200" spans="1:38" s="88" customFormat="1">
      <c r="A200" s="124"/>
      <c r="B200" s="123"/>
      <c r="C200" s="123"/>
      <c r="D200" s="123"/>
      <c r="E200" s="123"/>
      <c r="F200" s="123"/>
      <c r="H200" s="103">
        <v>195</v>
      </c>
      <c r="I200" s="104" t="str">
        <f t="shared" si="14"/>
        <v/>
      </c>
      <c r="J200" s="103" t="e">
        <f t="shared" si="15"/>
        <v>#NUM!</v>
      </c>
      <c r="K200" s="103" t="e">
        <f t="shared" si="16"/>
        <v>#NUM!</v>
      </c>
      <c r="L200" s="103"/>
      <c r="M200" s="105">
        <f t="shared" si="17"/>
        <v>0</v>
      </c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</row>
    <row r="201" spans="1:38" s="88" customFormat="1">
      <c r="A201" s="124"/>
      <c r="B201" s="123"/>
      <c r="C201" s="123"/>
      <c r="D201" s="123"/>
      <c r="E201" s="123"/>
      <c r="F201" s="123"/>
      <c r="H201" s="103">
        <v>196</v>
      </c>
      <c r="I201" s="104" t="str">
        <f t="shared" si="14"/>
        <v/>
      </c>
      <c r="J201" s="103" t="e">
        <f t="shared" si="15"/>
        <v>#NUM!</v>
      </c>
      <c r="K201" s="103" t="e">
        <f t="shared" si="16"/>
        <v>#NUM!</v>
      </c>
      <c r="L201" s="103"/>
      <c r="M201" s="105">
        <f t="shared" si="17"/>
        <v>0</v>
      </c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</row>
    <row r="202" spans="1:38" s="88" customFormat="1">
      <c r="A202" s="124"/>
      <c r="B202" s="123"/>
      <c r="C202" s="123"/>
      <c r="D202" s="123"/>
      <c r="E202" s="123"/>
      <c r="F202" s="123"/>
      <c r="H202" s="103">
        <v>197</v>
      </c>
      <c r="I202" s="104" t="str">
        <f t="shared" si="14"/>
        <v/>
      </c>
      <c r="J202" s="103" t="e">
        <f t="shared" si="15"/>
        <v>#NUM!</v>
      </c>
      <c r="K202" s="103" t="e">
        <f t="shared" si="16"/>
        <v>#NUM!</v>
      </c>
      <c r="L202" s="103"/>
      <c r="M202" s="105">
        <f t="shared" si="17"/>
        <v>0</v>
      </c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</row>
    <row r="203" spans="1:38" s="88" customFormat="1">
      <c r="A203" s="124"/>
      <c r="B203" s="123"/>
      <c r="C203" s="123"/>
      <c r="D203" s="123"/>
      <c r="E203" s="123"/>
      <c r="F203" s="123"/>
      <c r="H203" s="103">
        <v>198</v>
      </c>
      <c r="I203" s="104" t="str">
        <f t="shared" si="14"/>
        <v/>
      </c>
      <c r="J203" s="103" t="e">
        <f t="shared" si="15"/>
        <v>#NUM!</v>
      </c>
      <c r="K203" s="103" t="e">
        <f t="shared" si="16"/>
        <v>#NUM!</v>
      </c>
      <c r="L203" s="103"/>
      <c r="M203" s="105">
        <f t="shared" si="17"/>
        <v>0</v>
      </c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</row>
    <row r="204" spans="1:38" s="88" customFormat="1">
      <c r="A204" s="124"/>
      <c r="B204" s="123"/>
      <c r="C204" s="123"/>
      <c r="D204" s="123"/>
      <c r="E204" s="123"/>
      <c r="F204" s="123"/>
      <c r="H204" s="103">
        <v>199</v>
      </c>
      <c r="I204" s="104" t="str">
        <f t="shared" si="14"/>
        <v/>
      </c>
      <c r="J204" s="103" t="e">
        <f t="shared" si="15"/>
        <v>#NUM!</v>
      </c>
      <c r="K204" s="103" t="e">
        <f t="shared" si="16"/>
        <v>#NUM!</v>
      </c>
      <c r="L204" s="103"/>
      <c r="M204" s="105">
        <f t="shared" si="17"/>
        <v>0</v>
      </c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</row>
    <row r="205" spans="1:38" s="88" customFormat="1">
      <c r="A205" s="124"/>
      <c r="B205" s="123"/>
      <c r="C205" s="123"/>
      <c r="D205" s="123"/>
      <c r="E205" s="123"/>
      <c r="F205" s="123"/>
      <c r="H205" s="103">
        <v>200</v>
      </c>
      <c r="I205" s="104" t="str">
        <f t="shared" si="14"/>
        <v/>
      </c>
      <c r="J205" s="103" t="e">
        <f t="shared" si="15"/>
        <v>#NUM!</v>
      </c>
      <c r="K205" s="103" t="e">
        <f t="shared" si="16"/>
        <v>#NUM!</v>
      </c>
      <c r="L205" s="103"/>
      <c r="M205" s="105">
        <f t="shared" si="17"/>
        <v>0</v>
      </c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</row>
    <row r="206" spans="1:38" s="88" customFormat="1">
      <c r="A206" s="124"/>
      <c r="B206" s="123"/>
      <c r="C206" s="123"/>
      <c r="D206" s="123"/>
      <c r="E206" s="123"/>
      <c r="F206" s="123"/>
      <c r="H206" s="103">
        <v>201</v>
      </c>
      <c r="I206" s="104" t="str">
        <f t="shared" si="14"/>
        <v/>
      </c>
      <c r="J206" s="103" t="e">
        <f t="shared" si="15"/>
        <v>#NUM!</v>
      </c>
      <c r="K206" s="103" t="e">
        <f t="shared" si="16"/>
        <v>#NUM!</v>
      </c>
      <c r="L206" s="103"/>
      <c r="M206" s="105">
        <f t="shared" si="17"/>
        <v>0</v>
      </c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</row>
    <row r="207" spans="1:38" s="88" customFormat="1">
      <c r="A207" s="124"/>
      <c r="B207" s="123"/>
      <c r="C207" s="123"/>
      <c r="D207" s="123"/>
      <c r="E207" s="123"/>
      <c r="F207" s="123"/>
      <c r="H207" s="103">
        <v>202</v>
      </c>
      <c r="I207" s="104" t="str">
        <f t="shared" si="14"/>
        <v/>
      </c>
      <c r="J207" s="103" t="e">
        <f t="shared" si="15"/>
        <v>#NUM!</v>
      </c>
      <c r="K207" s="103" t="e">
        <f t="shared" si="16"/>
        <v>#NUM!</v>
      </c>
      <c r="L207" s="103"/>
      <c r="M207" s="105">
        <f t="shared" si="17"/>
        <v>0</v>
      </c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</row>
    <row r="208" spans="1:38" s="88" customFormat="1">
      <c r="A208" s="124"/>
      <c r="B208" s="123"/>
      <c r="C208" s="123"/>
      <c r="D208" s="123"/>
      <c r="E208" s="123"/>
      <c r="F208" s="123"/>
      <c r="H208" s="103">
        <v>203</v>
      </c>
      <c r="I208" s="104" t="str">
        <f t="shared" si="14"/>
        <v/>
      </c>
      <c r="J208" s="103" t="e">
        <f t="shared" si="15"/>
        <v>#NUM!</v>
      </c>
      <c r="K208" s="103" t="e">
        <f t="shared" si="16"/>
        <v>#NUM!</v>
      </c>
      <c r="L208" s="103"/>
      <c r="M208" s="105">
        <f t="shared" si="17"/>
        <v>0</v>
      </c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</row>
    <row r="209" spans="1:38" s="88" customFormat="1">
      <c r="A209" s="124"/>
      <c r="B209" s="123"/>
      <c r="C209" s="123"/>
      <c r="D209" s="123"/>
      <c r="E209" s="123"/>
      <c r="F209" s="123"/>
      <c r="H209" s="103">
        <v>204</v>
      </c>
      <c r="I209" s="104" t="str">
        <f t="shared" si="14"/>
        <v/>
      </c>
      <c r="J209" s="103" t="e">
        <f t="shared" si="15"/>
        <v>#NUM!</v>
      </c>
      <c r="K209" s="103" t="e">
        <f t="shared" si="16"/>
        <v>#NUM!</v>
      </c>
      <c r="L209" s="103"/>
      <c r="M209" s="105">
        <f t="shared" si="17"/>
        <v>0</v>
      </c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</row>
    <row r="210" spans="1:38" s="88" customFormat="1">
      <c r="A210" s="124"/>
      <c r="B210" s="123"/>
      <c r="C210" s="123"/>
      <c r="D210" s="123"/>
      <c r="E210" s="123"/>
      <c r="F210" s="123"/>
      <c r="H210" s="103">
        <v>205</v>
      </c>
      <c r="I210" s="104" t="str">
        <f t="shared" si="14"/>
        <v/>
      </c>
      <c r="J210" s="103" t="e">
        <f t="shared" si="15"/>
        <v>#NUM!</v>
      </c>
      <c r="K210" s="103" t="e">
        <f t="shared" si="16"/>
        <v>#NUM!</v>
      </c>
      <c r="L210" s="103"/>
      <c r="M210" s="105">
        <f t="shared" si="17"/>
        <v>0</v>
      </c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</row>
    <row r="211" spans="1:38" s="88" customFormat="1">
      <c r="A211" s="124"/>
      <c r="B211" s="123"/>
      <c r="C211" s="123"/>
      <c r="D211" s="123"/>
      <c r="E211" s="123"/>
      <c r="F211" s="123"/>
      <c r="H211" s="103">
        <v>206</v>
      </c>
      <c r="I211" s="104" t="str">
        <f t="shared" si="14"/>
        <v/>
      </c>
      <c r="J211" s="103" t="e">
        <f t="shared" si="15"/>
        <v>#NUM!</v>
      </c>
      <c r="K211" s="103" t="e">
        <f t="shared" si="16"/>
        <v>#NUM!</v>
      </c>
      <c r="L211" s="103"/>
      <c r="M211" s="105">
        <f t="shared" si="17"/>
        <v>0</v>
      </c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</row>
    <row r="212" spans="1:38" s="88" customFormat="1">
      <c r="A212" s="124"/>
      <c r="B212" s="123"/>
      <c r="C212" s="123"/>
      <c r="D212" s="123"/>
      <c r="E212" s="123"/>
      <c r="F212" s="123"/>
      <c r="H212" s="103">
        <v>207</v>
      </c>
      <c r="I212" s="104" t="str">
        <f t="shared" si="14"/>
        <v/>
      </c>
      <c r="J212" s="103" t="e">
        <f t="shared" si="15"/>
        <v>#NUM!</v>
      </c>
      <c r="K212" s="103" t="e">
        <f t="shared" si="16"/>
        <v>#NUM!</v>
      </c>
      <c r="L212" s="103"/>
      <c r="M212" s="105">
        <f t="shared" si="17"/>
        <v>0</v>
      </c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</row>
    <row r="213" spans="1:38" s="88" customFormat="1">
      <c r="A213" s="124"/>
      <c r="B213" s="123"/>
      <c r="C213" s="123"/>
      <c r="D213" s="123"/>
      <c r="E213" s="123"/>
      <c r="F213" s="123"/>
      <c r="H213" s="103">
        <v>208</v>
      </c>
      <c r="I213" s="104" t="str">
        <f t="shared" si="14"/>
        <v/>
      </c>
      <c r="J213" s="103" t="e">
        <f t="shared" si="15"/>
        <v>#NUM!</v>
      </c>
      <c r="K213" s="103" t="e">
        <f t="shared" si="16"/>
        <v>#NUM!</v>
      </c>
      <c r="L213" s="103"/>
      <c r="M213" s="105">
        <f t="shared" si="17"/>
        <v>0</v>
      </c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</row>
    <row r="214" spans="1:38" s="88" customFormat="1">
      <c r="A214" s="124"/>
      <c r="B214" s="123"/>
      <c r="C214" s="123"/>
      <c r="D214" s="123"/>
      <c r="E214" s="123"/>
      <c r="F214" s="123"/>
      <c r="H214" s="103">
        <v>209</v>
      </c>
      <c r="I214" s="104" t="str">
        <f t="shared" si="14"/>
        <v/>
      </c>
      <c r="J214" s="103" t="e">
        <f t="shared" si="15"/>
        <v>#NUM!</v>
      </c>
      <c r="K214" s="103" t="e">
        <f t="shared" si="16"/>
        <v>#NUM!</v>
      </c>
      <c r="L214" s="103"/>
      <c r="M214" s="105">
        <f t="shared" si="17"/>
        <v>0</v>
      </c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</row>
    <row r="215" spans="1:38" s="88" customFormat="1">
      <c r="A215" s="124"/>
      <c r="B215" s="123"/>
      <c r="C215" s="123"/>
      <c r="D215" s="123"/>
      <c r="E215" s="123"/>
      <c r="F215" s="123"/>
      <c r="H215" s="103">
        <v>210</v>
      </c>
      <c r="I215" s="104" t="str">
        <f t="shared" si="14"/>
        <v/>
      </c>
      <c r="J215" s="103" t="e">
        <f t="shared" si="15"/>
        <v>#NUM!</v>
      </c>
      <c r="K215" s="103" t="e">
        <f t="shared" si="16"/>
        <v>#NUM!</v>
      </c>
      <c r="L215" s="103"/>
      <c r="M215" s="105">
        <f t="shared" si="17"/>
        <v>0</v>
      </c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</row>
    <row r="216" spans="1:38" s="88" customFormat="1">
      <c r="A216" s="124"/>
      <c r="B216" s="123"/>
      <c r="C216" s="123"/>
      <c r="D216" s="123"/>
      <c r="E216" s="123"/>
      <c r="F216" s="123"/>
      <c r="H216" s="103">
        <v>211</v>
      </c>
      <c r="I216" s="104" t="str">
        <f t="shared" si="14"/>
        <v/>
      </c>
      <c r="J216" s="103" t="e">
        <f t="shared" si="15"/>
        <v>#NUM!</v>
      </c>
      <c r="K216" s="103" t="e">
        <f t="shared" si="16"/>
        <v>#NUM!</v>
      </c>
      <c r="L216" s="103"/>
      <c r="M216" s="105">
        <f t="shared" si="17"/>
        <v>0</v>
      </c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</row>
    <row r="217" spans="1:38" s="88" customFormat="1">
      <c r="A217" s="124"/>
      <c r="B217" s="123"/>
      <c r="C217" s="123"/>
      <c r="D217" s="123"/>
      <c r="E217" s="123"/>
      <c r="F217" s="123"/>
      <c r="H217" s="103">
        <v>212</v>
      </c>
      <c r="I217" s="104" t="str">
        <f t="shared" si="14"/>
        <v/>
      </c>
      <c r="J217" s="103" t="e">
        <f t="shared" si="15"/>
        <v>#NUM!</v>
      </c>
      <c r="K217" s="103" t="e">
        <f t="shared" si="16"/>
        <v>#NUM!</v>
      </c>
      <c r="L217" s="103"/>
      <c r="M217" s="105">
        <f t="shared" si="17"/>
        <v>0</v>
      </c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</row>
    <row r="218" spans="1:38" s="88" customFormat="1">
      <c r="A218" s="124"/>
      <c r="B218" s="123"/>
      <c r="C218" s="123"/>
      <c r="D218" s="123"/>
      <c r="E218" s="123"/>
      <c r="F218" s="123"/>
      <c r="H218" s="103">
        <v>213</v>
      </c>
      <c r="I218" s="104" t="str">
        <f t="shared" si="14"/>
        <v/>
      </c>
      <c r="J218" s="103" t="e">
        <f t="shared" si="15"/>
        <v>#NUM!</v>
      </c>
      <c r="K218" s="103" t="e">
        <f t="shared" si="16"/>
        <v>#NUM!</v>
      </c>
      <c r="L218" s="103"/>
      <c r="M218" s="105">
        <f t="shared" si="17"/>
        <v>0</v>
      </c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</row>
    <row r="219" spans="1:38" s="88" customFormat="1">
      <c r="A219" s="124"/>
      <c r="B219" s="123"/>
      <c r="C219" s="123"/>
      <c r="D219" s="123"/>
      <c r="E219" s="123"/>
      <c r="F219" s="123"/>
      <c r="H219" s="103">
        <v>214</v>
      </c>
      <c r="I219" s="104" t="str">
        <f t="shared" si="14"/>
        <v/>
      </c>
      <c r="J219" s="103" t="e">
        <f t="shared" si="15"/>
        <v>#NUM!</v>
      </c>
      <c r="K219" s="103" t="e">
        <f t="shared" si="16"/>
        <v>#NUM!</v>
      </c>
      <c r="L219" s="103"/>
      <c r="M219" s="105">
        <f t="shared" si="17"/>
        <v>0</v>
      </c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</row>
    <row r="220" spans="1:38" s="88" customFormat="1">
      <c r="A220" s="124"/>
      <c r="B220" s="123"/>
      <c r="C220" s="123"/>
      <c r="D220" s="123"/>
      <c r="E220" s="123"/>
      <c r="F220" s="123"/>
      <c r="H220" s="103">
        <v>215</v>
      </c>
      <c r="I220" s="104" t="str">
        <f t="shared" si="14"/>
        <v/>
      </c>
      <c r="J220" s="103" t="e">
        <f t="shared" si="15"/>
        <v>#NUM!</v>
      </c>
      <c r="K220" s="103" t="e">
        <f t="shared" si="16"/>
        <v>#NUM!</v>
      </c>
      <c r="L220" s="103"/>
      <c r="M220" s="105">
        <f t="shared" si="17"/>
        <v>0</v>
      </c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</row>
    <row r="221" spans="1:38" s="88" customFormat="1">
      <c r="A221" s="124"/>
      <c r="B221" s="123"/>
      <c r="C221" s="123"/>
      <c r="D221" s="123"/>
      <c r="E221" s="123"/>
      <c r="F221" s="123"/>
      <c r="H221" s="103">
        <v>216</v>
      </c>
      <c r="I221" s="104" t="str">
        <f t="shared" si="14"/>
        <v/>
      </c>
      <c r="J221" s="103" t="e">
        <f t="shared" si="15"/>
        <v>#NUM!</v>
      </c>
      <c r="K221" s="103" t="e">
        <f t="shared" si="16"/>
        <v>#NUM!</v>
      </c>
      <c r="L221" s="103"/>
      <c r="M221" s="105">
        <f t="shared" si="17"/>
        <v>0</v>
      </c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</row>
    <row r="222" spans="1:38" s="88" customFormat="1">
      <c r="A222" s="124"/>
      <c r="B222" s="123"/>
      <c r="C222" s="123"/>
      <c r="D222" s="123"/>
      <c r="E222" s="123"/>
      <c r="F222" s="123"/>
      <c r="H222" s="103">
        <v>217</v>
      </c>
      <c r="I222" s="104" t="str">
        <f t="shared" si="14"/>
        <v/>
      </c>
      <c r="J222" s="103" t="e">
        <f t="shared" si="15"/>
        <v>#NUM!</v>
      </c>
      <c r="K222" s="103" t="e">
        <f t="shared" si="16"/>
        <v>#NUM!</v>
      </c>
      <c r="L222" s="103"/>
      <c r="M222" s="105">
        <f t="shared" si="17"/>
        <v>0</v>
      </c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</row>
    <row r="223" spans="1:38" s="88" customFormat="1">
      <c r="A223" s="124"/>
      <c r="B223" s="123"/>
      <c r="C223" s="123"/>
      <c r="D223" s="123"/>
      <c r="E223" s="123"/>
      <c r="F223" s="123"/>
      <c r="H223" s="103">
        <v>218</v>
      </c>
      <c r="I223" s="104" t="str">
        <f t="shared" si="14"/>
        <v/>
      </c>
      <c r="J223" s="103" t="e">
        <f t="shared" si="15"/>
        <v>#NUM!</v>
      </c>
      <c r="K223" s="103" t="e">
        <f t="shared" si="16"/>
        <v>#NUM!</v>
      </c>
      <c r="L223" s="103"/>
      <c r="M223" s="105">
        <f t="shared" si="17"/>
        <v>0</v>
      </c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</row>
    <row r="224" spans="1:38" s="88" customFormat="1">
      <c r="A224" s="124"/>
      <c r="B224" s="123"/>
      <c r="C224" s="123"/>
      <c r="D224" s="123"/>
      <c r="E224" s="123"/>
      <c r="F224" s="123"/>
      <c r="H224" s="103">
        <v>219</v>
      </c>
      <c r="I224" s="104" t="str">
        <f t="shared" si="14"/>
        <v/>
      </c>
      <c r="J224" s="103" t="e">
        <f t="shared" si="15"/>
        <v>#NUM!</v>
      </c>
      <c r="K224" s="103" t="e">
        <f t="shared" si="16"/>
        <v>#NUM!</v>
      </c>
      <c r="L224" s="103"/>
      <c r="M224" s="105">
        <f t="shared" si="17"/>
        <v>0</v>
      </c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</row>
    <row r="225" spans="1:38" s="88" customFormat="1">
      <c r="A225" s="124"/>
      <c r="B225" s="123"/>
      <c r="C225" s="123"/>
      <c r="D225" s="123"/>
      <c r="E225" s="123"/>
      <c r="F225" s="123"/>
      <c r="H225" s="103">
        <v>220</v>
      </c>
      <c r="I225" s="104" t="str">
        <f t="shared" si="14"/>
        <v/>
      </c>
      <c r="J225" s="103" t="e">
        <f t="shared" si="15"/>
        <v>#NUM!</v>
      </c>
      <c r="K225" s="103" t="e">
        <f t="shared" si="16"/>
        <v>#NUM!</v>
      </c>
      <c r="L225" s="103"/>
      <c r="M225" s="105">
        <f t="shared" si="17"/>
        <v>0</v>
      </c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</row>
    <row r="226" spans="1:38" s="88" customFormat="1">
      <c r="A226" s="124"/>
      <c r="B226" s="123"/>
      <c r="C226" s="123"/>
      <c r="D226" s="123"/>
      <c r="E226" s="123"/>
      <c r="F226" s="123"/>
      <c r="H226" s="103">
        <v>221</v>
      </c>
      <c r="I226" s="104" t="str">
        <f t="shared" si="14"/>
        <v/>
      </c>
      <c r="J226" s="103" t="e">
        <f t="shared" si="15"/>
        <v>#NUM!</v>
      </c>
      <c r="K226" s="103" t="e">
        <f t="shared" si="16"/>
        <v>#NUM!</v>
      </c>
      <c r="L226" s="103"/>
      <c r="M226" s="105">
        <f t="shared" si="17"/>
        <v>0</v>
      </c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</row>
    <row r="227" spans="1:38" s="88" customFormat="1">
      <c r="A227" s="124"/>
      <c r="B227" s="123"/>
      <c r="C227" s="123"/>
      <c r="D227" s="123"/>
      <c r="E227" s="123"/>
      <c r="F227" s="123"/>
      <c r="H227" s="103">
        <v>222</v>
      </c>
      <c r="I227" s="104" t="str">
        <f t="shared" si="14"/>
        <v/>
      </c>
      <c r="J227" s="103" t="e">
        <f t="shared" si="15"/>
        <v>#NUM!</v>
      </c>
      <c r="K227" s="103" t="e">
        <f t="shared" si="16"/>
        <v>#NUM!</v>
      </c>
      <c r="L227" s="103"/>
      <c r="M227" s="105">
        <f t="shared" si="17"/>
        <v>0</v>
      </c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</row>
    <row r="228" spans="1:38" s="88" customFormat="1">
      <c r="A228" s="124"/>
      <c r="B228" s="123"/>
      <c r="C228" s="123"/>
      <c r="D228" s="123"/>
      <c r="E228" s="123"/>
      <c r="F228" s="123"/>
      <c r="H228" s="103">
        <v>223</v>
      </c>
      <c r="I228" s="104" t="str">
        <f t="shared" si="14"/>
        <v/>
      </c>
      <c r="J228" s="103" t="e">
        <f t="shared" si="15"/>
        <v>#NUM!</v>
      </c>
      <c r="K228" s="103" t="e">
        <f t="shared" si="16"/>
        <v>#NUM!</v>
      </c>
      <c r="L228" s="103"/>
      <c r="M228" s="105">
        <f t="shared" si="17"/>
        <v>0</v>
      </c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</row>
    <row r="229" spans="1:38" s="88" customFormat="1">
      <c r="A229" s="124"/>
      <c r="B229" s="123"/>
      <c r="C229" s="123"/>
      <c r="D229" s="123"/>
      <c r="E229" s="123"/>
      <c r="F229" s="123"/>
      <c r="H229" s="103">
        <v>224</v>
      </c>
      <c r="I229" s="104" t="str">
        <f t="shared" si="14"/>
        <v/>
      </c>
      <c r="J229" s="103" t="e">
        <f t="shared" si="15"/>
        <v>#NUM!</v>
      </c>
      <c r="K229" s="103" t="e">
        <f t="shared" si="16"/>
        <v>#NUM!</v>
      </c>
      <c r="L229" s="103"/>
      <c r="M229" s="105">
        <f t="shared" si="17"/>
        <v>0</v>
      </c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</row>
    <row r="230" spans="1:38" s="88" customFormat="1">
      <c r="A230" s="124"/>
      <c r="B230" s="123"/>
      <c r="C230" s="123"/>
      <c r="D230" s="123"/>
      <c r="E230" s="123"/>
      <c r="F230" s="123"/>
      <c r="H230" s="103">
        <v>225</v>
      </c>
      <c r="I230" s="104" t="str">
        <f t="shared" si="14"/>
        <v/>
      </c>
      <c r="J230" s="103" t="e">
        <f t="shared" si="15"/>
        <v>#NUM!</v>
      </c>
      <c r="K230" s="103" t="e">
        <f t="shared" si="16"/>
        <v>#NUM!</v>
      </c>
      <c r="L230" s="103"/>
      <c r="M230" s="105">
        <f t="shared" si="17"/>
        <v>0</v>
      </c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</row>
    <row r="231" spans="1:38" s="88" customFormat="1">
      <c r="A231" s="124"/>
      <c r="B231" s="123"/>
      <c r="C231" s="123"/>
      <c r="D231" s="123"/>
      <c r="E231" s="123"/>
      <c r="F231" s="123"/>
      <c r="H231" s="103">
        <v>226</v>
      </c>
      <c r="I231" s="104" t="str">
        <f t="shared" si="14"/>
        <v/>
      </c>
      <c r="J231" s="103" t="e">
        <f t="shared" si="15"/>
        <v>#NUM!</v>
      </c>
      <c r="K231" s="103" t="e">
        <f t="shared" si="16"/>
        <v>#NUM!</v>
      </c>
      <c r="L231" s="103"/>
      <c r="M231" s="105">
        <f t="shared" si="17"/>
        <v>0</v>
      </c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</row>
    <row r="232" spans="1:38" s="88" customFormat="1">
      <c r="A232" s="124"/>
      <c r="B232" s="123"/>
      <c r="C232" s="123"/>
      <c r="D232" s="123"/>
      <c r="E232" s="123"/>
      <c r="F232" s="123"/>
      <c r="H232" s="103">
        <v>227</v>
      </c>
      <c r="I232" s="104" t="str">
        <f t="shared" si="14"/>
        <v/>
      </c>
      <c r="J232" s="103" t="e">
        <f t="shared" si="15"/>
        <v>#NUM!</v>
      </c>
      <c r="K232" s="103" t="e">
        <f t="shared" si="16"/>
        <v>#NUM!</v>
      </c>
      <c r="L232" s="103"/>
      <c r="M232" s="105">
        <f t="shared" si="17"/>
        <v>0</v>
      </c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</row>
    <row r="233" spans="1:38" s="88" customFormat="1">
      <c r="A233" s="124"/>
      <c r="B233" s="123"/>
      <c r="C233" s="123"/>
      <c r="D233" s="123"/>
      <c r="E233" s="123"/>
      <c r="F233" s="123"/>
      <c r="H233" s="103">
        <v>228</v>
      </c>
      <c r="I233" s="104" t="str">
        <f t="shared" si="14"/>
        <v/>
      </c>
      <c r="J233" s="103" t="e">
        <f t="shared" si="15"/>
        <v>#NUM!</v>
      </c>
      <c r="K233" s="103" t="e">
        <f t="shared" si="16"/>
        <v>#NUM!</v>
      </c>
      <c r="L233" s="103"/>
      <c r="M233" s="105">
        <f t="shared" si="17"/>
        <v>0</v>
      </c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</row>
    <row r="234" spans="1:38" s="88" customFormat="1">
      <c r="A234" s="124"/>
      <c r="B234" s="123"/>
      <c r="C234" s="123"/>
      <c r="D234" s="123"/>
      <c r="E234" s="123"/>
      <c r="F234" s="123"/>
      <c r="H234" s="103">
        <v>229</v>
      </c>
      <c r="I234" s="104" t="str">
        <f t="shared" si="14"/>
        <v/>
      </c>
      <c r="J234" s="103" t="e">
        <f t="shared" si="15"/>
        <v>#NUM!</v>
      </c>
      <c r="K234" s="103" t="e">
        <f t="shared" si="16"/>
        <v>#NUM!</v>
      </c>
      <c r="L234" s="103"/>
      <c r="M234" s="105">
        <f t="shared" si="17"/>
        <v>0</v>
      </c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</row>
    <row r="235" spans="1:38" s="88" customFormat="1">
      <c r="A235" s="124"/>
      <c r="B235" s="123"/>
      <c r="C235" s="123"/>
      <c r="D235" s="123"/>
      <c r="E235" s="123"/>
      <c r="F235" s="123"/>
      <c r="H235" s="103">
        <v>230</v>
      </c>
      <c r="I235" s="104" t="str">
        <f t="shared" si="14"/>
        <v/>
      </c>
      <c r="J235" s="103" t="e">
        <f t="shared" si="15"/>
        <v>#NUM!</v>
      </c>
      <c r="K235" s="103" t="e">
        <f t="shared" si="16"/>
        <v>#NUM!</v>
      </c>
      <c r="L235" s="103"/>
      <c r="M235" s="105">
        <f t="shared" si="17"/>
        <v>0</v>
      </c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</row>
    <row r="236" spans="1:38" s="88" customFormat="1">
      <c r="A236" s="124"/>
      <c r="B236" s="123"/>
      <c r="C236" s="123"/>
      <c r="D236" s="123"/>
      <c r="E236" s="123"/>
      <c r="F236" s="123"/>
      <c r="H236" s="103">
        <v>231</v>
      </c>
      <c r="I236" s="104" t="str">
        <f t="shared" si="14"/>
        <v/>
      </c>
      <c r="J236" s="103" t="e">
        <f t="shared" si="15"/>
        <v>#NUM!</v>
      </c>
      <c r="K236" s="103" t="e">
        <f t="shared" si="16"/>
        <v>#NUM!</v>
      </c>
      <c r="L236" s="103"/>
      <c r="M236" s="105">
        <f t="shared" si="17"/>
        <v>0</v>
      </c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</row>
    <row r="237" spans="1:38" s="88" customFormat="1">
      <c r="A237" s="124"/>
      <c r="B237" s="123"/>
      <c r="C237" s="123"/>
      <c r="D237" s="123"/>
      <c r="E237" s="123"/>
      <c r="F237" s="123"/>
      <c r="H237" s="103">
        <v>232</v>
      </c>
      <c r="I237" s="104" t="str">
        <f t="shared" si="14"/>
        <v/>
      </c>
      <c r="J237" s="103" t="e">
        <f t="shared" si="15"/>
        <v>#NUM!</v>
      </c>
      <c r="K237" s="103" t="e">
        <f t="shared" si="16"/>
        <v>#NUM!</v>
      </c>
      <c r="L237" s="103"/>
      <c r="M237" s="105">
        <f t="shared" si="17"/>
        <v>0</v>
      </c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</row>
    <row r="238" spans="1:38" s="88" customFormat="1">
      <c r="A238" s="124"/>
      <c r="B238" s="123"/>
      <c r="C238" s="123"/>
      <c r="D238" s="123"/>
      <c r="E238" s="123"/>
      <c r="F238" s="123"/>
      <c r="H238" s="103">
        <v>233</v>
      </c>
      <c r="I238" s="104" t="str">
        <f t="shared" si="14"/>
        <v/>
      </c>
      <c r="J238" s="103" t="e">
        <f t="shared" si="15"/>
        <v>#NUM!</v>
      </c>
      <c r="K238" s="103" t="e">
        <f t="shared" si="16"/>
        <v>#NUM!</v>
      </c>
      <c r="L238" s="103"/>
      <c r="M238" s="105">
        <f t="shared" si="17"/>
        <v>0</v>
      </c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</row>
    <row r="239" spans="1:38" s="88" customFormat="1">
      <c r="A239" s="124"/>
      <c r="B239" s="123"/>
      <c r="C239" s="123"/>
      <c r="D239" s="123"/>
      <c r="E239" s="123"/>
      <c r="F239" s="123"/>
      <c r="H239" s="103">
        <v>234</v>
      </c>
      <c r="I239" s="104" t="str">
        <f t="shared" si="14"/>
        <v/>
      </c>
      <c r="J239" s="103" t="e">
        <f t="shared" si="15"/>
        <v>#NUM!</v>
      </c>
      <c r="K239" s="103" t="e">
        <f t="shared" si="16"/>
        <v>#NUM!</v>
      </c>
      <c r="L239" s="103"/>
      <c r="M239" s="105">
        <f t="shared" si="17"/>
        <v>0</v>
      </c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</row>
    <row r="240" spans="1:38" s="88" customFormat="1">
      <c r="A240" s="124"/>
      <c r="B240" s="123"/>
      <c r="C240" s="123"/>
      <c r="D240" s="123"/>
      <c r="E240" s="123"/>
      <c r="F240" s="123"/>
      <c r="H240" s="103">
        <v>235</v>
      </c>
      <c r="I240" s="104" t="str">
        <f t="shared" si="14"/>
        <v/>
      </c>
      <c r="J240" s="103" t="e">
        <f t="shared" si="15"/>
        <v>#NUM!</v>
      </c>
      <c r="K240" s="103" t="e">
        <f t="shared" si="16"/>
        <v>#NUM!</v>
      </c>
      <c r="L240" s="103"/>
      <c r="M240" s="105">
        <f t="shared" si="17"/>
        <v>0</v>
      </c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</row>
    <row r="241" spans="1:38" s="88" customFormat="1">
      <c r="A241" s="124"/>
      <c r="B241" s="123"/>
      <c r="C241" s="123"/>
      <c r="D241" s="123"/>
      <c r="E241" s="123"/>
      <c r="F241" s="123"/>
      <c r="H241" s="103">
        <v>236</v>
      </c>
      <c r="I241" s="104" t="str">
        <f t="shared" si="14"/>
        <v/>
      </c>
      <c r="J241" s="103" t="e">
        <f t="shared" si="15"/>
        <v>#NUM!</v>
      </c>
      <c r="K241" s="103" t="e">
        <f t="shared" si="16"/>
        <v>#NUM!</v>
      </c>
      <c r="L241" s="103"/>
      <c r="M241" s="105">
        <f t="shared" si="17"/>
        <v>0</v>
      </c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</row>
    <row r="242" spans="1:38" s="88" customFormat="1">
      <c r="A242" s="124"/>
      <c r="B242" s="123"/>
      <c r="C242" s="123"/>
      <c r="D242" s="123"/>
      <c r="E242" s="123"/>
      <c r="F242" s="123"/>
      <c r="H242" s="103">
        <v>237</v>
      </c>
      <c r="I242" s="104" t="str">
        <f t="shared" si="14"/>
        <v/>
      </c>
      <c r="J242" s="103" t="e">
        <f t="shared" si="15"/>
        <v>#NUM!</v>
      </c>
      <c r="K242" s="103" t="e">
        <f t="shared" si="16"/>
        <v>#NUM!</v>
      </c>
      <c r="L242" s="103"/>
      <c r="M242" s="105">
        <f t="shared" si="17"/>
        <v>0</v>
      </c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</row>
    <row r="243" spans="1:38" s="88" customFormat="1">
      <c r="A243" s="124"/>
      <c r="B243" s="123"/>
      <c r="C243" s="123"/>
      <c r="D243" s="123"/>
      <c r="E243" s="123"/>
      <c r="F243" s="123"/>
      <c r="H243" s="103">
        <v>238</v>
      </c>
      <c r="I243" s="104" t="str">
        <f t="shared" si="14"/>
        <v/>
      </c>
      <c r="J243" s="103" t="e">
        <f t="shared" si="15"/>
        <v>#NUM!</v>
      </c>
      <c r="K243" s="103" t="e">
        <f t="shared" si="16"/>
        <v>#NUM!</v>
      </c>
      <c r="L243" s="103"/>
      <c r="M243" s="105">
        <f t="shared" si="17"/>
        <v>0</v>
      </c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</row>
    <row r="244" spans="1:38" s="88" customFormat="1">
      <c r="A244" s="124"/>
      <c r="B244" s="123"/>
      <c r="C244" s="123"/>
      <c r="D244" s="123"/>
      <c r="E244" s="123"/>
      <c r="F244" s="123"/>
      <c r="H244" s="103">
        <v>239</v>
      </c>
      <c r="I244" s="104" t="str">
        <f t="shared" si="14"/>
        <v/>
      </c>
      <c r="J244" s="103" t="e">
        <f t="shared" si="15"/>
        <v>#NUM!</v>
      </c>
      <c r="K244" s="103" t="e">
        <f t="shared" si="16"/>
        <v>#NUM!</v>
      </c>
      <c r="L244" s="103"/>
      <c r="M244" s="105">
        <f t="shared" si="17"/>
        <v>0</v>
      </c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</row>
    <row r="245" spans="1:38" s="88" customFormat="1">
      <c r="A245" s="124"/>
      <c r="B245" s="123"/>
      <c r="C245" s="123"/>
      <c r="D245" s="123"/>
      <c r="E245" s="123"/>
      <c r="F245" s="123"/>
      <c r="H245" s="103">
        <v>240</v>
      </c>
      <c r="I245" s="104" t="str">
        <f t="shared" si="14"/>
        <v/>
      </c>
      <c r="J245" s="103" t="e">
        <f t="shared" si="15"/>
        <v>#NUM!</v>
      </c>
      <c r="K245" s="103" t="e">
        <f t="shared" si="16"/>
        <v>#NUM!</v>
      </c>
      <c r="L245" s="103"/>
      <c r="M245" s="105">
        <f t="shared" si="17"/>
        <v>0</v>
      </c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</row>
    <row r="246" spans="1:38" s="88" customFormat="1">
      <c r="A246" s="124"/>
      <c r="B246" s="123"/>
      <c r="C246" s="123"/>
      <c r="D246" s="123"/>
      <c r="E246" s="123"/>
      <c r="F246" s="123"/>
      <c r="H246" s="103">
        <v>241</v>
      </c>
      <c r="I246" s="104" t="str">
        <f t="shared" si="14"/>
        <v/>
      </c>
      <c r="J246" s="103" t="e">
        <f t="shared" si="15"/>
        <v>#NUM!</v>
      </c>
      <c r="K246" s="103" t="e">
        <f t="shared" si="16"/>
        <v>#NUM!</v>
      </c>
      <c r="L246" s="103"/>
      <c r="M246" s="105">
        <f t="shared" si="17"/>
        <v>0</v>
      </c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</row>
    <row r="247" spans="1:38" s="88" customFormat="1">
      <c r="A247" s="124"/>
      <c r="B247" s="123"/>
      <c r="C247" s="123"/>
      <c r="D247" s="123"/>
      <c r="E247" s="123"/>
      <c r="F247" s="123"/>
      <c r="H247" s="103">
        <v>242</v>
      </c>
      <c r="I247" s="104" t="str">
        <f t="shared" si="14"/>
        <v/>
      </c>
      <c r="J247" s="103" t="e">
        <f t="shared" si="15"/>
        <v>#NUM!</v>
      </c>
      <c r="K247" s="103" t="e">
        <f t="shared" si="16"/>
        <v>#NUM!</v>
      </c>
      <c r="L247" s="103"/>
      <c r="M247" s="105">
        <f t="shared" si="17"/>
        <v>0</v>
      </c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</row>
    <row r="248" spans="1:38" s="88" customFormat="1">
      <c r="A248" s="124"/>
      <c r="B248" s="123"/>
      <c r="C248" s="123"/>
      <c r="D248" s="123"/>
      <c r="E248" s="123"/>
      <c r="F248" s="123"/>
      <c r="H248" s="103">
        <v>243</v>
      </c>
      <c r="I248" s="104" t="str">
        <f t="shared" si="14"/>
        <v/>
      </c>
      <c r="J248" s="103" t="e">
        <f t="shared" si="15"/>
        <v>#NUM!</v>
      </c>
      <c r="K248" s="103" t="e">
        <f t="shared" si="16"/>
        <v>#NUM!</v>
      </c>
      <c r="L248" s="103"/>
      <c r="M248" s="105">
        <f t="shared" si="17"/>
        <v>0</v>
      </c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</row>
    <row r="249" spans="1:38" s="88" customFormat="1">
      <c r="A249" s="124"/>
      <c r="B249" s="123"/>
      <c r="C249" s="123"/>
      <c r="D249" s="123"/>
      <c r="E249" s="123"/>
      <c r="F249" s="123"/>
      <c r="H249" s="103">
        <v>244</v>
      </c>
      <c r="I249" s="104" t="str">
        <f t="shared" si="14"/>
        <v/>
      </c>
      <c r="J249" s="103" t="e">
        <f t="shared" si="15"/>
        <v>#NUM!</v>
      </c>
      <c r="K249" s="103" t="e">
        <f t="shared" si="16"/>
        <v>#NUM!</v>
      </c>
      <c r="L249" s="103"/>
      <c r="M249" s="105">
        <f t="shared" si="17"/>
        <v>0</v>
      </c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</row>
    <row r="250" spans="1:38" s="88" customFormat="1">
      <c r="A250" s="124"/>
      <c r="B250" s="123"/>
      <c r="C250" s="123"/>
      <c r="D250" s="123"/>
      <c r="E250" s="123"/>
      <c r="F250" s="123"/>
      <c r="H250" s="103">
        <v>245</v>
      </c>
      <c r="I250" s="104" t="str">
        <f t="shared" si="14"/>
        <v/>
      </c>
      <c r="J250" s="103" t="e">
        <f t="shared" si="15"/>
        <v>#NUM!</v>
      </c>
      <c r="K250" s="103" t="e">
        <f t="shared" si="16"/>
        <v>#NUM!</v>
      </c>
      <c r="L250" s="103"/>
      <c r="M250" s="105">
        <f t="shared" si="17"/>
        <v>0</v>
      </c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</row>
    <row r="251" spans="1:38" s="88" customFormat="1">
      <c r="A251" s="124"/>
      <c r="B251" s="123"/>
      <c r="C251" s="123"/>
      <c r="D251" s="123"/>
      <c r="E251" s="123"/>
      <c r="F251" s="123"/>
      <c r="H251" s="103">
        <v>246</v>
      </c>
      <c r="I251" s="104" t="str">
        <f t="shared" si="14"/>
        <v/>
      </c>
      <c r="J251" s="103" t="e">
        <f t="shared" si="15"/>
        <v>#NUM!</v>
      </c>
      <c r="K251" s="103" t="e">
        <f t="shared" si="16"/>
        <v>#NUM!</v>
      </c>
      <c r="L251" s="103"/>
      <c r="M251" s="105">
        <f t="shared" si="17"/>
        <v>0</v>
      </c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</row>
    <row r="252" spans="1:38" s="88" customFormat="1">
      <c r="A252" s="124"/>
      <c r="B252" s="123"/>
      <c r="C252" s="123"/>
      <c r="D252" s="123"/>
      <c r="E252" s="123"/>
      <c r="F252" s="123"/>
      <c r="H252" s="103">
        <v>247</v>
      </c>
      <c r="I252" s="104" t="str">
        <f t="shared" si="14"/>
        <v/>
      </c>
      <c r="J252" s="103" t="e">
        <f t="shared" si="15"/>
        <v>#NUM!</v>
      </c>
      <c r="K252" s="103" t="e">
        <f t="shared" si="16"/>
        <v>#NUM!</v>
      </c>
      <c r="L252" s="103"/>
      <c r="M252" s="105">
        <f t="shared" si="17"/>
        <v>0</v>
      </c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</row>
    <row r="253" spans="1:38" s="88" customFormat="1">
      <c r="A253" s="124"/>
      <c r="B253" s="123"/>
      <c r="C253" s="123"/>
      <c r="D253" s="123"/>
      <c r="E253" s="123"/>
      <c r="F253" s="123"/>
      <c r="H253" s="103">
        <v>248</v>
      </c>
      <c r="I253" s="104" t="str">
        <f t="shared" si="14"/>
        <v/>
      </c>
      <c r="J253" s="103" t="e">
        <f t="shared" si="15"/>
        <v>#NUM!</v>
      </c>
      <c r="K253" s="103" t="e">
        <f t="shared" si="16"/>
        <v>#NUM!</v>
      </c>
      <c r="L253" s="103"/>
      <c r="M253" s="105">
        <f t="shared" si="17"/>
        <v>0</v>
      </c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</row>
    <row r="254" spans="1:38" s="88" customFormat="1">
      <c r="A254" s="124"/>
      <c r="B254" s="123"/>
      <c r="C254" s="123"/>
      <c r="D254" s="123"/>
      <c r="E254" s="123"/>
      <c r="F254" s="123"/>
      <c r="H254" s="103">
        <v>249</v>
      </c>
      <c r="I254" s="104" t="str">
        <f t="shared" si="14"/>
        <v/>
      </c>
      <c r="J254" s="103" t="e">
        <f t="shared" si="15"/>
        <v>#NUM!</v>
      </c>
      <c r="K254" s="103" t="e">
        <f t="shared" si="16"/>
        <v>#NUM!</v>
      </c>
      <c r="L254" s="103"/>
      <c r="M254" s="105">
        <f t="shared" si="17"/>
        <v>0</v>
      </c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</row>
    <row r="255" spans="1:38" s="88" customFormat="1">
      <c r="A255" s="124"/>
      <c r="B255" s="123"/>
      <c r="C255" s="123"/>
      <c r="D255" s="123"/>
      <c r="E255" s="123"/>
      <c r="F255" s="123"/>
      <c r="H255" s="103">
        <v>250</v>
      </c>
      <c r="I255" s="104" t="str">
        <f t="shared" si="14"/>
        <v/>
      </c>
      <c r="J255" s="103" t="e">
        <f t="shared" si="15"/>
        <v>#NUM!</v>
      </c>
      <c r="K255" s="103" t="e">
        <f t="shared" si="16"/>
        <v>#NUM!</v>
      </c>
      <c r="L255" s="103"/>
      <c r="M255" s="105">
        <f t="shared" si="17"/>
        <v>0</v>
      </c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</row>
    <row r="256" spans="1:38" s="88" customFormat="1">
      <c r="A256" s="124"/>
      <c r="B256" s="123"/>
      <c r="C256" s="123"/>
      <c r="D256" s="123"/>
      <c r="E256" s="123"/>
      <c r="F256" s="123"/>
      <c r="H256" s="103">
        <v>251</v>
      </c>
      <c r="I256" s="104" t="str">
        <f t="shared" si="14"/>
        <v/>
      </c>
      <c r="J256" s="103" t="e">
        <f t="shared" si="15"/>
        <v>#NUM!</v>
      </c>
      <c r="K256" s="103" t="e">
        <f t="shared" si="16"/>
        <v>#NUM!</v>
      </c>
      <c r="L256" s="103"/>
      <c r="M256" s="105">
        <f t="shared" si="17"/>
        <v>0</v>
      </c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</row>
    <row r="257" spans="1:38" s="88" customFormat="1">
      <c r="A257" s="124"/>
      <c r="B257" s="123"/>
      <c r="C257" s="123"/>
      <c r="D257" s="123"/>
      <c r="E257" s="123"/>
      <c r="F257" s="123"/>
      <c r="H257" s="103">
        <v>252</v>
      </c>
      <c r="I257" s="104" t="str">
        <f t="shared" si="14"/>
        <v/>
      </c>
      <c r="J257" s="103" t="e">
        <f t="shared" si="15"/>
        <v>#NUM!</v>
      </c>
      <c r="K257" s="103" t="e">
        <f t="shared" si="16"/>
        <v>#NUM!</v>
      </c>
      <c r="L257" s="103"/>
      <c r="M257" s="105">
        <f t="shared" si="17"/>
        <v>0</v>
      </c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</row>
    <row r="258" spans="1:38" s="88" customFormat="1">
      <c r="A258" s="124"/>
      <c r="B258" s="123"/>
      <c r="C258" s="123"/>
      <c r="D258" s="123"/>
      <c r="E258" s="123"/>
      <c r="F258" s="123"/>
      <c r="H258" s="103">
        <v>253</v>
      </c>
      <c r="I258" s="104" t="str">
        <f t="shared" si="14"/>
        <v/>
      </c>
      <c r="J258" s="103" t="e">
        <f t="shared" si="15"/>
        <v>#NUM!</v>
      </c>
      <c r="K258" s="103" t="e">
        <f t="shared" si="16"/>
        <v>#NUM!</v>
      </c>
      <c r="L258" s="103"/>
      <c r="M258" s="105">
        <f t="shared" si="17"/>
        <v>0</v>
      </c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</row>
    <row r="259" spans="1:38" s="88" customFormat="1">
      <c r="A259" s="124"/>
      <c r="B259" s="123"/>
      <c r="C259" s="123"/>
      <c r="D259" s="123"/>
      <c r="E259" s="123"/>
      <c r="F259" s="123"/>
      <c r="H259" s="103">
        <v>254</v>
      </c>
      <c r="I259" s="104" t="str">
        <f t="shared" si="14"/>
        <v/>
      </c>
      <c r="J259" s="103" t="e">
        <f t="shared" si="15"/>
        <v>#NUM!</v>
      </c>
      <c r="K259" s="103" t="e">
        <f t="shared" si="16"/>
        <v>#NUM!</v>
      </c>
      <c r="L259" s="103"/>
      <c r="M259" s="105">
        <f t="shared" si="17"/>
        <v>0</v>
      </c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</row>
    <row r="260" spans="1:38" s="88" customFormat="1">
      <c r="A260" s="124"/>
      <c r="B260" s="123"/>
      <c r="C260" s="123"/>
      <c r="D260" s="123"/>
      <c r="E260" s="123"/>
      <c r="F260" s="123"/>
      <c r="H260" s="103">
        <v>255</v>
      </c>
      <c r="I260" s="104" t="str">
        <f t="shared" si="14"/>
        <v/>
      </c>
      <c r="J260" s="103" t="e">
        <f t="shared" si="15"/>
        <v>#NUM!</v>
      </c>
      <c r="K260" s="103" t="e">
        <f t="shared" si="16"/>
        <v>#NUM!</v>
      </c>
      <c r="L260" s="103"/>
      <c r="M260" s="105">
        <f t="shared" si="17"/>
        <v>0</v>
      </c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</row>
    <row r="261" spans="1:38" s="88" customFormat="1">
      <c r="A261" s="124"/>
      <c r="B261" s="123"/>
      <c r="C261" s="123"/>
      <c r="D261" s="123"/>
      <c r="E261" s="123"/>
      <c r="F261" s="123"/>
      <c r="H261" s="103">
        <v>256</v>
      </c>
      <c r="I261" s="104" t="str">
        <f t="shared" si="14"/>
        <v/>
      </c>
      <c r="J261" s="103" t="e">
        <f t="shared" si="15"/>
        <v>#NUM!</v>
      </c>
      <c r="K261" s="103" t="e">
        <f t="shared" si="16"/>
        <v>#NUM!</v>
      </c>
      <c r="L261" s="103"/>
      <c r="M261" s="105">
        <f t="shared" si="17"/>
        <v>0</v>
      </c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</row>
    <row r="262" spans="1:38" s="88" customFormat="1">
      <c r="A262" s="124"/>
      <c r="B262" s="123"/>
      <c r="C262" s="123"/>
      <c r="D262" s="123"/>
      <c r="E262" s="123"/>
      <c r="F262" s="123"/>
      <c r="H262" s="103">
        <v>257</v>
      </c>
      <c r="I262" s="104" t="str">
        <f t="shared" ref="I262:I305" si="18">IF(H262&lt;$H$2+1,($I$2-($I$2-1)*(LOG(H262)/LOG($H$2))),"")</f>
        <v/>
      </c>
      <c r="J262" s="103" t="e">
        <f t="shared" ref="J262:J325" si="19">INT(LOG($H$2,2))-ROUNDUP(LOG(H262,2),0)+IF(OR($H$2=1,$H$2=2,$H$2=4,$H$2=8,$H$2=16,$H$2=32,$H$2=64,$H$2=128,$H$2=256),0,1)</f>
        <v>#NUM!</v>
      </c>
      <c r="K262" s="103" t="e">
        <f t="shared" ref="K262:K305" si="20">J262*$J$2</f>
        <v>#NUM!</v>
      </c>
      <c r="L262" s="103"/>
      <c r="M262" s="105">
        <f t="shared" ref="M262:M305" si="21">IF(I262&lt;&gt;"",K262+I262+L262,0)</f>
        <v>0</v>
      </c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</row>
    <row r="263" spans="1:38" s="88" customFormat="1">
      <c r="A263" s="124"/>
      <c r="B263" s="123"/>
      <c r="C263" s="123"/>
      <c r="D263" s="123"/>
      <c r="E263" s="123"/>
      <c r="F263" s="123"/>
      <c r="H263" s="103">
        <v>258</v>
      </c>
      <c r="I263" s="104" t="str">
        <f t="shared" si="18"/>
        <v/>
      </c>
      <c r="J263" s="103" t="e">
        <f t="shared" si="19"/>
        <v>#NUM!</v>
      </c>
      <c r="K263" s="103" t="e">
        <f t="shared" si="20"/>
        <v>#NUM!</v>
      </c>
      <c r="L263" s="103"/>
      <c r="M263" s="105">
        <f t="shared" si="21"/>
        <v>0</v>
      </c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</row>
    <row r="264" spans="1:38" s="88" customFormat="1">
      <c r="A264" s="124"/>
      <c r="B264" s="123"/>
      <c r="C264" s="123"/>
      <c r="D264" s="123"/>
      <c r="E264" s="123"/>
      <c r="F264" s="123"/>
      <c r="H264" s="103">
        <v>259</v>
      </c>
      <c r="I264" s="104" t="str">
        <f t="shared" si="18"/>
        <v/>
      </c>
      <c r="J264" s="103" t="e">
        <f t="shared" si="19"/>
        <v>#NUM!</v>
      </c>
      <c r="K264" s="103" t="e">
        <f t="shared" si="20"/>
        <v>#NUM!</v>
      </c>
      <c r="L264" s="103"/>
      <c r="M264" s="105">
        <f t="shared" si="21"/>
        <v>0</v>
      </c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</row>
    <row r="265" spans="1:38" s="88" customFormat="1">
      <c r="A265" s="124"/>
      <c r="B265" s="123"/>
      <c r="C265" s="123"/>
      <c r="D265" s="123"/>
      <c r="E265" s="123"/>
      <c r="F265" s="123"/>
      <c r="H265" s="103">
        <v>260</v>
      </c>
      <c r="I265" s="104" t="str">
        <f t="shared" si="18"/>
        <v/>
      </c>
      <c r="J265" s="103" t="e">
        <f t="shared" si="19"/>
        <v>#NUM!</v>
      </c>
      <c r="K265" s="103" t="e">
        <f t="shared" si="20"/>
        <v>#NUM!</v>
      </c>
      <c r="L265" s="103"/>
      <c r="M265" s="105">
        <f t="shared" si="21"/>
        <v>0</v>
      </c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</row>
    <row r="266" spans="1:38" s="88" customFormat="1">
      <c r="A266" s="124"/>
      <c r="B266" s="123"/>
      <c r="C266" s="123"/>
      <c r="D266" s="123"/>
      <c r="E266" s="123"/>
      <c r="F266" s="123"/>
      <c r="H266" s="103">
        <v>261</v>
      </c>
      <c r="I266" s="104" t="str">
        <f t="shared" si="18"/>
        <v/>
      </c>
      <c r="J266" s="103" t="e">
        <f t="shared" si="19"/>
        <v>#NUM!</v>
      </c>
      <c r="K266" s="103" t="e">
        <f t="shared" si="20"/>
        <v>#NUM!</v>
      </c>
      <c r="L266" s="103"/>
      <c r="M266" s="105">
        <f t="shared" si="21"/>
        <v>0</v>
      </c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</row>
    <row r="267" spans="1:38" s="88" customFormat="1">
      <c r="A267" s="124"/>
      <c r="B267" s="123"/>
      <c r="C267" s="123"/>
      <c r="D267" s="123"/>
      <c r="E267" s="123"/>
      <c r="F267" s="123"/>
      <c r="H267" s="103">
        <v>262</v>
      </c>
      <c r="I267" s="104" t="str">
        <f t="shared" si="18"/>
        <v/>
      </c>
      <c r="J267" s="103" t="e">
        <f t="shared" si="19"/>
        <v>#NUM!</v>
      </c>
      <c r="K267" s="103" t="e">
        <f t="shared" si="20"/>
        <v>#NUM!</v>
      </c>
      <c r="L267" s="103"/>
      <c r="M267" s="105">
        <f t="shared" si="21"/>
        <v>0</v>
      </c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</row>
    <row r="268" spans="1:38" s="88" customFormat="1">
      <c r="A268" s="124"/>
      <c r="B268" s="123"/>
      <c r="C268" s="123"/>
      <c r="D268" s="123"/>
      <c r="E268" s="123"/>
      <c r="F268" s="123"/>
      <c r="H268" s="103">
        <v>263</v>
      </c>
      <c r="I268" s="104" t="str">
        <f t="shared" si="18"/>
        <v/>
      </c>
      <c r="J268" s="103" t="e">
        <f t="shared" si="19"/>
        <v>#NUM!</v>
      </c>
      <c r="K268" s="103" t="e">
        <f t="shared" si="20"/>
        <v>#NUM!</v>
      </c>
      <c r="L268" s="103"/>
      <c r="M268" s="105">
        <f t="shared" si="21"/>
        <v>0</v>
      </c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</row>
    <row r="269" spans="1:38" s="88" customFormat="1">
      <c r="A269" s="124"/>
      <c r="B269" s="123"/>
      <c r="C269" s="123"/>
      <c r="D269" s="123"/>
      <c r="E269" s="123"/>
      <c r="F269" s="123"/>
      <c r="H269" s="103">
        <v>264</v>
      </c>
      <c r="I269" s="104" t="str">
        <f t="shared" si="18"/>
        <v/>
      </c>
      <c r="J269" s="103" t="e">
        <f t="shared" si="19"/>
        <v>#NUM!</v>
      </c>
      <c r="K269" s="103" t="e">
        <f t="shared" si="20"/>
        <v>#NUM!</v>
      </c>
      <c r="L269" s="103"/>
      <c r="M269" s="105">
        <f t="shared" si="21"/>
        <v>0</v>
      </c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</row>
    <row r="270" spans="1:38" s="88" customFormat="1">
      <c r="A270" s="124"/>
      <c r="B270" s="123"/>
      <c r="C270" s="123"/>
      <c r="D270" s="123"/>
      <c r="E270" s="123"/>
      <c r="F270" s="123"/>
      <c r="H270" s="103">
        <v>265</v>
      </c>
      <c r="I270" s="104" t="str">
        <f t="shared" si="18"/>
        <v/>
      </c>
      <c r="J270" s="103" t="e">
        <f t="shared" si="19"/>
        <v>#NUM!</v>
      </c>
      <c r="K270" s="103" t="e">
        <f t="shared" si="20"/>
        <v>#NUM!</v>
      </c>
      <c r="L270" s="103"/>
      <c r="M270" s="105">
        <f t="shared" si="21"/>
        <v>0</v>
      </c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</row>
    <row r="271" spans="1:38" s="88" customFormat="1">
      <c r="A271" s="124"/>
      <c r="B271" s="123"/>
      <c r="C271" s="123"/>
      <c r="D271" s="123"/>
      <c r="E271" s="123"/>
      <c r="F271" s="123"/>
      <c r="H271" s="103">
        <v>266</v>
      </c>
      <c r="I271" s="104" t="str">
        <f t="shared" si="18"/>
        <v/>
      </c>
      <c r="J271" s="103" t="e">
        <f t="shared" si="19"/>
        <v>#NUM!</v>
      </c>
      <c r="K271" s="103" t="e">
        <f t="shared" si="20"/>
        <v>#NUM!</v>
      </c>
      <c r="L271" s="103"/>
      <c r="M271" s="105">
        <f t="shared" si="21"/>
        <v>0</v>
      </c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</row>
    <row r="272" spans="1:38" s="88" customFormat="1">
      <c r="A272" s="124"/>
      <c r="B272" s="123"/>
      <c r="C272" s="123"/>
      <c r="D272" s="123"/>
      <c r="E272" s="123"/>
      <c r="F272" s="123"/>
      <c r="H272" s="103">
        <v>267</v>
      </c>
      <c r="I272" s="104" t="str">
        <f t="shared" si="18"/>
        <v/>
      </c>
      <c r="J272" s="103" t="e">
        <f t="shared" si="19"/>
        <v>#NUM!</v>
      </c>
      <c r="K272" s="103" t="e">
        <f t="shared" si="20"/>
        <v>#NUM!</v>
      </c>
      <c r="L272" s="103"/>
      <c r="M272" s="105">
        <f t="shared" si="21"/>
        <v>0</v>
      </c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</row>
    <row r="273" spans="1:38" s="88" customFormat="1">
      <c r="A273" s="124"/>
      <c r="B273" s="123"/>
      <c r="C273" s="123"/>
      <c r="D273" s="123"/>
      <c r="E273" s="123"/>
      <c r="F273" s="123"/>
      <c r="H273" s="103">
        <v>268</v>
      </c>
      <c r="I273" s="104" t="str">
        <f t="shared" si="18"/>
        <v/>
      </c>
      <c r="J273" s="103" t="e">
        <f t="shared" si="19"/>
        <v>#NUM!</v>
      </c>
      <c r="K273" s="103" t="e">
        <f t="shared" si="20"/>
        <v>#NUM!</v>
      </c>
      <c r="L273" s="103"/>
      <c r="M273" s="105">
        <f t="shared" si="21"/>
        <v>0</v>
      </c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</row>
    <row r="274" spans="1:38" s="88" customFormat="1">
      <c r="A274" s="124"/>
      <c r="B274" s="123"/>
      <c r="C274" s="123"/>
      <c r="D274" s="123"/>
      <c r="E274" s="123"/>
      <c r="F274" s="123"/>
      <c r="H274" s="103">
        <v>269</v>
      </c>
      <c r="I274" s="104" t="str">
        <f t="shared" si="18"/>
        <v/>
      </c>
      <c r="J274" s="103" t="e">
        <f t="shared" si="19"/>
        <v>#NUM!</v>
      </c>
      <c r="K274" s="103" t="e">
        <f t="shared" si="20"/>
        <v>#NUM!</v>
      </c>
      <c r="L274" s="103"/>
      <c r="M274" s="105">
        <f t="shared" si="21"/>
        <v>0</v>
      </c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</row>
    <row r="275" spans="1:38" s="88" customFormat="1">
      <c r="A275" s="124"/>
      <c r="B275" s="123"/>
      <c r="C275" s="123"/>
      <c r="D275" s="123"/>
      <c r="E275" s="123"/>
      <c r="F275" s="123"/>
      <c r="H275" s="103">
        <v>270</v>
      </c>
      <c r="I275" s="104" t="str">
        <f t="shared" si="18"/>
        <v/>
      </c>
      <c r="J275" s="103" t="e">
        <f t="shared" si="19"/>
        <v>#NUM!</v>
      </c>
      <c r="K275" s="103" t="e">
        <f t="shared" si="20"/>
        <v>#NUM!</v>
      </c>
      <c r="L275" s="103"/>
      <c r="M275" s="105">
        <f t="shared" si="21"/>
        <v>0</v>
      </c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</row>
    <row r="276" spans="1:38" s="88" customFormat="1">
      <c r="A276" s="124"/>
      <c r="B276" s="123"/>
      <c r="C276" s="123"/>
      <c r="D276" s="123"/>
      <c r="E276" s="123"/>
      <c r="F276" s="123"/>
      <c r="H276" s="103">
        <v>271</v>
      </c>
      <c r="I276" s="104" t="str">
        <f t="shared" si="18"/>
        <v/>
      </c>
      <c r="J276" s="103" t="e">
        <f t="shared" si="19"/>
        <v>#NUM!</v>
      </c>
      <c r="K276" s="103" t="e">
        <f t="shared" si="20"/>
        <v>#NUM!</v>
      </c>
      <c r="L276" s="103"/>
      <c r="M276" s="105">
        <f t="shared" si="21"/>
        <v>0</v>
      </c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</row>
    <row r="277" spans="1:38" s="88" customFormat="1">
      <c r="A277" s="124"/>
      <c r="B277" s="123"/>
      <c r="C277" s="123"/>
      <c r="D277" s="123"/>
      <c r="E277" s="123"/>
      <c r="F277" s="123"/>
      <c r="H277" s="103">
        <v>272</v>
      </c>
      <c r="I277" s="104" t="str">
        <f t="shared" si="18"/>
        <v/>
      </c>
      <c r="J277" s="103" t="e">
        <f t="shared" si="19"/>
        <v>#NUM!</v>
      </c>
      <c r="K277" s="103" t="e">
        <f t="shared" si="20"/>
        <v>#NUM!</v>
      </c>
      <c r="L277" s="103"/>
      <c r="M277" s="105">
        <f t="shared" si="21"/>
        <v>0</v>
      </c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</row>
    <row r="278" spans="1:38" s="88" customFormat="1">
      <c r="A278" s="124"/>
      <c r="B278" s="123"/>
      <c r="C278" s="123"/>
      <c r="D278" s="123"/>
      <c r="E278" s="123"/>
      <c r="F278" s="123"/>
      <c r="H278" s="103">
        <v>273</v>
      </c>
      <c r="I278" s="104" t="str">
        <f t="shared" si="18"/>
        <v/>
      </c>
      <c r="J278" s="103" t="e">
        <f t="shared" si="19"/>
        <v>#NUM!</v>
      </c>
      <c r="K278" s="103" t="e">
        <f t="shared" si="20"/>
        <v>#NUM!</v>
      </c>
      <c r="L278" s="103"/>
      <c r="M278" s="105">
        <f t="shared" si="21"/>
        <v>0</v>
      </c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</row>
    <row r="279" spans="1:38" s="88" customFormat="1">
      <c r="A279" s="124"/>
      <c r="B279" s="123"/>
      <c r="C279" s="123"/>
      <c r="D279" s="123"/>
      <c r="E279" s="123"/>
      <c r="F279" s="123"/>
      <c r="H279" s="103">
        <v>274</v>
      </c>
      <c r="I279" s="104" t="str">
        <f t="shared" si="18"/>
        <v/>
      </c>
      <c r="J279" s="103" t="e">
        <f t="shared" si="19"/>
        <v>#NUM!</v>
      </c>
      <c r="K279" s="103" t="e">
        <f t="shared" si="20"/>
        <v>#NUM!</v>
      </c>
      <c r="L279" s="103"/>
      <c r="M279" s="105">
        <f t="shared" si="21"/>
        <v>0</v>
      </c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</row>
    <row r="280" spans="1:38" s="88" customFormat="1">
      <c r="A280" s="124"/>
      <c r="B280" s="123"/>
      <c r="C280" s="123"/>
      <c r="D280" s="123"/>
      <c r="E280" s="123"/>
      <c r="F280" s="123"/>
      <c r="H280" s="103">
        <v>275</v>
      </c>
      <c r="I280" s="104" t="str">
        <f t="shared" si="18"/>
        <v/>
      </c>
      <c r="J280" s="103" t="e">
        <f t="shared" si="19"/>
        <v>#NUM!</v>
      </c>
      <c r="K280" s="103" t="e">
        <f t="shared" si="20"/>
        <v>#NUM!</v>
      </c>
      <c r="L280" s="103"/>
      <c r="M280" s="105">
        <f t="shared" si="21"/>
        <v>0</v>
      </c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</row>
    <row r="281" spans="1:38" s="88" customFormat="1">
      <c r="A281" s="124"/>
      <c r="B281" s="123"/>
      <c r="C281" s="123"/>
      <c r="D281" s="123"/>
      <c r="E281" s="123"/>
      <c r="F281" s="123"/>
      <c r="H281" s="103">
        <v>276</v>
      </c>
      <c r="I281" s="104" t="str">
        <f t="shared" si="18"/>
        <v/>
      </c>
      <c r="J281" s="103" t="e">
        <f t="shared" si="19"/>
        <v>#NUM!</v>
      </c>
      <c r="K281" s="103" t="e">
        <f t="shared" si="20"/>
        <v>#NUM!</v>
      </c>
      <c r="L281" s="103"/>
      <c r="M281" s="105">
        <f t="shared" si="21"/>
        <v>0</v>
      </c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</row>
    <row r="282" spans="1:38" s="88" customFormat="1">
      <c r="A282" s="124"/>
      <c r="B282" s="123"/>
      <c r="C282" s="123"/>
      <c r="D282" s="123"/>
      <c r="E282" s="123"/>
      <c r="F282" s="123"/>
      <c r="H282" s="103">
        <v>277</v>
      </c>
      <c r="I282" s="104" t="str">
        <f t="shared" si="18"/>
        <v/>
      </c>
      <c r="J282" s="103" t="e">
        <f t="shared" si="19"/>
        <v>#NUM!</v>
      </c>
      <c r="K282" s="103" t="e">
        <f t="shared" si="20"/>
        <v>#NUM!</v>
      </c>
      <c r="L282" s="103"/>
      <c r="M282" s="105">
        <f t="shared" si="21"/>
        <v>0</v>
      </c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</row>
    <row r="283" spans="1:38" s="88" customFormat="1">
      <c r="A283" s="124"/>
      <c r="B283" s="123"/>
      <c r="C283" s="123"/>
      <c r="D283" s="123"/>
      <c r="E283" s="123"/>
      <c r="F283" s="123"/>
      <c r="H283" s="103">
        <v>278</v>
      </c>
      <c r="I283" s="104" t="str">
        <f t="shared" si="18"/>
        <v/>
      </c>
      <c r="J283" s="103" t="e">
        <f t="shared" si="19"/>
        <v>#NUM!</v>
      </c>
      <c r="K283" s="103" t="e">
        <f t="shared" si="20"/>
        <v>#NUM!</v>
      </c>
      <c r="L283" s="103"/>
      <c r="M283" s="105">
        <f t="shared" si="21"/>
        <v>0</v>
      </c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</row>
    <row r="284" spans="1:38" s="88" customFormat="1">
      <c r="A284" s="124"/>
      <c r="B284" s="123"/>
      <c r="C284" s="123"/>
      <c r="D284" s="123"/>
      <c r="E284" s="123"/>
      <c r="F284" s="123"/>
      <c r="H284" s="103">
        <v>279</v>
      </c>
      <c r="I284" s="104" t="str">
        <f t="shared" si="18"/>
        <v/>
      </c>
      <c r="J284" s="103" t="e">
        <f t="shared" si="19"/>
        <v>#NUM!</v>
      </c>
      <c r="K284" s="103" t="e">
        <f t="shared" si="20"/>
        <v>#NUM!</v>
      </c>
      <c r="L284" s="103"/>
      <c r="M284" s="105">
        <f t="shared" si="21"/>
        <v>0</v>
      </c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</row>
    <row r="285" spans="1:38" s="88" customFormat="1">
      <c r="A285" s="124"/>
      <c r="B285" s="123"/>
      <c r="C285" s="123"/>
      <c r="D285" s="123"/>
      <c r="E285" s="123"/>
      <c r="F285" s="123"/>
      <c r="H285" s="103">
        <v>280</v>
      </c>
      <c r="I285" s="104" t="str">
        <f t="shared" si="18"/>
        <v/>
      </c>
      <c r="J285" s="103" t="e">
        <f t="shared" si="19"/>
        <v>#NUM!</v>
      </c>
      <c r="K285" s="103" t="e">
        <f t="shared" si="20"/>
        <v>#NUM!</v>
      </c>
      <c r="L285" s="103"/>
      <c r="M285" s="105">
        <f t="shared" si="21"/>
        <v>0</v>
      </c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</row>
    <row r="286" spans="1:38" s="88" customFormat="1">
      <c r="A286" s="124"/>
      <c r="B286" s="123"/>
      <c r="C286" s="123"/>
      <c r="D286" s="123"/>
      <c r="E286" s="123"/>
      <c r="F286" s="123"/>
      <c r="H286" s="103">
        <v>281</v>
      </c>
      <c r="I286" s="104" t="str">
        <f t="shared" si="18"/>
        <v/>
      </c>
      <c r="J286" s="103" t="e">
        <f t="shared" si="19"/>
        <v>#NUM!</v>
      </c>
      <c r="K286" s="103" t="e">
        <f t="shared" si="20"/>
        <v>#NUM!</v>
      </c>
      <c r="L286" s="103"/>
      <c r="M286" s="105">
        <f t="shared" si="21"/>
        <v>0</v>
      </c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</row>
    <row r="287" spans="1:38" s="88" customFormat="1">
      <c r="A287" s="124"/>
      <c r="B287" s="123"/>
      <c r="C287" s="123"/>
      <c r="D287" s="123"/>
      <c r="E287" s="123"/>
      <c r="F287" s="123"/>
      <c r="H287" s="103">
        <v>282</v>
      </c>
      <c r="I287" s="104" t="str">
        <f t="shared" si="18"/>
        <v/>
      </c>
      <c r="J287" s="103" t="e">
        <f t="shared" si="19"/>
        <v>#NUM!</v>
      </c>
      <c r="K287" s="103" t="e">
        <f t="shared" si="20"/>
        <v>#NUM!</v>
      </c>
      <c r="L287" s="103"/>
      <c r="M287" s="105">
        <f t="shared" si="21"/>
        <v>0</v>
      </c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</row>
    <row r="288" spans="1:38" s="88" customFormat="1">
      <c r="A288" s="124"/>
      <c r="B288" s="123"/>
      <c r="C288" s="123"/>
      <c r="D288" s="123"/>
      <c r="E288" s="123"/>
      <c r="F288" s="123"/>
      <c r="H288" s="103">
        <v>283</v>
      </c>
      <c r="I288" s="104" t="str">
        <f t="shared" si="18"/>
        <v/>
      </c>
      <c r="J288" s="103" t="e">
        <f t="shared" si="19"/>
        <v>#NUM!</v>
      </c>
      <c r="K288" s="103" t="e">
        <f t="shared" si="20"/>
        <v>#NUM!</v>
      </c>
      <c r="L288" s="103"/>
      <c r="M288" s="105">
        <f t="shared" si="21"/>
        <v>0</v>
      </c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</row>
    <row r="289" spans="1:38" s="88" customFormat="1">
      <c r="A289" s="124"/>
      <c r="B289" s="123"/>
      <c r="C289" s="123"/>
      <c r="D289" s="123"/>
      <c r="E289" s="123"/>
      <c r="F289" s="123"/>
      <c r="H289" s="103">
        <v>284</v>
      </c>
      <c r="I289" s="104" t="str">
        <f t="shared" si="18"/>
        <v/>
      </c>
      <c r="J289" s="103" t="e">
        <f t="shared" si="19"/>
        <v>#NUM!</v>
      </c>
      <c r="K289" s="103" t="e">
        <f t="shared" si="20"/>
        <v>#NUM!</v>
      </c>
      <c r="L289" s="103"/>
      <c r="M289" s="105">
        <f t="shared" si="21"/>
        <v>0</v>
      </c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</row>
    <row r="290" spans="1:38" s="88" customFormat="1">
      <c r="A290" s="124"/>
      <c r="B290" s="123"/>
      <c r="C290" s="123"/>
      <c r="D290" s="123"/>
      <c r="E290" s="123"/>
      <c r="F290" s="123"/>
      <c r="H290" s="103">
        <v>285</v>
      </c>
      <c r="I290" s="104" t="str">
        <f t="shared" si="18"/>
        <v/>
      </c>
      <c r="J290" s="103" t="e">
        <f t="shared" si="19"/>
        <v>#NUM!</v>
      </c>
      <c r="K290" s="103" t="e">
        <f t="shared" si="20"/>
        <v>#NUM!</v>
      </c>
      <c r="L290" s="103"/>
      <c r="M290" s="105">
        <f t="shared" si="21"/>
        <v>0</v>
      </c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</row>
    <row r="291" spans="1:38" s="88" customFormat="1">
      <c r="A291" s="124"/>
      <c r="B291" s="123"/>
      <c r="C291" s="123"/>
      <c r="D291" s="123"/>
      <c r="E291" s="123"/>
      <c r="F291" s="123"/>
      <c r="H291" s="103">
        <v>286</v>
      </c>
      <c r="I291" s="104" t="str">
        <f t="shared" si="18"/>
        <v/>
      </c>
      <c r="J291" s="103" t="e">
        <f t="shared" si="19"/>
        <v>#NUM!</v>
      </c>
      <c r="K291" s="103" t="e">
        <f t="shared" si="20"/>
        <v>#NUM!</v>
      </c>
      <c r="L291" s="103"/>
      <c r="M291" s="105">
        <f t="shared" si="21"/>
        <v>0</v>
      </c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</row>
    <row r="292" spans="1:38" s="88" customFormat="1">
      <c r="A292" s="124"/>
      <c r="B292" s="123"/>
      <c r="C292" s="123"/>
      <c r="D292" s="123"/>
      <c r="E292" s="123"/>
      <c r="F292" s="123"/>
      <c r="H292" s="103">
        <v>287</v>
      </c>
      <c r="I292" s="104" t="str">
        <f t="shared" si="18"/>
        <v/>
      </c>
      <c r="J292" s="103" t="e">
        <f t="shared" si="19"/>
        <v>#NUM!</v>
      </c>
      <c r="K292" s="103" t="e">
        <f t="shared" si="20"/>
        <v>#NUM!</v>
      </c>
      <c r="L292" s="103"/>
      <c r="M292" s="105">
        <f t="shared" si="21"/>
        <v>0</v>
      </c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</row>
    <row r="293" spans="1:38" s="88" customFormat="1">
      <c r="A293" s="124"/>
      <c r="B293" s="123"/>
      <c r="C293" s="123"/>
      <c r="D293" s="123"/>
      <c r="E293" s="123"/>
      <c r="F293" s="123"/>
      <c r="H293" s="103">
        <v>288</v>
      </c>
      <c r="I293" s="104" t="str">
        <f t="shared" si="18"/>
        <v/>
      </c>
      <c r="J293" s="103" t="e">
        <f t="shared" si="19"/>
        <v>#NUM!</v>
      </c>
      <c r="K293" s="103" t="e">
        <f t="shared" si="20"/>
        <v>#NUM!</v>
      </c>
      <c r="L293" s="103"/>
      <c r="M293" s="105">
        <f t="shared" si="21"/>
        <v>0</v>
      </c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</row>
    <row r="294" spans="1:38" s="88" customFormat="1">
      <c r="A294" s="124"/>
      <c r="B294" s="123"/>
      <c r="C294" s="123"/>
      <c r="D294" s="123"/>
      <c r="E294" s="123"/>
      <c r="F294" s="123"/>
      <c r="H294" s="103">
        <v>289</v>
      </c>
      <c r="I294" s="104" t="str">
        <f t="shared" si="18"/>
        <v/>
      </c>
      <c r="J294" s="103" t="e">
        <f t="shared" si="19"/>
        <v>#NUM!</v>
      </c>
      <c r="K294" s="103" t="e">
        <f t="shared" si="20"/>
        <v>#NUM!</v>
      </c>
      <c r="L294" s="103"/>
      <c r="M294" s="105">
        <f t="shared" si="21"/>
        <v>0</v>
      </c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</row>
    <row r="295" spans="1:38" s="88" customFormat="1">
      <c r="A295" s="124"/>
      <c r="B295" s="123"/>
      <c r="C295" s="123"/>
      <c r="D295" s="123"/>
      <c r="E295" s="123"/>
      <c r="F295" s="123"/>
      <c r="H295" s="103">
        <v>290</v>
      </c>
      <c r="I295" s="104" t="str">
        <f t="shared" si="18"/>
        <v/>
      </c>
      <c r="J295" s="103" t="e">
        <f t="shared" si="19"/>
        <v>#NUM!</v>
      </c>
      <c r="K295" s="103" t="e">
        <f t="shared" si="20"/>
        <v>#NUM!</v>
      </c>
      <c r="L295" s="103"/>
      <c r="M295" s="105">
        <f t="shared" si="21"/>
        <v>0</v>
      </c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</row>
    <row r="296" spans="1:38" s="88" customFormat="1">
      <c r="A296" s="124"/>
      <c r="B296" s="123"/>
      <c r="C296" s="123"/>
      <c r="D296" s="123"/>
      <c r="E296" s="123"/>
      <c r="F296" s="123"/>
      <c r="H296" s="103">
        <v>291</v>
      </c>
      <c r="I296" s="104" t="str">
        <f t="shared" si="18"/>
        <v/>
      </c>
      <c r="J296" s="103" t="e">
        <f t="shared" si="19"/>
        <v>#NUM!</v>
      </c>
      <c r="K296" s="103" t="e">
        <f t="shared" si="20"/>
        <v>#NUM!</v>
      </c>
      <c r="L296" s="103"/>
      <c r="M296" s="105">
        <f t="shared" si="21"/>
        <v>0</v>
      </c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</row>
    <row r="297" spans="1:38" s="88" customFormat="1">
      <c r="A297" s="124"/>
      <c r="B297" s="123"/>
      <c r="C297" s="123"/>
      <c r="D297" s="123"/>
      <c r="E297" s="123"/>
      <c r="F297" s="123"/>
      <c r="H297" s="103">
        <v>292</v>
      </c>
      <c r="I297" s="104" t="str">
        <f t="shared" si="18"/>
        <v/>
      </c>
      <c r="J297" s="103" t="e">
        <f t="shared" si="19"/>
        <v>#NUM!</v>
      </c>
      <c r="K297" s="103" t="e">
        <f t="shared" si="20"/>
        <v>#NUM!</v>
      </c>
      <c r="L297" s="103"/>
      <c r="M297" s="105">
        <f t="shared" si="21"/>
        <v>0</v>
      </c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</row>
    <row r="298" spans="1:38" s="88" customFormat="1">
      <c r="A298" s="124"/>
      <c r="B298" s="123"/>
      <c r="C298" s="123"/>
      <c r="D298" s="123"/>
      <c r="E298" s="123"/>
      <c r="F298" s="123"/>
      <c r="H298" s="103">
        <v>293</v>
      </c>
      <c r="I298" s="104" t="str">
        <f t="shared" si="18"/>
        <v/>
      </c>
      <c r="J298" s="103" t="e">
        <f t="shared" si="19"/>
        <v>#NUM!</v>
      </c>
      <c r="K298" s="103" t="e">
        <f t="shared" si="20"/>
        <v>#NUM!</v>
      </c>
      <c r="L298" s="103"/>
      <c r="M298" s="105">
        <f t="shared" si="21"/>
        <v>0</v>
      </c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</row>
    <row r="299" spans="1:38" s="88" customFormat="1">
      <c r="A299" s="124"/>
      <c r="B299" s="123"/>
      <c r="C299" s="123"/>
      <c r="D299" s="123"/>
      <c r="E299" s="123"/>
      <c r="F299" s="123"/>
      <c r="H299" s="103">
        <v>294</v>
      </c>
      <c r="I299" s="104" t="str">
        <f t="shared" si="18"/>
        <v/>
      </c>
      <c r="J299" s="103" t="e">
        <f t="shared" si="19"/>
        <v>#NUM!</v>
      </c>
      <c r="K299" s="103" t="e">
        <f t="shared" si="20"/>
        <v>#NUM!</v>
      </c>
      <c r="L299" s="103"/>
      <c r="M299" s="105">
        <f t="shared" si="21"/>
        <v>0</v>
      </c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</row>
    <row r="300" spans="1:38" s="88" customFormat="1">
      <c r="A300" s="124"/>
      <c r="B300" s="123"/>
      <c r="C300" s="123"/>
      <c r="D300" s="123"/>
      <c r="E300" s="123"/>
      <c r="F300" s="123"/>
      <c r="H300" s="103">
        <v>295</v>
      </c>
      <c r="I300" s="104" t="str">
        <f t="shared" si="18"/>
        <v/>
      </c>
      <c r="J300" s="103" t="e">
        <f t="shared" si="19"/>
        <v>#NUM!</v>
      </c>
      <c r="K300" s="103" t="e">
        <f t="shared" si="20"/>
        <v>#NUM!</v>
      </c>
      <c r="L300" s="103"/>
      <c r="M300" s="105">
        <f t="shared" si="21"/>
        <v>0</v>
      </c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</row>
    <row r="301" spans="1:38" s="88" customFormat="1">
      <c r="A301" s="124"/>
      <c r="B301" s="123"/>
      <c r="C301" s="123"/>
      <c r="D301" s="123"/>
      <c r="E301" s="123"/>
      <c r="F301" s="123"/>
      <c r="H301" s="103">
        <v>296</v>
      </c>
      <c r="I301" s="104" t="str">
        <f t="shared" si="18"/>
        <v/>
      </c>
      <c r="J301" s="103" t="e">
        <f t="shared" si="19"/>
        <v>#NUM!</v>
      </c>
      <c r="K301" s="103" t="e">
        <f t="shared" si="20"/>
        <v>#NUM!</v>
      </c>
      <c r="L301" s="103"/>
      <c r="M301" s="105">
        <f t="shared" si="21"/>
        <v>0</v>
      </c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</row>
    <row r="302" spans="1:38" s="88" customFormat="1">
      <c r="A302" s="124"/>
      <c r="B302" s="123"/>
      <c r="C302" s="123"/>
      <c r="D302" s="123"/>
      <c r="E302" s="123"/>
      <c r="F302" s="123"/>
      <c r="H302" s="103">
        <v>297</v>
      </c>
      <c r="I302" s="104" t="str">
        <f t="shared" si="18"/>
        <v/>
      </c>
      <c r="J302" s="103" t="e">
        <f t="shared" si="19"/>
        <v>#NUM!</v>
      </c>
      <c r="K302" s="103" t="e">
        <f t="shared" si="20"/>
        <v>#NUM!</v>
      </c>
      <c r="L302" s="103"/>
      <c r="M302" s="105">
        <f t="shared" si="21"/>
        <v>0</v>
      </c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</row>
    <row r="303" spans="1:38" s="88" customFormat="1">
      <c r="A303" s="124"/>
      <c r="B303" s="123"/>
      <c r="C303" s="123"/>
      <c r="D303" s="123"/>
      <c r="E303" s="123"/>
      <c r="F303" s="123"/>
      <c r="H303" s="103">
        <v>298</v>
      </c>
      <c r="I303" s="104" t="str">
        <f t="shared" si="18"/>
        <v/>
      </c>
      <c r="J303" s="103" t="e">
        <f t="shared" si="19"/>
        <v>#NUM!</v>
      </c>
      <c r="K303" s="103" t="e">
        <f t="shared" si="20"/>
        <v>#NUM!</v>
      </c>
      <c r="L303" s="103"/>
      <c r="M303" s="105">
        <f t="shared" si="21"/>
        <v>0</v>
      </c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</row>
    <row r="304" spans="1:38" s="88" customFormat="1">
      <c r="A304" s="124"/>
      <c r="B304" s="123"/>
      <c r="C304" s="123"/>
      <c r="D304" s="123"/>
      <c r="E304" s="123"/>
      <c r="F304" s="123"/>
      <c r="H304" s="103">
        <v>299</v>
      </c>
      <c r="I304" s="104" t="str">
        <f t="shared" si="18"/>
        <v/>
      </c>
      <c r="J304" s="103" t="e">
        <f t="shared" si="19"/>
        <v>#NUM!</v>
      </c>
      <c r="K304" s="103" t="e">
        <f t="shared" si="20"/>
        <v>#NUM!</v>
      </c>
      <c r="L304" s="103"/>
      <c r="M304" s="105">
        <f t="shared" si="21"/>
        <v>0</v>
      </c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</row>
    <row r="305" spans="1:38" s="88" customFormat="1">
      <c r="A305" s="124"/>
      <c r="B305" s="123"/>
      <c r="C305" s="123"/>
      <c r="D305" s="123"/>
      <c r="E305" s="123"/>
      <c r="F305" s="123"/>
      <c r="H305" s="103">
        <v>300</v>
      </c>
      <c r="I305" s="104" t="str">
        <f t="shared" si="18"/>
        <v/>
      </c>
      <c r="J305" s="103" t="e">
        <f t="shared" si="19"/>
        <v>#NUM!</v>
      </c>
      <c r="K305" s="103" t="e">
        <f t="shared" si="20"/>
        <v>#NUM!</v>
      </c>
      <c r="L305" s="103"/>
      <c r="M305" s="105">
        <f t="shared" si="21"/>
        <v>0</v>
      </c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</row>
    <row r="306" spans="1:38" s="88" customFormat="1">
      <c r="A306" s="125"/>
      <c r="B306" s="123"/>
      <c r="C306" s="123"/>
      <c r="D306" s="123"/>
      <c r="E306" s="123"/>
      <c r="F306" s="123"/>
      <c r="G306" s="123"/>
      <c r="H306" s="126"/>
      <c r="I306" s="126"/>
      <c r="J306" s="126" t="e">
        <f t="shared" si="19"/>
        <v>#NUM!</v>
      </c>
      <c r="K306" s="126"/>
      <c r="L306" s="126"/>
      <c r="M306" s="127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</row>
    <row r="307" spans="1:38" s="88" customFormat="1">
      <c r="A307" s="123"/>
      <c r="B307" s="123"/>
      <c r="C307" s="123"/>
      <c r="D307" s="123"/>
      <c r="E307" s="123"/>
      <c r="F307" s="123"/>
      <c r="G307" s="123"/>
      <c r="H307" s="126"/>
      <c r="I307" s="126"/>
      <c r="J307" s="126" t="e">
        <f t="shared" si="19"/>
        <v>#NUM!</v>
      </c>
      <c r="K307" s="126"/>
      <c r="L307" s="126"/>
      <c r="M307" s="127"/>
      <c r="S307" s="93"/>
      <c r="T307" s="93"/>
      <c r="U307" s="93"/>
      <c r="V307" s="93"/>
      <c r="W307" s="93"/>
      <c r="X307" s="93"/>
      <c r="Y307" s="93"/>
      <c r="Z307" s="93"/>
      <c r="AA307" s="93"/>
      <c r="AB307" s="93"/>
      <c r="AC307" s="93"/>
      <c r="AD307" s="93"/>
      <c r="AE307" s="93"/>
      <c r="AF307" s="93"/>
      <c r="AG307" s="93"/>
      <c r="AH307" s="93"/>
      <c r="AI307" s="93"/>
      <c r="AJ307" s="93"/>
      <c r="AK307" s="93"/>
      <c r="AL307" s="93"/>
    </row>
    <row r="308" spans="1:38" s="88" customFormat="1">
      <c r="A308" s="123"/>
      <c r="B308" s="123"/>
      <c r="C308" s="123"/>
      <c r="D308" s="123"/>
      <c r="E308" s="123"/>
      <c r="F308" s="123"/>
      <c r="G308" s="123"/>
      <c r="H308" s="126"/>
      <c r="I308" s="126"/>
      <c r="J308" s="126" t="e">
        <f t="shared" si="19"/>
        <v>#NUM!</v>
      </c>
      <c r="K308" s="126"/>
      <c r="L308" s="126"/>
      <c r="M308" s="127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  <c r="AC308" s="93"/>
      <c r="AD308" s="93"/>
      <c r="AE308" s="93"/>
      <c r="AF308" s="93"/>
      <c r="AG308" s="93"/>
      <c r="AH308" s="93"/>
      <c r="AI308" s="93"/>
      <c r="AJ308" s="93"/>
      <c r="AK308" s="93"/>
      <c r="AL308" s="93"/>
    </row>
    <row r="309" spans="1:38" s="88" customFormat="1">
      <c r="A309" s="123"/>
      <c r="B309" s="123"/>
      <c r="C309" s="123"/>
      <c r="D309" s="123"/>
      <c r="E309" s="123"/>
      <c r="F309" s="123"/>
      <c r="G309" s="123"/>
      <c r="H309" s="126"/>
      <c r="I309" s="126"/>
      <c r="J309" s="126" t="e">
        <f t="shared" si="19"/>
        <v>#NUM!</v>
      </c>
      <c r="K309" s="126"/>
      <c r="L309" s="126"/>
      <c r="M309" s="127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  <c r="AC309" s="93"/>
      <c r="AD309" s="93"/>
      <c r="AE309" s="93"/>
      <c r="AF309" s="93"/>
      <c r="AG309" s="93"/>
      <c r="AH309" s="93"/>
      <c r="AI309" s="93"/>
      <c r="AJ309" s="93"/>
      <c r="AK309" s="93"/>
      <c r="AL309" s="93"/>
    </row>
    <row r="310" spans="1:38" s="88" customFormat="1">
      <c r="A310" s="123"/>
      <c r="B310" s="123"/>
      <c r="C310" s="123"/>
      <c r="D310" s="123"/>
      <c r="E310" s="123"/>
      <c r="F310" s="123"/>
      <c r="G310" s="123"/>
      <c r="H310" s="126"/>
      <c r="I310" s="126"/>
      <c r="J310" s="126" t="e">
        <f t="shared" si="19"/>
        <v>#NUM!</v>
      </c>
      <c r="K310" s="126"/>
      <c r="L310" s="126"/>
      <c r="M310" s="127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  <c r="AC310" s="93"/>
      <c r="AD310" s="93"/>
      <c r="AE310" s="93"/>
      <c r="AF310" s="93"/>
      <c r="AG310" s="93"/>
      <c r="AH310" s="93"/>
      <c r="AI310" s="93"/>
      <c r="AJ310" s="93"/>
      <c r="AK310" s="93"/>
      <c r="AL310" s="93"/>
    </row>
    <row r="311" spans="1:38" s="88" customFormat="1">
      <c r="A311" s="123"/>
      <c r="B311" s="123"/>
      <c r="C311" s="123"/>
      <c r="D311" s="123"/>
      <c r="E311" s="123"/>
      <c r="F311" s="123"/>
      <c r="G311" s="123"/>
      <c r="H311" s="126"/>
      <c r="I311" s="126"/>
      <c r="J311" s="126" t="e">
        <f t="shared" si="19"/>
        <v>#NUM!</v>
      </c>
      <c r="K311" s="126"/>
      <c r="L311" s="126"/>
      <c r="M311" s="127"/>
      <c r="S311" s="93"/>
      <c r="T311" s="93"/>
      <c r="U311" s="93"/>
      <c r="V311" s="93"/>
      <c r="W311" s="93"/>
      <c r="X311" s="93"/>
      <c r="Y311" s="93"/>
      <c r="Z311" s="93"/>
      <c r="AA311" s="93"/>
      <c r="AB311" s="93"/>
      <c r="AC311" s="93"/>
      <c r="AD311" s="93"/>
      <c r="AE311" s="93"/>
      <c r="AF311" s="93"/>
      <c r="AG311" s="93"/>
      <c r="AH311" s="93"/>
      <c r="AI311" s="93"/>
      <c r="AJ311" s="93"/>
      <c r="AK311" s="93"/>
      <c r="AL311" s="93"/>
    </row>
    <row r="312" spans="1:38" s="88" customFormat="1">
      <c r="A312" s="123"/>
      <c r="B312" s="123"/>
      <c r="C312" s="123"/>
      <c r="D312" s="123"/>
      <c r="E312" s="123"/>
      <c r="F312" s="123"/>
      <c r="G312" s="123"/>
      <c r="H312" s="126"/>
      <c r="I312" s="126"/>
      <c r="J312" s="126" t="e">
        <f t="shared" si="19"/>
        <v>#NUM!</v>
      </c>
      <c r="K312" s="126"/>
      <c r="L312" s="126"/>
      <c r="M312" s="127"/>
      <c r="S312" s="93"/>
      <c r="T312" s="93"/>
      <c r="U312" s="93"/>
      <c r="V312" s="93"/>
      <c r="W312" s="93"/>
      <c r="X312" s="93"/>
      <c r="Y312" s="93"/>
      <c r="Z312" s="93"/>
      <c r="AA312" s="93"/>
      <c r="AB312" s="93"/>
      <c r="AC312" s="93"/>
      <c r="AD312" s="93"/>
      <c r="AE312" s="93"/>
      <c r="AF312" s="93"/>
      <c r="AG312" s="93"/>
      <c r="AH312" s="93"/>
      <c r="AI312" s="93"/>
      <c r="AJ312" s="93"/>
      <c r="AK312" s="93"/>
      <c r="AL312" s="93"/>
    </row>
    <row r="313" spans="1:38" s="88" customFormat="1">
      <c r="A313" s="123"/>
      <c r="B313" s="123"/>
      <c r="C313" s="123"/>
      <c r="D313" s="123"/>
      <c r="E313" s="123"/>
      <c r="F313" s="123"/>
      <c r="G313" s="123"/>
      <c r="H313" s="126"/>
      <c r="I313" s="126"/>
      <c r="J313" s="126" t="e">
        <f t="shared" si="19"/>
        <v>#NUM!</v>
      </c>
      <c r="K313" s="126"/>
      <c r="L313" s="126"/>
      <c r="M313" s="127"/>
      <c r="S313" s="93"/>
      <c r="T313" s="93"/>
      <c r="U313" s="93"/>
      <c r="V313" s="93"/>
      <c r="W313" s="93"/>
      <c r="X313" s="93"/>
      <c r="Y313" s="93"/>
      <c r="Z313" s="93"/>
      <c r="AA313" s="93"/>
      <c r="AB313" s="93"/>
      <c r="AC313" s="93"/>
      <c r="AD313" s="93"/>
      <c r="AE313" s="93"/>
      <c r="AF313" s="93"/>
      <c r="AG313" s="93"/>
      <c r="AH313" s="93"/>
      <c r="AI313" s="93"/>
      <c r="AJ313" s="93"/>
      <c r="AK313" s="93"/>
      <c r="AL313" s="93"/>
    </row>
    <row r="314" spans="1:38" s="88" customFormat="1">
      <c r="A314" s="123"/>
      <c r="B314" s="123"/>
      <c r="C314" s="123"/>
      <c r="D314" s="123"/>
      <c r="E314" s="123"/>
      <c r="F314" s="123"/>
      <c r="G314" s="123"/>
      <c r="H314" s="126"/>
      <c r="I314" s="126"/>
      <c r="J314" s="126" t="e">
        <f t="shared" si="19"/>
        <v>#NUM!</v>
      </c>
      <c r="K314" s="126"/>
      <c r="L314" s="128"/>
      <c r="M314" s="127"/>
      <c r="P314" s="115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</row>
    <row r="315" spans="1:38" s="88" customFormat="1">
      <c r="A315" s="123"/>
      <c r="B315" s="123"/>
      <c r="C315" s="123"/>
      <c r="D315" s="123"/>
      <c r="E315" s="123"/>
      <c r="F315" s="123"/>
      <c r="G315" s="123"/>
      <c r="H315" s="126"/>
      <c r="I315" s="126"/>
      <c r="J315" s="126" t="e">
        <f t="shared" si="19"/>
        <v>#NUM!</v>
      </c>
      <c r="K315" s="126"/>
      <c r="L315" s="128"/>
      <c r="M315" s="127"/>
      <c r="P315" s="115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</row>
    <row r="316" spans="1:38" s="88" customFormat="1">
      <c r="A316" s="123"/>
      <c r="B316" s="123"/>
      <c r="C316" s="123"/>
      <c r="D316" s="123"/>
      <c r="E316" s="123"/>
      <c r="F316" s="123"/>
      <c r="G316" s="123"/>
      <c r="H316" s="126"/>
      <c r="I316" s="126"/>
      <c r="J316" s="126" t="e">
        <f t="shared" si="19"/>
        <v>#NUM!</v>
      </c>
      <c r="K316" s="126"/>
      <c r="L316" s="128"/>
      <c r="M316" s="127"/>
      <c r="P316" s="115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</row>
    <row r="317" spans="1:38" s="88" customFormat="1">
      <c r="A317" s="123"/>
      <c r="B317" s="123"/>
      <c r="C317" s="123"/>
      <c r="D317" s="123"/>
      <c r="E317" s="123"/>
      <c r="F317" s="123"/>
      <c r="G317" s="123"/>
      <c r="H317" s="126"/>
      <c r="I317" s="126"/>
      <c r="J317" s="126" t="e">
        <f t="shared" si="19"/>
        <v>#NUM!</v>
      </c>
      <c r="K317" s="126"/>
      <c r="L317" s="128"/>
      <c r="M317" s="127"/>
      <c r="P317" s="115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</row>
    <row r="318" spans="1:38" s="88" customFormat="1">
      <c r="A318" s="123"/>
      <c r="B318" s="123"/>
      <c r="C318" s="123"/>
      <c r="D318" s="123"/>
      <c r="E318" s="123"/>
      <c r="F318" s="123"/>
      <c r="G318" s="123"/>
      <c r="H318" s="126"/>
      <c r="I318" s="126"/>
      <c r="J318" s="126" t="e">
        <f t="shared" si="19"/>
        <v>#NUM!</v>
      </c>
      <c r="K318" s="126"/>
      <c r="L318" s="126"/>
      <c r="M318" s="127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  <c r="AC318" s="93"/>
      <c r="AD318" s="93"/>
      <c r="AE318" s="93"/>
      <c r="AF318" s="93"/>
      <c r="AG318" s="93"/>
      <c r="AH318" s="93"/>
      <c r="AI318" s="93"/>
      <c r="AJ318" s="93"/>
      <c r="AK318" s="93"/>
      <c r="AL318" s="93"/>
    </row>
    <row r="319" spans="1:38" s="88" customFormat="1">
      <c r="A319" s="123"/>
      <c r="B319" s="123"/>
      <c r="C319" s="123"/>
      <c r="D319" s="123"/>
      <c r="E319" s="123"/>
      <c r="F319" s="123"/>
      <c r="G319" s="123"/>
      <c r="H319" s="126"/>
      <c r="I319" s="126"/>
      <c r="J319" s="126" t="e">
        <f t="shared" si="19"/>
        <v>#NUM!</v>
      </c>
      <c r="K319" s="126"/>
      <c r="L319" s="126"/>
      <c r="M319" s="127"/>
      <c r="S319" s="93"/>
      <c r="T319" s="93"/>
      <c r="U319" s="93"/>
      <c r="V319" s="93"/>
      <c r="W319" s="93"/>
      <c r="X319" s="93"/>
      <c r="Y319" s="93"/>
      <c r="Z319" s="93"/>
      <c r="AA319" s="93"/>
      <c r="AB319" s="93"/>
      <c r="AC319" s="93"/>
      <c r="AD319" s="93"/>
      <c r="AE319" s="93"/>
      <c r="AF319" s="93"/>
      <c r="AG319" s="93"/>
      <c r="AH319" s="93"/>
      <c r="AI319" s="93"/>
      <c r="AJ319" s="93"/>
      <c r="AK319" s="93"/>
      <c r="AL319" s="93"/>
    </row>
    <row r="320" spans="1:38" s="88" customFormat="1">
      <c r="A320" s="123"/>
      <c r="B320" s="123"/>
      <c r="C320" s="123"/>
      <c r="D320" s="123"/>
      <c r="E320" s="123"/>
      <c r="F320" s="123"/>
      <c r="G320" s="123"/>
      <c r="H320" s="126"/>
      <c r="I320" s="126"/>
      <c r="J320" s="126" t="e">
        <f t="shared" si="19"/>
        <v>#NUM!</v>
      </c>
      <c r="K320" s="126"/>
      <c r="L320" s="126"/>
      <c r="M320" s="127"/>
      <c r="S320" s="93"/>
      <c r="T320" s="93"/>
      <c r="U320" s="93"/>
      <c r="V320" s="93"/>
      <c r="W320" s="93"/>
      <c r="X320" s="93"/>
      <c r="Y320" s="93"/>
      <c r="Z320" s="93"/>
      <c r="AA320" s="93"/>
      <c r="AB320" s="93"/>
      <c r="AC320" s="93"/>
      <c r="AD320" s="93"/>
      <c r="AE320" s="93"/>
      <c r="AF320" s="93"/>
      <c r="AG320" s="93"/>
      <c r="AH320" s="93"/>
      <c r="AI320" s="93"/>
      <c r="AJ320" s="93"/>
      <c r="AK320" s="93"/>
      <c r="AL320" s="93"/>
    </row>
    <row r="321" spans="10:38" s="126" customFormat="1">
      <c r="J321" s="126" t="e">
        <f t="shared" si="19"/>
        <v>#NUM!</v>
      </c>
      <c r="M321" s="127"/>
      <c r="N321" s="88"/>
      <c r="O321" s="88"/>
      <c r="P321" s="88"/>
      <c r="Q321" s="88"/>
      <c r="R321" s="88"/>
      <c r="S321" s="93"/>
      <c r="T321" s="93"/>
      <c r="U321" s="93"/>
      <c r="V321" s="93"/>
      <c r="W321" s="93"/>
      <c r="X321" s="93"/>
      <c r="Y321" s="93"/>
      <c r="Z321" s="93"/>
      <c r="AA321" s="93"/>
      <c r="AB321" s="93"/>
      <c r="AC321" s="93"/>
      <c r="AD321" s="93"/>
      <c r="AE321" s="93"/>
      <c r="AF321" s="93"/>
      <c r="AG321" s="93"/>
      <c r="AH321" s="93"/>
      <c r="AI321" s="93"/>
      <c r="AJ321" s="93"/>
      <c r="AK321" s="93"/>
      <c r="AL321" s="93"/>
    </row>
    <row r="322" spans="10:38" s="126" customFormat="1">
      <c r="J322" s="126" t="e">
        <f t="shared" si="19"/>
        <v>#NUM!</v>
      </c>
      <c r="M322" s="127"/>
      <c r="N322" s="88"/>
      <c r="O322" s="88"/>
      <c r="P322" s="88"/>
      <c r="Q322" s="88"/>
      <c r="R322" s="88"/>
      <c r="S322" s="93"/>
      <c r="T322" s="93"/>
      <c r="U322" s="93"/>
      <c r="V322" s="93"/>
      <c r="W322" s="93"/>
      <c r="X322" s="93"/>
      <c r="Y322" s="93"/>
      <c r="Z322" s="93"/>
      <c r="AA322" s="93"/>
      <c r="AB322" s="93"/>
      <c r="AC322" s="93"/>
      <c r="AD322" s="93"/>
      <c r="AE322" s="93"/>
      <c r="AF322" s="93"/>
      <c r="AG322" s="93"/>
      <c r="AH322" s="93"/>
      <c r="AI322" s="93"/>
      <c r="AJ322" s="93"/>
      <c r="AK322" s="93"/>
      <c r="AL322" s="93"/>
    </row>
    <row r="323" spans="10:38" s="126" customFormat="1">
      <c r="J323" s="126" t="e">
        <f t="shared" si="19"/>
        <v>#NUM!</v>
      </c>
      <c r="M323" s="127"/>
      <c r="N323" s="88"/>
      <c r="O323" s="88"/>
      <c r="P323" s="88"/>
      <c r="Q323" s="88"/>
      <c r="R323" s="88"/>
      <c r="S323" s="93"/>
      <c r="T323" s="93"/>
      <c r="U323" s="93"/>
      <c r="V323" s="93"/>
      <c r="W323" s="93"/>
      <c r="X323" s="93"/>
      <c r="Y323" s="93"/>
      <c r="Z323" s="93"/>
      <c r="AA323" s="93"/>
      <c r="AB323" s="93"/>
      <c r="AC323" s="93"/>
      <c r="AD323" s="93"/>
      <c r="AE323" s="93"/>
      <c r="AF323" s="93"/>
      <c r="AG323" s="93"/>
      <c r="AH323" s="93"/>
      <c r="AI323" s="93"/>
      <c r="AJ323" s="93"/>
      <c r="AK323" s="93"/>
      <c r="AL323" s="93"/>
    </row>
    <row r="324" spans="10:38" s="126" customFormat="1">
      <c r="J324" s="126" t="e">
        <f t="shared" si="19"/>
        <v>#NUM!</v>
      </c>
      <c r="M324" s="127"/>
      <c r="N324" s="88"/>
      <c r="O324" s="88"/>
      <c r="P324" s="88"/>
      <c r="Q324" s="88"/>
      <c r="R324" s="88"/>
      <c r="S324" s="93"/>
      <c r="T324" s="93"/>
      <c r="U324" s="93"/>
      <c r="V324" s="93"/>
      <c r="W324" s="93"/>
      <c r="X324" s="93"/>
      <c r="Y324" s="93"/>
      <c r="Z324" s="93"/>
      <c r="AA324" s="93"/>
      <c r="AB324" s="93"/>
      <c r="AC324" s="93"/>
      <c r="AD324" s="93"/>
      <c r="AE324" s="93"/>
      <c r="AF324" s="93"/>
      <c r="AG324" s="93"/>
      <c r="AH324" s="93"/>
      <c r="AI324" s="93"/>
      <c r="AJ324" s="93"/>
      <c r="AK324" s="93"/>
      <c r="AL324" s="93"/>
    </row>
    <row r="325" spans="10:38" s="126" customFormat="1">
      <c r="J325" s="126" t="e">
        <f t="shared" si="19"/>
        <v>#NUM!</v>
      </c>
      <c r="M325" s="127"/>
      <c r="N325" s="88"/>
      <c r="O325" s="88"/>
      <c r="P325" s="88"/>
      <c r="Q325" s="88"/>
      <c r="R325" s="88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  <c r="AC325" s="93"/>
      <c r="AD325" s="93"/>
      <c r="AE325" s="93"/>
      <c r="AF325" s="93"/>
      <c r="AG325" s="93"/>
      <c r="AH325" s="93"/>
      <c r="AI325" s="93"/>
      <c r="AJ325" s="93"/>
      <c r="AK325" s="93"/>
      <c r="AL325" s="93"/>
    </row>
    <row r="326" spans="10:38" s="126" customFormat="1">
      <c r="J326" s="126" t="e">
        <f t="shared" ref="J326:J374" si="22">INT(LOG($H$2,2))-ROUNDUP(LOG(H326,2),0)+IF(OR($H$2=1,$H$2=2,$H$2=4,$H$2=8,$H$2=16,$H$2=32,$H$2=64,$H$2=128,$H$2=256),0,1)</f>
        <v>#NUM!</v>
      </c>
      <c r="M326" s="127"/>
      <c r="N326" s="88"/>
      <c r="O326" s="88"/>
      <c r="P326" s="88"/>
      <c r="Q326" s="88"/>
      <c r="R326" s="88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  <c r="AC326" s="93"/>
      <c r="AD326" s="93"/>
      <c r="AE326" s="93"/>
      <c r="AF326" s="93"/>
      <c r="AG326" s="93"/>
      <c r="AH326" s="93"/>
      <c r="AI326" s="93"/>
      <c r="AJ326" s="93"/>
      <c r="AK326" s="93"/>
      <c r="AL326" s="93"/>
    </row>
    <row r="327" spans="10:38" s="126" customFormat="1">
      <c r="J327" s="126" t="e">
        <f t="shared" si="22"/>
        <v>#NUM!</v>
      </c>
      <c r="M327" s="127"/>
      <c r="N327" s="88"/>
      <c r="O327" s="88"/>
      <c r="P327" s="88"/>
      <c r="Q327" s="88"/>
      <c r="R327" s="88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  <c r="AC327" s="93"/>
      <c r="AD327" s="93"/>
      <c r="AE327" s="93"/>
      <c r="AF327" s="93"/>
      <c r="AG327" s="93"/>
      <c r="AH327" s="93"/>
      <c r="AI327" s="93"/>
      <c r="AJ327" s="93"/>
      <c r="AK327" s="93"/>
      <c r="AL327" s="93"/>
    </row>
    <row r="328" spans="10:38" s="126" customFormat="1">
      <c r="J328" s="126" t="e">
        <f t="shared" si="22"/>
        <v>#NUM!</v>
      </c>
      <c r="M328" s="127"/>
      <c r="N328" s="88"/>
      <c r="O328" s="88"/>
      <c r="P328" s="88"/>
      <c r="Q328" s="88"/>
      <c r="R328" s="88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  <c r="AC328" s="93"/>
      <c r="AD328" s="93"/>
      <c r="AE328" s="93"/>
      <c r="AF328" s="93"/>
      <c r="AG328" s="93"/>
      <c r="AH328" s="93"/>
      <c r="AI328" s="93"/>
      <c r="AJ328" s="93"/>
      <c r="AK328" s="93"/>
      <c r="AL328" s="93"/>
    </row>
    <row r="329" spans="10:38" s="126" customFormat="1">
      <c r="J329" s="126" t="e">
        <f t="shared" si="22"/>
        <v>#NUM!</v>
      </c>
      <c r="M329" s="127"/>
      <c r="N329" s="88"/>
      <c r="O329" s="88"/>
      <c r="P329" s="88"/>
      <c r="Q329" s="88"/>
      <c r="R329" s="88"/>
      <c r="S329" s="93"/>
      <c r="T329" s="93"/>
      <c r="U329" s="93"/>
      <c r="V329" s="93"/>
      <c r="W329" s="93"/>
      <c r="X329" s="93"/>
      <c r="Y329" s="93"/>
      <c r="Z329" s="93"/>
      <c r="AA329" s="93"/>
      <c r="AB329" s="93"/>
      <c r="AC329" s="93"/>
      <c r="AD329" s="93"/>
      <c r="AE329" s="93"/>
      <c r="AF329" s="93"/>
      <c r="AG329" s="93"/>
      <c r="AH329" s="93"/>
      <c r="AI329" s="93"/>
      <c r="AJ329" s="93"/>
      <c r="AK329" s="93"/>
      <c r="AL329" s="93"/>
    </row>
    <row r="330" spans="10:38" s="126" customFormat="1">
      <c r="J330" s="126" t="e">
        <f t="shared" si="22"/>
        <v>#NUM!</v>
      </c>
      <c r="M330" s="127"/>
      <c r="N330" s="88"/>
      <c r="O330" s="88"/>
      <c r="P330" s="88"/>
      <c r="Q330" s="88"/>
      <c r="R330" s="88"/>
      <c r="S330" s="93"/>
      <c r="T330" s="93"/>
      <c r="U330" s="93"/>
      <c r="V330" s="93"/>
      <c r="W330" s="93"/>
      <c r="X330" s="93"/>
      <c r="Y330" s="93"/>
      <c r="Z330" s="93"/>
      <c r="AA330" s="93"/>
      <c r="AB330" s="93"/>
      <c r="AC330" s="93"/>
      <c r="AD330" s="93"/>
      <c r="AE330" s="93"/>
      <c r="AF330" s="93"/>
      <c r="AG330" s="93"/>
      <c r="AH330" s="93"/>
      <c r="AI330" s="93"/>
      <c r="AJ330" s="93"/>
      <c r="AK330" s="93"/>
      <c r="AL330" s="93"/>
    </row>
    <row r="331" spans="10:38" s="126" customFormat="1">
      <c r="J331" s="126" t="e">
        <f t="shared" si="22"/>
        <v>#NUM!</v>
      </c>
      <c r="M331" s="127"/>
      <c r="N331" s="88"/>
      <c r="O331" s="88"/>
      <c r="P331" s="88"/>
      <c r="Q331" s="88"/>
      <c r="R331" s="88"/>
      <c r="S331" s="93"/>
      <c r="T331" s="93"/>
      <c r="U331" s="93"/>
      <c r="V331" s="93"/>
      <c r="W331" s="93"/>
      <c r="X331" s="93"/>
      <c r="Y331" s="93"/>
      <c r="Z331" s="93"/>
      <c r="AA331" s="93"/>
      <c r="AB331" s="93"/>
      <c r="AC331" s="93"/>
      <c r="AD331" s="93"/>
      <c r="AE331" s="93"/>
      <c r="AF331" s="93"/>
      <c r="AG331" s="93"/>
      <c r="AH331" s="93"/>
      <c r="AI331" s="93"/>
      <c r="AJ331" s="93"/>
      <c r="AK331" s="93"/>
      <c r="AL331" s="93"/>
    </row>
    <row r="332" spans="10:38" s="126" customFormat="1">
      <c r="J332" s="126" t="e">
        <f t="shared" si="22"/>
        <v>#NUM!</v>
      </c>
      <c r="M332" s="127"/>
      <c r="N332" s="88"/>
      <c r="O332" s="88"/>
      <c r="P332" s="88"/>
      <c r="Q332" s="88"/>
      <c r="R332" s="88"/>
      <c r="S332" s="93"/>
      <c r="T332" s="93"/>
      <c r="U332" s="93"/>
      <c r="V332" s="93"/>
      <c r="W332" s="93"/>
      <c r="X332" s="93"/>
      <c r="Y332" s="93"/>
      <c r="Z332" s="93"/>
      <c r="AA332" s="93"/>
      <c r="AB332" s="93"/>
      <c r="AC332" s="93"/>
      <c r="AD332" s="93"/>
      <c r="AE332" s="93"/>
      <c r="AF332" s="93"/>
      <c r="AG332" s="93"/>
      <c r="AH332" s="93"/>
      <c r="AI332" s="93"/>
      <c r="AJ332" s="93"/>
      <c r="AK332" s="93"/>
      <c r="AL332" s="93"/>
    </row>
    <row r="333" spans="10:38" s="126" customFormat="1">
      <c r="J333" s="126" t="e">
        <f t="shared" si="22"/>
        <v>#NUM!</v>
      </c>
      <c r="M333" s="127"/>
      <c r="N333" s="88"/>
      <c r="O333" s="88"/>
      <c r="P333" s="88"/>
      <c r="Q333" s="88"/>
      <c r="R333" s="88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  <c r="AC333" s="93"/>
      <c r="AD333" s="93"/>
      <c r="AE333" s="93"/>
      <c r="AF333" s="93"/>
      <c r="AG333" s="93"/>
      <c r="AH333" s="93"/>
      <c r="AI333" s="93"/>
      <c r="AJ333" s="93"/>
      <c r="AK333" s="93"/>
      <c r="AL333" s="93"/>
    </row>
    <row r="334" spans="10:38" s="126" customFormat="1">
      <c r="J334" s="126" t="e">
        <f t="shared" si="22"/>
        <v>#NUM!</v>
      </c>
      <c r="M334" s="127"/>
      <c r="N334" s="88"/>
      <c r="O334" s="88"/>
      <c r="P334" s="88"/>
      <c r="Q334" s="88"/>
      <c r="R334" s="88"/>
      <c r="S334" s="93"/>
      <c r="T334" s="93"/>
      <c r="U334" s="93"/>
      <c r="V334" s="93"/>
      <c r="W334" s="93"/>
      <c r="X334" s="93"/>
      <c r="Y334" s="93"/>
      <c r="Z334" s="93"/>
      <c r="AA334" s="93"/>
      <c r="AB334" s="93"/>
      <c r="AC334" s="93"/>
      <c r="AD334" s="93"/>
      <c r="AE334" s="93"/>
      <c r="AF334" s="93"/>
      <c r="AG334" s="93"/>
      <c r="AH334" s="93"/>
      <c r="AI334" s="93"/>
      <c r="AJ334" s="93"/>
      <c r="AK334" s="93"/>
      <c r="AL334" s="93"/>
    </row>
    <row r="335" spans="10:38" s="126" customFormat="1">
      <c r="J335" s="126" t="e">
        <f t="shared" si="22"/>
        <v>#NUM!</v>
      </c>
      <c r="M335" s="127"/>
      <c r="N335" s="88"/>
      <c r="O335" s="88"/>
      <c r="P335" s="88"/>
      <c r="Q335" s="88"/>
      <c r="R335" s="88"/>
      <c r="S335" s="93"/>
      <c r="T335" s="93"/>
      <c r="U335" s="93"/>
      <c r="V335" s="93"/>
      <c r="W335" s="93"/>
      <c r="X335" s="93"/>
      <c r="Y335" s="93"/>
      <c r="Z335" s="93"/>
      <c r="AA335" s="93"/>
      <c r="AB335" s="93"/>
      <c r="AC335" s="93"/>
      <c r="AD335" s="93"/>
      <c r="AE335" s="93"/>
      <c r="AF335" s="93"/>
      <c r="AG335" s="93"/>
      <c r="AH335" s="93"/>
      <c r="AI335" s="93"/>
      <c r="AJ335" s="93"/>
      <c r="AK335" s="93"/>
      <c r="AL335" s="93"/>
    </row>
    <row r="336" spans="10:38" s="126" customFormat="1">
      <c r="J336" s="126" t="e">
        <f t="shared" si="22"/>
        <v>#NUM!</v>
      </c>
      <c r="M336" s="127"/>
      <c r="N336" s="88"/>
      <c r="O336" s="88"/>
      <c r="P336" s="88"/>
      <c r="Q336" s="88"/>
      <c r="R336" s="88"/>
      <c r="S336" s="93"/>
      <c r="T336" s="93"/>
      <c r="U336" s="93"/>
      <c r="V336" s="93"/>
      <c r="W336" s="93"/>
      <c r="X336" s="93"/>
      <c r="Y336" s="93"/>
      <c r="Z336" s="93"/>
      <c r="AA336" s="93"/>
      <c r="AB336" s="93"/>
      <c r="AC336" s="93"/>
      <c r="AD336" s="93"/>
      <c r="AE336" s="93"/>
      <c r="AF336" s="93"/>
      <c r="AG336" s="93"/>
      <c r="AH336" s="93"/>
      <c r="AI336" s="93"/>
      <c r="AJ336" s="93"/>
      <c r="AK336" s="93"/>
      <c r="AL336" s="93"/>
    </row>
    <row r="337" spans="10:38" s="126" customFormat="1">
      <c r="J337" s="126" t="e">
        <f t="shared" si="22"/>
        <v>#NUM!</v>
      </c>
      <c r="M337" s="127"/>
      <c r="N337" s="88"/>
      <c r="O337" s="88"/>
      <c r="P337" s="88"/>
      <c r="Q337" s="88"/>
      <c r="R337" s="88"/>
      <c r="S337" s="93"/>
      <c r="T337" s="93"/>
      <c r="U337" s="93"/>
      <c r="V337" s="93"/>
      <c r="W337" s="93"/>
      <c r="X337" s="93"/>
      <c r="Y337" s="93"/>
      <c r="Z337" s="93"/>
      <c r="AA337" s="93"/>
      <c r="AB337" s="93"/>
      <c r="AC337" s="93"/>
      <c r="AD337" s="93"/>
      <c r="AE337" s="93"/>
      <c r="AF337" s="93"/>
      <c r="AG337" s="93"/>
      <c r="AH337" s="93"/>
      <c r="AI337" s="93"/>
      <c r="AJ337" s="93"/>
      <c r="AK337" s="93"/>
      <c r="AL337" s="93"/>
    </row>
    <row r="338" spans="10:38" s="126" customFormat="1">
      <c r="J338" s="126" t="e">
        <f t="shared" si="22"/>
        <v>#NUM!</v>
      </c>
      <c r="M338" s="127"/>
      <c r="N338" s="88"/>
      <c r="O338" s="88"/>
      <c r="P338" s="88"/>
      <c r="Q338" s="88"/>
      <c r="R338" s="88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  <c r="AF338" s="93"/>
      <c r="AG338" s="93"/>
      <c r="AH338" s="93"/>
      <c r="AI338" s="93"/>
      <c r="AJ338" s="93"/>
      <c r="AK338" s="93"/>
      <c r="AL338" s="93"/>
    </row>
    <row r="339" spans="10:38" s="126" customFormat="1">
      <c r="J339" s="126" t="e">
        <f t="shared" si="22"/>
        <v>#NUM!</v>
      </c>
      <c r="M339" s="127"/>
      <c r="N339" s="88"/>
      <c r="O339" s="88"/>
      <c r="P339" s="88"/>
      <c r="Q339" s="88"/>
      <c r="R339" s="88"/>
      <c r="S339" s="93"/>
      <c r="T339" s="93"/>
      <c r="U339" s="93"/>
      <c r="V339" s="93"/>
      <c r="W339" s="93"/>
      <c r="X339" s="93"/>
      <c r="Y339" s="93"/>
      <c r="Z339" s="93"/>
      <c r="AA339" s="93"/>
      <c r="AB339" s="93"/>
      <c r="AC339" s="93"/>
      <c r="AD339" s="93"/>
      <c r="AE339" s="93"/>
      <c r="AF339" s="93"/>
      <c r="AG339" s="93"/>
      <c r="AH339" s="93"/>
      <c r="AI339" s="93"/>
      <c r="AJ339" s="93"/>
      <c r="AK339" s="93"/>
      <c r="AL339" s="93"/>
    </row>
    <row r="340" spans="10:38" s="126" customFormat="1">
      <c r="J340" s="126" t="e">
        <f t="shared" si="22"/>
        <v>#NUM!</v>
      </c>
      <c r="M340" s="127"/>
      <c r="N340" s="88"/>
      <c r="O340" s="88"/>
      <c r="P340" s="88"/>
      <c r="Q340" s="88"/>
      <c r="R340" s="88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</row>
    <row r="341" spans="10:38" s="126" customFormat="1">
      <c r="J341" s="126" t="e">
        <f t="shared" si="22"/>
        <v>#NUM!</v>
      </c>
      <c r="M341" s="127"/>
      <c r="N341" s="88"/>
      <c r="O341" s="88"/>
      <c r="P341" s="88"/>
      <c r="Q341" s="88"/>
      <c r="R341" s="88"/>
      <c r="S341" s="93"/>
      <c r="T341" s="93"/>
      <c r="U341" s="93"/>
      <c r="V341" s="93"/>
      <c r="W341" s="93"/>
      <c r="X341" s="93"/>
      <c r="Y341" s="93"/>
      <c r="Z341" s="93"/>
      <c r="AA341" s="93"/>
      <c r="AB341" s="93"/>
      <c r="AC341" s="93"/>
      <c r="AD341" s="93"/>
      <c r="AE341" s="93"/>
      <c r="AF341" s="93"/>
      <c r="AG341" s="93"/>
      <c r="AH341" s="93"/>
      <c r="AI341" s="93"/>
      <c r="AJ341" s="93"/>
      <c r="AK341" s="93"/>
      <c r="AL341" s="93"/>
    </row>
    <row r="342" spans="10:38" s="126" customFormat="1">
      <c r="J342" s="126" t="e">
        <f t="shared" si="22"/>
        <v>#NUM!</v>
      </c>
      <c r="M342" s="127"/>
      <c r="N342" s="88"/>
      <c r="O342" s="88"/>
      <c r="P342" s="88"/>
      <c r="Q342" s="88"/>
      <c r="R342" s="88"/>
      <c r="S342" s="93"/>
      <c r="T342" s="93"/>
      <c r="U342" s="93"/>
      <c r="V342" s="93"/>
      <c r="W342" s="93"/>
      <c r="X342" s="93"/>
      <c r="Y342" s="93"/>
      <c r="Z342" s="93"/>
      <c r="AA342" s="93"/>
      <c r="AB342" s="93"/>
      <c r="AC342" s="93"/>
      <c r="AD342" s="93"/>
      <c r="AE342" s="93"/>
      <c r="AF342" s="93"/>
      <c r="AG342" s="93"/>
      <c r="AH342" s="93"/>
      <c r="AI342" s="93"/>
      <c r="AJ342" s="93"/>
      <c r="AK342" s="93"/>
      <c r="AL342" s="93"/>
    </row>
    <row r="343" spans="10:38" s="126" customFormat="1">
      <c r="J343" s="126" t="e">
        <f t="shared" si="22"/>
        <v>#NUM!</v>
      </c>
      <c r="M343" s="127"/>
      <c r="N343" s="88"/>
      <c r="O343" s="88"/>
      <c r="P343" s="88"/>
      <c r="Q343" s="88"/>
      <c r="R343" s="88"/>
      <c r="S343" s="93"/>
      <c r="T343" s="93"/>
      <c r="U343" s="93"/>
      <c r="V343" s="93"/>
      <c r="W343" s="93"/>
      <c r="X343" s="93"/>
      <c r="Y343" s="93"/>
      <c r="Z343" s="93"/>
      <c r="AA343" s="93"/>
      <c r="AB343" s="93"/>
      <c r="AC343" s="93"/>
      <c r="AD343" s="93"/>
      <c r="AE343" s="93"/>
      <c r="AF343" s="93"/>
      <c r="AG343" s="93"/>
      <c r="AH343" s="93"/>
      <c r="AI343" s="93"/>
      <c r="AJ343" s="93"/>
      <c r="AK343" s="93"/>
      <c r="AL343" s="93"/>
    </row>
    <row r="344" spans="10:38" s="126" customFormat="1">
      <c r="J344" s="126" t="e">
        <f t="shared" si="22"/>
        <v>#NUM!</v>
      </c>
      <c r="M344" s="127"/>
      <c r="N344" s="88"/>
      <c r="O344" s="88"/>
      <c r="P344" s="88"/>
      <c r="Q344" s="88"/>
      <c r="R344" s="88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  <c r="AC344" s="93"/>
      <c r="AD344" s="93"/>
      <c r="AE344" s="93"/>
      <c r="AF344" s="93"/>
      <c r="AG344" s="93"/>
      <c r="AH344" s="93"/>
      <c r="AI344" s="93"/>
      <c r="AJ344" s="93"/>
      <c r="AK344" s="93"/>
      <c r="AL344" s="93"/>
    </row>
    <row r="345" spans="10:38" s="126" customFormat="1">
      <c r="J345" s="126" t="e">
        <f t="shared" si="22"/>
        <v>#NUM!</v>
      </c>
      <c r="M345" s="127"/>
      <c r="N345" s="88"/>
      <c r="O345" s="88"/>
      <c r="P345" s="88"/>
      <c r="Q345" s="88"/>
      <c r="R345" s="88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  <c r="AC345" s="93"/>
      <c r="AD345" s="93"/>
      <c r="AE345" s="93"/>
      <c r="AF345" s="93"/>
      <c r="AG345" s="93"/>
      <c r="AH345" s="93"/>
      <c r="AI345" s="93"/>
      <c r="AJ345" s="93"/>
      <c r="AK345" s="93"/>
      <c r="AL345" s="93"/>
    </row>
    <row r="346" spans="10:38" s="126" customFormat="1">
      <c r="J346" s="126" t="e">
        <f t="shared" si="22"/>
        <v>#NUM!</v>
      </c>
      <c r="M346" s="127"/>
      <c r="N346" s="88"/>
      <c r="O346" s="88"/>
      <c r="P346" s="88"/>
      <c r="Q346" s="88"/>
      <c r="R346" s="88"/>
      <c r="S346" s="93"/>
      <c r="T346" s="93"/>
      <c r="U346" s="93"/>
      <c r="V346" s="93"/>
      <c r="W346" s="93"/>
      <c r="X346" s="93"/>
      <c r="Y346" s="93"/>
      <c r="Z346" s="93"/>
      <c r="AA346" s="93"/>
      <c r="AB346" s="93"/>
      <c r="AC346" s="93"/>
      <c r="AD346" s="93"/>
      <c r="AE346" s="93"/>
      <c r="AF346" s="93"/>
      <c r="AG346" s="93"/>
      <c r="AH346" s="93"/>
      <c r="AI346" s="93"/>
      <c r="AJ346" s="93"/>
      <c r="AK346" s="93"/>
      <c r="AL346" s="93"/>
    </row>
    <row r="347" spans="10:38" s="126" customFormat="1">
      <c r="J347" s="126" t="e">
        <f t="shared" si="22"/>
        <v>#NUM!</v>
      </c>
      <c r="M347" s="127"/>
      <c r="N347" s="88"/>
      <c r="O347" s="88"/>
      <c r="P347" s="88"/>
      <c r="Q347" s="88"/>
      <c r="R347" s="88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  <c r="AC347" s="93"/>
      <c r="AD347" s="93"/>
      <c r="AE347" s="93"/>
      <c r="AF347" s="93"/>
      <c r="AG347" s="93"/>
      <c r="AH347" s="93"/>
      <c r="AI347" s="93"/>
      <c r="AJ347" s="93"/>
      <c r="AK347" s="93"/>
      <c r="AL347" s="93"/>
    </row>
    <row r="348" spans="10:38" s="126" customFormat="1">
      <c r="J348" s="126" t="e">
        <f t="shared" si="22"/>
        <v>#NUM!</v>
      </c>
      <c r="M348" s="127"/>
      <c r="N348" s="88"/>
      <c r="O348" s="88"/>
      <c r="P348" s="88"/>
      <c r="Q348" s="88"/>
      <c r="R348" s="88"/>
      <c r="S348" s="93"/>
      <c r="T348" s="93"/>
      <c r="U348" s="93"/>
      <c r="V348" s="93"/>
      <c r="W348" s="93"/>
      <c r="X348" s="93"/>
      <c r="Y348" s="93"/>
      <c r="Z348" s="93"/>
      <c r="AA348" s="93"/>
      <c r="AB348" s="93"/>
      <c r="AC348" s="93"/>
      <c r="AD348" s="93"/>
      <c r="AE348" s="93"/>
      <c r="AF348" s="93"/>
      <c r="AG348" s="93"/>
      <c r="AH348" s="93"/>
      <c r="AI348" s="93"/>
      <c r="AJ348" s="93"/>
      <c r="AK348" s="93"/>
      <c r="AL348" s="93"/>
    </row>
    <row r="349" spans="10:38" s="126" customFormat="1">
      <c r="J349" s="126" t="e">
        <f t="shared" si="22"/>
        <v>#NUM!</v>
      </c>
      <c r="M349" s="127"/>
      <c r="N349" s="88"/>
      <c r="O349" s="88"/>
      <c r="P349" s="88"/>
      <c r="Q349" s="88"/>
      <c r="R349" s="88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3"/>
      <c r="AH349" s="93"/>
      <c r="AI349" s="93"/>
      <c r="AJ349" s="93"/>
      <c r="AK349" s="93"/>
      <c r="AL349" s="93"/>
    </row>
    <row r="350" spans="10:38" s="126" customFormat="1">
      <c r="J350" s="126" t="e">
        <f t="shared" si="22"/>
        <v>#NUM!</v>
      </c>
      <c r="M350" s="127"/>
      <c r="N350" s="88"/>
      <c r="O350" s="88"/>
      <c r="P350" s="88"/>
      <c r="Q350" s="88"/>
      <c r="R350" s="88"/>
      <c r="S350" s="93"/>
      <c r="T350" s="93"/>
      <c r="U350" s="93"/>
      <c r="V350" s="93"/>
      <c r="W350" s="93"/>
      <c r="X350" s="93"/>
      <c r="Y350" s="93"/>
      <c r="Z350" s="93"/>
      <c r="AA350" s="93"/>
      <c r="AB350" s="93"/>
      <c r="AC350" s="93"/>
      <c r="AD350" s="93"/>
      <c r="AE350" s="93"/>
      <c r="AF350" s="93"/>
      <c r="AG350" s="93"/>
      <c r="AH350" s="93"/>
      <c r="AI350" s="93"/>
      <c r="AJ350" s="93"/>
      <c r="AK350" s="93"/>
      <c r="AL350" s="93"/>
    </row>
    <row r="351" spans="10:38" s="126" customFormat="1">
      <c r="J351" s="126" t="e">
        <f t="shared" si="22"/>
        <v>#NUM!</v>
      </c>
      <c r="M351" s="127"/>
      <c r="N351" s="88"/>
      <c r="O351" s="88"/>
      <c r="P351" s="88"/>
      <c r="Q351" s="88"/>
      <c r="R351" s="88"/>
      <c r="S351" s="93"/>
      <c r="T351" s="93"/>
      <c r="U351" s="93"/>
      <c r="V351" s="93"/>
      <c r="W351" s="93"/>
      <c r="X351" s="93"/>
      <c r="Y351" s="93"/>
      <c r="Z351" s="93"/>
      <c r="AA351" s="93"/>
      <c r="AB351" s="93"/>
      <c r="AC351" s="93"/>
      <c r="AD351" s="93"/>
      <c r="AE351" s="93"/>
      <c r="AF351" s="93"/>
      <c r="AG351" s="93"/>
      <c r="AH351" s="93"/>
      <c r="AI351" s="93"/>
      <c r="AJ351" s="93"/>
      <c r="AK351" s="93"/>
      <c r="AL351" s="93"/>
    </row>
    <row r="352" spans="10:38" s="126" customFormat="1">
      <c r="J352" s="126" t="e">
        <f t="shared" si="22"/>
        <v>#NUM!</v>
      </c>
      <c r="M352" s="127"/>
      <c r="N352" s="88"/>
      <c r="O352" s="88"/>
      <c r="P352" s="88"/>
      <c r="Q352" s="88"/>
      <c r="R352" s="88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  <c r="AC352" s="93"/>
      <c r="AD352" s="93"/>
      <c r="AE352" s="93"/>
      <c r="AF352" s="93"/>
      <c r="AG352" s="93"/>
      <c r="AH352" s="93"/>
      <c r="AI352" s="93"/>
      <c r="AJ352" s="93"/>
      <c r="AK352" s="93"/>
      <c r="AL352" s="93"/>
    </row>
    <row r="353" spans="10:38" s="126" customFormat="1">
      <c r="J353" s="126" t="e">
        <f t="shared" si="22"/>
        <v>#NUM!</v>
      </c>
      <c r="M353" s="127"/>
      <c r="N353" s="88"/>
      <c r="O353" s="88"/>
      <c r="P353" s="88"/>
      <c r="Q353" s="88"/>
      <c r="R353" s="88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  <c r="AE353" s="93"/>
      <c r="AF353" s="93"/>
      <c r="AG353" s="93"/>
      <c r="AH353" s="93"/>
      <c r="AI353" s="93"/>
      <c r="AJ353" s="93"/>
      <c r="AK353" s="93"/>
      <c r="AL353" s="93"/>
    </row>
    <row r="354" spans="10:38" s="126" customFormat="1">
      <c r="J354" s="126" t="e">
        <f t="shared" si="22"/>
        <v>#NUM!</v>
      </c>
      <c r="M354" s="127"/>
      <c r="N354" s="88"/>
      <c r="O354" s="88"/>
      <c r="P354" s="88"/>
      <c r="Q354" s="88"/>
      <c r="R354" s="88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  <c r="AC354" s="93"/>
      <c r="AD354" s="93"/>
      <c r="AE354" s="93"/>
      <c r="AF354" s="93"/>
      <c r="AG354" s="93"/>
      <c r="AH354" s="93"/>
      <c r="AI354" s="93"/>
      <c r="AJ354" s="93"/>
      <c r="AK354" s="93"/>
      <c r="AL354" s="93"/>
    </row>
    <row r="355" spans="10:38" s="126" customFormat="1">
      <c r="J355" s="126" t="e">
        <f t="shared" si="22"/>
        <v>#NUM!</v>
      </c>
      <c r="M355" s="127"/>
      <c r="N355" s="88"/>
      <c r="O355" s="88"/>
      <c r="P355" s="88"/>
      <c r="Q355" s="88"/>
      <c r="R355" s="88"/>
      <c r="S355" s="93"/>
      <c r="T355" s="93"/>
      <c r="U355" s="93"/>
      <c r="V355" s="93"/>
      <c r="W355" s="93"/>
      <c r="X355" s="93"/>
      <c r="Y355" s="93"/>
      <c r="Z355" s="93"/>
      <c r="AA355" s="93"/>
      <c r="AB355" s="93"/>
      <c r="AC355" s="93"/>
      <c r="AD355" s="93"/>
      <c r="AE355" s="93"/>
      <c r="AF355" s="93"/>
      <c r="AG355" s="93"/>
      <c r="AH355" s="93"/>
      <c r="AI355" s="93"/>
      <c r="AJ355" s="93"/>
      <c r="AK355" s="93"/>
      <c r="AL355" s="93"/>
    </row>
    <row r="356" spans="10:38" s="126" customFormat="1">
      <c r="J356" s="126" t="e">
        <f t="shared" si="22"/>
        <v>#NUM!</v>
      </c>
      <c r="M356" s="127"/>
      <c r="N356" s="88"/>
      <c r="O356" s="88"/>
      <c r="P356" s="88"/>
      <c r="Q356" s="88"/>
      <c r="R356" s="88"/>
      <c r="S356" s="93"/>
      <c r="T356" s="93"/>
      <c r="U356" s="93"/>
      <c r="V356" s="93"/>
      <c r="W356" s="93"/>
      <c r="X356" s="93"/>
      <c r="Y356" s="93"/>
      <c r="Z356" s="93"/>
      <c r="AA356" s="93"/>
      <c r="AB356" s="93"/>
      <c r="AC356" s="93"/>
      <c r="AD356" s="93"/>
      <c r="AE356" s="93"/>
      <c r="AF356" s="93"/>
      <c r="AG356" s="93"/>
      <c r="AH356" s="93"/>
      <c r="AI356" s="93"/>
      <c r="AJ356" s="93"/>
      <c r="AK356" s="93"/>
      <c r="AL356" s="93"/>
    </row>
    <row r="357" spans="10:38" s="126" customFormat="1">
      <c r="J357" s="126" t="e">
        <f t="shared" si="22"/>
        <v>#NUM!</v>
      </c>
      <c r="M357" s="127"/>
      <c r="N357" s="88"/>
      <c r="O357" s="88"/>
      <c r="P357" s="88"/>
      <c r="Q357" s="88"/>
      <c r="R357" s="88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  <c r="AC357" s="93"/>
      <c r="AD357" s="93"/>
      <c r="AE357" s="93"/>
      <c r="AF357" s="93"/>
      <c r="AG357" s="93"/>
      <c r="AH357" s="93"/>
      <c r="AI357" s="93"/>
      <c r="AJ357" s="93"/>
      <c r="AK357" s="93"/>
      <c r="AL357" s="93"/>
    </row>
    <row r="358" spans="10:38" s="126" customFormat="1">
      <c r="J358" s="126" t="e">
        <f t="shared" si="22"/>
        <v>#NUM!</v>
      </c>
      <c r="M358" s="127"/>
      <c r="N358" s="88"/>
      <c r="O358" s="88"/>
      <c r="P358" s="88"/>
      <c r="Q358" s="88"/>
      <c r="R358" s="88"/>
      <c r="S358" s="93"/>
      <c r="T358" s="93"/>
      <c r="U358" s="93"/>
      <c r="V358" s="93"/>
      <c r="W358" s="93"/>
      <c r="X358" s="93"/>
      <c r="Y358" s="93"/>
      <c r="Z358" s="93"/>
      <c r="AA358" s="93"/>
      <c r="AB358" s="93"/>
      <c r="AC358" s="93"/>
      <c r="AD358" s="93"/>
      <c r="AE358" s="93"/>
      <c r="AF358" s="93"/>
      <c r="AG358" s="93"/>
      <c r="AH358" s="93"/>
      <c r="AI358" s="93"/>
      <c r="AJ358" s="93"/>
      <c r="AK358" s="93"/>
      <c r="AL358" s="93"/>
    </row>
    <row r="359" spans="10:38" s="126" customFormat="1">
      <c r="J359" s="126" t="e">
        <f t="shared" si="22"/>
        <v>#NUM!</v>
      </c>
      <c r="M359" s="127"/>
      <c r="N359" s="88"/>
      <c r="O359" s="88"/>
      <c r="P359" s="88"/>
      <c r="Q359" s="88"/>
      <c r="R359" s="88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  <c r="AC359" s="93"/>
      <c r="AD359" s="93"/>
      <c r="AE359" s="93"/>
      <c r="AF359" s="93"/>
      <c r="AG359" s="93"/>
      <c r="AH359" s="93"/>
      <c r="AI359" s="93"/>
      <c r="AJ359" s="93"/>
      <c r="AK359" s="93"/>
      <c r="AL359" s="93"/>
    </row>
    <row r="360" spans="10:38" s="126" customFormat="1">
      <c r="J360" s="126" t="e">
        <f t="shared" si="22"/>
        <v>#NUM!</v>
      </c>
      <c r="M360" s="127"/>
      <c r="N360" s="88"/>
      <c r="O360" s="88"/>
      <c r="P360" s="88"/>
      <c r="Q360" s="88"/>
      <c r="R360" s="88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3"/>
      <c r="AD360" s="93"/>
      <c r="AE360" s="93"/>
      <c r="AF360" s="93"/>
      <c r="AG360" s="93"/>
      <c r="AH360" s="93"/>
      <c r="AI360" s="93"/>
      <c r="AJ360" s="93"/>
      <c r="AK360" s="93"/>
      <c r="AL360" s="93"/>
    </row>
    <row r="361" spans="10:38" s="126" customFormat="1">
      <c r="J361" s="126" t="e">
        <f t="shared" si="22"/>
        <v>#NUM!</v>
      </c>
      <c r="M361" s="127"/>
      <c r="N361" s="88"/>
      <c r="O361" s="88"/>
      <c r="P361" s="88"/>
      <c r="Q361" s="88"/>
      <c r="R361" s="88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93"/>
      <c r="AG361" s="93"/>
      <c r="AH361" s="93"/>
      <c r="AI361" s="93"/>
      <c r="AJ361" s="93"/>
      <c r="AK361" s="93"/>
      <c r="AL361" s="93"/>
    </row>
    <row r="362" spans="10:38" s="126" customFormat="1">
      <c r="J362" s="126" t="e">
        <f t="shared" si="22"/>
        <v>#NUM!</v>
      </c>
      <c r="M362" s="127"/>
      <c r="N362" s="88"/>
      <c r="O362" s="88"/>
      <c r="P362" s="88"/>
      <c r="Q362" s="88"/>
      <c r="R362" s="88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3"/>
      <c r="AH362" s="93"/>
      <c r="AI362" s="93"/>
      <c r="AJ362" s="93"/>
      <c r="AK362" s="93"/>
      <c r="AL362" s="93"/>
    </row>
    <row r="363" spans="10:38" s="126" customFormat="1">
      <c r="J363" s="126" t="e">
        <f t="shared" si="22"/>
        <v>#NUM!</v>
      </c>
      <c r="M363" s="127"/>
      <c r="N363" s="88"/>
      <c r="O363" s="88"/>
      <c r="P363" s="88"/>
      <c r="Q363" s="88"/>
      <c r="R363" s="88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  <c r="AE363" s="93"/>
      <c r="AF363" s="93"/>
      <c r="AG363" s="93"/>
      <c r="AH363" s="93"/>
      <c r="AI363" s="93"/>
      <c r="AJ363" s="93"/>
      <c r="AK363" s="93"/>
      <c r="AL363" s="93"/>
    </row>
    <row r="364" spans="10:38" s="126" customFormat="1">
      <c r="J364" s="126" t="e">
        <f t="shared" si="22"/>
        <v>#NUM!</v>
      </c>
      <c r="M364" s="127"/>
      <c r="N364" s="88"/>
      <c r="O364" s="88"/>
      <c r="P364" s="88"/>
      <c r="Q364" s="88"/>
      <c r="R364" s="88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  <c r="AE364" s="93"/>
      <c r="AF364" s="93"/>
      <c r="AG364" s="93"/>
      <c r="AH364" s="93"/>
      <c r="AI364" s="93"/>
      <c r="AJ364" s="93"/>
      <c r="AK364" s="93"/>
      <c r="AL364" s="93"/>
    </row>
    <row r="365" spans="10:38" s="126" customFormat="1">
      <c r="J365" s="126" t="e">
        <f t="shared" si="22"/>
        <v>#NUM!</v>
      </c>
      <c r="M365" s="127"/>
      <c r="N365" s="88"/>
      <c r="O365" s="88"/>
      <c r="P365" s="88"/>
      <c r="Q365" s="88"/>
      <c r="R365" s="88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3"/>
      <c r="AE365" s="93"/>
      <c r="AF365" s="93"/>
      <c r="AG365" s="93"/>
      <c r="AH365" s="93"/>
      <c r="AI365" s="93"/>
      <c r="AJ365" s="93"/>
      <c r="AK365" s="93"/>
      <c r="AL365" s="93"/>
    </row>
    <row r="366" spans="10:38" s="126" customFormat="1">
      <c r="J366" s="126" t="e">
        <f t="shared" si="22"/>
        <v>#NUM!</v>
      </c>
      <c r="M366" s="127"/>
      <c r="N366" s="88"/>
      <c r="O366" s="88"/>
      <c r="P366" s="88"/>
      <c r="Q366" s="88"/>
      <c r="R366" s="88"/>
      <c r="S366" s="93"/>
      <c r="T366" s="93"/>
      <c r="U366" s="93"/>
      <c r="V366" s="93"/>
      <c r="W366" s="93"/>
      <c r="X366" s="93"/>
      <c r="Y366" s="93"/>
      <c r="Z366" s="93"/>
      <c r="AA366" s="93"/>
      <c r="AB366" s="93"/>
      <c r="AC366" s="93"/>
      <c r="AD366" s="93"/>
      <c r="AE366" s="93"/>
      <c r="AF366" s="93"/>
      <c r="AG366" s="93"/>
      <c r="AH366" s="93"/>
      <c r="AI366" s="93"/>
      <c r="AJ366" s="93"/>
      <c r="AK366" s="93"/>
      <c r="AL366" s="93"/>
    </row>
    <row r="367" spans="10:38" s="126" customFormat="1">
      <c r="J367" s="126" t="e">
        <f t="shared" si="22"/>
        <v>#NUM!</v>
      </c>
      <c r="M367" s="127"/>
      <c r="N367" s="88"/>
      <c r="O367" s="88"/>
      <c r="P367" s="88"/>
      <c r="Q367" s="88"/>
      <c r="R367" s="88"/>
      <c r="S367" s="93"/>
      <c r="T367" s="93"/>
      <c r="U367" s="93"/>
      <c r="V367" s="93"/>
      <c r="W367" s="93"/>
      <c r="X367" s="93"/>
      <c r="Y367" s="93"/>
      <c r="Z367" s="93"/>
      <c r="AA367" s="93"/>
      <c r="AB367" s="93"/>
      <c r="AC367" s="93"/>
      <c r="AD367" s="93"/>
      <c r="AE367" s="93"/>
      <c r="AF367" s="93"/>
      <c r="AG367" s="93"/>
      <c r="AH367" s="93"/>
      <c r="AI367" s="93"/>
      <c r="AJ367" s="93"/>
      <c r="AK367" s="93"/>
      <c r="AL367" s="93"/>
    </row>
    <row r="368" spans="10:38" s="126" customFormat="1">
      <c r="J368" s="126" t="e">
        <f t="shared" si="22"/>
        <v>#NUM!</v>
      </c>
      <c r="M368" s="127"/>
      <c r="N368" s="88"/>
      <c r="O368" s="88"/>
      <c r="P368" s="88"/>
      <c r="Q368" s="88"/>
      <c r="R368" s="88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3"/>
      <c r="AD368" s="93"/>
      <c r="AE368" s="93"/>
      <c r="AF368" s="93"/>
      <c r="AG368" s="93"/>
      <c r="AH368" s="93"/>
      <c r="AI368" s="93"/>
      <c r="AJ368" s="93"/>
      <c r="AK368" s="93"/>
      <c r="AL368" s="93"/>
    </row>
    <row r="369" spans="10:38" s="126" customFormat="1">
      <c r="J369" s="126" t="e">
        <f t="shared" si="22"/>
        <v>#NUM!</v>
      </c>
      <c r="M369" s="127"/>
      <c r="N369" s="88"/>
      <c r="O369" s="88"/>
      <c r="P369" s="88"/>
      <c r="Q369" s="88"/>
      <c r="R369" s="88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  <c r="AD369" s="93"/>
      <c r="AE369" s="93"/>
      <c r="AF369" s="93"/>
      <c r="AG369" s="93"/>
      <c r="AH369" s="93"/>
      <c r="AI369" s="93"/>
      <c r="AJ369" s="93"/>
      <c r="AK369" s="93"/>
      <c r="AL369" s="93"/>
    </row>
    <row r="370" spans="10:38" s="126" customFormat="1">
      <c r="J370" s="126" t="e">
        <f t="shared" si="22"/>
        <v>#NUM!</v>
      </c>
      <c r="M370" s="127"/>
      <c r="N370" s="88"/>
      <c r="O370" s="88"/>
      <c r="P370" s="88"/>
      <c r="Q370" s="88"/>
      <c r="R370" s="88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3"/>
      <c r="AD370" s="93"/>
      <c r="AE370" s="93"/>
      <c r="AF370" s="93"/>
      <c r="AG370" s="93"/>
      <c r="AH370" s="93"/>
      <c r="AI370" s="93"/>
      <c r="AJ370" s="93"/>
      <c r="AK370" s="93"/>
      <c r="AL370" s="93"/>
    </row>
    <row r="371" spans="10:38" s="126" customFormat="1">
      <c r="J371" s="126" t="e">
        <f t="shared" si="22"/>
        <v>#NUM!</v>
      </c>
      <c r="M371" s="127"/>
      <c r="N371" s="88"/>
      <c r="O371" s="88"/>
      <c r="P371" s="88"/>
      <c r="Q371" s="88"/>
      <c r="R371" s="88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  <c r="AE371" s="93"/>
      <c r="AF371" s="93"/>
      <c r="AG371" s="93"/>
      <c r="AH371" s="93"/>
      <c r="AI371" s="93"/>
      <c r="AJ371" s="93"/>
      <c r="AK371" s="93"/>
      <c r="AL371" s="93"/>
    </row>
    <row r="372" spans="10:38" s="126" customFormat="1">
      <c r="J372" s="126" t="e">
        <f t="shared" si="22"/>
        <v>#NUM!</v>
      </c>
      <c r="M372" s="127"/>
      <c r="N372" s="88"/>
      <c r="O372" s="88"/>
      <c r="P372" s="88"/>
      <c r="Q372" s="88"/>
      <c r="R372" s="88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  <c r="AF372" s="93"/>
      <c r="AG372" s="93"/>
      <c r="AH372" s="93"/>
      <c r="AI372" s="93"/>
      <c r="AJ372" s="93"/>
      <c r="AK372" s="93"/>
      <c r="AL372" s="93"/>
    </row>
    <row r="373" spans="10:38" s="126" customFormat="1">
      <c r="J373" s="126" t="e">
        <f t="shared" si="22"/>
        <v>#NUM!</v>
      </c>
      <c r="M373" s="127"/>
      <c r="N373" s="88"/>
      <c r="O373" s="88"/>
      <c r="P373" s="88"/>
      <c r="Q373" s="88"/>
      <c r="R373" s="88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3"/>
      <c r="AH373" s="93"/>
      <c r="AI373" s="93"/>
      <c r="AJ373" s="93"/>
      <c r="AK373" s="93"/>
      <c r="AL373" s="93"/>
    </row>
    <row r="374" spans="10:38" s="126" customFormat="1">
      <c r="J374" s="126" t="e">
        <f t="shared" si="22"/>
        <v>#NUM!</v>
      </c>
      <c r="M374" s="127"/>
      <c r="N374" s="88"/>
      <c r="O374" s="88"/>
      <c r="P374" s="88"/>
      <c r="Q374" s="88"/>
      <c r="R374" s="88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  <c r="AE374" s="93"/>
      <c r="AF374" s="93"/>
      <c r="AG374" s="93"/>
      <c r="AH374" s="93"/>
      <c r="AI374" s="93"/>
      <c r="AJ374" s="93"/>
      <c r="AK374" s="93"/>
      <c r="AL374" s="93"/>
    </row>
  </sheetData>
  <conditionalFormatting sqref="J9:K305">
    <cfRule type="cellIs" dxfId="19" priority="1" operator="lessThanOrEqual">
      <formula>0</formula>
    </cfRule>
  </conditionalFormatting>
  <hyperlinks>
    <hyperlink ref="C2" r:id="rId1" xr:uid="{4F1349A1-5EEE-4B8E-A134-BD609D14059E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81F63-A855-48AA-A5D7-BBE96FB5A3D2}">
  <sheetPr>
    <tabColor rgb="FF92D050"/>
  </sheetPr>
  <dimension ref="A1:AL374"/>
  <sheetViews>
    <sheetView zoomScaleNormal="100" workbookViewId="0">
      <selection activeCell="H2" sqref="H2"/>
    </sheetView>
  </sheetViews>
  <sheetFormatPr defaultColWidth="8.85546875" defaultRowHeight="14.25"/>
  <cols>
    <col min="1" max="1" width="8" style="123" customWidth="1"/>
    <col min="2" max="2" width="8.28515625" style="123" customWidth="1"/>
    <col min="3" max="3" width="34.7109375" style="123" customWidth="1"/>
    <col min="4" max="4" width="11.28515625" style="123" customWidth="1"/>
    <col min="5" max="6" width="8.85546875" style="123"/>
    <col min="7" max="7" width="0.85546875" style="123" customWidth="1"/>
    <col min="8" max="8" width="8.85546875" style="126"/>
    <col min="9" max="9" width="11" style="126" customWidth="1"/>
    <col min="10" max="10" width="15.28515625" style="126" customWidth="1"/>
    <col min="11" max="11" width="8.7109375" style="126" customWidth="1"/>
    <col min="12" max="12" width="11" style="126" customWidth="1"/>
    <col min="13" max="13" width="12.28515625" style="127" customWidth="1"/>
    <col min="14" max="15" width="13.85546875" style="88" customWidth="1"/>
    <col min="16" max="18" width="8.85546875" style="88"/>
    <col min="19" max="20" width="8.85546875" style="93"/>
    <col min="21" max="21" width="12.140625" style="93" customWidth="1"/>
    <col min="22" max="22" width="27.42578125" style="93" customWidth="1"/>
    <col min="23" max="38" width="8.85546875" style="93"/>
    <col min="39" max="16384" width="8.85546875" style="123"/>
  </cols>
  <sheetData>
    <row r="1" spans="1:36" s="93" customFormat="1">
      <c r="A1" s="88"/>
      <c r="B1" s="88"/>
      <c r="C1" s="88"/>
      <c r="D1" s="88"/>
      <c r="E1" s="88"/>
      <c r="F1" s="88"/>
      <c r="G1" s="88"/>
      <c r="H1" s="89" t="s">
        <v>34</v>
      </c>
      <c r="I1" s="90" t="s">
        <v>35</v>
      </c>
      <c r="J1" s="90" t="s">
        <v>36</v>
      </c>
      <c r="K1" s="91" t="s">
        <v>131</v>
      </c>
      <c r="L1" s="92"/>
      <c r="M1" s="92"/>
      <c r="N1" s="88"/>
      <c r="O1" s="88"/>
      <c r="P1" s="88"/>
      <c r="Q1" s="88"/>
      <c r="R1" s="88"/>
    </row>
    <row r="2" spans="1:36" s="93" customFormat="1">
      <c r="A2" s="88"/>
      <c r="B2" s="21" t="s">
        <v>38</v>
      </c>
      <c r="C2" s="74" t="s">
        <v>134</v>
      </c>
      <c r="D2" s="73"/>
      <c r="E2" s="22"/>
      <c r="F2" s="22"/>
      <c r="G2" s="22"/>
      <c r="H2" s="94">
        <v>0</v>
      </c>
      <c r="I2" s="95">
        <v>50</v>
      </c>
      <c r="J2" s="95">
        <v>10</v>
      </c>
      <c r="K2" s="96">
        <f>3*H2^(1/3)</f>
        <v>0</v>
      </c>
      <c r="L2" s="92"/>
      <c r="M2" s="92"/>
      <c r="N2" s="88"/>
      <c r="O2" s="88"/>
      <c r="P2" s="88"/>
      <c r="Q2" s="88"/>
      <c r="R2" s="88"/>
    </row>
    <row r="3" spans="1:36" s="93" customFormat="1">
      <c r="A3" s="88"/>
      <c r="B3" s="97" t="s">
        <v>40</v>
      </c>
      <c r="C3" s="74" t="s">
        <v>135</v>
      </c>
      <c r="D3" s="74"/>
      <c r="E3" s="27"/>
      <c r="F3" s="27"/>
      <c r="G3" s="27"/>
      <c r="H3" s="92"/>
      <c r="I3" s="92"/>
      <c r="J3" s="98"/>
      <c r="K3" s="92"/>
      <c r="L3" s="92"/>
      <c r="M3" s="92"/>
      <c r="N3" s="88"/>
      <c r="O3" s="88"/>
      <c r="P3" s="88"/>
      <c r="Q3" s="88"/>
      <c r="R3" s="88"/>
    </row>
    <row r="4" spans="1:36" s="93" customFormat="1" ht="10.15" customHeight="1">
      <c r="A4" s="29"/>
      <c r="B4" s="27"/>
      <c r="C4" s="29"/>
      <c r="D4" s="29"/>
      <c r="E4" s="29"/>
      <c r="F4" s="29"/>
      <c r="G4" s="29"/>
      <c r="H4" s="92"/>
      <c r="I4" s="92"/>
      <c r="J4" s="98"/>
      <c r="K4" s="92"/>
      <c r="L4" s="92"/>
      <c r="M4" s="92"/>
      <c r="N4" s="88"/>
      <c r="O4" s="88"/>
      <c r="P4" s="88"/>
      <c r="Q4" s="88"/>
      <c r="R4" s="88"/>
    </row>
    <row r="5" spans="1:36" s="93" customFormat="1" ht="34.700000000000003">
      <c r="A5" s="1" t="s">
        <v>42</v>
      </c>
      <c r="B5" s="30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9"/>
      <c r="H5" s="99" t="s">
        <v>48</v>
      </c>
      <c r="I5" s="100" t="s">
        <v>49</v>
      </c>
      <c r="J5" s="101" t="s">
        <v>50</v>
      </c>
      <c r="K5" s="100" t="s">
        <v>51</v>
      </c>
      <c r="L5" s="100" t="s">
        <v>52</v>
      </c>
      <c r="M5" s="99" t="s">
        <v>53</v>
      </c>
      <c r="N5" s="88"/>
      <c r="O5" s="88"/>
      <c r="P5" s="88"/>
      <c r="Q5" s="88"/>
      <c r="R5" s="88"/>
    </row>
    <row r="6" spans="1:36" s="93" customFormat="1" ht="14.45" customHeight="1">
      <c r="A6" s="102">
        <f t="shared" ref="A6:A37" si="0">M6</f>
        <v>0</v>
      </c>
      <c r="B6" s="35" t="str">
        <f>IF(H6&gt;$H$2,"",(ROW()-5))</f>
        <v/>
      </c>
      <c r="C6" s="36"/>
      <c r="D6" s="36"/>
      <c r="E6" s="36"/>
      <c r="F6" s="36" t="s">
        <v>55</v>
      </c>
      <c r="G6" s="29"/>
      <c r="H6" s="103">
        <v>1</v>
      </c>
      <c r="I6" s="104" t="str">
        <f t="shared" ref="I6:I69" si="1">IF(H6&lt;$H$2+1,($I$2-($I$2-1)*(LOG(H6)/LOG($H$2))),"")</f>
        <v/>
      </c>
      <c r="J6" s="103" t="e">
        <f t="shared" ref="J6:J69" si="2">INT(LOG($H$2,2))-ROUNDUP(LOG(H6,2),0)+IF(OR($H$2=1,$H$2=2,$H$2=4,$H$2=8,$H$2=16,$H$2=32,$H$2=64,$H$2=128,$H$2=256),0,1)</f>
        <v>#NUM!</v>
      </c>
      <c r="K6" s="103" t="e">
        <f t="shared" ref="K6:K69" si="3">J6*$J$2</f>
        <v>#NUM!</v>
      </c>
      <c r="L6" s="105">
        <f>3*K2</f>
        <v>0</v>
      </c>
      <c r="M6" s="105">
        <f t="shared" ref="M6:M69" si="4">IF(I6&lt;&gt;"",K6+I6+L6,0)</f>
        <v>0</v>
      </c>
      <c r="N6" s="88"/>
      <c r="O6" s="88"/>
      <c r="P6" s="88"/>
      <c r="Q6" s="88"/>
      <c r="R6" s="88"/>
    </row>
    <row r="7" spans="1:36" s="93" customFormat="1" ht="14.45" customHeight="1">
      <c r="A7" s="106">
        <f t="shared" si="0"/>
        <v>0</v>
      </c>
      <c r="B7" s="41" t="str">
        <f>IF(H7&gt;$H$2,"",(ROW()-5))</f>
        <v/>
      </c>
      <c r="C7" s="42"/>
      <c r="D7" s="42"/>
      <c r="E7" s="42"/>
      <c r="F7" s="42" t="s">
        <v>55</v>
      </c>
      <c r="G7" s="29"/>
      <c r="H7" s="107">
        <v>2</v>
      </c>
      <c r="I7" s="108" t="str">
        <f t="shared" si="1"/>
        <v/>
      </c>
      <c r="J7" s="107" t="e">
        <f t="shared" si="2"/>
        <v>#NUM!</v>
      </c>
      <c r="K7" s="107" t="e">
        <f t="shared" si="3"/>
        <v>#NUM!</v>
      </c>
      <c r="L7" s="109">
        <f>2*K2</f>
        <v>0</v>
      </c>
      <c r="M7" s="109">
        <f t="shared" si="4"/>
        <v>0</v>
      </c>
      <c r="N7" s="88"/>
      <c r="O7" s="88"/>
      <c r="P7" s="88"/>
      <c r="Q7" s="88"/>
      <c r="R7" s="88"/>
    </row>
    <row r="8" spans="1:36" s="93" customFormat="1" ht="14.45" customHeight="1">
      <c r="A8" s="102">
        <f t="shared" si="0"/>
        <v>0</v>
      </c>
      <c r="B8" s="35" t="str">
        <f>IF(H8&gt;$H$2,"",(ROW()-5))</f>
        <v/>
      </c>
      <c r="C8" s="36"/>
      <c r="D8" s="36"/>
      <c r="E8" s="36"/>
      <c r="F8" s="36" t="s">
        <v>55</v>
      </c>
      <c r="G8" s="29"/>
      <c r="H8" s="103">
        <v>3</v>
      </c>
      <c r="I8" s="104" t="str">
        <f t="shared" si="1"/>
        <v/>
      </c>
      <c r="J8" s="103" t="e">
        <f t="shared" si="2"/>
        <v>#NUM!</v>
      </c>
      <c r="K8" s="103" t="e">
        <f t="shared" si="3"/>
        <v>#NUM!</v>
      </c>
      <c r="L8" s="105">
        <f>K2</f>
        <v>0</v>
      </c>
      <c r="M8" s="105">
        <f t="shared" si="4"/>
        <v>0</v>
      </c>
      <c r="N8" s="88"/>
      <c r="O8" s="88"/>
      <c r="P8" s="88"/>
      <c r="Q8" s="88"/>
      <c r="R8" s="88"/>
    </row>
    <row r="9" spans="1:36" s="93" customFormat="1" ht="14.45" customHeight="1">
      <c r="A9" s="106">
        <f t="shared" si="0"/>
        <v>0</v>
      </c>
      <c r="B9" s="41" t="str">
        <f>IF(H9&gt;$H$2,"",3)</f>
        <v/>
      </c>
      <c r="C9" s="42"/>
      <c r="D9" s="42"/>
      <c r="E9" s="42"/>
      <c r="F9" s="42"/>
      <c r="G9" s="29"/>
      <c r="H9" s="107">
        <v>3</v>
      </c>
      <c r="I9" s="108" t="str">
        <f t="shared" si="1"/>
        <v/>
      </c>
      <c r="J9" s="107" t="e">
        <f t="shared" si="2"/>
        <v>#NUM!</v>
      </c>
      <c r="K9" s="107" t="e">
        <f t="shared" si="3"/>
        <v>#NUM!</v>
      </c>
      <c r="L9" s="109">
        <f>K2</f>
        <v>0</v>
      </c>
      <c r="M9" s="109">
        <f t="shared" si="4"/>
        <v>0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57</v>
      </c>
      <c r="AI9" s="93">
        <v>23</v>
      </c>
    </row>
    <row r="10" spans="1:36" s="93" customFormat="1" ht="14.45" customHeight="1">
      <c r="A10" s="102">
        <f t="shared" si="0"/>
        <v>0</v>
      </c>
      <c r="B10" s="35" t="str">
        <f t="shared" ref="B10:B65" si="5">IF(H10&gt;$H$2,"",(ROW()-5))</f>
        <v/>
      </c>
      <c r="C10" s="36"/>
      <c r="D10" s="36"/>
      <c r="E10" s="36"/>
      <c r="F10" s="36"/>
      <c r="G10" s="29"/>
      <c r="H10" s="103">
        <v>5</v>
      </c>
      <c r="I10" s="104" t="str">
        <f t="shared" si="1"/>
        <v/>
      </c>
      <c r="J10" s="103" t="e">
        <f t="shared" si="2"/>
        <v>#NUM!</v>
      </c>
      <c r="K10" s="103" t="e">
        <f t="shared" si="3"/>
        <v>#NUM!</v>
      </c>
      <c r="L10" s="103"/>
      <c r="M10" s="105">
        <f t="shared" si="4"/>
        <v>0</v>
      </c>
      <c r="N10" s="88"/>
      <c r="O10" s="88"/>
      <c r="P10" s="88"/>
      <c r="Q10" s="88"/>
      <c r="R10" s="88"/>
      <c r="V10" s="110"/>
      <c r="Z10" s="111"/>
      <c r="AA10" s="111"/>
      <c r="AG10" s="112"/>
      <c r="AH10" s="93" t="s">
        <v>58</v>
      </c>
      <c r="AI10" s="93">
        <v>45</v>
      </c>
    </row>
    <row r="11" spans="1:36" s="93" customFormat="1" ht="14.45" customHeight="1">
      <c r="A11" s="106">
        <f t="shared" si="0"/>
        <v>0</v>
      </c>
      <c r="B11" s="41" t="str">
        <f t="shared" si="5"/>
        <v/>
      </c>
      <c r="C11" s="42"/>
      <c r="D11" s="42"/>
      <c r="E11" s="42"/>
      <c r="F11" s="42"/>
      <c r="G11" s="29"/>
      <c r="H11" s="107">
        <v>6</v>
      </c>
      <c r="I11" s="108" t="str">
        <f t="shared" si="1"/>
        <v/>
      </c>
      <c r="J11" s="107" t="e">
        <f t="shared" si="2"/>
        <v>#NUM!</v>
      </c>
      <c r="K11" s="107" t="e">
        <f t="shared" si="3"/>
        <v>#NUM!</v>
      </c>
      <c r="L11" s="107"/>
      <c r="M11" s="109">
        <f t="shared" si="4"/>
        <v>0</v>
      </c>
      <c r="N11" s="88"/>
      <c r="O11" s="88"/>
      <c r="P11" s="88"/>
      <c r="Q11" s="88"/>
      <c r="R11" s="88"/>
      <c r="V11" s="113"/>
      <c r="Z11" s="111"/>
      <c r="AA11" s="111"/>
      <c r="AG11" s="112"/>
      <c r="AH11" s="93" t="s">
        <v>60</v>
      </c>
      <c r="AI11" s="93">
        <v>50</v>
      </c>
    </row>
    <row r="12" spans="1:36" s="93" customFormat="1" ht="14.45" customHeight="1">
      <c r="A12" s="102">
        <f t="shared" si="0"/>
        <v>0</v>
      </c>
      <c r="B12" s="35" t="str">
        <f t="shared" si="5"/>
        <v/>
      </c>
      <c r="C12" s="36"/>
      <c r="D12" s="36"/>
      <c r="E12" s="36"/>
      <c r="F12" s="36"/>
      <c r="G12" s="29"/>
      <c r="H12" s="103">
        <v>7</v>
      </c>
      <c r="I12" s="104" t="str">
        <f t="shared" si="1"/>
        <v/>
      </c>
      <c r="J12" s="103" t="e">
        <f t="shared" si="2"/>
        <v>#NUM!</v>
      </c>
      <c r="K12" s="103" t="e">
        <f t="shared" si="3"/>
        <v>#NUM!</v>
      </c>
      <c r="L12" s="103"/>
      <c r="M12" s="105">
        <f t="shared" si="4"/>
        <v>0</v>
      </c>
      <c r="N12" s="88"/>
      <c r="O12" s="88"/>
      <c r="P12" s="88"/>
      <c r="Q12" s="88"/>
      <c r="R12" s="88"/>
      <c r="Z12" s="111"/>
      <c r="AA12" s="111"/>
      <c r="AG12" s="112"/>
      <c r="AH12" s="93" t="s">
        <v>61</v>
      </c>
      <c r="AI12" s="93">
        <f>AI11-1</f>
        <v>49</v>
      </c>
    </row>
    <row r="13" spans="1:36" s="93" customFormat="1" ht="14.45" customHeight="1">
      <c r="A13" s="106">
        <f t="shared" si="0"/>
        <v>0</v>
      </c>
      <c r="B13" s="41" t="str">
        <f t="shared" si="5"/>
        <v/>
      </c>
      <c r="C13" s="42"/>
      <c r="D13" s="42"/>
      <c r="E13" s="42"/>
      <c r="F13" s="42"/>
      <c r="G13" s="29"/>
      <c r="H13" s="107">
        <v>8</v>
      </c>
      <c r="I13" s="108" t="str">
        <f t="shared" si="1"/>
        <v/>
      </c>
      <c r="J13" s="107" t="e">
        <f t="shared" si="2"/>
        <v>#NUM!</v>
      </c>
      <c r="K13" s="107" t="e">
        <f t="shared" si="3"/>
        <v>#NUM!</v>
      </c>
      <c r="L13" s="107"/>
      <c r="M13" s="109">
        <f t="shared" si="4"/>
        <v>0</v>
      </c>
      <c r="N13" s="88"/>
      <c r="O13" s="88"/>
      <c r="P13" s="88"/>
      <c r="Q13" s="88"/>
      <c r="R13" s="88"/>
      <c r="X13" s="110"/>
      <c r="AG13" s="112"/>
      <c r="AH13" s="93" t="s">
        <v>62</v>
      </c>
      <c r="AI13" s="93">
        <f>LOG(AI9)</f>
        <v>1.3617278360175928</v>
      </c>
    </row>
    <row r="14" spans="1:36" s="93" customFormat="1">
      <c r="A14" s="102">
        <f t="shared" si="0"/>
        <v>0</v>
      </c>
      <c r="B14" s="35" t="str">
        <f t="shared" si="5"/>
        <v/>
      </c>
      <c r="C14" s="36"/>
      <c r="D14" s="36"/>
      <c r="E14" s="36"/>
      <c r="F14" s="36"/>
      <c r="G14" s="29"/>
      <c r="H14" s="103">
        <v>9</v>
      </c>
      <c r="I14" s="104" t="str">
        <f t="shared" si="1"/>
        <v/>
      </c>
      <c r="J14" s="103" t="e">
        <f t="shared" si="2"/>
        <v>#NUM!</v>
      </c>
      <c r="K14" s="103" t="e">
        <f t="shared" si="3"/>
        <v>#NUM!</v>
      </c>
      <c r="L14" s="103"/>
      <c r="M14" s="105">
        <f t="shared" si="4"/>
        <v>0</v>
      </c>
      <c r="N14" s="88"/>
      <c r="O14" s="88"/>
      <c r="P14" s="88"/>
      <c r="Q14" s="88"/>
      <c r="R14" s="88"/>
      <c r="X14" s="114"/>
      <c r="Z14" s="111"/>
      <c r="AA14" s="111"/>
      <c r="AG14" s="112"/>
      <c r="AH14" s="93" t="s">
        <v>64</v>
      </c>
      <c r="AI14" s="93">
        <f>LOG(AI10)</f>
        <v>1.6532125137753437</v>
      </c>
    </row>
    <row r="15" spans="1:36" s="93" customFormat="1">
      <c r="A15" s="106">
        <f t="shared" si="0"/>
        <v>0</v>
      </c>
      <c r="B15" s="41" t="str">
        <f t="shared" si="5"/>
        <v/>
      </c>
      <c r="C15" s="42"/>
      <c r="D15" s="42"/>
      <c r="E15" s="42"/>
      <c r="F15" s="42"/>
      <c r="G15" s="29"/>
      <c r="H15" s="107">
        <v>10</v>
      </c>
      <c r="I15" s="108" t="str">
        <f t="shared" si="1"/>
        <v/>
      </c>
      <c r="J15" s="107" t="e">
        <f t="shared" si="2"/>
        <v>#NUM!</v>
      </c>
      <c r="K15" s="107" t="e">
        <f t="shared" si="3"/>
        <v>#NUM!</v>
      </c>
      <c r="L15" s="107"/>
      <c r="M15" s="109">
        <f t="shared" si="4"/>
        <v>0</v>
      </c>
      <c r="N15" s="88"/>
      <c r="O15" s="88"/>
      <c r="P15" s="88"/>
      <c r="Q15" s="88"/>
      <c r="R15" s="88"/>
      <c r="X15" s="110"/>
      <c r="Z15" s="111"/>
      <c r="AA15" s="111"/>
    </row>
    <row r="16" spans="1:36" s="93" customFormat="1">
      <c r="A16" s="102">
        <f t="shared" si="0"/>
        <v>0</v>
      </c>
      <c r="B16" s="35" t="str">
        <f t="shared" si="5"/>
        <v/>
      </c>
      <c r="C16" s="36"/>
      <c r="D16" s="36"/>
      <c r="E16" s="36"/>
      <c r="F16" s="36"/>
      <c r="G16" s="29"/>
      <c r="H16" s="103">
        <v>11</v>
      </c>
      <c r="I16" s="104" t="str">
        <f t="shared" si="1"/>
        <v/>
      </c>
      <c r="J16" s="103" t="e">
        <f t="shared" si="2"/>
        <v>#NUM!</v>
      </c>
      <c r="K16" s="103" t="e">
        <f t="shared" si="3"/>
        <v>#NUM!</v>
      </c>
      <c r="L16" s="103"/>
      <c r="M16" s="105">
        <f t="shared" si="4"/>
        <v>0</v>
      </c>
      <c r="N16" s="88"/>
      <c r="O16" s="88"/>
      <c r="P16" s="88"/>
      <c r="Q16" s="88"/>
      <c r="R16" s="115"/>
      <c r="Z16" s="111"/>
      <c r="AA16" s="111"/>
      <c r="AH16" s="116" t="s">
        <v>66</v>
      </c>
      <c r="AI16" s="93">
        <f>AI11-AI12*AI13/AI14</f>
        <v>9.6393909380186855</v>
      </c>
      <c r="AJ16" s="93" t="s">
        <v>67</v>
      </c>
    </row>
    <row r="17" spans="1:19" s="93" customFormat="1">
      <c r="A17" s="106">
        <f t="shared" si="0"/>
        <v>0</v>
      </c>
      <c r="B17" s="41" t="str">
        <f t="shared" si="5"/>
        <v/>
      </c>
      <c r="C17" s="42"/>
      <c r="D17" s="42"/>
      <c r="E17" s="42"/>
      <c r="F17" s="42"/>
      <c r="G17" s="29"/>
      <c r="H17" s="107">
        <v>12</v>
      </c>
      <c r="I17" s="108" t="str">
        <f t="shared" si="1"/>
        <v/>
      </c>
      <c r="J17" s="107" t="e">
        <f t="shared" si="2"/>
        <v>#NUM!</v>
      </c>
      <c r="K17" s="107" t="e">
        <f t="shared" si="3"/>
        <v>#NUM!</v>
      </c>
      <c r="L17" s="107"/>
      <c r="M17" s="109">
        <f t="shared" si="4"/>
        <v>0</v>
      </c>
      <c r="N17" s="88"/>
      <c r="O17" s="88"/>
      <c r="P17" s="88"/>
      <c r="Q17" s="88"/>
      <c r="R17" s="88"/>
    </row>
    <row r="18" spans="1:19" s="93" customFormat="1">
      <c r="A18" s="102">
        <f t="shared" si="0"/>
        <v>0</v>
      </c>
      <c r="B18" s="35" t="str">
        <f t="shared" si="5"/>
        <v/>
      </c>
      <c r="C18" s="36"/>
      <c r="D18" s="36"/>
      <c r="E18" s="36"/>
      <c r="F18" s="36"/>
      <c r="G18" s="29"/>
      <c r="H18" s="103">
        <v>13</v>
      </c>
      <c r="I18" s="104" t="str">
        <f t="shared" si="1"/>
        <v/>
      </c>
      <c r="J18" s="103" t="e">
        <f t="shared" si="2"/>
        <v>#NUM!</v>
      </c>
      <c r="K18" s="103" t="e">
        <f t="shared" si="3"/>
        <v>#NUM!</v>
      </c>
      <c r="L18" s="103"/>
      <c r="M18" s="105">
        <f t="shared" si="4"/>
        <v>0</v>
      </c>
      <c r="N18" s="88"/>
      <c r="O18" s="88"/>
      <c r="P18" s="88"/>
      <c r="Q18" s="88"/>
      <c r="R18" s="88"/>
    </row>
    <row r="19" spans="1:19" s="93" customFormat="1">
      <c r="A19" s="106">
        <f t="shared" si="0"/>
        <v>0</v>
      </c>
      <c r="B19" s="41" t="str">
        <f t="shared" si="5"/>
        <v/>
      </c>
      <c r="C19" s="42"/>
      <c r="D19" s="42"/>
      <c r="E19" s="42"/>
      <c r="F19" s="42"/>
      <c r="G19" s="29"/>
      <c r="H19" s="107">
        <v>14</v>
      </c>
      <c r="I19" s="108" t="str">
        <f t="shared" si="1"/>
        <v/>
      </c>
      <c r="J19" s="107" t="e">
        <f t="shared" si="2"/>
        <v>#NUM!</v>
      </c>
      <c r="K19" s="107" t="e">
        <f t="shared" si="3"/>
        <v>#NUM!</v>
      </c>
      <c r="L19" s="107"/>
      <c r="M19" s="109">
        <f t="shared" si="4"/>
        <v>0</v>
      </c>
      <c r="N19" s="88"/>
      <c r="O19" s="88"/>
      <c r="P19" s="88"/>
      <c r="Q19" s="88"/>
      <c r="R19" s="88"/>
    </row>
    <row r="20" spans="1:19" s="93" customFormat="1">
      <c r="A20" s="102">
        <f t="shared" si="0"/>
        <v>0</v>
      </c>
      <c r="B20" s="35" t="str">
        <f t="shared" si="5"/>
        <v/>
      </c>
      <c r="C20" s="36"/>
      <c r="D20" s="36"/>
      <c r="E20" s="36"/>
      <c r="F20" s="36"/>
      <c r="G20" s="29"/>
      <c r="H20" s="103">
        <v>15</v>
      </c>
      <c r="I20" s="104" t="str">
        <f t="shared" si="1"/>
        <v/>
      </c>
      <c r="J20" s="103" t="e">
        <f t="shared" si="2"/>
        <v>#NUM!</v>
      </c>
      <c r="K20" s="103" t="e">
        <f t="shared" si="3"/>
        <v>#NUM!</v>
      </c>
      <c r="L20" s="103"/>
      <c r="M20" s="105">
        <f t="shared" si="4"/>
        <v>0</v>
      </c>
      <c r="N20" s="88"/>
      <c r="O20" s="88"/>
      <c r="P20" s="88"/>
      <c r="Q20" s="88"/>
      <c r="R20" s="117"/>
      <c r="S20" s="118"/>
    </row>
    <row r="21" spans="1:19" s="93" customFormat="1">
      <c r="A21" s="106">
        <f t="shared" si="0"/>
        <v>0</v>
      </c>
      <c r="B21" s="41" t="str">
        <f t="shared" si="5"/>
        <v/>
      </c>
      <c r="C21" s="42"/>
      <c r="D21" s="42"/>
      <c r="E21" s="42"/>
      <c r="F21" s="42"/>
      <c r="G21" s="29"/>
      <c r="H21" s="107">
        <v>16</v>
      </c>
      <c r="I21" s="108" t="str">
        <f t="shared" si="1"/>
        <v/>
      </c>
      <c r="J21" s="107" t="e">
        <f t="shared" si="2"/>
        <v>#NUM!</v>
      </c>
      <c r="K21" s="107" t="e">
        <f t="shared" si="3"/>
        <v>#NUM!</v>
      </c>
      <c r="L21" s="107"/>
      <c r="M21" s="109">
        <f t="shared" si="4"/>
        <v>0</v>
      </c>
      <c r="N21" s="88"/>
      <c r="O21" s="88"/>
      <c r="P21" s="88"/>
      <c r="Q21" s="88"/>
      <c r="R21" s="88"/>
    </row>
    <row r="22" spans="1:19" s="93" customFormat="1">
      <c r="A22" s="102">
        <f t="shared" si="0"/>
        <v>0</v>
      </c>
      <c r="B22" s="35" t="str">
        <f t="shared" si="5"/>
        <v/>
      </c>
      <c r="C22" s="36"/>
      <c r="D22" s="36"/>
      <c r="E22" s="36"/>
      <c r="F22" s="36"/>
      <c r="G22" s="29"/>
      <c r="H22" s="103">
        <v>17</v>
      </c>
      <c r="I22" s="104" t="str">
        <f t="shared" si="1"/>
        <v/>
      </c>
      <c r="J22" s="103" t="e">
        <f t="shared" si="2"/>
        <v>#NUM!</v>
      </c>
      <c r="K22" s="103" t="e">
        <f t="shared" si="3"/>
        <v>#NUM!</v>
      </c>
      <c r="L22" s="103"/>
      <c r="M22" s="105">
        <f t="shared" si="4"/>
        <v>0</v>
      </c>
      <c r="N22" s="88"/>
      <c r="O22" s="88"/>
      <c r="P22" s="88"/>
      <c r="Q22" s="88"/>
      <c r="R22" s="88"/>
    </row>
    <row r="23" spans="1:19" s="93" customFormat="1">
      <c r="A23" s="106">
        <f t="shared" si="0"/>
        <v>0</v>
      </c>
      <c r="B23" s="41" t="str">
        <f t="shared" si="5"/>
        <v/>
      </c>
      <c r="C23" s="42"/>
      <c r="D23" s="42"/>
      <c r="E23" s="42"/>
      <c r="F23" s="42"/>
      <c r="G23" s="29"/>
      <c r="H23" s="107">
        <v>18</v>
      </c>
      <c r="I23" s="108" t="str">
        <f t="shared" si="1"/>
        <v/>
      </c>
      <c r="J23" s="107" t="e">
        <f t="shared" si="2"/>
        <v>#NUM!</v>
      </c>
      <c r="K23" s="107" t="e">
        <f t="shared" si="3"/>
        <v>#NUM!</v>
      </c>
      <c r="L23" s="107"/>
      <c r="M23" s="109">
        <f t="shared" si="4"/>
        <v>0</v>
      </c>
      <c r="N23" s="88"/>
      <c r="O23" s="88"/>
      <c r="P23" s="88"/>
      <c r="Q23" s="88"/>
      <c r="R23" s="88"/>
    </row>
    <row r="24" spans="1:19" s="93" customFormat="1">
      <c r="A24" s="102">
        <f t="shared" si="0"/>
        <v>0</v>
      </c>
      <c r="B24" s="35" t="str">
        <f t="shared" si="5"/>
        <v/>
      </c>
      <c r="C24" s="36"/>
      <c r="D24" s="36"/>
      <c r="E24" s="36"/>
      <c r="F24" s="36"/>
      <c r="G24" s="29"/>
      <c r="H24" s="103">
        <v>19</v>
      </c>
      <c r="I24" s="104" t="str">
        <f t="shared" si="1"/>
        <v/>
      </c>
      <c r="J24" s="103" t="e">
        <f t="shared" si="2"/>
        <v>#NUM!</v>
      </c>
      <c r="K24" s="103" t="e">
        <f t="shared" si="3"/>
        <v>#NUM!</v>
      </c>
      <c r="L24" s="103"/>
      <c r="M24" s="105">
        <f t="shared" si="4"/>
        <v>0</v>
      </c>
      <c r="N24" s="88"/>
      <c r="O24" s="88"/>
      <c r="P24" s="88"/>
      <c r="Q24" s="88"/>
      <c r="R24" s="117"/>
      <c r="S24" s="118"/>
    </row>
    <row r="25" spans="1:19" s="93" customFormat="1">
      <c r="A25" s="106">
        <f t="shared" si="0"/>
        <v>0</v>
      </c>
      <c r="B25" s="41" t="str">
        <f t="shared" si="5"/>
        <v/>
      </c>
      <c r="C25" s="42"/>
      <c r="D25" s="42"/>
      <c r="E25" s="42"/>
      <c r="F25" s="42"/>
      <c r="G25" s="29"/>
      <c r="H25" s="107">
        <v>20</v>
      </c>
      <c r="I25" s="108" t="str">
        <f t="shared" si="1"/>
        <v/>
      </c>
      <c r="J25" s="107" t="e">
        <f t="shared" si="2"/>
        <v>#NUM!</v>
      </c>
      <c r="K25" s="107" t="e">
        <f t="shared" si="3"/>
        <v>#NUM!</v>
      </c>
      <c r="L25" s="107"/>
      <c r="M25" s="109">
        <f t="shared" si="4"/>
        <v>0</v>
      </c>
      <c r="N25" s="88"/>
      <c r="O25" s="88"/>
      <c r="P25" s="88"/>
      <c r="Q25" s="88"/>
      <c r="R25" s="88"/>
    </row>
    <row r="26" spans="1:19" s="93" customFormat="1">
      <c r="A26" s="102">
        <f t="shared" si="0"/>
        <v>0</v>
      </c>
      <c r="B26" s="35" t="str">
        <f t="shared" si="5"/>
        <v/>
      </c>
      <c r="C26" s="36"/>
      <c r="D26" s="36"/>
      <c r="E26" s="36"/>
      <c r="F26" s="36"/>
      <c r="G26" s="29"/>
      <c r="H26" s="103">
        <v>21</v>
      </c>
      <c r="I26" s="104" t="str">
        <f t="shared" si="1"/>
        <v/>
      </c>
      <c r="J26" s="103" t="e">
        <f t="shared" si="2"/>
        <v>#NUM!</v>
      </c>
      <c r="K26" s="103" t="e">
        <f t="shared" si="3"/>
        <v>#NUM!</v>
      </c>
      <c r="L26" s="103"/>
      <c r="M26" s="105">
        <f t="shared" si="4"/>
        <v>0</v>
      </c>
      <c r="N26" s="88"/>
      <c r="O26" s="88"/>
      <c r="P26" s="88"/>
      <c r="Q26" s="88"/>
      <c r="R26" s="88"/>
    </row>
    <row r="27" spans="1:19" s="93" customFormat="1">
      <c r="A27" s="106">
        <f t="shared" si="0"/>
        <v>0</v>
      </c>
      <c r="B27" s="41" t="str">
        <f t="shared" si="5"/>
        <v/>
      </c>
      <c r="C27" s="42"/>
      <c r="D27" s="42"/>
      <c r="E27" s="42"/>
      <c r="F27" s="42"/>
      <c r="G27" s="29"/>
      <c r="H27" s="107">
        <v>22</v>
      </c>
      <c r="I27" s="108" t="str">
        <f t="shared" si="1"/>
        <v/>
      </c>
      <c r="J27" s="107" t="e">
        <f t="shared" si="2"/>
        <v>#NUM!</v>
      </c>
      <c r="K27" s="107" t="e">
        <f t="shared" si="3"/>
        <v>#NUM!</v>
      </c>
      <c r="L27" s="107"/>
      <c r="M27" s="109">
        <f t="shared" si="4"/>
        <v>0</v>
      </c>
      <c r="N27" s="88"/>
      <c r="O27" s="88"/>
      <c r="P27" s="88"/>
      <c r="Q27" s="88"/>
      <c r="R27" s="88"/>
    </row>
    <row r="28" spans="1:19" s="93" customFormat="1">
      <c r="A28" s="102">
        <f t="shared" si="0"/>
        <v>0</v>
      </c>
      <c r="B28" s="35" t="str">
        <f t="shared" si="5"/>
        <v/>
      </c>
      <c r="C28" s="36"/>
      <c r="D28" s="36"/>
      <c r="E28" s="36"/>
      <c r="F28" s="36"/>
      <c r="G28" s="29"/>
      <c r="H28" s="103">
        <v>23</v>
      </c>
      <c r="I28" s="104" t="str">
        <f t="shared" si="1"/>
        <v/>
      </c>
      <c r="J28" s="103" t="e">
        <f t="shared" si="2"/>
        <v>#NUM!</v>
      </c>
      <c r="K28" s="103" t="e">
        <f t="shared" si="3"/>
        <v>#NUM!</v>
      </c>
      <c r="L28" s="103"/>
      <c r="M28" s="105">
        <f t="shared" si="4"/>
        <v>0</v>
      </c>
      <c r="N28" s="88"/>
      <c r="O28" s="88"/>
      <c r="P28" s="88"/>
      <c r="Q28" s="88"/>
      <c r="R28" s="117"/>
      <c r="S28" s="118"/>
    </row>
    <row r="29" spans="1:19" s="93" customFormat="1">
      <c r="A29" s="106">
        <f t="shared" si="0"/>
        <v>0</v>
      </c>
      <c r="B29" s="41" t="str">
        <f t="shared" si="5"/>
        <v/>
      </c>
      <c r="C29" s="42"/>
      <c r="D29" s="42"/>
      <c r="E29" s="42"/>
      <c r="F29" s="42"/>
      <c r="G29" s="88"/>
      <c r="H29" s="107">
        <v>24</v>
      </c>
      <c r="I29" s="108" t="str">
        <f t="shared" si="1"/>
        <v/>
      </c>
      <c r="J29" s="107" t="e">
        <f t="shared" si="2"/>
        <v>#NUM!</v>
      </c>
      <c r="K29" s="107" t="e">
        <f t="shared" si="3"/>
        <v>#NUM!</v>
      </c>
      <c r="L29" s="107"/>
      <c r="M29" s="109">
        <f t="shared" si="4"/>
        <v>0</v>
      </c>
      <c r="N29" s="88"/>
      <c r="O29" s="88"/>
      <c r="P29" s="88"/>
      <c r="Q29" s="88"/>
      <c r="R29" s="88"/>
    </row>
    <row r="30" spans="1:19" s="93" customFormat="1">
      <c r="A30" s="102">
        <f t="shared" si="0"/>
        <v>0</v>
      </c>
      <c r="B30" s="35" t="str">
        <f t="shared" si="5"/>
        <v/>
      </c>
      <c r="C30" s="36"/>
      <c r="D30" s="36"/>
      <c r="E30" s="36"/>
      <c r="F30" s="36"/>
      <c r="G30" s="88"/>
      <c r="H30" s="103">
        <v>25</v>
      </c>
      <c r="I30" s="104" t="str">
        <f t="shared" si="1"/>
        <v/>
      </c>
      <c r="J30" s="103" t="e">
        <f t="shared" si="2"/>
        <v>#NUM!</v>
      </c>
      <c r="K30" s="103" t="e">
        <f t="shared" si="3"/>
        <v>#NUM!</v>
      </c>
      <c r="L30" s="103"/>
      <c r="M30" s="105">
        <f t="shared" si="4"/>
        <v>0</v>
      </c>
      <c r="N30" s="88"/>
      <c r="O30" s="88"/>
      <c r="P30" s="88"/>
      <c r="Q30" s="88"/>
      <c r="R30" s="88"/>
    </row>
    <row r="31" spans="1:19" s="93" customFormat="1">
      <c r="A31" s="106">
        <f t="shared" si="0"/>
        <v>0</v>
      </c>
      <c r="B31" s="41" t="str">
        <f t="shared" si="5"/>
        <v/>
      </c>
      <c r="C31" s="42"/>
      <c r="D31" s="42"/>
      <c r="E31" s="42"/>
      <c r="F31" s="42"/>
      <c r="G31" s="88"/>
      <c r="H31" s="107">
        <v>26</v>
      </c>
      <c r="I31" s="108" t="str">
        <f t="shared" si="1"/>
        <v/>
      </c>
      <c r="J31" s="107" t="e">
        <f t="shared" si="2"/>
        <v>#NUM!</v>
      </c>
      <c r="K31" s="107" t="e">
        <f t="shared" si="3"/>
        <v>#NUM!</v>
      </c>
      <c r="L31" s="107"/>
      <c r="M31" s="109">
        <f t="shared" si="4"/>
        <v>0</v>
      </c>
      <c r="N31" s="88"/>
      <c r="O31" s="88"/>
      <c r="P31" s="88"/>
      <c r="Q31" s="88"/>
      <c r="R31" s="88"/>
    </row>
    <row r="32" spans="1:19" s="93" customFormat="1">
      <c r="A32" s="102">
        <f t="shared" si="0"/>
        <v>0</v>
      </c>
      <c r="B32" s="35" t="str">
        <f t="shared" si="5"/>
        <v/>
      </c>
      <c r="C32" s="36"/>
      <c r="D32" s="36"/>
      <c r="E32" s="36"/>
      <c r="F32" s="36"/>
      <c r="G32" s="88"/>
      <c r="H32" s="103">
        <v>27</v>
      </c>
      <c r="I32" s="104" t="str">
        <f t="shared" si="1"/>
        <v/>
      </c>
      <c r="J32" s="103" t="e">
        <f t="shared" si="2"/>
        <v>#NUM!</v>
      </c>
      <c r="K32" s="103" t="e">
        <f t="shared" si="3"/>
        <v>#NUM!</v>
      </c>
      <c r="L32" s="103"/>
      <c r="M32" s="105">
        <f t="shared" si="4"/>
        <v>0</v>
      </c>
      <c r="N32" s="88"/>
      <c r="O32" s="88"/>
      <c r="P32" s="88"/>
      <c r="Q32" s="88"/>
      <c r="R32" s="117"/>
      <c r="S32" s="118"/>
    </row>
    <row r="33" spans="1:21" s="93" customFormat="1">
      <c r="A33" s="106">
        <f t="shared" si="0"/>
        <v>0</v>
      </c>
      <c r="B33" s="41" t="str">
        <f t="shared" si="5"/>
        <v/>
      </c>
      <c r="C33" s="42"/>
      <c r="D33" s="42"/>
      <c r="E33" s="42"/>
      <c r="F33" s="42"/>
      <c r="G33" s="88"/>
      <c r="H33" s="107">
        <v>28</v>
      </c>
      <c r="I33" s="108" t="str">
        <f t="shared" si="1"/>
        <v/>
      </c>
      <c r="J33" s="107" t="e">
        <f t="shared" si="2"/>
        <v>#NUM!</v>
      </c>
      <c r="K33" s="107" t="e">
        <f t="shared" si="3"/>
        <v>#NUM!</v>
      </c>
      <c r="L33" s="107"/>
      <c r="M33" s="109">
        <f t="shared" si="4"/>
        <v>0</v>
      </c>
      <c r="N33" s="88"/>
      <c r="O33" s="88"/>
      <c r="P33" s="88"/>
      <c r="Q33" s="88"/>
      <c r="R33" s="88"/>
    </row>
    <row r="34" spans="1:21" s="93" customFormat="1">
      <c r="A34" s="102">
        <f t="shared" si="0"/>
        <v>0</v>
      </c>
      <c r="B34" s="35" t="str">
        <f t="shared" si="5"/>
        <v/>
      </c>
      <c r="C34" s="36"/>
      <c r="D34" s="36"/>
      <c r="E34" s="36"/>
      <c r="F34" s="36"/>
      <c r="G34" s="88"/>
      <c r="H34" s="103">
        <v>29</v>
      </c>
      <c r="I34" s="104" t="str">
        <f t="shared" si="1"/>
        <v/>
      </c>
      <c r="J34" s="103" t="e">
        <f t="shared" si="2"/>
        <v>#NUM!</v>
      </c>
      <c r="K34" s="103" t="e">
        <f t="shared" si="3"/>
        <v>#NUM!</v>
      </c>
      <c r="L34" s="103"/>
      <c r="M34" s="105">
        <f t="shared" si="4"/>
        <v>0</v>
      </c>
      <c r="N34" s="88"/>
      <c r="O34" s="88"/>
      <c r="P34" s="88"/>
      <c r="Q34" s="88"/>
      <c r="R34" s="88"/>
    </row>
    <row r="35" spans="1:21" s="93" customFormat="1">
      <c r="A35" s="106">
        <f t="shared" si="0"/>
        <v>0</v>
      </c>
      <c r="B35" s="41" t="str">
        <f t="shared" si="5"/>
        <v/>
      </c>
      <c r="C35" s="42"/>
      <c r="D35" s="42"/>
      <c r="E35" s="42"/>
      <c r="F35" s="42"/>
      <c r="G35" s="88"/>
      <c r="H35" s="107">
        <v>30</v>
      </c>
      <c r="I35" s="108" t="str">
        <f t="shared" si="1"/>
        <v/>
      </c>
      <c r="J35" s="107" t="e">
        <f t="shared" si="2"/>
        <v>#NUM!</v>
      </c>
      <c r="K35" s="107" t="e">
        <f t="shared" si="3"/>
        <v>#NUM!</v>
      </c>
      <c r="L35" s="107"/>
      <c r="M35" s="109">
        <f t="shared" si="4"/>
        <v>0</v>
      </c>
      <c r="N35" s="88"/>
      <c r="O35" s="88"/>
      <c r="P35" s="88"/>
      <c r="Q35" s="88"/>
      <c r="R35" s="88"/>
    </row>
    <row r="36" spans="1:21" s="93" customFormat="1">
      <c r="A36" s="102">
        <f t="shared" si="0"/>
        <v>0</v>
      </c>
      <c r="B36" s="35" t="str">
        <f t="shared" si="5"/>
        <v/>
      </c>
      <c r="C36" s="36"/>
      <c r="D36" s="36"/>
      <c r="E36" s="36"/>
      <c r="F36" s="36"/>
      <c r="G36" s="88"/>
      <c r="H36" s="103">
        <v>31</v>
      </c>
      <c r="I36" s="104" t="str">
        <f t="shared" si="1"/>
        <v/>
      </c>
      <c r="J36" s="103" t="e">
        <f t="shared" si="2"/>
        <v>#NUM!</v>
      </c>
      <c r="K36" s="103" t="e">
        <f t="shared" si="3"/>
        <v>#NUM!</v>
      </c>
      <c r="L36" s="103"/>
      <c r="M36" s="105">
        <f t="shared" si="4"/>
        <v>0</v>
      </c>
      <c r="N36" s="88"/>
      <c r="O36" s="88"/>
      <c r="P36" s="88"/>
      <c r="Q36" s="88"/>
      <c r="R36" s="117"/>
      <c r="S36" s="118"/>
    </row>
    <row r="37" spans="1:21" s="93" customFormat="1">
      <c r="A37" s="106">
        <f t="shared" si="0"/>
        <v>0</v>
      </c>
      <c r="B37" s="41" t="str">
        <f t="shared" si="5"/>
        <v/>
      </c>
      <c r="C37" s="42"/>
      <c r="D37" s="42"/>
      <c r="E37" s="42"/>
      <c r="F37" s="42"/>
      <c r="G37" s="88"/>
      <c r="H37" s="107">
        <v>32</v>
      </c>
      <c r="I37" s="108" t="str">
        <f t="shared" si="1"/>
        <v/>
      </c>
      <c r="J37" s="107" t="e">
        <f t="shared" si="2"/>
        <v>#NUM!</v>
      </c>
      <c r="K37" s="107" t="e">
        <f t="shared" si="3"/>
        <v>#NUM!</v>
      </c>
      <c r="L37" s="107"/>
      <c r="M37" s="109">
        <f t="shared" si="4"/>
        <v>0</v>
      </c>
      <c r="N37" s="88"/>
      <c r="O37" s="88"/>
      <c r="P37" s="88"/>
      <c r="Q37" s="88"/>
      <c r="R37" s="88"/>
    </row>
    <row r="38" spans="1:21" s="93" customFormat="1">
      <c r="A38" s="102"/>
      <c r="B38" s="35" t="str">
        <f t="shared" si="5"/>
        <v/>
      </c>
      <c r="C38" s="36"/>
      <c r="D38" s="36"/>
      <c r="E38" s="36"/>
      <c r="F38" s="36"/>
      <c r="G38" s="88"/>
      <c r="H38" s="103">
        <v>33</v>
      </c>
      <c r="I38" s="104" t="str">
        <f t="shared" si="1"/>
        <v/>
      </c>
      <c r="J38" s="103" t="e">
        <f t="shared" si="2"/>
        <v>#NUM!</v>
      </c>
      <c r="K38" s="103" t="e">
        <f t="shared" si="3"/>
        <v>#NUM!</v>
      </c>
      <c r="L38" s="103"/>
      <c r="M38" s="105">
        <f t="shared" si="4"/>
        <v>0</v>
      </c>
      <c r="N38" s="88"/>
      <c r="O38" s="88"/>
      <c r="P38" s="88"/>
      <c r="Q38" s="88"/>
      <c r="R38" s="88"/>
    </row>
    <row r="39" spans="1:21" s="93" customFormat="1">
      <c r="A39" s="106"/>
      <c r="B39" s="41" t="str">
        <f t="shared" si="5"/>
        <v/>
      </c>
      <c r="C39" s="42"/>
      <c r="D39" s="42"/>
      <c r="E39" s="42"/>
      <c r="F39" s="42"/>
      <c r="G39" s="88"/>
      <c r="H39" s="107">
        <v>34</v>
      </c>
      <c r="I39" s="108" t="str">
        <f t="shared" si="1"/>
        <v/>
      </c>
      <c r="J39" s="107" t="e">
        <f t="shared" si="2"/>
        <v>#NUM!</v>
      </c>
      <c r="K39" s="107" t="e">
        <f t="shared" si="3"/>
        <v>#NUM!</v>
      </c>
      <c r="L39" s="107"/>
      <c r="M39" s="109">
        <f t="shared" si="4"/>
        <v>0</v>
      </c>
      <c r="N39" s="88"/>
      <c r="O39" s="88"/>
      <c r="P39" s="88"/>
      <c r="Q39" s="88"/>
      <c r="R39" s="88"/>
    </row>
    <row r="40" spans="1:21" s="93" customFormat="1">
      <c r="A40" s="102"/>
      <c r="B40" s="35" t="str">
        <f t="shared" si="5"/>
        <v/>
      </c>
      <c r="C40" s="36"/>
      <c r="D40" s="36"/>
      <c r="E40" s="36"/>
      <c r="F40" s="36"/>
      <c r="G40" s="88"/>
      <c r="H40" s="103">
        <v>35</v>
      </c>
      <c r="I40" s="104" t="str">
        <f t="shared" si="1"/>
        <v/>
      </c>
      <c r="J40" s="103" t="e">
        <f t="shared" si="2"/>
        <v>#NUM!</v>
      </c>
      <c r="K40" s="103" t="e">
        <f t="shared" si="3"/>
        <v>#NUM!</v>
      </c>
      <c r="L40" s="103"/>
      <c r="M40" s="105">
        <f t="shared" si="4"/>
        <v>0</v>
      </c>
      <c r="N40" s="88"/>
      <c r="O40" s="88"/>
      <c r="P40" s="88"/>
      <c r="Q40" s="88"/>
      <c r="R40" s="88"/>
    </row>
    <row r="41" spans="1:21" s="93" customFormat="1">
      <c r="A41" s="106"/>
      <c r="B41" s="41" t="str">
        <f t="shared" si="5"/>
        <v/>
      </c>
      <c r="C41" s="42"/>
      <c r="D41" s="42"/>
      <c r="E41" s="42"/>
      <c r="F41" s="42"/>
      <c r="G41" s="88"/>
      <c r="H41" s="107">
        <v>36</v>
      </c>
      <c r="I41" s="108" t="str">
        <f t="shared" si="1"/>
        <v/>
      </c>
      <c r="J41" s="107" t="e">
        <f t="shared" si="2"/>
        <v>#NUM!</v>
      </c>
      <c r="K41" s="107" t="e">
        <f t="shared" si="3"/>
        <v>#NUM!</v>
      </c>
      <c r="L41" s="107"/>
      <c r="M41" s="109">
        <f t="shared" si="4"/>
        <v>0</v>
      </c>
      <c r="N41" s="88"/>
      <c r="O41" s="88"/>
      <c r="P41" s="88"/>
      <c r="Q41" s="88"/>
      <c r="R41" s="88"/>
      <c r="S41" s="119"/>
    </row>
    <row r="42" spans="1:21" s="93" customFormat="1">
      <c r="A42" s="102"/>
      <c r="B42" s="35" t="str">
        <f t="shared" si="5"/>
        <v/>
      </c>
      <c r="C42" s="36"/>
      <c r="D42" s="36"/>
      <c r="E42" s="36"/>
      <c r="F42" s="36"/>
      <c r="G42" s="88"/>
      <c r="H42" s="103">
        <v>37</v>
      </c>
      <c r="I42" s="104" t="str">
        <f t="shared" si="1"/>
        <v/>
      </c>
      <c r="J42" s="103" t="e">
        <f t="shared" si="2"/>
        <v>#NUM!</v>
      </c>
      <c r="K42" s="103" t="e">
        <f t="shared" si="3"/>
        <v>#NUM!</v>
      </c>
      <c r="L42" s="103"/>
      <c r="M42" s="105">
        <f t="shared" si="4"/>
        <v>0</v>
      </c>
      <c r="N42" s="88"/>
      <c r="O42" s="88"/>
      <c r="P42" s="88"/>
      <c r="Q42" s="88"/>
      <c r="R42" s="88"/>
    </row>
    <row r="43" spans="1:21" s="93" customFormat="1">
      <c r="A43" s="106"/>
      <c r="B43" s="41" t="str">
        <f t="shared" si="5"/>
        <v/>
      </c>
      <c r="C43" s="42"/>
      <c r="D43" s="42"/>
      <c r="E43" s="42"/>
      <c r="F43" s="42"/>
      <c r="G43" s="88"/>
      <c r="H43" s="107">
        <v>38</v>
      </c>
      <c r="I43" s="108" t="str">
        <f t="shared" si="1"/>
        <v/>
      </c>
      <c r="J43" s="107" t="e">
        <f t="shared" si="2"/>
        <v>#NUM!</v>
      </c>
      <c r="K43" s="107" t="e">
        <f t="shared" si="3"/>
        <v>#NUM!</v>
      </c>
      <c r="L43" s="107"/>
      <c r="M43" s="109">
        <f t="shared" si="4"/>
        <v>0</v>
      </c>
      <c r="N43" s="88"/>
      <c r="O43" s="88"/>
      <c r="P43" s="88"/>
      <c r="Q43" s="88"/>
      <c r="R43" s="88"/>
    </row>
    <row r="44" spans="1:21" s="93" customFormat="1">
      <c r="A44" s="102"/>
      <c r="B44" s="35" t="str">
        <f t="shared" si="5"/>
        <v/>
      </c>
      <c r="C44" s="36"/>
      <c r="D44" s="36"/>
      <c r="E44" s="36"/>
      <c r="F44" s="36"/>
      <c r="G44" s="88"/>
      <c r="H44" s="103">
        <v>39</v>
      </c>
      <c r="I44" s="104" t="str">
        <f t="shared" si="1"/>
        <v/>
      </c>
      <c r="J44" s="103" t="e">
        <f t="shared" si="2"/>
        <v>#NUM!</v>
      </c>
      <c r="K44" s="103" t="e">
        <f t="shared" si="3"/>
        <v>#NUM!</v>
      </c>
      <c r="L44" s="103"/>
      <c r="M44" s="105">
        <f t="shared" si="4"/>
        <v>0</v>
      </c>
      <c r="N44" s="88"/>
      <c r="O44" s="88"/>
      <c r="P44" s="88"/>
      <c r="Q44" s="88"/>
      <c r="R44" s="88"/>
    </row>
    <row r="45" spans="1:21" s="93" customFormat="1">
      <c r="A45" s="106"/>
      <c r="B45" s="41" t="str">
        <f t="shared" si="5"/>
        <v/>
      </c>
      <c r="C45" s="42"/>
      <c r="D45" s="42"/>
      <c r="E45" s="42"/>
      <c r="F45" s="42"/>
      <c r="G45" s="88"/>
      <c r="H45" s="107">
        <v>40</v>
      </c>
      <c r="I45" s="108" t="str">
        <f t="shared" si="1"/>
        <v/>
      </c>
      <c r="J45" s="107" t="e">
        <f t="shared" si="2"/>
        <v>#NUM!</v>
      </c>
      <c r="K45" s="107" t="e">
        <f t="shared" si="3"/>
        <v>#NUM!</v>
      </c>
      <c r="L45" s="107"/>
      <c r="M45" s="109">
        <f t="shared" si="4"/>
        <v>0</v>
      </c>
      <c r="N45" s="88"/>
      <c r="O45" s="88"/>
      <c r="P45" s="88"/>
      <c r="Q45" s="88"/>
      <c r="R45" s="88"/>
    </row>
    <row r="46" spans="1:21" s="93" customFormat="1">
      <c r="A46" s="102"/>
      <c r="B46" s="35" t="str">
        <f t="shared" si="5"/>
        <v/>
      </c>
      <c r="C46" s="36"/>
      <c r="D46" s="36"/>
      <c r="E46" s="36"/>
      <c r="F46" s="36"/>
      <c r="G46" s="88"/>
      <c r="H46" s="103">
        <v>41</v>
      </c>
      <c r="I46" s="104" t="str">
        <f t="shared" si="1"/>
        <v/>
      </c>
      <c r="J46" s="103" t="e">
        <f t="shared" si="2"/>
        <v>#NUM!</v>
      </c>
      <c r="K46" s="103" t="e">
        <f t="shared" si="3"/>
        <v>#NUM!</v>
      </c>
      <c r="L46" s="103"/>
      <c r="M46" s="105">
        <f t="shared" si="4"/>
        <v>0</v>
      </c>
      <c r="N46" s="88"/>
      <c r="O46" s="88"/>
      <c r="P46" s="88"/>
      <c r="Q46" s="88"/>
      <c r="R46" s="88" t="e">
        <f>LOG($H$2,2)</f>
        <v>#NUM!</v>
      </c>
      <c r="T46" s="93">
        <f>LOG(H38,2)</f>
        <v>5.0443941193584534</v>
      </c>
      <c r="U46" s="93" t="e">
        <f>R46-T46</f>
        <v>#NUM!</v>
      </c>
    </row>
    <row r="47" spans="1:21" s="93" customFormat="1">
      <c r="A47" s="106"/>
      <c r="B47" s="41" t="str">
        <f t="shared" si="5"/>
        <v/>
      </c>
      <c r="C47" s="42"/>
      <c r="D47" s="42"/>
      <c r="E47" s="42"/>
      <c r="F47" s="42"/>
      <c r="G47" s="88"/>
      <c r="H47" s="107">
        <v>42</v>
      </c>
      <c r="I47" s="108" t="str">
        <f t="shared" si="1"/>
        <v/>
      </c>
      <c r="J47" s="107" t="e">
        <f t="shared" si="2"/>
        <v>#NUM!</v>
      </c>
      <c r="K47" s="107" t="e">
        <f t="shared" si="3"/>
        <v>#NUM!</v>
      </c>
      <c r="L47" s="107"/>
      <c r="M47" s="109">
        <f t="shared" si="4"/>
        <v>0</v>
      </c>
      <c r="N47" s="88"/>
      <c r="O47" s="88"/>
      <c r="P47" s="88"/>
      <c r="Q47" s="88"/>
      <c r="R47" s="88"/>
    </row>
    <row r="48" spans="1:21" s="93" customFormat="1">
      <c r="A48" s="102"/>
      <c r="B48" s="35" t="str">
        <f t="shared" si="5"/>
        <v/>
      </c>
      <c r="C48" s="36"/>
      <c r="D48" s="36"/>
      <c r="E48" s="36"/>
      <c r="F48" s="36"/>
      <c r="G48" s="88"/>
      <c r="H48" s="103">
        <v>43</v>
      </c>
      <c r="I48" s="104" t="str">
        <f t="shared" si="1"/>
        <v/>
      </c>
      <c r="J48" s="103" t="e">
        <f t="shared" si="2"/>
        <v>#NUM!</v>
      </c>
      <c r="K48" s="103" t="e">
        <f t="shared" si="3"/>
        <v>#NUM!</v>
      </c>
      <c r="L48" s="103"/>
      <c r="M48" s="105">
        <f t="shared" si="4"/>
        <v>0</v>
      </c>
      <c r="N48" s="88"/>
      <c r="O48" s="88"/>
      <c r="P48" s="88"/>
      <c r="Q48" s="88"/>
      <c r="R48" s="88"/>
    </row>
    <row r="49" spans="1:38" s="88" customFormat="1">
      <c r="A49" s="106"/>
      <c r="B49" s="41" t="str">
        <f t="shared" si="5"/>
        <v/>
      </c>
      <c r="C49" s="42"/>
      <c r="D49" s="42"/>
      <c r="E49" s="42"/>
      <c r="F49" s="42"/>
      <c r="H49" s="107">
        <v>44</v>
      </c>
      <c r="I49" s="108" t="str">
        <f t="shared" si="1"/>
        <v/>
      </c>
      <c r="J49" s="107" t="e">
        <f t="shared" si="2"/>
        <v>#NUM!</v>
      </c>
      <c r="K49" s="107" t="e">
        <f t="shared" si="3"/>
        <v>#NUM!</v>
      </c>
      <c r="L49" s="107"/>
      <c r="M49" s="109">
        <f t="shared" si="4"/>
        <v>0</v>
      </c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</row>
    <row r="50" spans="1:38" s="88" customFormat="1">
      <c r="A50" s="102"/>
      <c r="B50" s="35" t="str">
        <f t="shared" si="5"/>
        <v/>
      </c>
      <c r="C50" s="36"/>
      <c r="D50" s="36"/>
      <c r="E50" s="36"/>
      <c r="F50" s="36"/>
      <c r="H50" s="103">
        <v>45</v>
      </c>
      <c r="I50" s="104" t="str">
        <f t="shared" si="1"/>
        <v/>
      </c>
      <c r="J50" s="103" t="e">
        <f t="shared" si="2"/>
        <v>#NUM!</v>
      </c>
      <c r="K50" s="103" t="e">
        <f t="shared" si="3"/>
        <v>#NUM!</v>
      </c>
      <c r="L50" s="103"/>
      <c r="M50" s="105">
        <f t="shared" si="4"/>
        <v>0</v>
      </c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</row>
    <row r="51" spans="1:38" s="88" customFormat="1">
      <c r="A51" s="106"/>
      <c r="B51" s="41" t="str">
        <f t="shared" si="5"/>
        <v/>
      </c>
      <c r="C51" s="42"/>
      <c r="D51" s="42"/>
      <c r="E51" s="42"/>
      <c r="F51" s="42"/>
      <c r="H51" s="107">
        <v>46</v>
      </c>
      <c r="I51" s="108" t="str">
        <f t="shared" si="1"/>
        <v/>
      </c>
      <c r="J51" s="107" t="e">
        <f t="shared" si="2"/>
        <v>#NUM!</v>
      </c>
      <c r="K51" s="107" t="e">
        <f t="shared" si="3"/>
        <v>#NUM!</v>
      </c>
      <c r="L51" s="107"/>
      <c r="M51" s="109">
        <f t="shared" si="4"/>
        <v>0</v>
      </c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</row>
    <row r="52" spans="1:38" s="88" customFormat="1">
      <c r="A52" s="102"/>
      <c r="B52" s="35" t="str">
        <f t="shared" si="5"/>
        <v/>
      </c>
      <c r="C52" s="36"/>
      <c r="D52" s="36"/>
      <c r="E52" s="36"/>
      <c r="F52" s="36"/>
      <c r="H52" s="103">
        <v>47</v>
      </c>
      <c r="I52" s="104" t="str">
        <f t="shared" si="1"/>
        <v/>
      </c>
      <c r="J52" s="103" t="e">
        <f t="shared" si="2"/>
        <v>#NUM!</v>
      </c>
      <c r="K52" s="103" t="e">
        <f t="shared" si="3"/>
        <v>#NUM!</v>
      </c>
      <c r="L52" s="103"/>
      <c r="M52" s="105">
        <f t="shared" si="4"/>
        <v>0</v>
      </c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</row>
    <row r="53" spans="1:38" s="88" customFormat="1">
      <c r="A53" s="106"/>
      <c r="B53" s="41" t="str">
        <f t="shared" si="5"/>
        <v/>
      </c>
      <c r="C53" s="42"/>
      <c r="D53" s="42"/>
      <c r="E53" s="42"/>
      <c r="F53" s="42"/>
      <c r="H53" s="107">
        <v>48</v>
      </c>
      <c r="I53" s="108" t="str">
        <f t="shared" si="1"/>
        <v/>
      </c>
      <c r="J53" s="107" t="e">
        <f t="shared" si="2"/>
        <v>#NUM!</v>
      </c>
      <c r="K53" s="107" t="e">
        <f t="shared" si="3"/>
        <v>#NUM!</v>
      </c>
      <c r="L53" s="107"/>
      <c r="M53" s="109">
        <f t="shared" si="4"/>
        <v>0</v>
      </c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</row>
    <row r="54" spans="1:38" s="88" customFormat="1">
      <c r="A54" s="102"/>
      <c r="B54" s="35" t="str">
        <f t="shared" si="5"/>
        <v/>
      </c>
      <c r="C54" s="36"/>
      <c r="D54" s="36"/>
      <c r="E54" s="36"/>
      <c r="F54" s="36"/>
      <c r="H54" s="103">
        <v>49</v>
      </c>
      <c r="I54" s="104" t="str">
        <f t="shared" si="1"/>
        <v/>
      </c>
      <c r="J54" s="103" t="e">
        <f t="shared" si="2"/>
        <v>#NUM!</v>
      </c>
      <c r="K54" s="103" t="e">
        <f t="shared" si="3"/>
        <v>#NUM!</v>
      </c>
      <c r="L54" s="103"/>
      <c r="M54" s="105">
        <f t="shared" si="4"/>
        <v>0</v>
      </c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</row>
    <row r="55" spans="1:38" s="88" customFormat="1">
      <c r="A55" s="106"/>
      <c r="B55" s="41" t="str">
        <f t="shared" si="5"/>
        <v/>
      </c>
      <c r="C55" s="42"/>
      <c r="D55" s="42"/>
      <c r="E55" s="42"/>
      <c r="F55" s="42"/>
      <c r="H55" s="107">
        <v>50</v>
      </c>
      <c r="I55" s="108" t="str">
        <f t="shared" si="1"/>
        <v/>
      </c>
      <c r="J55" s="107" t="e">
        <f t="shared" si="2"/>
        <v>#NUM!</v>
      </c>
      <c r="K55" s="107" t="e">
        <f t="shared" si="3"/>
        <v>#NUM!</v>
      </c>
      <c r="L55" s="107"/>
      <c r="M55" s="109">
        <f t="shared" si="4"/>
        <v>0</v>
      </c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</row>
    <row r="56" spans="1:38" s="88" customFormat="1">
      <c r="A56" s="102"/>
      <c r="B56" s="35" t="str">
        <f t="shared" si="5"/>
        <v/>
      </c>
      <c r="C56" s="36"/>
      <c r="D56" s="36"/>
      <c r="E56" s="36"/>
      <c r="F56" s="36"/>
      <c r="H56" s="103">
        <v>51</v>
      </c>
      <c r="I56" s="104" t="str">
        <f t="shared" si="1"/>
        <v/>
      </c>
      <c r="J56" s="103" t="e">
        <f t="shared" si="2"/>
        <v>#NUM!</v>
      </c>
      <c r="K56" s="103" t="e">
        <f t="shared" si="3"/>
        <v>#NUM!</v>
      </c>
      <c r="L56" s="103"/>
      <c r="M56" s="105">
        <f t="shared" si="4"/>
        <v>0</v>
      </c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</row>
    <row r="57" spans="1:38" s="88" customFormat="1">
      <c r="A57" s="106"/>
      <c r="B57" s="41" t="str">
        <f t="shared" si="5"/>
        <v/>
      </c>
      <c r="C57" s="42"/>
      <c r="D57" s="42"/>
      <c r="E57" s="42"/>
      <c r="F57" s="42"/>
      <c r="H57" s="107">
        <v>52</v>
      </c>
      <c r="I57" s="108" t="str">
        <f t="shared" si="1"/>
        <v/>
      </c>
      <c r="J57" s="107" t="e">
        <f t="shared" si="2"/>
        <v>#NUM!</v>
      </c>
      <c r="K57" s="107" t="e">
        <f t="shared" si="3"/>
        <v>#NUM!</v>
      </c>
      <c r="L57" s="107"/>
      <c r="M57" s="109">
        <f t="shared" si="4"/>
        <v>0</v>
      </c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</row>
    <row r="58" spans="1:38" s="88" customFormat="1">
      <c r="A58" s="102"/>
      <c r="B58" s="35" t="str">
        <f t="shared" si="5"/>
        <v/>
      </c>
      <c r="C58" s="36"/>
      <c r="D58" s="36"/>
      <c r="E58" s="36"/>
      <c r="F58" s="36"/>
      <c r="H58" s="103">
        <v>53</v>
      </c>
      <c r="I58" s="104" t="str">
        <f t="shared" si="1"/>
        <v/>
      </c>
      <c r="J58" s="103" t="e">
        <f t="shared" si="2"/>
        <v>#NUM!</v>
      </c>
      <c r="K58" s="103" t="e">
        <f t="shared" si="3"/>
        <v>#NUM!</v>
      </c>
      <c r="L58" s="103"/>
      <c r="M58" s="105">
        <f t="shared" si="4"/>
        <v>0</v>
      </c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</row>
    <row r="59" spans="1:38" s="88" customFormat="1">
      <c r="A59" s="106"/>
      <c r="B59" s="41" t="str">
        <f t="shared" si="5"/>
        <v/>
      </c>
      <c r="C59" s="42"/>
      <c r="D59" s="42"/>
      <c r="E59" s="42"/>
      <c r="F59" s="42"/>
      <c r="H59" s="107">
        <v>54</v>
      </c>
      <c r="I59" s="108" t="str">
        <f t="shared" si="1"/>
        <v/>
      </c>
      <c r="J59" s="107" t="e">
        <f t="shared" si="2"/>
        <v>#NUM!</v>
      </c>
      <c r="K59" s="107" t="e">
        <f t="shared" si="3"/>
        <v>#NUM!</v>
      </c>
      <c r="L59" s="107"/>
      <c r="M59" s="109">
        <f t="shared" si="4"/>
        <v>0</v>
      </c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</row>
    <row r="60" spans="1:38" s="88" customFormat="1">
      <c r="A60" s="102"/>
      <c r="B60" s="35" t="str">
        <f t="shared" si="5"/>
        <v/>
      </c>
      <c r="C60" s="36"/>
      <c r="D60" s="36"/>
      <c r="E60" s="36"/>
      <c r="F60" s="36"/>
      <c r="H60" s="103">
        <v>55</v>
      </c>
      <c r="I60" s="104" t="str">
        <f t="shared" si="1"/>
        <v/>
      </c>
      <c r="J60" s="103" t="e">
        <f t="shared" si="2"/>
        <v>#NUM!</v>
      </c>
      <c r="K60" s="103" t="e">
        <f t="shared" si="3"/>
        <v>#NUM!</v>
      </c>
      <c r="L60" s="103"/>
      <c r="M60" s="105">
        <f t="shared" si="4"/>
        <v>0</v>
      </c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</row>
    <row r="61" spans="1:38" s="88" customFormat="1">
      <c r="A61" s="106"/>
      <c r="B61" s="41" t="str">
        <f t="shared" si="5"/>
        <v/>
      </c>
      <c r="C61" s="42"/>
      <c r="D61" s="42"/>
      <c r="E61" s="42"/>
      <c r="F61" s="42"/>
      <c r="H61" s="107">
        <v>56</v>
      </c>
      <c r="I61" s="108" t="str">
        <f t="shared" si="1"/>
        <v/>
      </c>
      <c r="J61" s="107" t="e">
        <f t="shared" si="2"/>
        <v>#NUM!</v>
      </c>
      <c r="K61" s="107" t="e">
        <f t="shared" si="3"/>
        <v>#NUM!</v>
      </c>
      <c r="L61" s="107"/>
      <c r="M61" s="109">
        <f t="shared" si="4"/>
        <v>0</v>
      </c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</row>
    <row r="62" spans="1:38" s="88" customFormat="1">
      <c r="A62" s="102"/>
      <c r="B62" s="35" t="str">
        <f t="shared" si="5"/>
        <v/>
      </c>
      <c r="C62" s="36"/>
      <c r="D62" s="36"/>
      <c r="E62" s="36"/>
      <c r="F62" s="36"/>
      <c r="H62" s="103">
        <v>57</v>
      </c>
      <c r="I62" s="104" t="str">
        <f t="shared" si="1"/>
        <v/>
      </c>
      <c r="J62" s="103" t="e">
        <f t="shared" si="2"/>
        <v>#NUM!</v>
      </c>
      <c r="K62" s="103" t="e">
        <f t="shared" si="3"/>
        <v>#NUM!</v>
      </c>
      <c r="L62" s="103"/>
      <c r="M62" s="105">
        <f t="shared" si="4"/>
        <v>0</v>
      </c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</row>
    <row r="63" spans="1:38" s="88" customFormat="1">
      <c r="A63" s="106"/>
      <c r="B63" s="41" t="str">
        <f t="shared" si="5"/>
        <v/>
      </c>
      <c r="C63" s="42"/>
      <c r="D63" s="42"/>
      <c r="E63" s="42"/>
      <c r="F63" s="42"/>
      <c r="H63" s="107">
        <v>58</v>
      </c>
      <c r="I63" s="108" t="str">
        <f t="shared" si="1"/>
        <v/>
      </c>
      <c r="J63" s="107" t="e">
        <f t="shared" si="2"/>
        <v>#NUM!</v>
      </c>
      <c r="K63" s="107" t="e">
        <f t="shared" si="3"/>
        <v>#NUM!</v>
      </c>
      <c r="L63" s="107"/>
      <c r="M63" s="109">
        <f t="shared" si="4"/>
        <v>0</v>
      </c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</row>
    <row r="64" spans="1:38" s="88" customFormat="1">
      <c r="A64" s="102"/>
      <c r="B64" s="35" t="str">
        <f t="shared" si="5"/>
        <v/>
      </c>
      <c r="C64" s="36"/>
      <c r="D64" s="36"/>
      <c r="E64" s="36"/>
      <c r="F64" s="36"/>
      <c r="H64" s="103">
        <v>59</v>
      </c>
      <c r="I64" s="104" t="str">
        <f t="shared" si="1"/>
        <v/>
      </c>
      <c r="J64" s="103" t="e">
        <f t="shared" si="2"/>
        <v>#NUM!</v>
      </c>
      <c r="K64" s="103" t="e">
        <f t="shared" si="3"/>
        <v>#NUM!</v>
      </c>
      <c r="L64" s="103"/>
      <c r="M64" s="105">
        <f t="shared" si="4"/>
        <v>0</v>
      </c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</row>
    <row r="65" spans="1:38" s="88" customFormat="1">
      <c r="A65" s="106"/>
      <c r="B65" s="41" t="str">
        <f t="shared" si="5"/>
        <v/>
      </c>
      <c r="C65" s="42"/>
      <c r="D65" s="42"/>
      <c r="E65" s="42"/>
      <c r="F65" s="42"/>
      <c r="H65" s="107">
        <v>60</v>
      </c>
      <c r="I65" s="108" t="str">
        <f t="shared" si="1"/>
        <v/>
      </c>
      <c r="J65" s="107" t="e">
        <f t="shared" si="2"/>
        <v>#NUM!</v>
      </c>
      <c r="K65" s="107" t="e">
        <f t="shared" si="3"/>
        <v>#NUM!</v>
      </c>
      <c r="L65" s="107"/>
      <c r="M65" s="109">
        <f t="shared" si="4"/>
        <v>0</v>
      </c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</row>
    <row r="66" spans="1:38" s="88" customFormat="1">
      <c r="A66" s="122"/>
      <c r="B66" s="35"/>
      <c r="C66" s="123"/>
      <c r="D66" s="123"/>
      <c r="E66" s="123"/>
      <c r="F66" s="123"/>
      <c r="H66" s="103">
        <v>61</v>
      </c>
      <c r="I66" s="104" t="str">
        <f t="shared" si="1"/>
        <v/>
      </c>
      <c r="J66" s="103" t="e">
        <f t="shared" si="2"/>
        <v>#NUM!</v>
      </c>
      <c r="K66" s="103" t="e">
        <f t="shared" si="3"/>
        <v>#NUM!</v>
      </c>
      <c r="L66" s="103"/>
      <c r="M66" s="105">
        <f t="shared" si="4"/>
        <v>0</v>
      </c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</row>
    <row r="67" spans="1:38" s="88" customFormat="1">
      <c r="A67" s="122"/>
      <c r="B67" s="41"/>
      <c r="C67" s="123"/>
      <c r="D67" s="123"/>
      <c r="E67" s="123"/>
      <c r="F67" s="123"/>
      <c r="H67" s="103">
        <v>62</v>
      </c>
      <c r="I67" s="104" t="str">
        <f t="shared" si="1"/>
        <v/>
      </c>
      <c r="J67" s="103" t="e">
        <f t="shared" si="2"/>
        <v>#NUM!</v>
      </c>
      <c r="K67" s="103" t="e">
        <f t="shared" si="3"/>
        <v>#NUM!</v>
      </c>
      <c r="L67" s="103"/>
      <c r="M67" s="105">
        <f t="shared" si="4"/>
        <v>0</v>
      </c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</row>
    <row r="68" spans="1:38" s="88" customFormat="1">
      <c r="A68" s="122"/>
      <c r="B68" s="35"/>
      <c r="C68" s="123"/>
      <c r="D68" s="123"/>
      <c r="E68" s="123"/>
      <c r="F68" s="123"/>
      <c r="H68" s="103">
        <v>63</v>
      </c>
      <c r="I68" s="104" t="str">
        <f t="shared" si="1"/>
        <v/>
      </c>
      <c r="J68" s="103" t="e">
        <f t="shared" si="2"/>
        <v>#NUM!</v>
      </c>
      <c r="K68" s="103" t="e">
        <f t="shared" si="3"/>
        <v>#NUM!</v>
      </c>
      <c r="L68" s="103"/>
      <c r="M68" s="105">
        <f t="shared" si="4"/>
        <v>0</v>
      </c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</row>
    <row r="69" spans="1:38" s="88" customFormat="1">
      <c r="A69" s="122"/>
      <c r="B69" s="41"/>
      <c r="C69" s="123"/>
      <c r="D69" s="123"/>
      <c r="E69" s="123"/>
      <c r="F69" s="123"/>
      <c r="H69" s="103">
        <v>64</v>
      </c>
      <c r="I69" s="104" t="str">
        <f t="shared" si="1"/>
        <v/>
      </c>
      <c r="J69" s="103" t="e">
        <f t="shared" si="2"/>
        <v>#NUM!</v>
      </c>
      <c r="K69" s="103" t="e">
        <f t="shared" si="3"/>
        <v>#NUM!</v>
      </c>
      <c r="L69" s="103"/>
      <c r="M69" s="105">
        <f t="shared" si="4"/>
        <v>0</v>
      </c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</row>
    <row r="70" spans="1:38" s="88" customFormat="1">
      <c r="A70" s="122"/>
      <c r="B70" s="123"/>
      <c r="C70" s="123"/>
      <c r="D70" s="123"/>
      <c r="E70" s="123"/>
      <c r="F70" s="123"/>
      <c r="H70" s="103">
        <v>65</v>
      </c>
      <c r="I70" s="104" t="str">
        <f t="shared" ref="I70:I133" si="6">IF(H70&lt;$H$2+1,($I$2-($I$2-1)*(LOG(H70)/LOG($H$2))),"")</f>
        <v/>
      </c>
      <c r="J70" s="103" t="e">
        <f t="shared" ref="J70:J133" si="7">INT(LOG($H$2,2))-ROUNDUP(LOG(H70,2),0)+IF(OR($H$2=1,$H$2=2,$H$2=4,$H$2=8,$H$2=16,$H$2=32,$H$2=64,$H$2=128,$H$2=256),0,1)</f>
        <v>#NUM!</v>
      </c>
      <c r="K70" s="103" t="e">
        <f t="shared" ref="K70:K133" si="8">J70*$J$2</f>
        <v>#NUM!</v>
      </c>
      <c r="L70" s="103"/>
      <c r="M70" s="105">
        <f t="shared" ref="M70:M133" si="9">IF(I70&lt;&gt;"",K70+I70+L70,0)</f>
        <v>0</v>
      </c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</row>
    <row r="71" spans="1:38" s="88" customFormat="1">
      <c r="A71" s="122"/>
      <c r="B71" s="123"/>
      <c r="C71" s="123"/>
      <c r="D71" s="123"/>
      <c r="E71" s="123"/>
      <c r="F71" s="123"/>
      <c r="H71" s="103">
        <v>66</v>
      </c>
      <c r="I71" s="104" t="str">
        <f t="shared" si="6"/>
        <v/>
      </c>
      <c r="J71" s="103" t="e">
        <f t="shared" si="7"/>
        <v>#NUM!</v>
      </c>
      <c r="K71" s="103" t="e">
        <f t="shared" si="8"/>
        <v>#NUM!</v>
      </c>
      <c r="L71" s="103"/>
      <c r="M71" s="105">
        <f t="shared" si="9"/>
        <v>0</v>
      </c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</row>
    <row r="72" spans="1:38" s="88" customFormat="1">
      <c r="A72" s="122"/>
      <c r="B72" s="123"/>
      <c r="C72" s="123"/>
      <c r="D72" s="123"/>
      <c r="E72" s="123"/>
      <c r="F72" s="123"/>
      <c r="H72" s="103">
        <v>67</v>
      </c>
      <c r="I72" s="104" t="str">
        <f t="shared" si="6"/>
        <v/>
      </c>
      <c r="J72" s="103" t="e">
        <f t="shared" si="7"/>
        <v>#NUM!</v>
      </c>
      <c r="K72" s="103" t="e">
        <f t="shared" si="8"/>
        <v>#NUM!</v>
      </c>
      <c r="L72" s="103"/>
      <c r="M72" s="105">
        <f t="shared" si="9"/>
        <v>0</v>
      </c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</row>
    <row r="73" spans="1:38" s="88" customFormat="1">
      <c r="A73" s="122"/>
      <c r="B73" s="123"/>
      <c r="C73" s="123"/>
      <c r="D73" s="123"/>
      <c r="E73" s="123"/>
      <c r="F73" s="123"/>
      <c r="H73" s="103">
        <v>68</v>
      </c>
      <c r="I73" s="104" t="str">
        <f t="shared" si="6"/>
        <v/>
      </c>
      <c r="J73" s="103" t="e">
        <f t="shared" si="7"/>
        <v>#NUM!</v>
      </c>
      <c r="K73" s="103" t="e">
        <f t="shared" si="8"/>
        <v>#NUM!</v>
      </c>
      <c r="L73" s="103"/>
      <c r="M73" s="105">
        <f t="shared" si="9"/>
        <v>0</v>
      </c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</row>
    <row r="74" spans="1:38" s="88" customFormat="1">
      <c r="A74" s="122"/>
      <c r="B74" s="123"/>
      <c r="C74" s="123"/>
      <c r="D74" s="123"/>
      <c r="E74" s="123"/>
      <c r="F74" s="123"/>
      <c r="H74" s="103">
        <v>69</v>
      </c>
      <c r="I74" s="104" t="str">
        <f t="shared" si="6"/>
        <v/>
      </c>
      <c r="J74" s="103" t="e">
        <f t="shared" si="7"/>
        <v>#NUM!</v>
      </c>
      <c r="K74" s="103" t="e">
        <f t="shared" si="8"/>
        <v>#NUM!</v>
      </c>
      <c r="L74" s="103"/>
      <c r="M74" s="105">
        <f t="shared" si="9"/>
        <v>0</v>
      </c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</row>
    <row r="75" spans="1:38" s="88" customFormat="1">
      <c r="A75" s="122"/>
      <c r="B75" s="123"/>
      <c r="C75" s="123"/>
      <c r="D75" s="123"/>
      <c r="E75" s="123"/>
      <c r="F75" s="123"/>
      <c r="H75" s="103">
        <v>70</v>
      </c>
      <c r="I75" s="104" t="str">
        <f t="shared" si="6"/>
        <v/>
      </c>
      <c r="J75" s="103" t="e">
        <f t="shared" si="7"/>
        <v>#NUM!</v>
      </c>
      <c r="K75" s="103" t="e">
        <f t="shared" si="8"/>
        <v>#NUM!</v>
      </c>
      <c r="L75" s="103"/>
      <c r="M75" s="105">
        <f t="shared" si="9"/>
        <v>0</v>
      </c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</row>
    <row r="76" spans="1:38" s="88" customFormat="1">
      <c r="A76" s="122"/>
      <c r="B76" s="123"/>
      <c r="C76" s="123"/>
      <c r="D76" s="123"/>
      <c r="E76" s="123"/>
      <c r="F76" s="123"/>
      <c r="H76" s="103">
        <v>71</v>
      </c>
      <c r="I76" s="104" t="str">
        <f t="shared" si="6"/>
        <v/>
      </c>
      <c r="J76" s="103" t="e">
        <f t="shared" si="7"/>
        <v>#NUM!</v>
      </c>
      <c r="K76" s="103" t="e">
        <f t="shared" si="8"/>
        <v>#NUM!</v>
      </c>
      <c r="L76" s="103"/>
      <c r="M76" s="105">
        <f t="shared" si="9"/>
        <v>0</v>
      </c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</row>
    <row r="77" spans="1:38" s="88" customFormat="1">
      <c r="A77" s="122"/>
      <c r="B77" s="123"/>
      <c r="C77" s="123"/>
      <c r="D77" s="123"/>
      <c r="E77" s="123"/>
      <c r="F77" s="123"/>
      <c r="H77" s="103">
        <v>72</v>
      </c>
      <c r="I77" s="104" t="str">
        <f t="shared" si="6"/>
        <v/>
      </c>
      <c r="J77" s="103" t="e">
        <f t="shared" si="7"/>
        <v>#NUM!</v>
      </c>
      <c r="K77" s="103" t="e">
        <f t="shared" si="8"/>
        <v>#NUM!</v>
      </c>
      <c r="L77" s="103"/>
      <c r="M77" s="105">
        <f t="shared" si="9"/>
        <v>0</v>
      </c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</row>
    <row r="78" spans="1:38" s="88" customFormat="1">
      <c r="A78" s="122"/>
      <c r="B78" s="123"/>
      <c r="C78" s="123"/>
      <c r="D78" s="123"/>
      <c r="E78" s="123"/>
      <c r="F78" s="123"/>
      <c r="H78" s="103">
        <v>73</v>
      </c>
      <c r="I78" s="104" t="str">
        <f t="shared" si="6"/>
        <v/>
      </c>
      <c r="J78" s="103" t="e">
        <f t="shared" si="7"/>
        <v>#NUM!</v>
      </c>
      <c r="K78" s="103" t="e">
        <f t="shared" si="8"/>
        <v>#NUM!</v>
      </c>
      <c r="L78" s="103"/>
      <c r="M78" s="105">
        <f t="shared" si="9"/>
        <v>0</v>
      </c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</row>
    <row r="79" spans="1:38" s="88" customFormat="1">
      <c r="A79" s="122"/>
      <c r="B79" s="123"/>
      <c r="C79" s="123"/>
      <c r="D79" s="123"/>
      <c r="E79" s="123"/>
      <c r="F79" s="123"/>
      <c r="H79" s="103">
        <v>74</v>
      </c>
      <c r="I79" s="104" t="str">
        <f t="shared" si="6"/>
        <v/>
      </c>
      <c r="J79" s="103" t="e">
        <f t="shared" si="7"/>
        <v>#NUM!</v>
      </c>
      <c r="K79" s="103" t="e">
        <f t="shared" si="8"/>
        <v>#NUM!</v>
      </c>
      <c r="L79" s="103"/>
      <c r="M79" s="105">
        <f t="shared" si="9"/>
        <v>0</v>
      </c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</row>
    <row r="80" spans="1:38" s="88" customFormat="1">
      <c r="A80" s="122"/>
      <c r="B80" s="123"/>
      <c r="C80" s="123"/>
      <c r="D80" s="123"/>
      <c r="E80" s="123"/>
      <c r="F80" s="123"/>
      <c r="H80" s="103">
        <v>75</v>
      </c>
      <c r="I80" s="104" t="str">
        <f t="shared" si="6"/>
        <v/>
      </c>
      <c r="J80" s="103" t="e">
        <f t="shared" si="7"/>
        <v>#NUM!</v>
      </c>
      <c r="K80" s="103" t="e">
        <f t="shared" si="8"/>
        <v>#NUM!</v>
      </c>
      <c r="L80" s="103"/>
      <c r="M80" s="105">
        <f t="shared" si="9"/>
        <v>0</v>
      </c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</row>
    <row r="81" spans="1:38" s="88" customFormat="1">
      <c r="A81" s="122"/>
      <c r="B81" s="123"/>
      <c r="C81" s="123"/>
      <c r="D81" s="123"/>
      <c r="E81" s="123"/>
      <c r="F81" s="123"/>
      <c r="H81" s="103">
        <v>76</v>
      </c>
      <c r="I81" s="104" t="str">
        <f t="shared" si="6"/>
        <v/>
      </c>
      <c r="J81" s="103" t="e">
        <f t="shared" si="7"/>
        <v>#NUM!</v>
      </c>
      <c r="K81" s="103" t="e">
        <f t="shared" si="8"/>
        <v>#NUM!</v>
      </c>
      <c r="L81" s="103"/>
      <c r="M81" s="105">
        <f t="shared" si="9"/>
        <v>0</v>
      </c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</row>
    <row r="82" spans="1:38" s="88" customFormat="1">
      <c r="A82" s="122"/>
      <c r="B82" s="123"/>
      <c r="C82" s="123"/>
      <c r="D82" s="123"/>
      <c r="E82" s="123"/>
      <c r="F82" s="123"/>
      <c r="H82" s="103">
        <v>77</v>
      </c>
      <c r="I82" s="104" t="str">
        <f t="shared" si="6"/>
        <v/>
      </c>
      <c r="J82" s="103" t="e">
        <f t="shared" si="7"/>
        <v>#NUM!</v>
      </c>
      <c r="K82" s="103" t="e">
        <f t="shared" si="8"/>
        <v>#NUM!</v>
      </c>
      <c r="L82" s="103"/>
      <c r="M82" s="105">
        <f t="shared" si="9"/>
        <v>0</v>
      </c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</row>
    <row r="83" spans="1:38" s="88" customFormat="1">
      <c r="A83" s="122"/>
      <c r="B83" s="123"/>
      <c r="C83" s="123"/>
      <c r="D83" s="123"/>
      <c r="E83" s="123"/>
      <c r="F83" s="123"/>
      <c r="H83" s="103">
        <v>78</v>
      </c>
      <c r="I83" s="104" t="str">
        <f t="shared" si="6"/>
        <v/>
      </c>
      <c r="J83" s="103" t="e">
        <f t="shared" si="7"/>
        <v>#NUM!</v>
      </c>
      <c r="K83" s="103" t="e">
        <f t="shared" si="8"/>
        <v>#NUM!</v>
      </c>
      <c r="L83" s="103"/>
      <c r="M83" s="105">
        <f t="shared" si="9"/>
        <v>0</v>
      </c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</row>
    <row r="84" spans="1:38" s="88" customFormat="1">
      <c r="A84" s="122"/>
      <c r="B84" s="123"/>
      <c r="C84" s="123"/>
      <c r="D84" s="123"/>
      <c r="E84" s="123"/>
      <c r="F84" s="123"/>
      <c r="H84" s="103">
        <v>79</v>
      </c>
      <c r="I84" s="104" t="str">
        <f t="shared" si="6"/>
        <v/>
      </c>
      <c r="J84" s="103" t="e">
        <f t="shared" si="7"/>
        <v>#NUM!</v>
      </c>
      <c r="K84" s="103" t="e">
        <f t="shared" si="8"/>
        <v>#NUM!</v>
      </c>
      <c r="L84" s="103"/>
      <c r="M84" s="105">
        <f t="shared" si="9"/>
        <v>0</v>
      </c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</row>
    <row r="85" spans="1:38" s="88" customFormat="1">
      <c r="A85" s="122"/>
      <c r="B85" s="123"/>
      <c r="C85" s="123"/>
      <c r="D85" s="123"/>
      <c r="E85" s="123"/>
      <c r="F85" s="123"/>
      <c r="H85" s="103">
        <v>80</v>
      </c>
      <c r="I85" s="104" t="str">
        <f t="shared" si="6"/>
        <v/>
      </c>
      <c r="J85" s="103" t="e">
        <f t="shared" si="7"/>
        <v>#NUM!</v>
      </c>
      <c r="K85" s="103" t="e">
        <f t="shared" si="8"/>
        <v>#NUM!</v>
      </c>
      <c r="L85" s="103"/>
      <c r="M85" s="105">
        <f t="shared" si="9"/>
        <v>0</v>
      </c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</row>
    <row r="86" spans="1:38" s="88" customFormat="1">
      <c r="A86" s="122"/>
      <c r="B86" s="123"/>
      <c r="C86" s="123"/>
      <c r="D86" s="123"/>
      <c r="E86" s="123"/>
      <c r="F86" s="123"/>
      <c r="H86" s="103">
        <v>81</v>
      </c>
      <c r="I86" s="104" t="str">
        <f t="shared" si="6"/>
        <v/>
      </c>
      <c r="J86" s="103" t="e">
        <f t="shared" si="7"/>
        <v>#NUM!</v>
      </c>
      <c r="K86" s="103" t="e">
        <f t="shared" si="8"/>
        <v>#NUM!</v>
      </c>
      <c r="L86" s="103"/>
      <c r="M86" s="105">
        <f t="shared" si="9"/>
        <v>0</v>
      </c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</row>
    <row r="87" spans="1:38" s="88" customFormat="1">
      <c r="A87" s="122"/>
      <c r="B87" s="123"/>
      <c r="C87" s="123"/>
      <c r="D87" s="123"/>
      <c r="E87" s="123"/>
      <c r="F87" s="123"/>
      <c r="H87" s="103">
        <v>82</v>
      </c>
      <c r="I87" s="104" t="str">
        <f t="shared" si="6"/>
        <v/>
      </c>
      <c r="J87" s="103" t="e">
        <f t="shared" si="7"/>
        <v>#NUM!</v>
      </c>
      <c r="K87" s="103" t="e">
        <f t="shared" si="8"/>
        <v>#NUM!</v>
      </c>
      <c r="L87" s="103"/>
      <c r="M87" s="105">
        <f t="shared" si="9"/>
        <v>0</v>
      </c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</row>
    <row r="88" spans="1:38" s="88" customFormat="1">
      <c r="A88" s="122"/>
      <c r="B88" s="123"/>
      <c r="C88" s="123"/>
      <c r="D88" s="123"/>
      <c r="E88" s="123"/>
      <c r="F88" s="123"/>
      <c r="H88" s="103">
        <v>83</v>
      </c>
      <c r="I88" s="104" t="str">
        <f t="shared" si="6"/>
        <v/>
      </c>
      <c r="J88" s="103" t="e">
        <f t="shared" si="7"/>
        <v>#NUM!</v>
      </c>
      <c r="K88" s="103" t="e">
        <f t="shared" si="8"/>
        <v>#NUM!</v>
      </c>
      <c r="L88" s="103"/>
      <c r="M88" s="105">
        <f t="shared" si="9"/>
        <v>0</v>
      </c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</row>
    <row r="89" spans="1:38" s="88" customFormat="1">
      <c r="A89" s="122"/>
      <c r="B89" s="123"/>
      <c r="C89" s="123"/>
      <c r="D89" s="123"/>
      <c r="E89" s="123"/>
      <c r="F89" s="123"/>
      <c r="H89" s="103">
        <v>84</v>
      </c>
      <c r="I89" s="104" t="str">
        <f t="shared" si="6"/>
        <v/>
      </c>
      <c r="J89" s="103" t="e">
        <f t="shared" si="7"/>
        <v>#NUM!</v>
      </c>
      <c r="K89" s="103" t="e">
        <f t="shared" si="8"/>
        <v>#NUM!</v>
      </c>
      <c r="L89" s="103"/>
      <c r="M89" s="105">
        <f t="shared" si="9"/>
        <v>0</v>
      </c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</row>
    <row r="90" spans="1:38" s="88" customFormat="1">
      <c r="A90" s="122"/>
      <c r="B90" s="123"/>
      <c r="C90" s="123"/>
      <c r="D90" s="123"/>
      <c r="E90" s="123"/>
      <c r="F90" s="123"/>
      <c r="H90" s="103">
        <v>85</v>
      </c>
      <c r="I90" s="104" t="str">
        <f t="shared" si="6"/>
        <v/>
      </c>
      <c r="J90" s="103" t="e">
        <f t="shared" si="7"/>
        <v>#NUM!</v>
      </c>
      <c r="K90" s="103" t="e">
        <f t="shared" si="8"/>
        <v>#NUM!</v>
      </c>
      <c r="L90" s="103"/>
      <c r="M90" s="105">
        <f t="shared" si="9"/>
        <v>0</v>
      </c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</row>
    <row r="91" spans="1:38" s="88" customFormat="1">
      <c r="A91" s="122"/>
      <c r="B91" s="123"/>
      <c r="C91" s="123"/>
      <c r="D91" s="123"/>
      <c r="E91" s="123"/>
      <c r="F91" s="123"/>
      <c r="H91" s="103">
        <v>86</v>
      </c>
      <c r="I91" s="104" t="str">
        <f t="shared" si="6"/>
        <v/>
      </c>
      <c r="J91" s="103" t="e">
        <f t="shared" si="7"/>
        <v>#NUM!</v>
      </c>
      <c r="K91" s="103" t="e">
        <f t="shared" si="8"/>
        <v>#NUM!</v>
      </c>
      <c r="L91" s="103"/>
      <c r="M91" s="105">
        <f t="shared" si="9"/>
        <v>0</v>
      </c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</row>
    <row r="92" spans="1:38" s="88" customFormat="1">
      <c r="A92" s="122"/>
      <c r="B92" s="123"/>
      <c r="C92" s="123"/>
      <c r="D92" s="123"/>
      <c r="E92" s="123"/>
      <c r="F92" s="123"/>
      <c r="H92" s="103">
        <v>87</v>
      </c>
      <c r="I92" s="104" t="str">
        <f t="shared" si="6"/>
        <v/>
      </c>
      <c r="J92" s="103" t="e">
        <f t="shared" si="7"/>
        <v>#NUM!</v>
      </c>
      <c r="K92" s="103" t="e">
        <f t="shared" si="8"/>
        <v>#NUM!</v>
      </c>
      <c r="L92" s="103"/>
      <c r="M92" s="105">
        <f t="shared" si="9"/>
        <v>0</v>
      </c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</row>
    <row r="93" spans="1:38" s="88" customFormat="1">
      <c r="A93" s="122"/>
      <c r="B93" s="123"/>
      <c r="C93" s="123"/>
      <c r="D93" s="123"/>
      <c r="E93" s="123"/>
      <c r="F93" s="123"/>
      <c r="H93" s="103">
        <v>88</v>
      </c>
      <c r="I93" s="104" t="str">
        <f t="shared" si="6"/>
        <v/>
      </c>
      <c r="J93" s="103" t="e">
        <f t="shared" si="7"/>
        <v>#NUM!</v>
      </c>
      <c r="K93" s="103" t="e">
        <f t="shared" si="8"/>
        <v>#NUM!</v>
      </c>
      <c r="L93" s="103"/>
      <c r="M93" s="105">
        <f t="shared" si="9"/>
        <v>0</v>
      </c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</row>
    <row r="94" spans="1:38" s="88" customFormat="1">
      <c r="A94" s="122"/>
      <c r="B94" s="123"/>
      <c r="C94" s="123"/>
      <c r="D94" s="123"/>
      <c r="E94" s="123"/>
      <c r="F94" s="123"/>
      <c r="H94" s="103">
        <v>89</v>
      </c>
      <c r="I94" s="104" t="str">
        <f t="shared" si="6"/>
        <v/>
      </c>
      <c r="J94" s="103" t="e">
        <f t="shared" si="7"/>
        <v>#NUM!</v>
      </c>
      <c r="K94" s="103" t="e">
        <f t="shared" si="8"/>
        <v>#NUM!</v>
      </c>
      <c r="L94" s="103"/>
      <c r="M94" s="105">
        <f t="shared" si="9"/>
        <v>0</v>
      </c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</row>
    <row r="95" spans="1:38" s="88" customFormat="1">
      <c r="A95" s="122"/>
      <c r="B95" s="123"/>
      <c r="C95" s="123"/>
      <c r="D95" s="123"/>
      <c r="E95" s="123"/>
      <c r="F95" s="123"/>
      <c r="H95" s="103">
        <v>90</v>
      </c>
      <c r="I95" s="104" t="str">
        <f t="shared" si="6"/>
        <v/>
      </c>
      <c r="J95" s="103" t="e">
        <f t="shared" si="7"/>
        <v>#NUM!</v>
      </c>
      <c r="K95" s="103" t="e">
        <f t="shared" si="8"/>
        <v>#NUM!</v>
      </c>
      <c r="L95" s="103"/>
      <c r="M95" s="105">
        <f t="shared" si="9"/>
        <v>0</v>
      </c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</row>
    <row r="96" spans="1:38" s="88" customFormat="1">
      <c r="A96" s="122"/>
      <c r="B96" s="123"/>
      <c r="C96" s="123"/>
      <c r="D96" s="123"/>
      <c r="E96" s="123"/>
      <c r="F96" s="123"/>
      <c r="H96" s="103">
        <v>91</v>
      </c>
      <c r="I96" s="104" t="str">
        <f t="shared" si="6"/>
        <v/>
      </c>
      <c r="J96" s="103" t="e">
        <f t="shared" si="7"/>
        <v>#NUM!</v>
      </c>
      <c r="K96" s="103" t="e">
        <f t="shared" si="8"/>
        <v>#NUM!</v>
      </c>
      <c r="L96" s="103"/>
      <c r="M96" s="105">
        <f t="shared" si="9"/>
        <v>0</v>
      </c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</row>
    <row r="97" spans="1:38" s="88" customFormat="1">
      <c r="A97" s="122"/>
      <c r="B97" s="123"/>
      <c r="C97" s="123"/>
      <c r="D97" s="123"/>
      <c r="E97" s="123"/>
      <c r="F97" s="123"/>
      <c r="H97" s="103">
        <v>92</v>
      </c>
      <c r="I97" s="104" t="str">
        <f t="shared" si="6"/>
        <v/>
      </c>
      <c r="J97" s="103" t="e">
        <f t="shared" si="7"/>
        <v>#NUM!</v>
      </c>
      <c r="K97" s="103" t="e">
        <f t="shared" si="8"/>
        <v>#NUM!</v>
      </c>
      <c r="L97" s="103"/>
      <c r="M97" s="105">
        <f t="shared" si="9"/>
        <v>0</v>
      </c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</row>
    <row r="98" spans="1:38" s="88" customFormat="1">
      <c r="A98" s="122"/>
      <c r="B98" s="123"/>
      <c r="C98" s="123"/>
      <c r="D98" s="123"/>
      <c r="E98" s="123"/>
      <c r="F98" s="123"/>
      <c r="H98" s="103">
        <v>93</v>
      </c>
      <c r="I98" s="104" t="str">
        <f t="shared" si="6"/>
        <v/>
      </c>
      <c r="J98" s="103" t="e">
        <f t="shared" si="7"/>
        <v>#NUM!</v>
      </c>
      <c r="K98" s="103" t="e">
        <f t="shared" si="8"/>
        <v>#NUM!</v>
      </c>
      <c r="L98" s="103"/>
      <c r="M98" s="105">
        <f t="shared" si="9"/>
        <v>0</v>
      </c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</row>
    <row r="99" spans="1:38" s="88" customFormat="1">
      <c r="A99" s="122"/>
      <c r="B99" s="123"/>
      <c r="C99" s="123"/>
      <c r="D99" s="123"/>
      <c r="E99" s="123"/>
      <c r="F99" s="123"/>
      <c r="H99" s="103">
        <v>94</v>
      </c>
      <c r="I99" s="104" t="str">
        <f t="shared" si="6"/>
        <v/>
      </c>
      <c r="J99" s="103" t="e">
        <f t="shared" si="7"/>
        <v>#NUM!</v>
      </c>
      <c r="K99" s="103" t="e">
        <f t="shared" si="8"/>
        <v>#NUM!</v>
      </c>
      <c r="L99" s="103"/>
      <c r="M99" s="105">
        <f t="shared" si="9"/>
        <v>0</v>
      </c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</row>
    <row r="100" spans="1:38" s="88" customFormat="1">
      <c r="A100" s="122"/>
      <c r="B100" s="123"/>
      <c r="C100" s="123"/>
      <c r="D100" s="123"/>
      <c r="E100" s="123"/>
      <c r="F100" s="123"/>
      <c r="H100" s="103">
        <v>95</v>
      </c>
      <c r="I100" s="104" t="str">
        <f t="shared" si="6"/>
        <v/>
      </c>
      <c r="J100" s="103" t="e">
        <f t="shared" si="7"/>
        <v>#NUM!</v>
      </c>
      <c r="K100" s="103" t="e">
        <f t="shared" si="8"/>
        <v>#NUM!</v>
      </c>
      <c r="L100" s="103"/>
      <c r="M100" s="105">
        <f t="shared" si="9"/>
        <v>0</v>
      </c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</row>
    <row r="101" spans="1:38" s="88" customFormat="1">
      <c r="A101" s="124"/>
      <c r="B101" s="123"/>
      <c r="C101" s="123"/>
      <c r="D101" s="123"/>
      <c r="E101" s="123"/>
      <c r="F101" s="123"/>
      <c r="H101" s="103">
        <v>96</v>
      </c>
      <c r="I101" s="104" t="str">
        <f t="shared" si="6"/>
        <v/>
      </c>
      <c r="J101" s="103" t="e">
        <f t="shared" si="7"/>
        <v>#NUM!</v>
      </c>
      <c r="K101" s="103" t="e">
        <f t="shared" si="8"/>
        <v>#NUM!</v>
      </c>
      <c r="L101" s="103"/>
      <c r="M101" s="105">
        <f t="shared" si="9"/>
        <v>0</v>
      </c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</row>
    <row r="102" spans="1:38" s="88" customFormat="1">
      <c r="A102" s="124"/>
      <c r="B102" s="123"/>
      <c r="C102" s="123"/>
      <c r="D102" s="123"/>
      <c r="E102" s="123"/>
      <c r="F102" s="123"/>
      <c r="H102" s="103">
        <v>97</v>
      </c>
      <c r="I102" s="104" t="str">
        <f t="shared" si="6"/>
        <v/>
      </c>
      <c r="J102" s="103" t="e">
        <f t="shared" si="7"/>
        <v>#NUM!</v>
      </c>
      <c r="K102" s="103" t="e">
        <f t="shared" si="8"/>
        <v>#NUM!</v>
      </c>
      <c r="L102" s="103"/>
      <c r="M102" s="105">
        <f t="shared" si="9"/>
        <v>0</v>
      </c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</row>
    <row r="103" spans="1:38" s="88" customFormat="1">
      <c r="A103" s="124"/>
      <c r="B103" s="123"/>
      <c r="C103" s="123"/>
      <c r="D103" s="123"/>
      <c r="E103" s="123"/>
      <c r="F103" s="123"/>
      <c r="H103" s="103">
        <v>98</v>
      </c>
      <c r="I103" s="104" t="str">
        <f t="shared" si="6"/>
        <v/>
      </c>
      <c r="J103" s="103" t="e">
        <f t="shared" si="7"/>
        <v>#NUM!</v>
      </c>
      <c r="K103" s="103" t="e">
        <f t="shared" si="8"/>
        <v>#NUM!</v>
      </c>
      <c r="L103" s="103"/>
      <c r="M103" s="105">
        <f t="shared" si="9"/>
        <v>0</v>
      </c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</row>
    <row r="104" spans="1:38" s="88" customFormat="1">
      <c r="A104" s="124"/>
      <c r="B104" s="123"/>
      <c r="C104" s="123"/>
      <c r="D104" s="123"/>
      <c r="E104" s="123"/>
      <c r="F104" s="123"/>
      <c r="H104" s="103">
        <v>99</v>
      </c>
      <c r="I104" s="104" t="str">
        <f t="shared" si="6"/>
        <v/>
      </c>
      <c r="J104" s="103" t="e">
        <f t="shared" si="7"/>
        <v>#NUM!</v>
      </c>
      <c r="K104" s="103" t="e">
        <f t="shared" si="8"/>
        <v>#NUM!</v>
      </c>
      <c r="L104" s="103"/>
      <c r="M104" s="105">
        <f t="shared" si="9"/>
        <v>0</v>
      </c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</row>
    <row r="105" spans="1:38" s="88" customFormat="1">
      <c r="A105" s="124"/>
      <c r="B105" s="123"/>
      <c r="C105" s="123"/>
      <c r="D105" s="123"/>
      <c r="E105" s="123"/>
      <c r="F105" s="123"/>
      <c r="H105" s="103">
        <v>100</v>
      </c>
      <c r="I105" s="104" t="str">
        <f t="shared" si="6"/>
        <v/>
      </c>
      <c r="J105" s="103" t="e">
        <f t="shared" si="7"/>
        <v>#NUM!</v>
      </c>
      <c r="K105" s="103" t="e">
        <f t="shared" si="8"/>
        <v>#NUM!</v>
      </c>
      <c r="L105" s="103"/>
      <c r="M105" s="105">
        <f t="shared" si="9"/>
        <v>0</v>
      </c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</row>
    <row r="106" spans="1:38" s="88" customFormat="1">
      <c r="A106" s="124"/>
      <c r="B106" s="123"/>
      <c r="C106" s="123"/>
      <c r="D106" s="123"/>
      <c r="E106" s="123"/>
      <c r="F106" s="123"/>
      <c r="H106" s="103">
        <v>101</v>
      </c>
      <c r="I106" s="104" t="str">
        <f t="shared" si="6"/>
        <v/>
      </c>
      <c r="J106" s="103" t="e">
        <f t="shared" si="7"/>
        <v>#NUM!</v>
      </c>
      <c r="K106" s="103" t="e">
        <f t="shared" si="8"/>
        <v>#NUM!</v>
      </c>
      <c r="L106" s="103"/>
      <c r="M106" s="105">
        <f t="shared" si="9"/>
        <v>0</v>
      </c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</row>
    <row r="107" spans="1:38" s="88" customFormat="1">
      <c r="A107" s="124"/>
      <c r="B107" s="123"/>
      <c r="C107" s="123"/>
      <c r="D107" s="123"/>
      <c r="E107" s="123"/>
      <c r="F107" s="123"/>
      <c r="H107" s="103">
        <v>102</v>
      </c>
      <c r="I107" s="104" t="str">
        <f t="shared" si="6"/>
        <v/>
      </c>
      <c r="J107" s="103" t="e">
        <f t="shared" si="7"/>
        <v>#NUM!</v>
      </c>
      <c r="K107" s="103" t="e">
        <f t="shared" si="8"/>
        <v>#NUM!</v>
      </c>
      <c r="L107" s="103"/>
      <c r="M107" s="105">
        <f t="shared" si="9"/>
        <v>0</v>
      </c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</row>
    <row r="108" spans="1:38" s="88" customFormat="1">
      <c r="A108" s="124"/>
      <c r="B108" s="123"/>
      <c r="C108" s="123"/>
      <c r="D108" s="123"/>
      <c r="E108" s="123"/>
      <c r="F108" s="123"/>
      <c r="H108" s="103">
        <v>103</v>
      </c>
      <c r="I108" s="104" t="str">
        <f t="shared" si="6"/>
        <v/>
      </c>
      <c r="J108" s="103" t="e">
        <f t="shared" si="7"/>
        <v>#NUM!</v>
      </c>
      <c r="K108" s="103" t="e">
        <f t="shared" si="8"/>
        <v>#NUM!</v>
      </c>
      <c r="L108" s="103"/>
      <c r="M108" s="105">
        <f t="shared" si="9"/>
        <v>0</v>
      </c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</row>
    <row r="109" spans="1:38" s="88" customFormat="1">
      <c r="A109" s="124"/>
      <c r="B109" s="123"/>
      <c r="C109" s="123"/>
      <c r="D109" s="123"/>
      <c r="E109" s="123"/>
      <c r="F109" s="123"/>
      <c r="H109" s="103">
        <v>104</v>
      </c>
      <c r="I109" s="104" t="str">
        <f t="shared" si="6"/>
        <v/>
      </c>
      <c r="J109" s="103" t="e">
        <f t="shared" si="7"/>
        <v>#NUM!</v>
      </c>
      <c r="K109" s="103" t="e">
        <f t="shared" si="8"/>
        <v>#NUM!</v>
      </c>
      <c r="L109" s="103"/>
      <c r="M109" s="105">
        <f t="shared" si="9"/>
        <v>0</v>
      </c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</row>
    <row r="110" spans="1:38" s="88" customFormat="1">
      <c r="A110" s="124"/>
      <c r="B110" s="123"/>
      <c r="C110" s="123"/>
      <c r="D110" s="123"/>
      <c r="E110" s="123"/>
      <c r="F110" s="123"/>
      <c r="H110" s="103">
        <v>105</v>
      </c>
      <c r="I110" s="104" t="str">
        <f t="shared" si="6"/>
        <v/>
      </c>
      <c r="J110" s="103" t="e">
        <f t="shared" si="7"/>
        <v>#NUM!</v>
      </c>
      <c r="K110" s="103" t="e">
        <f t="shared" si="8"/>
        <v>#NUM!</v>
      </c>
      <c r="L110" s="103"/>
      <c r="M110" s="105">
        <f t="shared" si="9"/>
        <v>0</v>
      </c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</row>
    <row r="111" spans="1:38" s="88" customFormat="1">
      <c r="A111" s="124"/>
      <c r="B111" s="123"/>
      <c r="C111" s="123"/>
      <c r="D111" s="123"/>
      <c r="E111" s="123"/>
      <c r="F111" s="123"/>
      <c r="H111" s="103">
        <v>106</v>
      </c>
      <c r="I111" s="104" t="str">
        <f t="shared" si="6"/>
        <v/>
      </c>
      <c r="J111" s="103" t="e">
        <f t="shared" si="7"/>
        <v>#NUM!</v>
      </c>
      <c r="K111" s="103" t="e">
        <f t="shared" si="8"/>
        <v>#NUM!</v>
      </c>
      <c r="L111" s="103"/>
      <c r="M111" s="105">
        <f t="shared" si="9"/>
        <v>0</v>
      </c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</row>
    <row r="112" spans="1:38" s="88" customFormat="1">
      <c r="A112" s="124"/>
      <c r="B112" s="123"/>
      <c r="C112" s="123"/>
      <c r="D112" s="123"/>
      <c r="E112" s="123"/>
      <c r="F112" s="123"/>
      <c r="H112" s="103">
        <v>107</v>
      </c>
      <c r="I112" s="104" t="str">
        <f t="shared" si="6"/>
        <v/>
      </c>
      <c r="J112" s="103" t="e">
        <f t="shared" si="7"/>
        <v>#NUM!</v>
      </c>
      <c r="K112" s="103" t="e">
        <f t="shared" si="8"/>
        <v>#NUM!</v>
      </c>
      <c r="L112" s="103"/>
      <c r="M112" s="105">
        <f t="shared" si="9"/>
        <v>0</v>
      </c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</row>
    <row r="113" spans="1:38" s="88" customFormat="1">
      <c r="A113" s="124"/>
      <c r="B113" s="123"/>
      <c r="C113" s="123"/>
      <c r="D113" s="123"/>
      <c r="E113" s="123"/>
      <c r="F113" s="123"/>
      <c r="H113" s="103">
        <v>108</v>
      </c>
      <c r="I113" s="104" t="str">
        <f t="shared" si="6"/>
        <v/>
      </c>
      <c r="J113" s="103" t="e">
        <f t="shared" si="7"/>
        <v>#NUM!</v>
      </c>
      <c r="K113" s="103" t="e">
        <f t="shared" si="8"/>
        <v>#NUM!</v>
      </c>
      <c r="L113" s="103"/>
      <c r="M113" s="105">
        <f t="shared" si="9"/>
        <v>0</v>
      </c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</row>
    <row r="114" spans="1:38" s="88" customFormat="1">
      <c r="A114" s="124"/>
      <c r="B114" s="123"/>
      <c r="C114" s="123"/>
      <c r="D114" s="123"/>
      <c r="E114" s="123"/>
      <c r="F114" s="123"/>
      <c r="H114" s="103">
        <v>109</v>
      </c>
      <c r="I114" s="104" t="str">
        <f t="shared" si="6"/>
        <v/>
      </c>
      <c r="J114" s="103" t="e">
        <f t="shared" si="7"/>
        <v>#NUM!</v>
      </c>
      <c r="K114" s="103" t="e">
        <f t="shared" si="8"/>
        <v>#NUM!</v>
      </c>
      <c r="L114" s="103"/>
      <c r="M114" s="105">
        <f t="shared" si="9"/>
        <v>0</v>
      </c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</row>
    <row r="115" spans="1:38" s="88" customFormat="1">
      <c r="A115" s="124"/>
      <c r="B115" s="123"/>
      <c r="C115" s="123"/>
      <c r="D115" s="123"/>
      <c r="E115" s="123"/>
      <c r="F115" s="123"/>
      <c r="H115" s="103">
        <v>110</v>
      </c>
      <c r="I115" s="104" t="str">
        <f t="shared" si="6"/>
        <v/>
      </c>
      <c r="J115" s="103" t="e">
        <f t="shared" si="7"/>
        <v>#NUM!</v>
      </c>
      <c r="K115" s="103" t="e">
        <f t="shared" si="8"/>
        <v>#NUM!</v>
      </c>
      <c r="L115" s="103"/>
      <c r="M115" s="105">
        <f t="shared" si="9"/>
        <v>0</v>
      </c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</row>
    <row r="116" spans="1:38" s="88" customFormat="1">
      <c r="A116" s="124"/>
      <c r="B116" s="123"/>
      <c r="C116" s="123"/>
      <c r="D116" s="123"/>
      <c r="E116" s="123"/>
      <c r="F116" s="123"/>
      <c r="H116" s="103">
        <v>111</v>
      </c>
      <c r="I116" s="104" t="str">
        <f t="shared" si="6"/>
        <v/>
      </c>
      <c r="J116" s="103" t="e">
        <f t="shared" si="7"/>
        <v>#NUM!</v>
      </c>
      <c r="K116" s="103" t="e">
        <f t="shared" si="8"/>
        <v>#NUM!</v>
      </c>
      <c r="L116" s="103"/>
      <c r="M116" s="105">
        <f t="shared" si="9"/>
        <v>0</v>
      </c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</row>
    <row r="117" spans="1:38" s="88" customFormat="1">
      <c r="A117" s="124"/>
      <c r="B117" s="123"/>
      <c r="C117" s="123"/>
      <c r="D117" s="123"/>
      <c r="E117" s="123"/>
      <c r="F117" s="123"/>
      <c r="H117" s="103">
        <v>112</v>
      </c>
      <c r="I117" s="104" t="str">
        <f t="shared" si="6"/>
        <v/>
      </c>
      <c r="J117" s="103" t="e">
        <f t="shared" si="7"/>
        <v>#NUM!</v>
      </c>
      <c r="K117" s="103" t="e">
        <f t="shared" si="8"/>
        <v>#NUM!</v>
      </c>
      <c r="L117" s="103"/>
      <c r="M117" s="105">
        <f t="shared" si="9"/>
        <v>0</v>
      </c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</row>
    <row r="118" spans="1:38" s="88" customFormat="1">
      <c r="A118" s="124"/>
      <c r="B118" s="123"/>
      <c r="C118" s="123"/>
      <c r="D118" s="123"/>
      <c r="E118" s="123"/>
      <c r="F118" s="123"/>
      <c r="H118" s="103">
        <v>113</v>
      </c>
      <c r="I118" s="104" t="str">
        <f t="shared" si="6"/>
        <v/>
      </c>
      <c r="J118" s="103" t="e">
        <f t="shared" si="7"/>
        <v>#NUM!</v>
      </c>
      <c r="K118" s="103" t="e">
        <f t="shared" si="8"/>
        <v>#NUM!</v>
      </c>
      <c r="L118" s="103"/>
      <c r="M118" s="105">
        <f t="shared" si="9"/>
        <v>0</v>
      </c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</row>
    <row r="119" spans="1:38" s="88" customFormat="1">
      <c r="A119" s="124"/>
      <c r="B119" s="123"/>
      <c r="C119" s="123"/>
      <c r="D119" s="123"/>
      <c r="E119" s="123"/>
      <c r="F119" s="123"/>
      <c r="H119" s="103">
        <v>114</v>
      </c>
      <c r="I119" s="104" t="str">
        <f t="shared" si="6"/>
        <v/>
      </c>
      <c r="J119" s="103" t="e">
        <f t="shared" si="7"/>
        <v>#NUM!</v>
      </c>
      <c r="K119" s="103" t="e">
        <f t="shared" si="8"/>
        <v>#NUM!</v>
      </c>
      <c r="L119" s="103"/>
      <c r="M119" s="105">
        <f t="shared" si="9"/>
        <v>0</v>
      </c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</row>
    <row r="120" spans="1:38" s="88" customFormat="1">
      <c r="A120" s="124"/>
      <c r="B120" s="123"/>
      <c r="C120" s="123"/>
      <c r="D120" s="123"/>
      <c r="E120" s="123"/>
      <c r="F120" s="123"/>
      <c r="H120" s="103">
        <v>115</v>
      </c>
      <c r="I120" s="104" t="str">
        <f t="shared" si="6"/>
        <v/>
      </c>
      <c r="J120" s="103" t="e">
        <f t="shared" si="7"/>
        <v>#NUM!</v>
      </c>
      <c r="K120" s="103" t="e">
        <f t="shared" si="8"/>
        <v>#NUM!</v>
      </c>
      <c r="L120" s="103"/>
      <c r="M120" s="105">
        <f t="shared" si="9"/>
        <v>0</v>
      </c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</row>
    <row r="121" spans="1:38" s="88" customFormat="1">
      <c r="A121" s="124"/>
      <c r="B121" s="123"/>
      <c r="C121" s="123"/>
      <c r="D121" s="123"/>
      <c r="E121" s="123"/>
      <c r="F121" s="123"/>
      <c r="H121" s="103">
        <v>116</v>
      </c>
      <c r="I121" s="104" t="str">
        <f t="shared" si="6"/>
        <v/>
      </c>
      <c r="J121" s="103" t="e">
        <f t="shared" si="7"/>
        <v>#NUM!</v>
      </c>
      <c r="K121" s="103" t="e">
        <f t="shared" si="8"/>
        <v>#NUM!</v>
      </c>
      <c r="L121" s="103"/>
      <c r="M121" s="105">
        <f t="shared" si="9"/>
        <v>0</v>
      </c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</row>
    <row r="122" spans="1:38" s="88" customFormat="1">
      <c r="A122" s="124"/>
      <c r="B122" s="123"/>
      <c r="C122" s="123"/>
      <c r="D122" s="123"/>
      <c r="E122" s="123"/>
      <c r="F122" s="123"/>
      <c r="H122" s="103">
        <v>117</v>
      </c>
      <c r="I122" s="104" t="str">
        <f t="shared" si="6"/>
        <v/>
      </c>
      <c r="J122" s="103" t="e">
        <f t="shared" si="7"/>
        <v>#NUM!</v>
      </c>
      <c r="K122" s="103" t="e">
        <f t="shared" si="8"/>
        <v>#NUM!</v>
      </c>
      <c r="L122" s="103"/>
      <c r="M122" s="105">
        <f t="shared" si="9"/>
        <v>0</v>
      </c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</row>
    <row r="123" spans="1:38" s="88" customFormat="1">
      <c r="A123" s="124"/>
      <c r="B123" s="123"/>
      <c r="C123" s="123"/>
      <c r="D123" s="123"/>
      <c r="E123" s="123"/>
      <c r="F123" s="123"/>
      <c r="H123" s="103">
        <v>118</v>
      </c>
      <c r="I123" s="104" t="str">
        <f t="shared" si="6"/>
        <v/>
      </c>
      <c r="J123" s="103" t="e">
        <f t="shared" si="7"/>
        <v>#NUM!</v>
      </c>
      <c r="K123" s="103" t="e">
        <f t="shared" si="8"/>
        <v>#NUM!</v>
      </c>
      <c r="L123" s="103"/>
      <c r="M123" s="105">
        <f t="shared" si="9"/>
        <v>0</v>
      </c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</row>
    <row r="124" spans="1:38" s="88" customFormat="1">
      <c r="A124" s="124"/>
      <c r="B124" s="123"/>
      <c r="C124" s="123"/>
      <c r="D124" s="123"/>
      <c r="E124" s="123"/>
      <c r="F124" s="123"/>
      <c r="H124" s="103">
        <v>119</v>
      </c>
      <c r="I124" s="104" t="str">
        <f t="shared" si="6"/>
        <v/>
      </c>
      <c r="J124" s="103" t="e">
        <f t="shared" si="7"/>
        <v>#NUM!</v>
      </c>
      <c r="K124" s="103" t="e">
        <f t="shared" si="8"/>
        <v>#NUM!</v>
      </c>
      <c r="L124" s="103"/>
      <c r="M124" s="105">
        <f t="shared" si="9"/>
        <v>0</v>
      </c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</row>
    <row r="125" spans="1:38" s="88" customFormat="1">
      <c r="A125" s="124"/>
      <c r="B125" s="123"/>
      <c r="C125" s="123"/>
      <c r="D125" s="123"/>
      <c r="E125" s="123"/>
      <c r="F125" s="123"/>
      <c r="H125" s="103">
        <v>120</v>
      </c>
      <c r="I125" s="104" t="str">
        <f t="shared" si="6"/>
        <v/>
      </c>
      <c r="J125" s="103" t="e">
        <f t="shared" si="7"/>
        <v>#NUM!</v>
      </c>
      <c r="K125" s="103" t="e">
        <f t="shared" si="8"/>
        <v>#NUM!</v>
      </c>
      <c r="L125" s="103"/>
      <c r="M125" s="105">
        <f t="shared" si="9"/>
        <v>0</v>
      </c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</row>
    <row r="126" spans="1:38" s="88" customFormat="1">
      <c r="A126" s="124"/>
      <c r="B126" s="123"/>
      <c r="C126" s="123"/>
      <c r="D126" s="123"/>
      <c r="E126" s="123"/>
      <c r="F126" s="123"/>
      <c r="H126" s="103">
        <v>121</v>
      </c>
      <c r="I126" s="104" t="str">
        <f t="shared" si="6"/>
        <v/>
      </c>
      <c r="J126" s="103" t="e">
        <f t="shared" si="7"/>
        <v>#NUM!</v>
      </c>
      <c r="K126" s="103" t="e">
        <f t="shared" si="8"/>
        <v>#NUM!</v>
      </c>
      <c r="L126" s="103"/>
      <c r="M126" s="105">
        <f t="shared" si="9"/>
        <v>0</v>
      </c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</row>
    <row r="127" spans="1:38" s="88" customFormat="1">
      <c r="A127" s="124"/>
      <c r="B127" s="123"/>
      <c r="C127" s="123"/>
      <c r="D127" s="123"/>
      <c r="E127" s="123"/>
      <c r="F127" s="123"/>
      <c r="H127" s="103">
        <v>122</v>
      </c>
      <c r="I127" s="104" t="str">
        <f t="shared" si="6"/>
        <v/>
      </c>
      <c r="J127" s="103" t="e">
        <f t="shared" si="7"/>
        <v>#NUM!</v>
      </c>
      <c r="K127" s="103" t="e">
        <f t="shared" si="8"/>
        <v>#NUM!</v>
      </c>
      <c r="L127" s="103"/>
      <c r="M127" s="105">
        <f t="shared" si="9"/>
        <v>0</v>
      </c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</row>
    <row r="128" spans="1:38" s="88" customFormat="1">
      <c r="A128" s="124"/>
      <c r="B128" s="123"/>
      <c r="C128" s="123"/>
      <c r="D128" s="123"/>
      <c r="E128" s="123"/>
      <c r="F128" s="123"/>
      <c r="H128" s="103">
        <v>123</v>
      </c>
      <c r="I128" s="104" t="str">
        <f t="shared" si="6"/>
        <v/>
      </c>
      <c r="J128" s="103" t="e">
        <f t="shared" si="7"/>
        <v>#NUM!</v>
      </c>
      <c r="K128" s="103" t="e">
        <f t="shared" si="8"/>
        <v>#NUM!</v>
      </c>
      <c r="L128" s="103"/>
      <c r="M128" s="105">
        <f t="shared" si="9"/>
        <v>0</v>
      </c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</row>
    <row r="129" spans="1:38" s="88" customFormat="1">
      <c r="A129" s="124"/>
      <c r="B129" s="123"/>
      <c r="C129" s="123"/>
      <c r="D129" s="123"/>
      <c r="E129" s="123"/>
      <c r="F129" s="123"/>
      <c r="H129" s="103">
        <v>124</v>
      </c>
      <c r="I129" s="104" t="str">
        <f t="shared" si="6"/>
        <v/>
      </c>
      <c r="J129" s="103" t="e">
        <f t="shared" si="7"/>
        <v>#NUM!</v>
      </c>
      <c r="K129" s="103" t="e">
        <f t="shared" si="8"/>
        <v>#NUM!</v>
      </c>
      <c r="L129" s="103"/>
      <c r="M129" s="105">
        <f t="shared" si="9"/>
        <v>0</v>
      </c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</row>
    <row r="130" spans="1:38" s="88" customFormat="1">
      <c r="A130" s="124"/>
      <c r="B130" s="123"/>
      <c r="C130" s="123"/>
      <c r="D130" s="123"/>
      <c r="E130" s="123"/>
      <c r="F130" s="123"/>
      <c r="H130" s="103">
        <v>125</v>
      </c>
      <c r="I130" s="104" t="str">
        <f t="shared" si="6"/>
        <v/>
      </c>
      <c r="J130" s="103" t="e">
        <f t="shared" si="7"/>
        <v>#NUM!</v>
      </c>
      <c r="K130" s="103" t="e">
        <f t="shared" si="8"/>
        <v>#NUM!</v>
      </c>
      <c r="L130" s="103"/>
      <c r="M130" s="105">
        <f t="shared" si="9"/>
        <v>0</v>
      </c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</row>
    <row r="131" spans="1:38" s="88" customFormat="1">
      <c r="A131" s="124"/>
      <c r="B131" s="123"/>
      <c r="C131" s="123"/>
      <c r="D131" s="123"/>
      <c r="E131" s="123"/>
      <c r="F131" s="123"/>
      <c r="H131" s="103">
        <v>126</v>
      </c>
      <c r="I131" s="104" t="str">
        <f t="shared" si="6"/>
        <v/>
      </c>
      <c r="J131" s="103" t="e">
        <f t="shared" si="7"/>
        <v>#NUM!</v>
      </c>
      <c r="K131" s="103" t="e">
        <f t="shared" si="8"/>
        <v>#NUM!</v>
      </c>
      <c r="L131" s="103"/>
      <c r="M131" s="105">
        <f t="shared" si="9"/>
        <v>0</v>
      </c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</row>
    <row r="132" spans="1:38" s="88" customFormat="1">
      <c r="A132" s="124"/>
      <c r="B132" s="123"/>
      <c r="C132" s="123"/>
      <c r="D132" s="123"/>
      <c r="E132" s="123"/>
      <c r="F132" s="123"/>
      <c r="H132" s="103">
        <v>127</v>
      </c>
      <c r="I132" s="104" t="str">
        <f t="shared" si="6"/>
        <v/>
      </c>
      <c r="J132" s="103" t="e">
        <f t="shared" si="7"/>
        <v>#NUM!</v>
      </c>
      <c r="K132" s="103" t="e">
        <f t="shared" si="8"/>
        <v>#NUM!</v>
      </c>
      <c r="L132" s="103"/>
      <c r="M132" s="105">
        <f t="shared" si="9"/>
        <v>0</v>
      </c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</row>
    <row r="133" spans="1:38" s="88" customFormat="1">
      <c r="A133" s="124"/>
      <c r="B133" s="123"/>
      <c r="C133" s="123"/>
      <c r="D133" s="123"/>
      <c r="E133" s="123"/>
      <c r="F133" s="123"/>
      <c r="H133" s="103">
        <v>128</v>
      </c>
      <c r="I133" s="104" t="str">
        <f t="shared" si="6"/>
        <v/>
      </c>
      <c r="J133" s="103" t="e">
        <f t="shared" si="7"/>
        <v>#NUM!</v>
      </c>
      <c r="K133" s="103" t="e">
        <f t="shared" si="8"/>
        <v>#NUM!</v>
      </c>
      <c r="L133" s="103"/>
      <c r="M133" s="105">
        <f t="shared" si="9"/>
        <v>0</v>
      </c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</row>
    <row r="134" spans="1:38" s="88" customFormat="1">
      <c r="A134" s="124"/>
      <c r="B134" s="123"/>
      <c r="C134" s="123"/>
      <c r="D134" s="123"/>
      <c r="E134" s="123"/>
      <c r="F134" s="123"/>
      <c r="H134" s="103">
        <v>129</v>
      </c>
      <c r="I134" s="104" t="str">
        <f t="shared" ref="I134:I197" si="10">IF(H134&lt;$H$2+1,($I$2-($I$2-1)*(LOG(H134)/LOG($H$2))),"")</f>
        <v/>
      </c>
      <c r="J134" s="103" t="e">
        <f t="shared" ref="J134:J197" si="11">INT(LOG($H$2,2))-ROUNDUP(LOG(H134,2),0)+IF(OR($H$2=1,$H$2=2,$H$2=4,$H$2=8,$H$2=16,$H$2=32,$H$2=64,$H$2=128,$H$2=256),0,1)</f>
        <v>#NUM!</v>
      </c>
      <c r="K134" s="103" t="e">
        <f t="shared" ref="K134:K197" si="12">J134*$J$2</f>
        <v>#NUM!</v>
      </c>
      <c r="L134" s="103"/>
      <c r="M134" s="105">
        <f t="shared" ref="M134:M197" si="13">IF(I134&lt;&gt;"",K134+I134+L134,0)</f>
        <v>0</v>
      </c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</row>
    <row r="135" spans="1:38" s="88" customFormat="1">
      <c r="A135" s="124"/>
      <c r="B135" s="123"/>
      <c r="C135" s="123"/>
      <c r="D135" s="123"/>
      <c r="E135" s="123"/>
      <c r="F135" s="123"/>
      <c r="H135" s="103">
        <v>130</v>
      </c>
      <c r="I135" s="104" t="str">
        <f t="shared" si="10"/>
        <v/>
      </c>
      <c r="J135" s="103" t="e">
        <f t="shared" si="11"/>
        <v>#NUM!</v>
      </c>
      <c r="K135" s="103" t="e">
        <f t="shared" si="12"/>
        <v>#NUM!</v>
      </c>
      <c r="L135" s="103"/>
      <c r="M135" s="105">
        <f t="shared" si="13"/>
        <v>0</v>
      </c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</row>
    <row r="136" spans="1:38" s="88" customFormat="1">
      <c r="A136" s="124"/>
      <c r="B136" s="123"/>
      <c r="C136" s="123"/>
      <c r="D136" s="123"/>
      <c r="E136" s="123"/>
      <c r="F136" s="123"/>
      <c r="H136" s="103">
        <v>131</v>
      </c>
      <c r="I136" s="104" t="str">
        <f t="shared" si="10"/>
        <v/>
      </c>
      <c r="J136" s="103" t="e">
        <f t="shared" si="11"/>
        <v>#NUM!</v>
      </c>
      <c r="K136" s="103" t="e">
        <f t="shared" si="12"/>
        <v>#NUM!</v>
      </c>
      <c r="L136" s="103"/>
      <c r="M136" s="105">
        <f t="shared" si="13"/>
        <v>0</v>
      </c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</row>
    <row r="137" spans="1:38" s="88" customFormat="1">
      <c r="A137" s="124"/>
      <c r="B137" s="123"/>
      <c r="C137" s="123"/>
      <c r="D137" s="123"/>
      <c r="E137" s="123"/>
      <c r="F137" s="123"/>
      <c r="H137" s="103">
        <v>132</v>
      </c>
      <c r="I137" s="104" t="str">
        <f t="shared" si="10"/>
        <v/>
      </c>
      <c r="J137" s="103" t="e">
        <f t="shared" si="11"/>
        <v>#NUM!</v>
      </c>
      <c r="K137" s="103" t="e">
        <f t="shared" si="12"/>
        <v>#NUM!</v>
      </c>
      <c r="L137" s="103"/>
      <c r="M137" s="105">
        <f t="shared" si="13"/>
        <v>0</v>
      </c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</row>
    <row r="138" spans="1:38" s="88" customFormat="1">
      <c r="A138" s="124"/>
      <c r="B138" s="123"/>
      <c r="C138" s="123"/>
      <c r="D138" s="123"/>
      <c r="E138" s="123"/>
      <c r="F138" s="123"/>
      <c r="H138" s="103">
        <v>133</v>
      </c>
      <c r="I138" s="104" t="str">
        <f t="shared" si="10"/>
        <v/>
      </c>
      <c r="J138" s="103" t="e">
        <f t="shared" si="11"/>
        <v>#NUM!</v>
      </c>
      <c r="K138" s="103" t="e">
        <f t="shared" si="12"/>
        <v>#NUM!</v>
      </c>
      <c r="L138" s="103"/>
      <c r="M138" s="105">
        <f t="shared" si="13"/>
        <v>0</v>
      </c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</row>
    <row r="139" spans="1:38" s="88" customFormat="1">
      <c r="A139" s="124"/>
      <c r="B139" s="123"/>
      <c r="C139" s="123"/>
      <c r="D139" s="123"/>
      <c r="E139" s="123"/>
      <c r="F139" s="123"/>
      <c r="H139" s="103">
        <v>134</v>
      </c>
      <c r="I139" s="104" t="str">
        <f t="shared" si="10"/>
        <v/>
      </c>
      <c r="J139" s="103" t="e">
        <f t="shared" si="11"/>
        <v>#NUM!</v>
      </c>
      <c r="K139" s="103" t="e">
        <f t="shared" si="12"/>
        <v>#NUM!</v>
      </c>
      <c r="L139" s="103"/>
      <c r="M139" s="105">
        <f t="shared" si="13"/>
        <v>0</v>
      </c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</row>
    <row r="140" spans="1:38" s="88" customFormat="1">
      <c r="A140" s="124"/>
      <c r="B140" s="123"/>
      <c r="C140" s="123"/>
      <c r="D140" s="123"/>
      <c r="E140" s="123"/>
      <c r="F140" s="123"/>
      <c r="H140" s="103">
        <v>135</v>
      </c>
      <c r="I140" s="104" t="str">
        <f t="shared" si="10"/>
        <v/>
      </c>
      <c r="J140" s="103" t="e">
        <f t="shared" si="11"/>
        <v>#NUM!</v>
      </c>
      <c r="K140" s="103" t="e">
        <f t="shared" si="12"/>
        <v>#NUM!</v>
      </c>
      <c r="L140" s="103"/>
      <c r="M140" s="105">
        <f t="shared" si="13"/>
        <v>0</v>
      </c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</row>
    <row r="141" spans="1:38" s="88" customFormat="1">
      <c r="A141" s="124"/>
      <c r="B141" s="123"/>
      <c r="C141" s="123"/>
      <c r="D141" s="123"/>
      <c r="E141" s="123"/>
      <c r="F141" s="123"/>
      <c r="H141" s="103">
        <v>136</v>
      </c>
      <c r="I141" s="104" t="str">
        <f t="shared" si="10"/>
        <v/>
      </c>
      <c r="J141" s="103" t="e">
        <f t="shared" si="11"/>
        <v>#NUM!</v>
      </c>
      <c r="K141" s="103" t="e">
        <f t="shared" si="12"/>
        <v>#NUM!</v>
      </c>
      <c r="L141" s="103"/>
      <c r="M141" s="105">
        <f t="shared" si="13"/>
        <v>0</v>
      </c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</row>
    <row r="142" spans="1:38" s="88" customFormat="1">
      <c r="A142" s="124"/>
      <c r="B142" s="123"/>
      <c r="C142" s="123"/>
      <c r="D142" s="123"/>
      <c r="E142" s="123"/>
      <c r="F142" s="123"/>
      <c r="H142" s="103">
        <v>137</v>
      </c>
      <c r="I142" s="104" t="str">
        <f t="shared" si="10"/>
        <v/>
      </c>
      <c r="J142" s="103" t="e">
        <f t="shared" si="11"/>
        <v>#NUM!</v>
      </c>
      <c r="K142" s="103" t="e">
        <f t="shared" si="12"/>
        <v>#NUM!</v>
      </c>
      <c r="L142" s="103"/>
      <c r="M142" s="105">
        <f t="shared" si="13"/>
        <v>0</v>
      </c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</row>
    <row r="143" spans="1:38" s="88" customFormat="1">
      <c r="A143" s="124"/>
      <c r="B143" s="123"/>
      <c r="C143" s="123"/>
      <c r="D143" s="123"/>
      <c r="E143" s="123"/>
      <c r="F143" s="123"/>
      <c r="H143" s="103">
        <v>138</v>
      </c>
      <c r="I143" s="104" t="str">
        <f t="shared" si="10"/>
        <v/>
      </c>
      <c r="J143" s="103" t="e">
        <f t="shared" si="11"/>
        <v>#NUM!</v>
      </c>
      <c r="K143" s="103" t="e">
        <f t="shared" si="12"/>
        <v>#NUM!</v>
      </c>
      <c r="L143" s="103"/>
      <c r="M143" s="105">
        <f t="shared" si="13"/>
        <v>0</v>
      </c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</row>
    <row r="144" spans="1:38" s="88" customFormat="1">
      <c r="A144" s="124"/>
      <c r="B144" s="123"/>
      <c r="C144" s="123"/>
      <c r="D144" s="123"/>
      <c r="E144" s="123"/>
      <c r="F144" s="123"/>
      <c r="H144" s="103">
        <v>139</v>
      </c>
      <c r="I144" s="104" t="str">
        <f t="shared" si="10"/>
        <v/>
      </c>
      <c r="J144" s="103" t="e">
        <f t="shared" si="11"/>
        <v>#NUM!</v>
      </c>
      <c r="K144" s="103" t="e">
        <f t="shared" si="12"/>
        <v>#NUM!</v>
      </c>
      <c r="L144" s="103"/>
      <c r="M144" s="105">
        <f t="shared" si="13"/>
        <v>0</v>
      </c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</row>
    <row r="145" spans="1:38" s="88" customFormat="1">
      <c r="A145" s="124"/>
      <c r="B145" s="123"/>
      <c r="C145" s="123"/>
      <c r="D145" s="123"/>
      <c r="E145" s="123"/>
      <c r="F145" s="123"/>
      <c r="H145" s="103">
        <v>140</v>
      </c>
      <c r="I145" s="104" t="str">
        <f t="shared" si="10"/>
        <v/>
      </c>
      <c r="J145" s="103" t="e">
        <f t="shared" si="11"/>
        <v>#NUM!</v>
      </c>
      <c r="K145" s="103" t="e">
        <f t="shared" si="12"/>
        <v>#NUM!</v>
      </c>
      <c r="L145" s="103"/>
      <c r="M145" s="105">
        <f t="shared" si="13"/>
        <v>0</v>
      </c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</row>
    <row r="146" spans="1:38" s="88" customFormat="1">
      <c r="A146" s="124"/>
      <c r="B146" s="123"/>
      <c r="C146" s="123"/>
      <c r="D146" s="123"/>
      <c r="E146" s="123"/>
      <c r="F146" s="123"/>
      <c r="H146" s="103">
        <v>141</v>
      </c>
      <c r="I146" s="104" t="str">
        <f t="shared" si="10"/>
        <v/>
      </c>
      <c r="J146" s="103" t="e">
        <f t="shared" si="11"/>
        <v>#NUM!</v>
      </c>
      <c r="K146" s="103" t="e">
        <f t="shared" si="12"/>
        <v>#NUM!</v>
      </c>
      <c r="L146" s="103"/>
      <c r="M146" s="105">
        <f t="shared" si="13"/>
        <v>0</v>
      </c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</row>
    <row r="147" spans="1:38" s="88" customFormat="1">
      <c r="A147" s="124"/>
      <c r="B147" s="123"/>
      <c r="C147" s="123"/>
      <c r="D147" s="123"/>
      <c r="E147" s="123"/>
      <c r="F147" s="123"/>
      <c r="H147" s="103">
        <v>142</v>
      </c>
      <c r="I147" s="104" t="str">
        <f t="shared" si="10"/>
        <v/>
      </c>
      <c r="J147" s="103" t="e">
        <f t="shared" si="11"/>
        <v>#NUM!</v>
      </c>
      <c r="K147" s="103" t="e">
        <f t="shared" si="12"/>
        <v>#NUM!</v>
      </c>
      <c r="L147" s="103"/>
      <c r="M147" s="105">
        <f t="shared" si="13"/>
        <v>0</v>
      </c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</row>
    <row r="148" spans="1:38" s="88" customFormat="1">
      <c r="A148" s="124"/>
      <c r="B148" s="123"/>
      <c r="C148" s="123"/>
      <c r="D148" s="123"/>
      <c r="E148" s="123"/>
      <c r="F148" s="123"/>
      <c r="H148" s="103">
        <v>143</v>
      </c>
      <c r="I148" s="104" t="str">
        <f t="shared" si="10"/>
        <v/>
      </c>
      <c r="J148" s="103" t="e">
        <f t="shared" si="11"/>
        <v>#NUM!</v>
      </c>
      <c r="K148" s="103" t="e">
        <f t="shared" si="12"/>
        <v>#NUM!</v>
      </c>
      <c r="L148" s="103"/>
      <c r="M148" s="105">
        <f t="shared" si="13"/>
        <v>0</v>
      </c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</row>
    <row r="149" spans="1:38" s="88" customFormat="1">
      <c r="A149" s="124"/>
      <c r="B149" s="123"/>
      <c r="C149" s="123"/>
      <c r="D149" s="123"/>
      <c r="E149" s="123"/>
      <c r="F149" s="123"/>
      <c r="H149" s="103">
        <v>144</v>
      </c>
      <c r="I149" s="104" t="str">
        <f t="shared" si="10"/>
        <v/>
      </c>
      <c r="J149" s="103" t="e">
        <f t="shared" si="11"/>
        <v>#NUM!</v>
      </c>
      <c r="K149" s="103" t="e">
        <f t="shared" si="12"/>
        <v>#NUM!</v>
      </c>
      <c r="L149" s="103"/>
      <c r="M149" s="105">
        <f t="shared" si="13"/>
        <v>0</v>
      </c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</row>
    <row r="150" spans="1:38" s="88" customFormat="1">
      <c r="A150" s="124"/>
      <c r="B150" s="123"/>
      <c r="C150" s="123"/>
      <c r="D150" s="123"/>
      <c r="E150" s="123"/>
      <c r="F150" s="123"/>
      <c r="H150" s="103">
        <v>145</v>
      </c>
      <c r="I150" s="104" t="str">
        <f t="shared" si="10"/>
        <v/>
      </c>
      <c r="J150" s="103" t="e">
        <f t="shared" si="11"/>
        <v>#NUM!</v>
      </c>
      <c r="K150" s="103" t="e">
        <f t="shared" si="12"/>
        <v>#NUM!</v>
      </c>
      <c r="L150" s="103"/>
      <c r="M150" s="105">
        <f t="shared" si="13"/>
        <v>0</v>
      </c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</row>
    <row r="151" spans="1:38" s="88" customFormat="1">
      <c r="A151" s="124"/>
      <c r="B151" s="123"/>
      <c r="C151" s="123"/>
      <c r="D151" s="123"/>
      <c r="E151" s="123"/>
      <c r="F151" s="123"/>
      <c r="H151" s="103">
        <v>146</v>
      </c>
      <c r="I151" s="104" t="str">
        <f t="shared" si="10"/>
        <v/>
      </c>
      <c r="J151" s="103" t="e">
        <f t="shared" si="11"/>
        <v>#NUM!</v>
      </c>
      <c r="K151" s="103" t="e">
        <f t="shared" si="12"/>
        <v>#NUM!</v>
      </c>
      <c r="L151" s="103"/>
      <c r="M151" s="105">
        <f t="shared" si="13"/>
        <v>0</v>
      </c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</row>
    <row r="152" spans="1:38" s="88" customFormat="1">
      <c r="A152" s="124"/>
      <c r="B152" s="123"/>
      <c r="C152" s="123"/>
      <c r="D152" s="123"/>
      <c r="E152" s="123"/>
      <c r="F152" s="123"/>
      <c r="H152" s="103">
        <v>147</v>
      </c>
      <c r="I152" s="104" t="str">
        <f t="shared" si="10"/>
        <v/>
      </c>
      <c r="J152" s="103" t="e">
        <f t="shared" si="11"/>
        <v>#NUM!</v>
      </c>
      <c r="K152" s="103" t="e">
        <f t="shared" si="12"/>
        <v>#NUM!</v>
      </c>
      <c r="L152" s="103"/>
      <c r="M152" s="105">
        <f t="shared" si="13"/>
        <v>0</v>
      </c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</row>
    <row r="153" spans="1:38" s="88" customFormat="1">
      <c r="A153" s="124"/>
      <c r="B153" s="123"/>
      <c r="C153" s="123"/>
      <c r="D153" s="123"/>
      <c r="E153" s="123"/>
      <c r="F153" s="123"/>
      <c r="H153" s="103">
        <v>148</v>
      </c>
      <c r="I153" s="104" t="str">
        <f t="shared" si="10"/>
        <v/>
      </c>
      <c r="J153" s="103" t="e">
        <f t="shared" si="11"/>
        <v>#NUM!</v>
      </c>
      <c r="K153" s="103" t="e">
        <f t="shared" si="12"/>
        <v>#NUM!</v>
      </c>
      <c r="L153" s="103"/>
      <c r="M153" s="105">
        <f t="shared" si="13"/>
        <v>0</v>
      </c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</row>
    <row r="154" spans="1:38" s="88" customFormat="1">
      <c r="A154" s="124"/>
      <c r="B154" s="123"/>
      <c r="C154" s="123"/>
      <c r="D154" s="123"/>
      <c r="E154" s="123"/>
      <c r="F154" s="123"/>
      <c r="H154" s="103">
        <v>149</v>
      </c>
      <c r="I154" s="104" t="str">
        <f t="shared" si="10"/>
        <v/>
      </c>
      <c r="J154" s="103" t="e">
        <f t="shared" si="11"/>
        <v>#NUM!</v>
      </c>
      <c r="K154" s="103" t="e">
        <f t="shared" si="12"/>
        <v>#NUM!</v>
      </c>
      <c r="L154" s="103"/>
      <c r="M154" s="105">
        <f t="shared" si="13"/>
        <v>0</v>
      </c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</row>
    <row r="155" spans="1:38" s="88" customFormat="1">
      <c r="A155" s="124"/>
      <c r="B155" s="123"/>
      <c r="C155" s="123"/>
      <c r="D155" s="123"/>
      <c r="E155" s="123"/>
      <c r="F155" s="123"/>
      <c r="H155" s="103">
        <v>150</v>
      </c>
      <c r="I155" s="104" t="str">
        <f t="shared" si="10"/>
        <v/>
      </c>
      <c r="J155" s="103" t="e">
        <f t="shared" si="11"/>
        <v>#NUM!</v>
      </c>
      <c r="K155" s="103" t="e">
        <f t="shared" si="12"/>
        <v>#NUM!</v>
      </c>
      <c r="L155" s="103"/>
      <c r="M155" s="105">
        <f t="shared" si="13"/>
        <v>0</v>
      </c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</row>
    <row r="156" spans="1:38" s="88" customFormat="1">
      <c r="A156" s="124"/>
      <c r="B156" s="123"/>
      <c r="C156" s="123"/>
      <c r="D156" s="123"/>
      <c r="E156" s="123"/>
      <c r="F156" s="123"/>
      <c r="H156" s="103">
        <v>151</v>
      </c>
      <c r="I156" s="104" t="str">
        <f t="shared" si="10"/>
        <v/>
      </c>
      <c r="J156" s="103" t="e">
        <f t="shared" si="11"/>
        <v>#NUM!</v>
      </c>
      <c r="K156" s="103" t="e">
        <f t="shared" si="12"/>
        <v>#NUM!</v>
      </c>
      <c r="L156" s="103"/>
      <c r="M156" s="105">
        <f t="shared" si="13"/>
        <v>0</v>
      </c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</row>
    <row r="157" spans="1:38" s="88" customFormat="1">
      <c r="A157" s="124"/>
      <c r="B157" s="123"/>
      <c r="C157" s="123"/>
      <c r="D157" s="123"/>
      <c r="E157" s="123"/>
      <c r="F157" s="123"/>
      <c r="H157" s="103">
        <v>152</v>
      </c>
      <c r="I157" s="104" t="str">
        <f t="shared" si="10"/>
        <v/>
      </c>
      <c r="J157" s="103" t="e">
        <f t="shared" si="11"/>
        <v>#NUM!</v>
      </c>
      <c r="K157" s="103" t="e">
        <f t="shared" si="12"/>
        <v>#NUM!</v>
      </c>
      <c r="L157" s="103"/>
      <c r="M157" s="105">
        <f t="shared" si="13"/>
        <v>0</v>
      </c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</row>
    <row r="158" spans="1:38" s="88" customFormat="1">
      <c r="A158" s="124"/>
      <c r="B158" s="123"/>
      <c r="C158" s="123"/>
      <c r="D158" s="123"/>
      <c r="E158" s="123"/>
      <c r="F158" s="123"/>
      <c r="H158" s="103">
        <v>153</v>
      </c>
      <c r="I158" s="104" t="str">
        <f t="shared" si="10"/>
        <v/>
      </c>
      <c r="J158" s="103" t="e">
        <f t="shared" si="11"/>
        <v>#NUM!</v>
      </c>
      <c r="K158" s="103" t="e">
        <f t="shared" si="12"/>
        <v>#NUM!</v>
      </c>
      <c r="L158" s="103"/>
      <c r="M158" s="105">
        <f t="shared" si="13"/>
        <v>0</v>
      </c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</row>
    <row r="159" spans="1:38" s="88" customFormat="1">
      <c r="A159" s="124"/>
      <c r="B159" s="123"/>
      <c r="C159" s="123"/>
      <c r="D159" s="123"/>
      <c r="E159" s="123"/>
      <c r="F159" s="123"/>
      <c r="H159" s="103">
        <v>154</v>
      </c>
      <c r="I159" s="104" t="str">
        <f t="shared" si="10"/>
        <v/>
      </c>
      <c r="J159" s="103" t="e">
        <f t="shared" si="11"/>
        <v>#NUM!</v>
      </c>
      <c r="K159" s="103" t="e">
        <f t="shared" si="12"/>
        <v>#NUM!</v>
      </c>
      <c r="L159" s="103"/>
      <c r="M159" s="105">
        <f t="shared" si="13"/>
        <v>0</v>
      </c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</row>
    <row r="160" spans="1:38" s="88" customFormat="1">
      <c r="A160" s="124"/>
      <c r="B160" s="123"/>
      <c r="C160" s="123"/>
      <c r="D160" s="123"/>
      <c r="E160" s="123"/>
      <c r="F160" s="123"/>
      <c r="H160" s="103">
        <v>155</v>
      </c>
      <c r="I160" s="104" t="str">
        <f t="shared" si="10"/>
        <v/>
      </c>
      <c r="J160" s="103" t="e">
        <f t="shared" si="11"/>
        <v>#NUM!</v>
      </c>
      <c r="K160" s="103" t="e">
        <f t="shared" si="12"/>
        <v>#NUM!</v>
      </c>
      <c r="L160" s="103"/>
      <c r="M160" s="105">
        <f t="shared" si="13"/>
        <v>0</v>
      </c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</row>
    <row r="161" spans="1:38" s="88" customFormat="1">
      <c r="A161" s="124"/>
      <c r="B161" s="123"/>
      <c r="C161" s="123"/>
      <c r="D161" s="123"/>
      <c r="E161" s="123"/>
      <c r="F161" s="123"/>
      <c r="H161" s="103">
        <v>156</v>
      </c>
      <c r="I161" s="104" t="str">
        <f t="shared" si="10"/>
        <v/>
      </c>
      <c r="J161" s="103" t="e">
        <f t="shared" si="11"/>
        <v>#NUM!</v>
      </c>
      <c r="K161" s="103" t="e">
        <f t="shared" si="12"/>
        <v>#NUM!</v>
      </c>
      <c r="L161" s="103"/>
      <c r="M161" s="105">
        <f t="shared" si="13"/>
        <v>0</v>
      </c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</row>
    <row r="162" spans="1:38" s="88" customFormat="1">
      <c r="A162" s="124"/>
      <c r="B162" s="123"/>
      <c r="C162" s="123"/>
      <c r="D162" s="123"/>
      <c r="E162" s="123"/>
      <c r="F162" s="123"/>
      <c r="H162" s="103">
        <v>157</v>
      </c>
      <c r="I162" s="104" t="str">
        <f t="shared" si="10"/>
        <v/>
      </c>
      <c r="J162" s="103" t="e">
        <f t="shared" si="11"/>
        <v>#NUM!</v>
      </c>
      <c r="K162" s="103" t="e">
        <f t="shared" si="12"/>
        <v>#NUM!</v>
      </c>
      <c r="L162" s="103"/>
      <c r="M162" s="105">
        <f t="shared" si="13"/>
        <v>0</v>
      </c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</row>
    <row r="163" spans="1:38" s="88" customFormat="1">
      <c r="A163" s="124"/>
      <c r="B163" s="123"/>
      <c r="C163" s="123"/>
      <c r="D163" s="123"/>
      <c r="E163" s="123"/>
      <c r="F163" s="123"/>
      <c r="H163" s="103">
        <v>158</v>
      </c>
      <c r="I163" s="104" t="str">
        <f t="shared" si="10"/>
        <v/>
      </c>
      <c r="J163" s="103" t="e">
        <f t="shared" si="11"/>
        <v>#NUM!</v>
      </c>
      <c r="K163" s="103" t="e">
        <f t="shared" si="12"/>
        <v>#NUM!</v>
      </c>
      <c r="L163" s="103"/>
      <c r="M163" s="105">
        <f t="shared" si="13"/>
        <v>0</v>
      </c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</row>
    <row r="164" spans="1:38" s="88" customFormat="1">
      <c r="A164" s="124"/>
      <c r="B164" s="123"/>
      <c r="C164" s="123"/>
      <c r="D164" s="123"/>
      <c r="E164" s="123"/>
      <c r="F164" s="123"/>
      <c r="H164" s="103">
        <v>159</v>
      </c>
      <c r="I164" s="104" t="str">
        <f t="shared" si="10"/>
        <v/>
      </c>
      <c r="J164" s="103" t="e">
        <f t="shared" si="11"/>
        <v>#NUM!</v>
      </c>
      <c r="K164" s="103" t="e">
        <f t="shared" si="12"/>
        <v>#NUM!</v>
      </c>
      <c r="L164" s="103"/>
      <c r="M164" s="105">
        <f t="shared" si="13"/>
        <v>0</v>
      </c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</row>
    <row r="165" spans="1:38" s="88" customFormat="1">
      <c r="A165" s="124"/>
      <c r="B165" s="123"/>
      <c r="C165" s="123"/>
      <c r="D165" s="123"/>
      <c r="E165" s="123"/>
      <c r="F165" s="123"/>
      <c r="H165" s="103">
        <v>160</v>
      </c>
      <c r="I165" s="104" t="str">
        <f t="shared" si="10"/>
        <v/>
      </c>
      <c r="J165" s="103" t="e">
        <f t="shared" si="11"/>
        <v>#NUM!</v>
      </c>
      <c r="K165" s="103" t="e">
        <f t="shared" si="12"/>
        <v>#NUM!</v>
      </c>
      <c r="L165" s="103"/>
      <c r="M165" s="105">
        <f t="shared" si="13"/>
        <v>0</v>
      </c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</row>
    <row r="166" spans="1:38" s="88" customFormat="1">
      <c r="A166" s="124"/>
      <c r="B166" s="123"/>
      <c r="C166" s="123"/>
      <c r="D166" s="123"/>
      <c r="E166" s="123"/>
      <c r="F166" s="123"/>
      <c r="H166" s="103">
        <v>161</v>
      </c>
      <c r="I166" s="104" t="str">
        <f t="shared" si="10"/>
        <v/>
      </c>
      <c r="J166" s="103" t="e">
        <f t="shared" si="11"/>
        <v>#NUM!</v>
      </c>
      <c r="K166" s="103" t="e">
        <f t="shared" si="12"/>
        <v>#NUM!</v>
      </c>
      <c r="L166" s="103"/>
      <c r="M166" s="105">
        <f t="shared" si="13"/>
        <v>0</v>
      </c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</row>
    <row r="167" spans="1:38" s="88" customFormat="1">
      <c r="A167" s="124"/>
      <c r="B167" s="123"/>
      <c r="C167" s="123"/>
      <c r="D167" s="123"/>
      <c r="E167" s="123"/>
      <c r="F167" s="123"/>
      <c r="H167" s="103">
        <v>162</v>
      </c>
      <c r="I167" s="104" t="str">
        <f t="shared" si="10"/>
        <v/>
      </c>
      <c r="J167" s="103" t="e">
        <f t="shared" si="11"/>
        <v>#NUM!</v>
      </c>
      <c r="K167" s="103" t="e">
        <f t="shared" si="12"/>
        <v>#NUM!</v>
      </c>
      <c r="L167" s="103"/>
      <c r="M167" s="105">
        <f t="shared" si="13"/>
        <v>0</v>
      </c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</row>
    <row r="168" spans="1:38" s="88" customFormat="1">
      <c r="A168" s="124"/>
      <c r="B168" s="123"/>
      <c r="C168" s="123"/>
      <c r="D168" s="123"/>
      <c r="E168" s="123"/>
      <c r="F168" s="123"/>
      <c r="H168" s="103">
        <v>163</v>
      </c>
      <c r="I168" s="104" t="str">
        <f t="shared" si="10"/>
        <v/>
      </c>
      <c r="J168" s="103" t="e">
        <f t="shared" si="11"/>
        <v>#NUM!</v>
      </c>
      <c r="K168" s="103" t="e">
        <f t="shared" si="12"/>
        <v>#NUM!</v>
      </c>
      <c r="L168" s="103"/>
      <c r="M168" s="105">
        <f t="shared" si="13"/>
        <v>0</v>
      </c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</row>
    <row r="169" spans="1:38" s="88" customFormat="1">
      <c r="A169" s="124"/>
      <c r="B169" s="123"/>
      <c r="C169" s="123" t="s">
        <v>57</v>
      </c>
      <c r="D169" s="123"/>
      <c r="E169" s="123"/>
      <c r="F169" s="123"/>
      <c r="H169" s="103">
        <v>164</v>
      </c>
      <c r="I169" s="104" t="str">
        <f t="shared" si="10"/>
        <v/>
      </c>
      <c r="J169" s="103" t="e">
        <f t="shared" si="11"/>
        <v>#NUM!</v>
      </c>
      <c r="K169" s="103" t="e">
        <f t="shared" si="12"/>
        <v>#NUM!</v>
      </c>
      <c r="L169" s="103"/>
      <c r="M169" s="105">
        <f t="shared" si="13"/>
        <v>0</v>
      </c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</row>
    <row r="170" spans="1:38" s="88" customFormat="1">
      <c r="A170" s="124"/>
      <c r="B170" s="123"/>
      <c r="C170" s="123"/>
      <c r="D170" s="123"/>
      <c r="E170" s="123"/>
      <c r="F170" s="123"/>
      <c r="H170" s="103">
        <v>165</v>
      </c>
      <c r="I170" s="104" t="str">
        <f t="shared" si="10"/>
        <v/>
      </c>
      <c r="J170" s="103" t="e">
        <f t="shared" si="11"/>
        <v>#NUM!</v>
      </c>
      <c r="K170" s="103" t="e">
        <f t="shared" si="12"/>
        <v>#NUM!</v>
      </c>
      <c r="L170" s="103"/>
      <c r="M170" s="105">
        <f t="shared" si="13"/>
        <v>0</v>
      </c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</row>
    <row r="171" spans="1:38" s="88" customFormat="1">
      <c r="A171" s="124"/>
      <c r="B171" s="123"/>
      <c r="C171" s="123"/>
      <c r="D171" s="123"/>
      <c r="E171" s="123"/>
      <c r="F171" s="123"/>
      <c r="H171" s="103">
        <v>166</v>
      </c>
      <c r="I171" s="104" t="str">
        <f t="shared" si="10"/>
        <v/>
      </c>
      <c r="J171" s="103" t="e">
        <f t="shared" si="11"/>
        <v>#NUM!</v>
      </c>
      <c r="K171" s="103" t="e">
        <f t="shared" si="12"/>
        <v>#NUM!</v>
      </c>
      <c r="L171" s="103"/>
      <c r="M171" s="105">
        <f t="shared" si="13"/>
        <v>0</v>
      </c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</row>
    <row r="172" spans="1:38" s="88" customFormat="1">
      <c r="A172" s="124"/>
      <c r="B172" s="123"/>
      <c r="C172" s="123"/>
      <c r="D172" s="123"/>
      <c r="E172" s="123"/>
      <c r="F172" s="123"/>
      <c r="H172" s="103">
        <v>167</v>
      </c>
      <c r="I172" s="104" t="str">
        <f t="shared" si="10"/>
        <v/>
      </c>
      <c r="J172" s="103" t="e">
        <f t="shared" si="11"/>
        <v>#NUM!</v>
      </c>
      <c r="K172" s="103" t="e">
        <f t="shared" si="12"/>
        <v>#NUM!</v>
      </c>
      <c r="L172" s="103"/>
      <c r="M172" s="105">
        <f t="shared" si="13"/>
        <v>0</v>
      </c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</row>
    <row r="173" spans="1:38" s="88" customFormat="1">
      <c r="A173" s="124"/>
      <c r="B173" s="123"/>
      <c r="C173" s="123"/>
      <c r="D173" s="123"/>
      <c r="E173" s="123"/>
      <c r="F173" s="123"/>
      <c r="H173" s="103">
        <v>168</v>
      </c>
      <c r="I173" s="104" t="str">
        <f t="shared" si="10"/>
        <v/>
      </c>
      <c r="J173" s="103" t="e">
        <f t="shared" si="11"/>
        <v>#NUM!</v>
      </c>
      <c r="K173" s="103" t="e">
        <f t="shared" si="12"/>
        <v>#NUM!</v>
      </c>
      <c r="L173" s="103"/>
      <c r="M173" s="105">
        <f t="shared" si="13"/>
        <v>0</v>
      </c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</row>
    <row r="174" spans="1:38" s="88" customFormat="1">
      <c r="A174" s="124"/>
      <c r="B174" s="123"/>
      <c r="C174" s="123"/>
      <c r="D174" s="123"/>
      <c r="E174" s="123"/>
      <c r="F174" s="123"/>
      <c r="H174" s="103">
        <v>169</v>
      </c>
      <c r="I174" s="104" t="str">
        <f t="shared" si="10"/>
        <v/>
      </c>
      <c r="J174" s="103" t="e">
        <f t="shared" si="11"/>
        <v>#NUM!</v>
      </c>
      <c r="K174" s="103" t="e">
        <f t="shared" si="12"/>
        <v>#NUM!</v>
      </c>
      <c r="L174" s="103"/>
      <c r="M174" s="105">
        <f t="shared" si="13"/>
        <v>0</v>
      </c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</row>
    <row r="175" spans="1:38" s="88" customFormat="1">
      <c r="A175" s="124"/>
      <c r="B175" s="123"/>
      <c r="C175" s="123"/>
      <c r="D175" s="123"/>
      <c r="E175" s="123"/>
      <c r="F175" s="123"/>
      <c r="H175" s="103">
        <v>170</v>
      </c>
      <c r="I175" s="104" t="str">
        <f t="shared" si="10"/>
        <v/>
      </c>
      <c r="J175" s="103" t="e">
        <f t="shared" si="11"/>
        <v>#NUM!</v>
      </c>
      <c r="K175" s="103" t="e">
        <f t="shared" si="12"/>
        <v>#NUM!</v>
      </c>
      <c r="L175" s="103"/>
      <c r="M175" s="105">
        <f t="shared" si="13"/>
        <v>0</v>
      </c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</row>
    <row r="176" spans="1:38" s="88" customFormat="1">
      <c r="A176" s="124"/>
      <c r="B176" s="123"/>
      <c r="C176" s="123"/>
      <c r="D176" s="123"/>
      <c r="E176" s="123"/>
      <c r="F176" s="123"/>
      <c r="H176" s="103">
        <v>171</v>
      </c>
      <c r="I176" s="104" t="str">
        <f t="shared" si="10"/>
        <v/>
      </c>
      <c r="J176" s="103" t="e">
        <f t="shared" si="11"/>
        <v>#NUM!</v>
      </c>
      <c r="K176" s="103" t="e">
        <f t="shared" si="12"/>
        <v>#NUM!</v>
      </c>
      <c r="L176" s="103"/>
      <c r="M176" s="105">
        <f t="shared" si="13"/>
        <v>0</v>
      </c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</row>
    <row r="177" spans="1:38" s="88" customFormat="1">
      <c r="A177" s="124"/>
      <c r="B177" s="123"/>
      <c r="C177" s="123"/>
      <c r="D177" s="123"/>
      <c r="E177" s="123"/>
      <c r="F177" s="123"/>
      <c r="H177" s="103">
        <v>172</v>
      </c>
      <c r="I177" s="104" t="str">
        <f t="shared" si="10"/>
        <v/>
      </c>
      <c r="J177" s="103" t="e">
        <f t="shared" si="11"/>
        <v>#NUM!</v>
      </c>
      <c r="K177" s="103" t="e">
        <f t="shared" si="12"/>
        <v>#NUM!</v>
      </c>
      <c r="L177" s="103"/>
      <c r="M177" s="105">
        <f t="shared" si="13"/>
        <v>0</v>
      </c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</row>
    <row r="178" spans="1:38" s="88" customFormat="1">
      <c r="A178" s="124"/>
      <c r="B178" s="123"/>
      <c r="C178" s="123"/>
      <c r="D178" s="123"/>
      <c r="E178" s="123"/>
      <c r="F178" s="123"/>
      <c r="H178" s="103">
        <v>173</v>
      </c>
      <c r="I178" s="104" t="str">
        <f t="shared" si="10"/>
        <v/>
      </c>
      <c r="J178" s="103" t="e">
        <f t="shared" si="11"/>
        <v>#NUM!</v>
      </c>
      <c r="K178" s="103" t="e">
        <f t="shared" si="12"/>
        <v>#NUM!</v>
      </c>
      <c r="L178" s="103"/>
      <c r="M178" s="105">
        <f t="shared" si="13"/>
        <v>0</v>
      </c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</row>
    <row r="179" spans="1:38" s="88" customFormat="1">
      <c r="A179" s="124"/>
      <c r="B179" s="123"/>
      <c r="C179" s="123"/>
      <c r="D179" s="123"/>
      <c r="E179" s="123"/>
      <c r="F179" s="123"/>
      <c r="H179" s="103">
        <v>174</v>
      </c>
      <c r="I179" s="104" t="str">
        <f t="shared" si="10"/>
        <v/>
      </c>
      <c r="J179" s="103" t="e">
        <f t="shared" si="11"/>
        <v>#NUM!</v>
      </c>
      <c r="K179" s="103" t="e">
        <f t="shared" si="12"/>
        <v>#NUM!</v>
      </c>
      <c r="L179" s="103"/>
      <c r="M179" s="105">
        <f t="shared" si="13"/>
        <v>0</v>
      </c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</row>
    <row r="180" spans="1:38" s="88" customFormat="1">
      <c r="A180" s="124"/>
      <c r="B180" s="123"/>
      <c r="C180" s="123"/>
      <c r="D180" s="123"/>
      <c r="E180" s="123"/>
      <c r="F180" s="123"/>
      <c r="H180" s="103">
        <v>175</v>
      </c>
      <c r="I180" s="104" t="str">
        <f t="shared" si="10"/>
        <v/>
      </c>
      <c r="J180" s="103" t="e">
        <f t="shared" si="11"/>
        <v>#NUM!</v>
      </c>
      <c r="K180" s="103" t="e">
        <f t="shared" si="12"/>
        <v>#NUM!</v>
      </c>
      <c r="L180" s="103"/>
      <c r="M180" s="105">
        <f t="shared" si="13"/>
        <v>0</v>
      </c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</row>
    <row r="181" spans="1:38" s="88" customFormat="1">
      <c r="A181" s="124"/>
      <c r="B181" s="123"/>
      <c r="C181" s="123"/>
      <c r="D181" s="123"/>
      <c r="E181" s="123"/>
      <c r="F181" s="123"/>
      <c r="H181" s="103">
        <v>176</v>
      </c>
      <c r="I181" s="104" t="str">
        <f t="shared" si="10"/>
        <v/>
      </c>
      <c r="J181" s="103" t="e">
        <f t="shared" si="11"/>
        <v>#NUM!</v>
      </c>
      <c r="K181" s="103" t="e">
        <f t="shared" si="12"/>
        <v>#NUM!</v>
      </c>
      <c r="L181" s="103"/>
      <c r="M181" s="105">
        <f t="shared" si="13"/>
        <v>0</v>
      </c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</row>
    <row r="182" spans="1:38" s="88" customFormat="1">
      <c r="A182" s="124"/>
      <c r="B182" s="123"/>
      <c r="C182" s="123"/>
      <c r="D182" s="123"/>
      <c r="E182" s="123"/>
      <c r="F182" s="123"/>
      <c r="H182" s="103">
        <v>177</v>
      </c>
      <c r="I182" s="104" t="str">
        <f t="shared" si="10"/>
        <v/>
      </c>
      <c r="J182" s="103" t="e">
        <f t="shared" si="11"/>
        <v>#NUM!</v>
      </c>
      <c r="K182" s="103" t="e">
        <f t="shared" si="12"/>
        <v>#NUM!</v>
      </c>
      <c r="L182" s="103"/>
      <c r="M182" s="105">
        <f t="shared" si="13"/>
        <v>0</v>
      </c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</row>
    <row r="183" spans="1:38" s="88" customFormat="1">
      <c r="A183" s="124"/>
      <c r="B183" s="123"/>
      <c r="C183" s="123"/>
      <c r="D183" s="123"/>
      <c r="E183" s="123"/>
      <c r="F183" s="123"/>
      <c r="H183" s="103">
        <v>178</v>
      </c>
      <c r="I183" s="104" t="str">
        <f t="shared" si="10"/>
        <v/>
      </c>
      <c r="J183" s="103" t="e">
        <f t="shared" si="11"/>
        <v>#NUM!</v>
      </c>
      <c r="K183" s="103" t="e">
        <f t="shared" si="12"/>
        <v>#NUM!</v>
      </c>
      <c r="L183" s="103"/>
      <c r="M183" s="105">
        <f t="shared" si="13"/>
        <v>0</v>
      </c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</row>
    <row r="184" spans="1:38" s="88" customFormat="1">
      <c r="A184" s="124"/>
      <c r="B184" s="123"/>
      <c r="C184" s="123"/>
      <c r="D184" s="123"/>
      <c r="E184" s="123"/>
      <c r="F184" s="123"/>
      <c r="H184" s="103">
        <v>179</v>
      </c>
      <c r="I184" s="104" t="str">
        <f t="shared" si="10"/>
        <v/>
      </c>
      <c r="J184" s="103" t="e">
        <f t="shared" si="11"/>
        <v>#NUM!</v>
      </c>
      <c r="K184" s="103" t="e">
        <f t="shared" si="12"/>
        <v>#NUM!</v>
      </c>
      <c r="L184" s="103"/>
      <c r="M184" s="105">
        <f t="shared" si="13"/>
        <v>0</v>
      </c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</row>
    <row r="185" spans="1:38" s="88" customFormat="1">
      <c r="A185" s="124"/>
      <c r="B185" s="123"/>
      <c r="C185" s="123"/>
      <c r="D185" s="123"/>
      <c r="E185" s="123"/>
      <c r="F185" s="123"/>
      <c r="H185" s="103">
        <v>180</v>
      </c>
      <c r="I185" s="104" t="str">
        <f t="shared" si="10"/>
        <v/>
      </c>
      <c r="J185" s="103" t="e">
        <f t="shared" si="11"/>
        <v>#NUM!</v>
      </c>
      <c r="K185" s="103" t="e">
        <f t="shared" si="12"/>
        <v>#NUM!</v>
      </c>
      <c r="L185" s="103"/>
      <c r="M185" s="105">
        <f t="shared" si="13"/>
        <v>0</v>
      </c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</row>
    <row r="186" spans="1:38" s="88" customFormat="1">
      <c r="A186" s="124"/>
      <c r="B186" s="123"/>
      <c r="C186" s="123"/>
      <c r="D186" s="123"/>
      <c r="E186" s="123"/>
      <c r="F186" s="123"/>
      <c r="H186" s="103">
        <v>181</v>
      </c>
      <c r="I186" s="104" t="str">
        <f t="shared" si="10"/>
        <v/>
      </c>
      <c r="J186" s="103" t="e">
        <f t="shared" si="11"/>
        <v>#NUM!</v>
      </c>
      <c r="K186" s="103" t="e">
        <f t="shared" si="12"/>
        <v>#NUM!</v>
      </c>
      <c r="L186" s="103"/>
      <c r="M186" s="105">
        <f t="shared" si="13"/>
        <v>0</v>
      </c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</row>
    <row r="187" spans="1:38" s="88" customFormat="1">
      <c r="A187" s="124"/>
      <c r="B187" s="123"/>
      <c r="C187" s="123"/>
      <c r="D187" s="123"/>
      <c r="E187" s="123"/>
      <c r="F187" s="123"/>
      <c r="H187" s="103">
        <v>182</v>
      </c>
      <c r="I187" s="104" t="str">
        <f t="shared" si="10"/>
        <v/>
      </c>
      <c r="J187" s="103" t="e">
        <f t="shared" si="11"/>
        <v>#NUM!</v>
      </c>
      <c r="K187" s="103" t="e">
        <f t="shared" si="12"/>
        <v>#NUM!</v>
      </c>
      <c r="L187" s="103"/>
      <c r="M187" s="105">
        <f t="shared" si="13"/>
        <v>0</v>
      </c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</row>
    <row r="188" spans="1:38" s="88" customFormat="1">
      <c r="A188" s="124"/>
      <c r="B188" s="123"/>
      <c r="C188" s="123"/>
      <c r="D188" s="123"/>
      <c r="E188" s="123"/>
      <c r="F188" s="123"/>
      <c r="H188" s="103">
        <v>183</v>
      </c>
      <c r="I188" s="104" t="str">
        <f t="shared" si="10"/>
        <v/>
      </c>
      <c r="J188" s="103" t="e">
        <f t="shared" si="11"/>
        <v>#NUM!</v>
      </c>
      <c r="K188" s="103" t="e">
        <f t="shared" si="12"/>
        <v>#NUM!</v>
      </c>
      <c r="L188" s="103"/>
      <c r="M188" s="105">
        <f t="shared" si="13"/>
        <v>0</v>
      </c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</row>
    <row r="189" spans="1:38" s="88" customFormat="1">
      <c r="A189" s="124"/>
      <c r="B189" s="123"/>
      <c r="C189" s="123"/>
      <c r="D189" s="123"/>
      <c r="E189" s="123"/>
      <c r="F189" s="123"/>
      <c r="H189" s="103">
        <v>184</v>
      </c>
      <c r="I189" s="104" t="str">
        <f t="shared" si="10"/>
        <v/>
      </c>
      <c r="J189" s="103" t="e">
        <f t="shared" si="11"/>
        <v>#NUM!</v>
      </c>
      <c r="K189" s="103" t="e">
        <f t="shared" si="12"/>
        <v>#NUM!</v>
      </c>
      <c r="L189" s="103"/>
      <c r="M189" s="105">
        <f t="shared" si="13"/>
        <v>0</v>
      </c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</row>
    <row r="190" spans="1:38" s="88" customFormat="1">
      <c r="A190" s="124"/>
      <c r="B190" s="123"/>
      <c r="C190" s="123"/>
      <c r="D190" s="123"/>
      <c r="E190" s="123"/>
      <c r="F190" s="123"/>
      <c r="H190" s="103">
        <v>185</v>
      </c>
      <c r="I190" s="104" t="str">
        <f t="shared" si="10"/>
        <v/>
      </c>
      <c r="J190" s="103" t="e">
        <f t="shared" si="11"/>
        <v>#NUM!</v>
      </c>
      <c r="K190" s="103" t="e">
        <f t="shared" si="12"/>
        <v>#NUM!</v>
      </c>
      <c r="L190" s="103"/>
      <c r="M190" s="105">
        <f t="shared" si="13"/>
        <v>0</v>
      </c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</row>
    <row r="191" spans="1:38" s="88" customFormat="1">
      <c r="A191" s="124"/>
      <c r="B191" s="123"/>
      <c r="C191" s="123"/>
      <c r="D191" s="123"/>
      <c r="E191" s="123"/>
      <c r="F191" s="123"/>
      <c r="H191" s="103">
        <v>186</v>
      </c>
      <c r="I191" s="104" t="str">
        <f t="shared" si="10"/>
        <v/>
      </c>
      <c r="J191" s="103" t="e">
        <f t="shared" si="11"/>
        <v>#NUM!</v>
      </c>
      <c r="K191" s="103" t="e">
        <f t="shared" si="12"/>
        <v>#NUM!</v>
      </c>
      <c r="L191" s="103"/>
      <c r="M191" s="105">
        <f t="shared" si="13"/>
        <v>0</v>
      </c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</row>
    <row r="192" spans="1:38" s="88" customFormat="1">
      <c r="A192" s="124"/>
      <c r="B192" s="123"/>
      <c r="C192" s="123"/>
      <c r="D192" s="123"/>
      <c r="E192" s="123"/>
      <c r="F192" s="123"/>
      <c r="H192" s="103">
        <v>187</v>
      </c>
      <c r="I192" s="104" t="str">
        <f t="shared" si="10"/>
        <v/>
      </c>
      <c r="J192" s="103" t="e">
        <f t="shared" si="11"/>
        <v>#NUM!</v>
      </c>
      <c r="K192" s="103" t="e">
        <f t="shared" si="12"/>
        <v>#NUM!</v>
      </c>
      <c r="L192" s="103"/>
      <c r="M192" s="105">
        <f t="shared" si="13"/>
        <v>0</v>
      </c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</row>
    <row r="193" spans="1:38" s="88" customFormat="1">
      <c r="A193" s="124"/>
      <c r="B193" s="123"/>
      <c r="C193" s="123"/>
      <c r="D193" s="123"/>
      <c r="E193" s="123"/>
      <c r="F193" s="123"/>
      <c r="H193" s="103">
        <v>188</v>
      </c>
      <c r="I193" s="104" t="str">
        <f t="shared" si="10"/>
        <v/>
      </c>
      <c r="J193" s="103" t="e">
        <f t="shared" si="11"/>
        <v>#NUM!</v>
      </c>
      <c r="K193" s="103" t="e">
        <f t="shared" si="12"/>
        <v>#NUM!</v>
      </c>
      <c r="L193" s="103"/>
      <c r="M193" s="105">
        <f t="shared" si="13"/>
        <v>0</v>
      </c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</row>
    <row r="194" spans="1:38" s="88" customFormat="1">
      <c r="A194" s="124"/>
      <c r="B194" s="123"/>
      <c r="C194" s="123"/>
      <c r="D194" s="123"/>
      <c r="E194" s="123"/>
      <c r="F194" s="123"/>
      <c r="H194" s="103">
        <v>189</v>
      </c>
      <c r="I194" s="104" t="str">
        <f t="shared" si="10"/>
        <v/>
      </c>
      <c r="J194" s="103" t="e">
        <f t="shared" si="11"/>
        <v>#NUM!</v>
      </c>
      <c r="K194" s="103" t="e">
        <f t="shared" si="12"/>
        <v>#NUM!</v>
      </c>
      <c r="L194" s="103"/>
      <c r="M194" s="105">
        <f t="shared" si="13"/>
        <v>0</v>
      </c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</row>
    <row r="195" spans="1:38" s="88" customFormat="1">
      <c r="A195" s="124"/>
      <c r="B195" s="123"/>
      <c r="C195" s="123"/>
      <c r="D195" s="123"/>
      <c r="E195" s="123"/>
      <c r="F195" s="123"/>
      <c r="H195" s="103">
        <v>190</v>
      </c>
      <c r="I195" s="104" t="str">
        <f t="shared" si="10"/>
        <v/>
      </c>
      <c r="J195" s="103" t="e">
        <f t="shared" si="11"/>
        <v>#NUM!</v>
      </c>
      <c r="K195" s="103" t="e">
        <f t="shared" si="12"/>
        <v>#NUM!</v>
      </c>
      <c r="L195" s="103"/>
      <c r="M195" s="105">
        <f t="shared" si="13"/>
        <v>0</v>
      </c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</row>
    <row r="196" spans="1:38" s="88" customFormat="1">
      <c r="A196" s="124"/>
      <c r="B196" s="123"/>
      <c r="C196" s="123"/>
      <c r="D196" s="123"/>
      <c r="E196" s="123"/>
      <c r="F196" s="123"/>
      <c r="H196" s="103">
        <v>191</v>
      </c>
      <c r="I196" s="104" t="str">
        <f t="shared" si="10"/>
        <v/>
      </c>
      <c r="J196" s="103" t="e">
        <f t="shared" si="11"/>
        <v>#NUM!</v>
      </c>
      <c r="K196" s="103" t="e">
        <f t="shared" si="12"/>
        <v>#NUM!</v>
      </c>
      <c r="L196" s="103"/>
      <c r="M196" s="105">
        <f t="shared" si="13"/>
        <v>0</v>
      </c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</row>
    <row r="197" spans="1:38" s="88" customFormat="1">
      <c r="A197" s="124"/>
      <c r="B197" s="123"/>
      <c r="C197" s="123"/>
      <c r="D197" s="123"/>
      <c r="E197" s="123"/>
      <c r="F197" s="123"/>
      <c r="H197" s="103">
        <v>192</v>
      </c>
      <c r="I197" s="104" t="str">
        <f t="shared" si="10"/>
        <v/>
      </c>
      <c r="J197" s="103" t="e">
        <f t="shared" si="11"/>
        <v>#NUM!</v>
      </c>
      <c r="K197" s="103" t="e">
        <f t="shared" si="12"/>
        <v>#NUM!</v>
      </c>
      <c r="L197" s="103"/>
      <c r="M197" s="105">
        <f t="shared" si="13"/>
        <v>0</v>
      </c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</row>
    <row r="198" spans="1:38" s="88" customFormat="1">
      <c r="A198" s="124"/>
      <c r="B198" s="123"/>
      <c r="C198" s="123"/>
      <c r="D198" s="123"/>
      <c r="E198" s="123"/>
      <c r="F198" s="123"/>
      <c r="H198" s="103">
        <v>193</v>
      </c>
      <c r="I198" s="104" t="str">
        <f t="shared" ref="I198:I261" si="14">IF(H198&lt;$H$2+1,($I$2-($I$2-1)*(LOG(H198)/LOG($H$2))),"")</f>
        <v/>
      </c>
      <c r="J198" s="103" t="e">
        <f t="shared" ref="J198:J261" si="15">INT(LOG($H$2,2))-ROUNDUP(LOG(H198,2),0)+IF(OR($H$2=1,$H$2=2,$H$2=4,$H$2=8,$H$2=16,$H$2=32,$H$2=64,$H$2=128,$H$2=256),0,1)</f>
        <v>#NUM!</v>
      </c>
      <c r="K198" s="103" t="e">
        <f t="shared" ref="K198:K261" si="16">J198*$J$2</f>
        <v>#NUM!</v>
      </c>
      <c r="L198" s="103"/>
      <c r="M198" s="105">
        <f t="shared" ref="M198:M261" si="17">IF(I198&lt;&gt;"",K198+I198+L198,0)</f>
        <v>0</v>
      </c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</row>
    <row r="199" spans="1:38" s="88" customFormat="1">
      <c r="A199" s="124"/>
      <c r="B199" s="123"/>
      <c r="C199" s="123"/>
      <c r="D199" s="123"/>
      <c r="E199" s="123"/>
      <c r="F199" s="123"/>
      <c r="H199" s="103">
        <v>194</v>
      </c>
      <c r="I199" s="104" t="str">
        <f t="shared" si="14"/>
        <v/>
      </c>
      <c r="J199" s="103" t="e">
        <f t="shared" si="15"/>
        <v>#NUM!</v>
      </c>
      <c r="K199" s="103" t="e">
        <f t="shared" si="16"/>
        <v>#NUM!</v>
      </c>
      <c r="L199" s="103"/>
      <c r="M199" s="105">
        <f t="shared" si="17"/>
        <v>0</v>
      </c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</row>
    <row r="200" spans="1:38" s="88" customFormat="1">
      <c r="A200" s="124"/>
      <c r="B200" s="123"/>
      <c r="C200" s="123"/>
      <c r="D200" s="123"/>
      <c r="E200" s="123"/>
      <c r="F200" s="123"/>
      <c r="H200" s="103">
        <v>195</v>
      </c>
      <c r="I200" s="104" t="str">
        <f t="shared" si="14"/>
        <v/>
      </c>
      <c r="J200" s="103" t="e">
        <f t="shared" si="15"/>
        <v>#NUM!</v>
      </c>
      <c r="K200" s="103" t="e">
        <f t="shared" si="16"/>
        <v>#NUM!</v>
      </c>
      <c r="L200" s="103"/>
      <c r="M200" s="105">
        <f t="shared" si="17"/>
        <v>0</v>
      </c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</row>
    <row r="201" spans="1:38" s="88" customFormat="1">
      <c r="A201" s="124"/>
      <c r="B201" s="123"/>
      <c r="C201" s="123"/>
      <c r="D201" s="123"/>
      <c r="E201" s="123"/>
      <c r="F201" s="123"/>
      <c r="H201" s="103">
        <v>196</v>
      </c>
      <c r="I201" s="104" t="str">
        <f t="shared" si="14"/>
        <v/>
      </c>
      <c r="J201" s="103" t="e">
        <f t="shared" si="15"/>
        <v>#NUM!</v>
      </c>
      <c r="K201" s="103" t="e">
        <f t="shared" si="16"/>
        <v>#NUM!</v>
      </c>
      <c r="L201" s="103"/>
      <c r="M201" s="105">
        <f t="shared" si="17"/>
        <v>0</v>
      </c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</row>
    <row r="202" spans="1:38" s="88" customFormat="1">
      <c r="A202" s="124"/>
      <c r="B202" s="123"/>
      <c r="C202" s="123"/>
      <c r="D202" s="123"/>
      <c r="E202" s="123"/>
      <c r="F202" s="123"/>
      <c r="H202" s="103">
        <v>197</v>
      </c>
      <c r="I202" s="104" t="str">
        <f t="shared" si="14"/>
        <v/>
      </c>
      <c r="J202" s="103" t="e">
        <f t="shared" si="15"/>
        <v>#NUM!</v>
      </c>
      <c r="K202" s="103" t="e">
        <f t="shared" si="16"/>
        <v>#NUM!</v>
      </c>
      <c r="L202" s="103"/>
      <c r="M202" s="105">
        <f t="shared" si="17"/>
        <v>0</v>
      </c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</row>
    <row r="203" spans="1:38" s="88" customFormat="1">
      <c r="A203" s="124"/>
      <c r="B203" s="123"/>
      <c r="C203" s="123"/>
      <c r="D203" s="123"/>
      <c r="E203" s="123"/>
      <c r="F203" s="123"/>
      <c r="H203" s="103">
        <v>198</v>
      </c>
      <c r="I203" s="104" t="str">
        <f t="shared" si="14"/>
        <v/>
      </c>
      <c r="J203" s="103" t="e">
        <f t="shared" si="15"/>
        <v>#NUM!</v>
      </c>
      <c r="K203" s="103" t="e">
        <f t="shared" si="16"/>
        <v>#NUM!</v>
      </c>
      <c r="L203" s="103"/>
      <c r="M203" s="105">
        <f t="shared" si="17"/>
        <v>0</v>
      </c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</row>
    <row r="204" spans="1:38" s="88" customFormat="1">
      <c r="A204" s="124"/>
      <c r="B204" s="123"/>
      <c r="C204" s="123"/>
      <c r="D204" s="123"/>
      <c r="E204" s="123"/>
      <c r="F204" s="123"/>
      <c r="H204" s="103">
        <v>199</v>
      </c>
      <c r="I204" s="104" t="str">
        <f t="shared" si="14"/>
        <v/>
      </c>
      <c r="J204" s="103" t="e">
        <f t="shared" si="15"/>
        <v>#NUM!</v>
      </c>
      <c r="K204" s="103" t="e">
        <f t="shared" si="16"/>
        <v>#NUM!</v>
      </c>
      <c r="L204" s="103"/>
      <c r="M204" s="105">
        <f t="shared" si="17"/>
        <v>0</v>
      </c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</row>
    <row r="205" spans="1:38" s="88" customFormat="1">
      <c r="A205" s="124"/>
      <c r="B205" s="123"/>
      <c r="C205" s="123"/>
      <c r="D205" s="123"/>
      <c r="E205" s="123"/>
      <c r="F205" s="123"/>
      <c r="H205" s="103">
        <v>200</v>
      </c>
      <c r="I205" s="104" t="str">
        <f t="shared" si="14"/>
        <v/>
      </c>
      <c r="J205" s="103" t="e">
        <f t="shared" si="15"/>
        <v>#NUM!</v>
      </c>
      <c r="K205" s="103" t="e">
        <f t="shared" si="16"/>
        <v>#NUM!</v>
      </c>
      <c r="L205" s="103"/>
      <c r="M205" s="105">
        <f t="shared" si="17"/>
        <v>0</v>
      </c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</row>
    <row r="206" spans="1:38" s="88" customFormat="1">
      <c r="A206" s="124"/>
      <c r="B206" s="123"/>
      <c r="C206" s="123"/>
      <c r="D206" s="123"/>
      <c r="E206" s="123"/>
      <c r="F206" s="123"/>
      <c r="H206" s="103">
        <v>201</v>
      </c>
      <c r="I206" s="104" t="str">
        <f t="shared" si="14"/>
        <v/>
      </c>
      <c r="J206" s="103" t="e">
        <f t="shared" si="15"/>
        <v>#NUM!</v>
      </c>
      <c r="K206" s="103" t="e">
        <f t="shared" si="16"/>
        <v>#NUM!</v>
      </c>
      <c r="L206" s="103"/>
      <c r="M206" s="105">
        <f t="shared" si="17"/>
        <v>0</v>
      </c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</row>
    <row r="207" spans="1:38" s="88" customFormat="1">
      <c r="A207" s="124"/>
      <c r="B207" s="123"/>
      <c r="C207" s="123"/>
      <c r="D207" s="123"/>
      <c r="E207" s="123"/>
      <c r="F207" s="123"/>
      <c r="H207" s="103">
        <v>202</v>
      </c>
      <c r="I207" s="104" t="str">
        <f t="shared" si="14"/>
        <v/>
      </c>
      <c r="J207" s="103" t="e">
        <f t="shared" si="15"/>
        <v>#NUM!</v>
      </c>
      <c r="K207" s="103" t="e">
        <f t="shared" si="16"/>
        <v>#NUM!</v>
      </c>
      <c r="L207" s="103"/>
      <c r="M207" s="105">
        <f t="shared" si="17"/>
        <v>0</v>
      </c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</row>
    <row r="208" spans="1:38" s="88" customFormat="1">
      <c r="A208" s="124"/>
      <c r="B208" s="123"/>
      <c r="C208" s="123"/>
      <c r="D208" s="123"/>
      <c r="E208" s="123"/>
      <c r="F208" s="123"/>
      <c r="H208" s="103">
        <v>203</v>
      </c>
      <c r="I208" s="104" t="str">
        <f t="shared" si="14"/>
        <v/>
      </c>
      <c r="J208" s="103" t="e">
        <f t="shared" si="15"/>
        <v>#NUM!</v>
      </c>
      <c r="K208" s="103" t="e">
        <f t="shared" si="16"/>
        <v>#NUM!</v>
      </c>
      <c r="L208" s="103"/>
      <c r="M208" s="105">
        <f t="shared" si="17"/>
        <v>0</v>
      </c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</row>
    <row r="209" spans="1:38" s="88" customFormat="1">
      <c r="A209" s="124"/>
      <c r="B209" s="123"/>
      <c r="C209" s="123"/>
      <c r="D209" s="123"/>
      <c r="E209" s="123"/>
      <c r="F209" s="123"/>
      <c r="H209" s="103">
        <v>204</v>
      </c>
      <c r="I209" s="104" t="str">
        <f t="shared" si="14"/>
        <v/>
      </c>
      <c r="J209" s="103" t="e">
        <f t="shared" si="15"/>
        <v>#NUM!</v>
      </c>
      <c r="K209" s="103" t="e">
        <f t="shared" si="16"/>
        <v>#NUM!</v>
      </c>
      <c r="L209" s="103"/>
      <c r="M209" s="105">
        <f t="shared" si="17"/>
        <v>0</v>
      </c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</row>
    <row r="210" spans="1:38" s="88" customFormat="1">
      <c r="A210" s="124"/>
      <c r="B210" s="123"/>
      <c r="C210" s="123"/>
      <c r="D210" s="123"/>
      <c r="E210" s="123"/>
      <c r="F210" s="123"/>
      <c r="H210" s="103">
        <v>205</v>
      </c>
      <c r="I210" s="104" t="str">
        <f t="shared" si="14"/>
        <v/>
      </c>
      <c r="J210" s="103" t="e">
        <f t="shared" si="15"/>
        <v>#NUM!</v>
      </c>
      <c r="K210" s="103" t="e">
        <f t="shared" si="16"/>
        <v>#NUM!</v>
      </c>
      <c r="L210" s="103"/>
      <c r="M210" s="105">
        <f t="shared" si="17"/>
        <v>0</v>
      </c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</row>
    <row r="211" spans="1:38" s="88" customFormat="1">
      <c r="A211" s="124"/>
      <c r="B211" s="123"/>
      <c r="C211" s="123"/>
      <c r="D211" s="123"/>
      <c r="E211" s="123"/>
      <c r="F211" s="123"/>
      <c r="H211" s="103">
        <v>206</v>
      </c>
      <c r="I211" s="104" t="str">
        <f t="shared" si="14"/>
        <v/>
      </c>
      <c r="J211" s="103" t="e">
        <f t="shared" si="15"/>
        <v>#NUM!</v>
      </c>
      <c r="K211" s="103" t="e">
        <f t="shared" si="16"/>
        <v>#NUM!</v>
      </c>
      <c r="L211" s="103"/>
      <c r="M211" s="105">
        <f t="shared" si="17"/>
        <v>0</v>
      </c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</row>
    <row r="212" spans="1:38" s="88" customFormat="1">
      <c r="A212" s="124"/>
      <c r="B212" s="123"/>
      <c r="C212" s="123"/>
      <c r="D212" s="123"/>
      <c r="E212" s="123"/>
      <c r="F212" s="123"/>
      <c r="H212" s="103">
        <v>207</v>
      </c>
      <c r="I212" s="104" t="str">
        <f t="shared" si="14"/>
        <v/>
      </c>
      <c r="J212" s="103" t="e">
        <f t="shared" si="15"/>
        <v>#NUM!</v>
      </c>
      <c r="K212" s="103" t="e">
        <f t="shared" si="16"/>
        <v>#NUM!</v>
      </c>
      <c r="L212" s="103"/>
      <c r="M212" s="105">
        <f t="shared" si="17"/>
        <v>0</v>
      </c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</row>
    <row r="213" spans="1:38" s="88" customFormat="1">
      <c r="A213" s="124"/>
      <c r="B213" s="123"/>
      <c r="C213" s="123"/>
      <c r="D213" s="123"/>
      <c r="E213" s="123"/>
      <c r="F213" s="123"/>
      <c r="H213" s="103">
        <v>208</v>
      </c>
      <c r="I213" s="104" t="str">
        <f t="shared" si="14"/>
        <v/>
      </c>
      <c r="J213" s="103" t="e">
        <f t="shared" si="15"/>
        <v>#NUM!</v>
      </c>
      <c r="K213" s="103" t="e">
        <f t="shared" si="16"/>
        <v>#NUM!</v>
      </c>
      <c r="L213" s="103"/>
      <c r="M213" s="105">
        <f t="shared" si="17"/>
        <v>0</v>
      </c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</row>
    <row r="214" spans="1:38" s="88" customFormat="1">
      <c r="A214" s="124"/>
      <c r="B214" s="123"/>
      <c r="C214" s="123"/>
      <c r="D214" s="123"/>
      <c r="E214" s="123"/>
      <c r="F214" s="123"/>
      <c r="H214" s="103">
        <v>209</v>
      </c>
      <c r="I214" s="104" t="str">
        <f t="shared" si="14"/>
        <v/>
      </c>
      <c r="J214" s="103" t="e">
        <f t="shared" si="15"/>
        <v>#NUM!</v>
      </c>
      <c r="K214" s="103" t="e">
        <f t="shared" si="16"/>
        <v>#NUM!</v>
      </c>
      <c r="L214" s="103"/>
      <c r="M214" s="105">
        <f t="shared" si="17"/>
        <v>0</v>
      </c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</row>
    <row r="215" spans="1:38" s="88" customFormat="1">
      <c r="A215" s="124"/>
      <c r="B215" s="123"/>
      <c r="C215" s="123"/>
      <c r="D215" s="123"/>
      <c r="E215" s="123"/>
      <c r="F215" s="123"/>
      <c r="H215" s="103">
        <v>210</v>
      </c>
      <c r="I215" s="104" t="str">
        <f t="shared" si="14"/>
        <v/>
      </c>
      <c r="J215" s="103" t="e">
        <f t="shared" si="15"/>
        <v>#NUM!</v>
      </c>
      <c r="K215" s="103" t="e">
        <f t="shared" si="16"/>
        <v>#NUM!</v>
      </c>
      <c r="L215" s="103"/>
      <c r="M215" s="105">
        <f t="shared" si="17"/>
        <v>0</v>
      </c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</row>
    <row r="216" spans="1:38" s="88" customFormat="1">
      <c r="A216" s="124"/>
      <c r="B216" s="123"/>
      <c r="C216" s="123"/>
      <c r="D216" s="123"/>
      <c r="E216" s="123"/>
      <c r="F216" s="123"/>
      <c r="H216" s="103">
        <v>211</v>
      </c>
      <c r="I216" s="104" t="str">
        <f t="shared" si="14"/>
        <v/>
      </c>
      <c r="J216" s="103" t="e">
        <f t="shared" si="15"/>
        <v>#NUM!</v>
      </c>
      <c r="K216" s="103" t="e">
        <f t="shared" si="16"/>
        <v>#NUM!</v>
      </c>
      <c r="L216" s="103"/>
      <c r="M216" s="105">
        <f t="shared" si="17"/>
        <v>0</v>
      </c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</row>
    <row r="217" spans="1:38" s="88" customFormat="1">
      <c r="A217" s="124"/>
      <c r="B217" s="123"/>
      <c r="C217" s="123"/>
      <c r="D217" s="123"/>
      <c r="E217" s="123"/>
      <c r="F217" s="123"/>
      <c r="H217" s="103">
        <v>212</v>
      </c>
      <c r="I217" s="104" t="str">
        <f t="shared" si="14"/>
        <v/>
      </c>
      <c r="J217" s="103" t="e">
        <f t="shared" si="15"/>
        <v>#NUM!</v>
      </c>
      <c r="K217" s="103" t="e">
        <f t="shared" si="16"/>
        <v>#NUM!</v>
      </c>
      <c r="L217" s="103"/>
      <c r="M217" s="105">
        <f t="shared" si="17"/>
        <v>0</v>
      </c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</row>
    <row r="218" spans="1:38" s="88" customFormat="1">
      <c r="A218" s="124"/>
      <c r="B218" s="123"/>
      <c r="C218" s="123"/>
      <c r="D218" s="123"/>
      <c r="E218" s="123"/>
      <c r="F218" s="123"/>
      <c r="H218" s="103">
        <v>213</v>
      </c>
      <c r="I218" s="104" t="str">
        <f t="shared" si="14"/>
        <v/>
      </c>
      <c r="J218" s="103" t="e">
        <f t="shared" si="15"/>
        <v>#NUM!</v>
      </c>
      <c r="K218" s="103" t="e">
        <f t="shared" si="16"/>
        <v>#NUM!</v>
      </c>
      <c r="L218" s="103"/>
      <c r="M218" s="105">
        <f t="shared" si="17"/>
        <v>0</v>
      </c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</row>
    <row r="219" spans="1:38" s="88" customFormat="1">
      <c r="A219" s="124"/>
      <c r="B219" s="123"/>
      <c r="C219" s="123"/>
      <c r="D219" s="123"/>
      <c r="E219" s="123"/>
      <c r="F219" s="123"/>
      <c r="H219" s="103">
        <v>214</v>
      </c>
      <c r="I219" s="104" t="str">
        <f t="shared" si="14"/>
        <v/>
      </c>
      <c r="J219" s="103" t="e">
        <f t="shared" si="15"/>
        <v>#NUM!</v>
      </c>
      <c r="K219" s="103" t="e">
        <f t="shared" si="16"/>
        <v>#NUM!</v>
      </c>
      <c r="L219" s="103"/>
      <c r="M219" s="105">
        <f t="shared" si="17"/>
        <v>0</v>
      </c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</row>
    <row r="220" spans="1:38" s="88" customFormat="1">
      <c r="A220" s="124"/>
      <c r="B220" s="123"/>
      <c r="C220" s="123"/>
      <c r="D220" s="123"/>
      <c r="E220" s="123"/>
      <c r="F220" s="123"/>
      <c r="H220" s="103">
        <v>215</v>
      </c>
      <c r="I220" s="104" t="str">
        <f t="shared" si="14"/>
        <v/>
      </c>
      <c r="J220" s="103" t="e">
        <f t="shared" si="15"/>
        <v>#NUM!</v>
      </c>
      <c r="K220" s="103" t="e">
        <f t="shared" si="16"/>
        <v>#NUM!</v>
      </c>
      <c r="L220" s="103"/>
      <c r="M220" s="105">
        <f t="shared" si="17"/>
        <v>0</v>
      </c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</row>
    <row r="221" spans="1:38" s="88" customFormat="1">
      <c r="A221" s="124"/>
      <c r="B221" s="123"/>
      <c r="C221" s="123"/>
      <c r="D221" s="123"/>
      <c r="E221" s="123"/>
      <c r="F221" s="123"/>
      <c r="H221" s="103">
        <v>216</v>
      </c>
      <c r="I221" s="104" t="str">
        <f t="shared" si="14"/>
        <v/>
      </c>
      <c r="J221" s="103" t="e">
        <f t="shared" si="15"/>
        <v>#NUM!</v>
      </c>
      <c r="K221" s="103" t="e">
        <f t="shared" si="16"/>
        <v>#NUM!</v>
      </c>
      <c r="L221" s="103"/>
      <c r="M221" s="105">
        <f t="shared" si="17"/>
        <v>0</v>
      </c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</row>
    <row r="222" spans="1:38" s="88" customFormat="1">
      <c r="A222" s="124"/>
      <c r="B222" s="123"/>
      <c r="C222" s="123"/>
      <c r="D222" s="123"/>
      <c r="E222" s="123"/>
      <c r="F222" s="123"/>
      <c r="H222" s="103">
        <v>217</v>
      </c>
      <c r="I222" s="104" t="str">
        <f t="shared" si="14"/>
        <v/>
      </c>
      <c r="J222" s="103" t="e">
        <f t="shared" si="15"/>
        <v>#NUM!</v>
      </c>
      <c r="K222" s="103" t="e">
        <f t="shared" si="16"/>
        <v>#NUM!</v>
      </c>
      <c r="L222" s="103"/>
      <c r="M222" s="105">
        <f t="shared" si="17"/>
        <v>0</v>
      </c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</row>
    <row r="223" spans="1:38" s="88" customFormat="1">
      <c r="A223" s="124"/>
      <c r="B223" s="123"/>
      <c r="C223" s="123"/>
      <c r="D223" s="123"/>
      <c r="E223" s="123"/>
      <c r="F223" s="123"/>
      <c r="H223" s="103">
        <v>218</v>
      </c>
      <c r="I223" s="104" t="str">
        <f t="shared" si="14"/>
        <v/>
      </c>
      <c r="J223" s="103" t="e">
        <f t="shared" si="15"/>
        <v>#NUM!</v>
      </c>
      <c r="K223" s="103" t="e">
        <f t="shared" si="16"/>
        <v>#NUM!</v>
      </c>
      <c r="L223" s="103"/>
      <c r="M223" s="105">
        <f t="shared" si="17"/>
        <v>0</v>
      </c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</row>
    <row r="224" spans="1:38" s="88" customFormat="1">
      <c r="A224" s="124"/>
      <c r="B224" s="123"/>
      <c r="C224" s="123"/>
      <c r="D224" s="123"/>
      <c r="E224" s="123"/>
      <c r="F224" s="123"/>
      <c r="H224" s="103">
        <v>219</v>
      </c>
      <c r="I224" s="104" t="str">
        <f t="shared" si="14"/>
        <v/>
      </c>
      <c r="J224" s="103" t="e">
        <f t="shared" si="15"/>
        <v>#NUM!</v>
      </c>
      <c r="K224" s="103" t="e">
        <f t="shared" si="16"/>
        <v>#NUM!</v>
      </c>
      <c r="L224" s="103"/>
      <c r="M224" s="105">
        <f t="shared" si="17"/>
        <v>0</v>
      </c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</row>
    <row r="225" spans="1:38" s="88" customFormat="1">
      <c r="A225" s="124"/>
      <c r="B225" s="123"/>
      <c r="C225" s="123"/>
      <c r="D225" s="123"/>
      <c r="E225" s="123"/>
      <c r="F225" s="123"/>
      <c r="H225" s="103">
        <v>220</v>
      </c>
      <c r="I225" s="104" t="str">
        <f t="shared" si="14"/>
        <v/>
      </c>
      <c r="J225" s="103" t="e">
        <f t="shared" si="15"/>
        <v>#NUM!</v>
      </c>
      <c r="K225" s="103" t="e">
        <f t="shared" si="16"/>
        <v>#NUM!</v>
      </c>
      <c r="L225" s="103"/>
      <c r="M225" s="105">
        <f t="shared" si="17"/>
        <v>0</v>
      </c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</row>
    <row r="226" spans="1:38" s="88" customFormat="1">
      <c r="A226" s="124"/>
      <c r="B226" s="123"/>
      <c r="C226" s="123"/>
      <c r="D226" s="123"/>
      <c r="E226" s="123"/>
      <c r="F226" s="123"/>
      <c r="H226" s="103">
        <v>221</v>
      </c>
      <c r="I226" s="104" t="str">
        <f t="shared" si="14"/>
        <v/>
      </c>
      <c r="J226" s="103" t="e">
        <f t="shared" si="15"/>
        <v>#NUM!</v>
      </c>
      <c r="K226" s="103" t="e">
        <f t="shared" si="16"/>
        <v>#NUM!</v>
      </c>
      <c r="L226" s="103"/>
      <c r="M226" s="105">
        <f t="shared" si="17"/>
        <v>0</v>
      </c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</row>
    <row r="227" spans="1:38" s="88" customFormat="1">
      <c r="A227" s="124"/>
      <c r="B227" s="123"/>
      <c r="C227" s="123"/>
      <c r="D227" s="123"/>
      <c r="E227" s="123"/>
      <c r="F227" s="123"/>
      <c r="H227" s="103">
        <v>222</v>
      </c>
      <c r="I227" s="104" t="str">
        <f t="shared" si="14"/>
        <v/>
      </c>
      <c r="J227" s="103" t="e">
        <f t="shared" si="15"/>
        <v>#NUM!</v>
      </c>
      <c r="K227" s="103" t="e">
        <f t="shared" si="16"/>
        <v>#NUM!</v>
      </c>
      <c r="L227" s="103"/>
      <c r="M227" s="105">
        <f t="shared" si="17"/>
        <v>0</v>
      </c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</row>
    <row r="228" spans="1:38" s="88" customFormat="1">
      <c r="A228" s="124"/>
      <c r="B228" s="123"/>
      <c r="C228" s="123"/>
      <c r="D228" s="123"/>
      <c r="E228" s="123"/>
      <c r="F228" s="123"/>
      <c r="H228" s="103">
        <v>223</v>
      </c>
      <c r="I228" s="104" t="str">
        <f t="shared" si="14"/>
        <v/>
      </c>
      <c r="J228" s="103" t="e">
        <f t="shared" si="15"/>
        <v>#NUM!</v>
      </c>
      <c r="K228" s="103" t="e">
        <f t="shared" si="16"/>
        <v>#NUM!</v>
      </c>
      <c r="L228" s="103"/>
      <c r="M228" s="105">
        <f t="shared" si="17"/>
        <v>0</v>
      </c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</row>
    <row r="229" spans="1:38" s="88" customFormat="1">
      <c r="A229" s="124"/>
      <c r="B229" s="123"/>
      <c r="C229" s="123"/>
      <c r="D229" s="123"/>
      <c r="E229" s="123"/>
      <c r="F229" s="123"/>
      <c r="H229" s="103">
        <v>224</v>
      </c>
      <c r="I229" s="104" t="str">
        <f t="shared" si="14"/>
        <v/>
      </c>
      <c r="J229" s="103" t="e">
        <f t="shared" si="15"/>
        <v>#NUM!</v>
      </c>
      <c r="K229" s="103" t="e">
        <f t="shared" si="16"/>
        <v>#NUM!</v>
      </c>
      <c r="L229" s="103"/>
      <c r="M229" s="105">
        <f t="shared" si="17"/>
        <v>0</v>
      </c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</row>
    <row r="230" spans="1:38" s="88" customFormat="1">
      <c r="A230" s="124"/>
      <c r="B230" s="123"/>
      <c r="C230" s="123"/>
      <c r="D230" s="123"/>
      <c r="E230" s="123"/>
      <c r="F230" s="123"/>
      <c r="H230" s="103">
        <v>225</v>
      </c>
      <c r="I230" s="104" t="str">
        <f t="shared" si="14"/>
        <v/>
      </c>
      <c r="J230" s="103" t="e">
        <f t="shared" si="15"/>
        <v>#NUM!</v>
      </c>
      <c r="K230" s="103" t="e">
        <f t="shared" si="16"/>
        <v>#NUM!</v>
      </c>
      <c r="L230" s="103"/>
      <c r="M230" s="105">
        <f t="shared" si="17"/>
        <v>0</v>
      </c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</row>
    <row r="231" spans="1:38" s="88" customFormat="1">
      <c r="A231" s="124"/>
      <c r="B231" s="123"/>
      <c r="C231" s="123"/>
      <c r="D231" s="123"/>
      <c r="E231" s="123"/>
      <c r="F231" s="123"/>
      <c r="H231" s="103">
        <v>226</v>
      </c>
      <c r="I231" s="104" t="str">
        <f t="shared" si="14"/>
        <v/>
      </c>
      <c r="J231" s="103" t="e">
        <f t="shared" si="15"/>
        <v>#NUM!</v>
      </c>
      <c r="K231" s="103" t="e">
        <f t="shared" si="16"/>
        <v>#NUM!</v>
      </c>
      <c r="L231" s="103"/>
      <c r="M231" s="105">
        <f t="shared" si="17"/>
        <v>0</v>
      </c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</row>
    <row r="232" spans="1:38" s="88" customFormat="1">
      <c r="A232" s="124"/>
      <c r="B232" s="123"/>
      <c r="C232" s="123"/>
      <c r="D232" s="123"/>
      <c r="E232" s="123"/>
      <c r="F232" s="123"/>
      <c r="H232" s="103">
        <v>227</v>
      </c>
      <c r="I232" s="104" t="str">
        <f t="shared" si="14"/>
        <v/>
      </c>
      <c r="J232" s="103" t="e">
        <f t="shared" si="15"/>
        <v>#NUM!</v>
      </c>
      <c r="K232" s="103" t="e">
        <f t="shared" si="16"/>
        <v>#NUM!</v>
      </c>
      <c r="L232" s="103"/>
      <c r="M232" s="105">
        <f t="shared" si="17"/>
        <v>0</v>
      </c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</row>
    <row r="233" spans="1:38" s="88" customFormat="1">
      <c r="A233" s="124"/>
      <c r="B233" s="123"/>
      <c r="C233" s="123"/>
      <c r="D233" s="123"/>
      <c r="E233" s="123"/>
      <c r="F233" s="123"/>
      <c r="H233" s="103">
        <v>228</v>
      </c>
      <c r="I233" s="104" t="str">
        <f t="shared" si="14"/>
        <v/>
      </c>
      <c r="J233" s="103" t="e">
        <f t="shared" si="15"/>
        <v>#NUM!</v>
      </c>
      <c r="K233" s="103" t="e">
        <f t="shared" si="16"/>
        <v>#NUM!</v>
      </c>
      <c r="L233" s="103"/>
      <c r="M233" s="105">
        <f t="shared" si="17"/>
        <v>0</v>
      </c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</row>
    <row r="234" spans="1:38" s="88" customFormat="1">
      <c r="A234" s="124"/>
      <c r="B234" s="123"/>
      <c r="C234" s="123"/>
      <c r="D234" s="123"/>
      <c r="E234" s="123"/>
      <c r="F234" s="123"/>
      <c r="H234" s="103">
        <v>229</v>
      </c>
      <c r="I234" s="104" t="str">
        <f t="shared" si="14"/>
        <v/>
      </c>
      <c r="J234" s="103" t="e">
        <f t="shared" si="15"/>
        <v>#NUM!</v>
      </c>
      <c r="K234" s="103" t="e">
        <f t="shared" si="16"/>
        <v>#NUM!</v>
      </c>
      <c r="L234" s="103"/>
      <c r="M234" s="105">
        <f t="shared" si="17"/>
        <v>0</v>
      </c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</row>
    <row r="235" spans="1:38" s="88" customFormat="1">
      <c r="A235" s="124"/>
      <c r="B235" s="123"/>
      <c r="C235" s="123"/>
      <c r="D235" s="123"/>
      <c r="E235" s="123"/>
      <c r="F235" s="123"/>
      <c r="H235" s="103">
        <v>230</v>
      </c>
      <c r="I235" s="104" t="str">
        <f t="shared" si="14"/>
        <v/>
      </c>
      <c r="J235" s="103" t="e">
        <f t="shared" si="15"/>
        <v>#NUM!</v>
      </c>
      <c r="K235" s="103" t="e">
        <f t="shared" si="16"/>
        <v>#NUM!</v>
      </c>
      <c r="L235" s="103"/>
      <c r="M235" s="105">
        <f t="shared" si="17"/>
        <v>0</v>
      </c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</row>
    <row r="236" spans="1:38" s="88" customFormat="1">
      <c r="A236" s="124"/>
      <c r="B236" s="123"/>
      <c r="C236" s="123"/>
      <c r="D236" s="123"/>
      <c r="E236" s="123"/>
      <c r="F236" s="123"/>
      <c r="H236" s="103">
        <v>231</v>
      </c>
      <c r="I236" s="104" t="str">
        <f t="shared" si="14"/>
        <v/>
      </c>
      <c r="J236" s="103" t="e">
        <f t="shared" si="15"/>
        <v>#NUM!</v>
      </c>
      <c r="K236" s="103" t="e">
        <f t="shared" si="16"/>
        <v>#NUM!</v>
      </c>
      <c r="L236" s="103"/>
      <c r="M236" s="105">
        <f t="shared" si="17"/>
        <v>0</v>
      </c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</row>
    <row r="237" spans="1:38" s="88" customFormat="1">
      <c r="A237" s="124"/>
      <c r="B237" s="123"/>
      <c r="C237" s="123"/>
      <c r="D237" s="123"/>
      <c r="E237" s="123"/>
      <c r="F237" s="123"/>
      <c r="H237" s="103">
        <v>232</v>
      </c>
      <c r="I237" s="104" t="str">
        <f t="shared" si="14"/>
        <v/>
      </c>
      <c r="J237" s="103" t="e">
        <f t="shared" si="15"/>
        <v>#NUM!</v>
      </c>
      <c r="K237" s="103" t="e">
        <f t="shared" si="16"/>
        <v>#NUM!</v>
      </c>
      <c r="L237" s="103"/>
      <c r="M237" s="105">
        <f t="shared" si="17"/>
        <v>0</v>
      </c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</row>
    <row r="238" spans="1:38" s="88" customFormat="1">
      <c r="A238" s="124"/>
      <c r="B238" s="123"/>
      <c r="C238" s="123"/>
      <c r="D238" s="123"/>
      <c r="E238" s="123"/>
      <c r="F238" s="123"/>
      <c r="H238" s="103">
        <v>233</v>
      </c>
      <c r="I238" s="104" t="str">
        <f t="shared" si="14"/>
        <v/>
      </c>
      <c r="J238" s="103" t="e">
        <f t="shared" si="15"/>
        <v>#NUM!</v>
      </c>
      <c r="K238" s="103" t="e">
        <f t="shared" si="16"/>
        <v>#NUM!</v>
      </c>
      <c r="L238" s="103"/>
      <c r="M238" s="105">
        <f t="shared" si="17"/>
        <v>0</v>
      </c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</row>
    <row r="239" spans="1:38" s="88" customFormat="1">
      <c r="A239" s="124"/>
      <c r="B239" s="123"/>
      <c r="C239" s="123"/>
      <c r="D239" s="123"/>
      <c r="E239" s="123"/>
      <c r="F239" s="123"/>
      <c r="H239" s="103">
        <v>234</v>
      </c>
      <c r="I239" s="104" t="str">
        <f t="shared" si="14"/>
        <v/>
      </c>
      <c r="J239" s="103" t="e">
        <f t="shared" si="15"/>
        <v>#NUM!</v>
      </c>
      <c r="K239" s="103" t="e">
        <f t="shared" si="16"/>
        <v>#NUM!</v>
      </c>
      <c r="L239" s="103"/>
      <c r="M239" s="105">
        <f t="shared" si="17"/>
        <v>0</v>
      </c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</row>
    <row r="240" spans="1:38" s="88" customFormat="1">
      <c r="A240" s="124"/>
      <c r="B240" s="123"/>
      <c r="C240" s="123"/>
      <c r="D240" s="123"/>
      <c r="E240" s="123"/>
      <c r="F240" s="123"/>
      <c r="H240" s="103">
        <v>235</v>
      </c>
      <c r="I240" s="104" t="str">
        <f t="shared" si="14"/>
        <v/>
      </c>
      <c r="J240" s="103" t="e">
        <f t="shared" si="15"/>
        <v>#NUM!</v>
      </c>
      <c r="K240" s="103" t="e">
        <f t="shared" si="16"/>
        <v>#NUM!</v>
      </c>
      <c r="L240" s="103"/>
      <c r="M240" s="105">
        <f t="shared" si="17"/>
        <v>0</v>
      </c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</row>
    <row r="241" spans="1:38" s="88" customFormat="1">
      <c r="A241" s="124"/>
      <c r="B241" s="123"/>
      <c r="C241" s="123"/>
      <c r="D241" s="123"/>
      <c r="E241" s="123"/>
      <c r="F241" s="123"/>
      <c r="H241" s="103">
        <v>236</v>
      </c>
      <c r="I241" s="104" t="str">
        <f t="shared" si="14"/>
        <v/>
      </c>
      <c r="J241" s="103" t="e">
        <f t="shared" si="15"/>
        <v>#NUM!</v>
      </c>
      <c r="K241" s="103" t="e">
        <f t="shared" si="16"/>
        <v>#NUM!</v>
      </c>
      <c r="L241" s="103"/>
      <c r="M241" s="105">
        <f t="shared" si="17"/>
        <v>0</v>
      </c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</row>
    <row r="242" spans="1:38" s="88" customFormat="1">
      <c r="A242" s="124"/>
      <c r="B242" s="123"/>
      <c r="C242" s="123"/>
      <c r="D242" s="123"/>
      <c r="E242" s="123"/>
      <c r="F242" s="123"/>
      <c r="H242" s="103">
        <v>237</v>
      </c>
      <c r="I242" s="104" t="str">
        <f t="shared" si="14"/>
        <v/>
      </c>
      <c r="J242" s="103" t="e">
        <f t="shared" si="15"/>
        <v>#NUM!</v>
      </c>
      <c r="K242" s="103" t="e">
        <f t="shared" si="16"/>
        <v>#NUM!</v>
      </c>
      <c r="L242" s="103"/>
      <c r="M242" s="105">
        <f t="shared" si="17"/>
        <v>0</v>
      </c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</row>
    <row r="243" spans="1:38" s="88" customFormat="1">
      <c r="A243" s="124"/>
      <c r="B243" s="123"/>
      <c r="C243" s="123"/>
      <c r="D243" s="123"/>
      <c r="E243" s="123"/>
      <c r="F243" s="123"/>
      <c r="H243" s="103">
        <v>238</v>
      </c>
      <c r="I243" s="104" t="str">
        <f t="shared" si="14"/>
        <v/>
      </c>
      <c r="J243" s="103" t="e">
        <f t="shared" si="15"/>
        <v>#NUM!</v>
      </c>
      <c r="K243" s="103" t="e">
        <f t="shared" si="16"/>
        <v>#NUM!</v>
      </c>
      <c r="L243" s="103"/>
      <c r="M243" s="105">
        <f t="shared" si="17"/>
        <v>0</v>
      </c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</row>
    <row r="244" spans="1:38" s="88" customFormat="1">
      <c r="A244" s="124"/>
      <c r="B244" s="123"/>
      <c r="C244" s="123"/>
      <c r="D244" s="123"/>
      <c r="E244" s="123"/>
      <c r="F244" s="123"/>
      <c r="H244" s="103">
        <v>239</v>
      </c>
      <c r="I244" s="104" t="str">
        <f t="shared" si="14"/>
        <v/>
      </c>
      <c r="J244" s="103" t="e">
        <f t="shared" si="15"/>
        <v>#NUM!</v>
      </c>
      <c r="K244" s="103" t="e">
        <f t="shared" si="16"/>
        <v>#NUM!</v>
      </c>
      <c r="L244" s="103"/>
      <c r="M244" s="105">
        <f t="shared" si="17"/>
        <v>0</v>
      </c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</row>
    <row r="245" spans="1:38" s="88" customFormat="1">
      <c r="A245" s="124"/>
      <c r="B245" s="123"/>
      <c r="C245" s="123"/>
      <c r="D245" s="123"/>
      <c r="E245" s="123"/>
      <c r="F245" s="123"/>
      <c r="H245" s="103">
        <v>240</v>
      </c>
      <c r="I245" s="104" t="str">
        <f t="shared" si="14"/>
        <v/>
      </c>
      <c r="J245" s="103" t="e">
        <f t="shared" si="15"/>
        <v>#NUM!</v>
      </c>
      <c r="K245" s="103" t="e">
        <f t="shared" si="16"/>
        <v>#NUM!</v>
      </c>
      <c r="L245" s="103"/>
      <c r="M245" s="105">
        <f t="shared" si="17"/>
        <v>0</v>
      </c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</row>
    <row r="246" spans="1:38" s="88" customFormat="1">
      <c r="A246" s="124"/>
      <c r="B246" s="123"/>
      <c r="C246" s="123"/>
      <c r="D246" s="123"/>
      <c r="E246" s="123"/>
      <c r="F246" s="123"/>
      <c r="H246" s="103">
        <v>241</v>
      </c>
      <c r="I246" s="104" t="str">
        <f t="shared" si="14"/>
        <v/>
      </c>
      <c r="J246" s="103" t="e">
        <f t="shared" si="15"/>
        <v>#NUM!</v>
      </c>
      <c r="K246" s="103" t="e">
        <f t="shared" si="16"/>
        <v>#NUM!</v>
      </c>
      <c r="L246" s="103"/>
      <c r="M246" s="105">
        <f t="shared" si="17"/>
        <v>0</v>
      </c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</row>
    <row r="247" spans="1:38" s="88" customFormat="1">
      <c r="A247" s="124"/>
      <c r="B247" s="123"/>
      <c r="C247" s="123"/>
      <c r="D247" s="123"/>
      <c r="E247" s="123"/>
      <c r="F247" s="123"/>
      <c r="H247" s="103">
        <v>242</v>
      </c>
      <c r="I247" s="104" t="str">
        <f t="shared" si="14"/>
        <v/>
      </c>
      <c r="J247" s="103" t="e">
        <f t="shared" si="15"/>
        <v>#NUM!</v>
      </c>
      <c r="K247" s="103" t="e">
        <f t="shared" si="16"/>
        <v>#NUM!</v>
      </c>
      <c r="L247" s="103"/>
      <c r="M247" s="105">
        <f t="shared" si="17"/>
        <v>0</v>
      </c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</row>
    <row r="248" spans="1:38" s="88" customFormat="1">
      <c r="A248" s="124"/>
      <c r="B248" s="123"/>
      <c r="C248" s="123"/>
      <c r="D248" s="123"/>
      <c r="E248" s="123"/>
      <c r="F248" s="123"/>
      <c r="H248" s="103">
        <v>243</v>
      </c>
      <c r="I248" s="104" t="str">
        <f t="shared" si="14"/>
        <v/>
      </c>
      <c r="J248" s="103" t="e">
        <f t="shared" si="15"/>
        <v>#NUM!</v>
      </c>
      <c r="K248" s="103" t="e">
        <f t="shared" si="16"/>
        <v>#NUM!</v>
      </c>
      <c r="L248" s="103"/>
      <c r="M248" s="105">
        <f t="shared" si="17"/>
        <v>0</v>
      </c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</row>
    <row r="249" spans="1:38" s="88" customFormat="1">
      <c r="A249" s="124"/>
      <c r="B249" s="123"/>
      <c r="C249" s="123"/>
      <c r="D249" s="123"/>
      <c r="E249" s="123"/>
      <c r="F249" s="123"/>
      <c r="H249" s="103">
        <v>244</v>
      </c>
      <c r="I249" s="104" t="str">
        <f t="shared" si="14"/>
        <v/>
      </c>
      <c r="J249" s="103" t="e">
        <f t="shared" si="15"/>
        <v>#NUM!</v>
      </c>
      <c r="K249" s="103" t="e">
        <f t="shared" si="16"/>
        <v>#NUM!</v>
      </c>
      <c r="L249" s="103"/>
      <c r="M249" s="105">
        <f t="shared" si="17"/>
        <v>0</v>
      </c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</row>
    <row r="250" spans="1:38" s="88" customFormat="1">
      <c r="A250" s="124"/>
      <c r="B250" s="123"/>
      <c r="C250" s="123"/>
      <c r="D250" s="123"/>
      <c r="E250" s="123"/>
      <c r="F250" s="123"/>
      <c r="H250" s="103">
        <v>245</v>
      </c>
      <c r="I250" s="104" t="str">
        <f t="shared" si="14"/>
        <v/>
      </c>
      <c r="J250" s="103" t="e">
        <f t="shared" si="15"/>
        <v>#NUM!</v>
      </c>
      <c r="K250" s="103" t="e">
        <f t="shared" si="16"/>
        <v>#NUM!</v>
      </c>
      <c r="L250" s="103"/>
      <c r="M250" s="105">
        <f t="shared" si="17"/>
        <v>0</v>
      </c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</row>
    <row r="251" spans="1:38" s="88" customFormat="1">
      <c r="A251" s="124"/>
      <c r="B251" s="123"/>
      <c r="C251" s="123"/>
      <c r="D251" s="123"/>
      <c r="E251" s="123"/>
      <c r="F251" s="123"/>
      <c r="H251" s="103">
        <v>246</v>
      </c>
      <c r="I251" s="104" t="str">
        <f t="shared" si="14"/>
        <v/>
      </c>
      <c r="J251" s="103" t="e">
        <f t="shared" si="15"/>
        <v>#NUM!</v>
      </c>
      <c r="K251" s="103" t="e">
        <f t="shared" si="16"/>
        <v>#NUM!</v>
      </c>
      <c r="L251" s="103"/>
      <c r="M251" s="105">
        <f t="shared" si="17"/>
        <v>0</v>
      </c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</row>
    <row r="252" spans="1:38" s="88" customFormat="1">
      <c r="A252" s="124"/>
      <c r="B252" s="123"/>
      <c r="C252" s="123"/>
      <c r="D252" s="123"/>
      <c r="E252" s="123"/>
      <c r="F252" s="123"/>
      <c r="H252" s="103">
        <v>247</v>
      </c>
      <c r="I252" s="104" t="str">
        <f t="shared" si="14"/>
        <v/>
      </c>
      <c r="J252" s="103" t="e">
        <f t="shared" si="15"/>
        <v>#NUM!</v>
      </c>
      <c r="K252" s="103" t="e">
        <f t="shared" si="16"/>
        <v>#NUM!</v>
      </c>
      <c r="L252" s="103"/>
      <c r="M252" s="105">
        <f t="shared" si="17"/>
        <v>0</v>
      </c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</row>
    <row r="253" spans="1:38" s="88" customFormat="1">
      <c r="A253" s="124"/>
      <c r="B253" s="123"/>
      <c r="C253" s="123"/>
      <c r="D253" s="123"/>
      <c r="E253" s="123"/>
      <c r="F253" s="123"/>
      <c r="H253" s="103">
        <v>248</v>
      </c>
      <c r="I253" s="104" t="str">
        <f t="shared" si="14"/>
        <v/>
      </c>
      <c r="J253" s="103" t="e">
        <f t="shared" si="15"/>
        <v>#NUM!</v>
      </c>
      <c r="K253" s="103" t="e">
        <f t="shared" si="16"/>
        <v>#NUM!</v>
      </c>
      <c r="L253" s="103"/>
      <c r="M253" s="105">
        <f t="shared" si="17"/>
        <v>0</v>
      </c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</row>
    <row r="254" spans="1:38" s="88" customFormat="1">
      <c r="A254" s="124"/>
      <c r="B254" s="123"/>
      <c r="C254" s="123"/>
      <c r="D254" s="123"/>
      <c r="E254" s="123"/>
      <c r="F254" s="123"/>
      <c r="H254" s="103">
        <v>249</v>
      </c>
      <c r="I254" s="104" t="str">
        <f t="shared" si="14"/>
        <v/>
      </c>
      <c r="J254" s="103" t="e">
        <f t="shared" si="15"/>
        <v>#NUM!</v>
      </c>
      <c r="K254" s="103" t="e">
        <f t="shared" si="16"/>
        <v>#NUM!</v>
      </c>
      <c r="L254" s="103"/>
      <c r="M254" s="105">
        <f t="shared" si="17"/>
        <v>0</v>
      </c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</row>
    <row r="255" spans="1:38" s="88" customFormat="1">
      <c r="A255" s="124"/>
      <c r="B255" s="123"/>
      <c r="C255" s="123"/>
      <c r="D255" s="123"/>
      <c r="E255" s="123"/>
      <c r="F255" s="123"/>
      <c r="H255" s="103">
        <v>250</v>
      </c>
      <c r="I255" s="104" t="str">
        <f t="shared" si="14"/>
        <v/>
      </c>
      <c r="J255" s="103" t="e">
        <f t="shared" si="15"/>
        <v>#NUM!</v>
      </c>
      <c r="K255" s="103" t="e">
        <f t="shared" si="16"/>
        <v>#NUM!</v>
      </c>
      <c r="L255" s="103"/>
      <c r="M255" s="105">
        <f t="shared" si="17"/>
        <v>0</v>
      </c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</row>
    <row r="256" spans="1:38" s="88" customFormat="1">
      <c r="A256" s="124"/>
      <c r="B256" s="123"/>
      <c r="C256" s="123"/>
      <c r="D256" s="123"/>
      <c r="E256" s="123"/>
      <c r="F256" s="123"/>
      <c r="H256" s="103">
        <v>251</v>
      </c>
      <c r="I256" s="104" t="str">
        <f t="shared" si="14"/>
        <v/>
      </c>
      <c r="J256" s="103" t="e">
        <f t="shared" si="15"/>
        <v>#NUM!</v>
      </c>
      <c r="K256" s="103" t="e">
        <f t="shared" si="16"/>
        <v>#NUM!</v>
      </c>
      <c r="L256" s="103"/>
      <c r="M256" s="105">
        <f t="shared" si="17"/>
        <v>0</v>
      </c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</row>
    <row r="257" spans="1:38" s="88" customFormat="1">
      <c r="A257" s="124"/>
      <c r="B257" s="123"/>
      <c r="C257" s="123"/>
      <c r="D257" s="123"/>
      <c r="E257" s="123"/>
      <c r="F257" s="123"/>
      <c r="H257" s="103">
        <v>252</v>
      </c>
      <c r="I257" s="104" t="str">
        <f t="shared" si="14"/>
        <v/>
      </c>
      <c r="J257" s="103" t="e">
        <f t="shared" si="15"/>
        <v>#NUM!</v>
      </c>
      <c r="K257" s="103" t="e">
        <f t="shared" si="16"/>
        <v>#NUM!</v>
      </c>
      <c r="L257" s="103"/>
      <c r="M257" s="105">
        <f t="shared" si="17"/>
        <v>0</v>
      </c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</row>
    <row r="258" spans="1:38" s="88" customFormat="1">
      <c r="A258" s="124"/>
      <c r="B258" s="123"/>
      <c r="C258" s="123"/>
      <c r="D258" s="123"/>
      <c r="E258" s="123"/>
      <c r="F258" s="123"/>
      <c r="H258" s="103">
        <v>253</v>
      </c>
      <c r="I258" s="104" t="str">
        <f t="shared" si="14"/>
        <v/>
      </c>
      <c r="J258" s="103" t="e">
        <f t="shared" si="15"/>
        <v>#NUM!</v>
      </c>
      <c r="K258" s="103" t="e">
        <f t="shared" si="16"/>
        <v>#NUM!</v>
      </c>
      <c r="L258" s="103"/>
      <c r="M258" s="105">
        <f t="shared" si="17"/>
        <v>0</v>
      </c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</row>
    <row r="259" spans="1:38" s="88" customFormat="1">
      <c r="A259" s="124"/>
      <c r="B259" s="123"/>
      <c r="C259" s="123"/>
      <c r="D259" s="123"/>
      <c r="E259" s="123"/>
      <c r="F259" s="123"/>
      <c r="H259" s="103">
        <v>254</v>
      </c>
      <c r="I259" s="104" t="str">
        <f t="shared" si="14"/>
        <v/>
      </c>
      <c r="J259" s="103" t="e">
        <f t="shared" si="15"/>
        <v>#NUM!</v>
      </c>
      <c r="K259" s="103" t="e">
        <f t="shared" si="16"/>
        <v>#NUM!</v>
      </c>
      <c r="L259" s="103"/>
      <c r="M259" s="105">
        <f t="shared" si="17"/>
        <v>0</v>
      </c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</row>
    <row r="260" spans="1:38" s="88" customFormat="1">
      <c r="A260" s="124"/>
      <c r="B260" s="123"/>
      <c r="C260" s="123"/>
      <c r="D260" s="123"/>
      <c r="E260" s="123"/>
      <c r="F260" s="123"/>
      <c r="H260" s="103">
        <v>255</v>
      </c>
      <c r="I260" s="104" t="str">
        <f t="shared" si="14"/>
        <v/>
      </c>
      <c r="J260" s="103" t="e">
        <f t="shared" si="15"/>
        <v>#NUM!</v>
      </c>
      <c r="K260" s="103" t="e">
        <f t="shared" si="16"/>
        <v>#NUM!</v>
      </c>
      <c r="L260" s="103"/>
      <c r="M260" s="105">
        <f t="shared" si="17"/>
        <v>0</v>
      </c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</row>
    <row r="261" spans="1:38" s="88" customFormat="1">
      <c r="A261" s="124"/>
      <c r="B261" s="123"/>
      <c r="C261" s="123"/>
      <c r="D261" s="123"/>
      <c r="E261" s="123"/>
      <c r="F261" s="123"/>
      <c r="H261" s="103">
        <v>256</v>
      </c>
      <c r="I261" s="104" t="str">
        <f t="shared" si="14"/>
        <v/>
      </c>
      <c r="J261" s="103" t="e">
        <f t="shared" si="15"/>
        <v>#NUM!</v>
      </c>
      <c r="K261" s="103" t="e">
        <f t="shared" si="16"/>
        <v>#NUM!</v>
      </c>
      <c r="L261" s="103"/>
      <c r="M261" s="105">
        <f t="shared" si="17"/>
        <v>0</v>
      </c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</row>
    <row r="262" spans="1:38" s="88" customFormat="1">
      <c r="A262" s="124"/>
      <c r="B262" s="123"/>
      <c r="C262" s="123"/>
      <c r="D262" s="123"/>
      <c r="E262" s="123"/>
      <c r="F262" s="123"/>
      <c r="H262" s="103">
        <v>257</v>
      </c>
      <c r="I262" s="104" t="str">
        <f t="shared" ref="I262:I305" si="18">IF(H262&lt;$H$2+1,($I$2-($I$2-1)*(LOG(H262)/LOG($H$2))),"")</f>
        <v/>
      </c>
      <c r="J262" s="103" t="e">
        <f t="shared" ref="J262:J325" si="19">INT(LOG($H$2,2))-ROUNDUP(LOG(H262,2),0)+IF(OR($H$2=1,$H$2=2,$H$2=4,$H$2=8,$H$2=16,$H$2=32,$H$2=64,$H$2=128,$H$2=256),0,1)</f>
        <v>#NUM!</v>
      </c>
      <c r="K262" s="103" t="e">
        <f t="shared" ref="K262:K305" si="20">J262*$J$2</f>
        <v>#NUM!</v>
      </c>
      <c r="L262" s="103"/>
      <c r="M262" s="105">
        <f t="shared" ref="M262:M305" si="21">IF(I262&lt;&gt;"",K262+I262+L262,0)</f>
        <v>0</v>
      </c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</row>
    <row r="263" spans="1:38" s="88" customFormat="1">
      <c r="A263" s="124"/>
      <c r="B263" s="123"/>
      <c r="C263" s="123"/>
      <c r="D263" s="123"/>
      <c r="E263" s="123"/>
      <c r="F263" s="123"/>
      <c r="H263" s="103">
        <v>258</v>
      </c>
      <c r="I263" s="104" t="str">
        <f t="shared" si="18"/>
        <v/>
      </c>
      <c r="J263" s="103" t="e">
        <f t="shared" si="19"/>
        <v>#NUM!</v>
      </c>
      <c r="K263" s="103" t="e">
        <f t="shared" si="20"/>
        <v>#NUM!</v>
      </c>
      <c r="L263" s="103"/>
      <c r="M263" s="105">
        <f t="shared" si="21"/>
        <v>0</v>
      </c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</row>
    <row r="264" spans="1:38" s="88" customFormat="1">
      <c r="A264" s="124"/>
      <c r="B264" s="123"/>
      <c r="C264" s="123"/>
      <c r="D264" s="123"/>
      <c r="E264" s="123"/>
      <c r="F264" s="123"/>
      <c r="H264" s="103">
        <v>259</v>
      </c>
      <c r="I264" s="104" t="str">
        <f t="shared" si="18"/>
        <v/>
      </c>
      <c r="J264" s="103" t="e">
        <f t="shared" si="19"/>
        <v>#NUM!</v>
      </c>
      <c r="K264" s="103" t="e">
        <f t="shared" si="20"/>
        <v>#NUM!</v>
      </c>
      <c r="L264" s="103"/>
      <c r="M264" s="105">
        <f t="shared" si="21"/>
        <v>0</v>
      </c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</row>
    <row r="265" spans="1:38" s="88" customFormat="1">
      <c r="A265" s="124"/>
      <c r="B265" s="123"/>
      <c r="C265" s="123"/>
      <c r="D265" s="123"/>
      <c r="E265" s="123"/>
      <c r="F265" s="123"/>
      <c r="H265" s="103">
        <v>260</v>
      </c>
      <c r="I265" s="104" t="str">
        <f t="shared" si="18"/>
        <v/>
      </c>
      <c r="J265" s="103" t="e">
        <f t="shared" si="19"/>
        <v>#NUM!</v>
      </c>
      <c r="K265" s="103" t="e">
        <f t="shared" si="20"/>
        <v>#NUM!</v>
      </c>
      <c r="L265" s="103"/>
      <c r="M265" s="105">
        <f t="shared" si="21"/>
        <v>0</v>
      </c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</row>
    <row r="266" spans="1:38" s="88" customFormat="1">
      <c r="A266" s="124"/>
      <c r="B266" s="123"/>
      <c r="C266" s="123"/>
      <c r="D266" s="123"/>
      <c r="E266" s="123"/>
      <c r="F266" s="123"/>
      <c r="H266" s="103">
        <v>261</v>
      </c>
      <c r="I266" s="104" t="str">
        <f t="shared" si="18"/>
        <v/>
      </c>
      <c r="J266" s="103" t="e">
        <f t="shared" si="19"/>
        <v>#NUM!</v>
      </c>
      <c r="K266" s="103" t="e">
        <f t="shared" si="20"/>
        <v>#NUM!</v>
      </c>
      <c r="L266" s="103"/>
      <c r="M266" s="105">
        <f t="shared" si="21"/>
        <v>0</v>
      </c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</row>
    <row r="267" spans="1:38" s="88" customFormat="1">
      <c r="A267" s="124"/>
      <c r="B267" s="123"/>
      <c r="C267" s="123"/>
      <c r="D267" s="123"/>
      <c r="E267" s="123"/>
      <c r="F267" s="123"/>
      <c r="H267" s="103">
        <v>262</v>
      </c>
      <c r="I267" s="104" t="str">
        <f t="shared" si="18"/>
        <v/>
      </c>
      <c r="J267" s="103" t="e">
        <f t="shared" si="19"/>
        <v>#NUM!</v>
      </c>
      <c r="K267" s="103" t="e">
        <f t="shared" si="20"/>
        <v>#NUM!</v>
      </c>
      <c r="L267" s="103"/>
      <c r="M267" s="105">
        <f t="shared" si="21"/>
        <v>0</v>
      </c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</row>
    <row r="268" spans="1:38" s="88" customFormat="1">
      <c r="A268" s="124"/>
      <c r="B268" s="123"/>
      <c r="C268" s="123"/>
      <c r="D268" s="123"/>
      <c r="E268" s="123"/>
      <c r="F268" s="123"/>
      <c r="H268" s="103">
        <v>263</v>
      </c>
      <c r="I268" s="104" t="str">
        <f t="shared" si="18"/>
        <v/>
      </c>
      <c r="J268" s="103" t="e">
        <f t="shared" si="19"/>
        <v>#NUM!</v>
      </c>
      <c r="K268" s="103" t="e">
        <f t="shared" si="20"/>
        <v>#NUM!</v>
      </c>
      <c r="L268" s="103"/>
      <c r="M268" s="105">
        <f t="shared" si="21"/>
        <v>0</v>
      </c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</row>
    <row r="269" spans="1:38" s="88" customFormat="1">
      <c r="A269" s="124"/>
      <c r="B269" s="123"/>
      <c r="C269" s="123"/>
      <c r="D269" s="123"/>
      <c r="E269" s="123"/>
      <c r="F269" s="123"/>
      <c r="H269" s="103">
        <v>264</v>
      </c>
      <c r="I269" s="104" t="str">
        <f t="shared" si="18"/>
        <v/>
      </c>
      <c r="J269" s="103" t="e">
        <f t="shared" si="19"/>
        <v>#NUM!</v>
      </c>
      <c r="K269" s="103" t="e">
        <f t="shared" si="20"/>
        <v>#NUM!</v>
      </c>
      <c r="L269" s="103"/>
      <c r="M269" s="105">
        <f t="shared" si="21"/>
        <v>0</v>
      </c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</row>
    <row r="270" spans="1:38" s="88" customFormat="1">
      <c r="A270" s="124"/>
      <c r="B270" s="123"/>
      <c r="C270" s="123"/>
      <c r="D270" s="123"/>
      <c r="E270" s="123"/>
      <c r="F270" s="123"/>
      <c r="H270" s="103">
        <v>265</v>
      </c>
      <c r="I270" s="104" t="str">
        <f t="shared" si="18"/>
        <v/>
      </c>
      <c r="J270" s="103" t="e">
        <f t="shared" si="19"/>
        <v>#NUM!</v>
      </c>
      <c r="K270" s="103" t="e">
        <f t="shared" si="20"/>
        <v>#NUM!</v>
      </c>
      <c r="L270" s="103"/>
      <c r="M270" s="105">
        <f t="shared" si="21"/>
        <v>0</v>
      </c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</row>
    <row r="271" spans="1:38" s="88" customFormat="1">
      <c r="A271" s="124"/>
      <c r="B271" s="123"/>
      <c r="C271" s="123"/>
      <c r="D271" s="123"/>
      <c r="E271" s="123"/>
      <c r="F271" s="123"/>
      <c r="H271" s="103">
        <v>266</v>
      </c>
      <c r="I271" s="104" t="str">
        <f t="shared" si="18"/>
        <v/>
      </c>
      <c r="J271" s="103" t="e">
        <f t="shared" si="19"/>
        <v>#NUM!</v>
      </c>
      <c r="K271" s="103" t="e">
        <f t="shared" si="20"/>
        <v>#NUM!</v>
      </c>
      <c r="L271" s="103"/>
      <c r="M271" s="105">
        <f t="shared" si="21"/>
        <v>0</v>
      </c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</row>
    <row r="272" spans="1:38" s="88" customFormat="1">
      <c r="A272" s="124"/>
      <c r="B272" s="123"/>
      <c r="C272" s="123"/>
      <c r="D272" s="123"/>
      <c r="E272" s="123"/>
      <c r="F272" s="123"/>
      <c r="H272" s="103">
        <v>267</v>
      </c>
      <c r="I272" s="104" t="str">
        <f t="shared" si="18"/>
        <v/>
      </c>
      <c r="J272" s="103" t="e">
        <f t="shared" si="19"/>
        <v>#NUM!</v>
      </c>
      <c r="K272" s="103" t="e">
        <f t="shared" si="20"/>
        <v>#NUM!</v>
      </c>
      <c r="L272" s="103"/>
      <c r="M272" s="105">
        <f t="shared" si="21"/>
        <v>0</v>
      </c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</row>
    <row r="273" spans="1:38" s="88" customFormat="1">
      <c r="A273" s="124"/>
      <c r="B273" s="123"/>
      <c r="C273" s="123"/>
      <c r="D273" s="123"/>
      <c r="E273" s="123"/>
      <c r="F273" s="123"/>
      <c r="H273" s="103">
        <v>268</v>
      </c>
      <c r="I273" s="104" t="str">
        <f t="shared" si="18"/>
        <v/>
      </c>
      <c r="J273" s="103" t="e">
        <f t="shared" si="19"/>
        <v>#NUM!</v>
      </c>
      <c r="K273" s="103" t="e">
        <f t="shared" si="20"/>
        <v>#NUM!</v>
      </c>
      <c r="L273" s="103"/>
      <c r="M273" s="105">
        <f t="shared" si="21"/>
        <v>0</v>
      </c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</row>
    <row r="274" spans="1:38" s="88" customFormat="1">
      <c r="A274" s="124"/>
      <c r="B274" s="123"/>
      <c r="C274" s="123"/>
      <c r="D274" s="123"/>
      <c r="E274" s="123"/>
      <c r="F274" s="123"/>
      <c r="H274" s="103">
        <v>269</v>
      </c>
      <c r="I274" s="104" t="str">
        <f t="shared" si="18"/>
        <v/>
      </c>
      <c r="J274" s="103" t="e">
        <f t="shared" si="19"/>
        <v>#NUM!</v>
      </c>
      <c r="K274" s="103" t="e">
        <f t="shared" si="20"/>
        <v>#NUM!</v>
      </c>
      <c r="L274" s="103"/>
      <c r="M274" s="105">
        <f t="shared" si="21"/>
        <v>0</v>
      </c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</row>
    <row r="275" spans="1:38" s="88" customFormat="1">
      <c r="A275" s="124"/>
      <c r="B275" s="123"/>
      <c r="C275" s="123"/>
      <c r="D275" s="123"/>
      <c r="E275" s="123"/>
      <c r="F275" s="123"/>
      <c r="H275" s="103">
        <v>270</v>
      </c>
      <c r="I275" s="104" t="str">
        <f t="shared" si="18"/>
        <v/>
      </c>
      <c r="J275" s="103" t="e">
        <f t="shared" si="19"/>
        <v>#NUM!</v>
      </c>
      <c r="K275" s="103" t="e">
        <f t="shared" si="20"/>
        <v>#NUM!</v>
      </c>
      <c r="L275" s="103"/>
      <c r="M275" s="105">
        <f t="shared" si="21"/>
        <v>0</v>
      </c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</row>
    <row r="276" spans="1:38" s="88" customFormat="1">
      <c r="A276" s="124"/>
      <c r="B276" s="123"/>
      <c r="C276" s="123"/>
      <c r="D276" s="123"/>
      <c r="E276" s="123"/>
      <c r="F276" s="123"/>
      <c r="H276" s="103">
        <v>271</v>
      </c>
      <c r="I276" s="104" t="str">
        <f t="shared" si="18"/>
        <v/>
      </c>
      <c r="J276" s="103" t="e">
        <f t="shared" si="19"/>
        <v>#NUM!</v>
      </c>
      <c r="K276" s="103" t="e">
        <f t="shared" si="20"/>
        <v>#NUM!</v>
      </c>
      <c r="L276" s="103"/>
      <c r="M276" s="105">
        <f t="shared" si="21"/>
        <v>0</v>
      </c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</row>
    <row r="277" spans="1:38" s="88" customFormat="1">
      <c r="A277" s="124"/>
      <c r="B277" s="123"/>
      <c r="C277" s="123"/>
      <c r="D277" s="123"/>
      <c r="E277" s="123"/>
      <c r="F277" s="123"/>
      <c r="H277" s="103">
        <v>272</v>
      </c>
      <c r="I277" s="104" t="str">
        <f t="shared" si="18"/>
        <v/>
      </c>
      <c r="J277" s="103" t="e">
        <f t="shared" si="19"/>
        <v>#NUM!</v>
      </c>
      <c r="K277" s="103" t="e">
        <f t="shared" si="20"/>
        <v>#NUM!</v>
      </c>
      <c r="L277" s="103"/>
      <c r="M277" s="105">
        <f t="shared" si="21"/>
        <v>0</v>
      </c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</row>
    <row r="278" spans="1:38" s="88" customFormat="1">
      <c r="A278" s="124"/>
      <c r="B278" s="123"/>
      <c r="C278" s="123"/>
      <c r="D278" s="123"/>
      <c r="E278" s="123"/>
      <c r="F278" s="123"/>
      <c r="H278" s="103">
        <v>273</v>
      </c>
      <c r="I278" s="104" t="str">
        <f t="shared" si="18"/>
        <v/>
      </c>
      <c r="J278" s="103" t="e">
        <f t="shared" si="19"/>
        <v>#NUM!</v>
      </c>
      <c r="K278" s="103" t="e">
        <f t="shared" si="20"/>
        <v>#NUM!</v>
      </c>
      <c r="L278" s="103"/>
      <c r="M278" s="105">
        <f t="shared" si="21"/>
        <v>0</v>
      </c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</row>
    <row r="279" spans="1:38" s="88" customFormat="1">
      <c r="A279" s="124"/>
      <c r="B279" s="123"/>
      <c r="C279" s="123"/>
      <c r="D279" s="123"/>
      <c r="E279" s="123"/>
      <c r="F279" s="123"/>
      <c r="H279" s="103">
        <v>274</v>
      </c>
      <c r="I279" s="104" t="str">
        <f t="shared" si="18"/>
        <v/>
      </c>
      <c r="J279" s="103" t="e">
        <f t="shared" si="19"/>
        <v>#NUM!</v>
      </c>
      <c r="K279" s="103" t="e">
        <f t="shared" si="20"/>
        <v>#NUM!</v>
      </c>
      <c r="L279" s="103"/>
      <c r="M279" s="105">
        <f t="shared" si="21"/>
        <v>0</v>
      </c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</row>
    <row r="280" spans="1:38" s="88" customFormat="1">
      <c r="A280" s="124"/>
      <c r="B280" s="123"/>
      <c r="C280" s="123"/>
      <c r="D280" s="123"/>
      <c r="E280" s="123"/>
      <c r="F280" s="123"/>
      <c r="H280" s="103">
        <v>275</v>
      </c>
      <c r="I280" s="104" t="str">
        <f t="shared" si="18"/>
        <v/>
      </c>
      <c r="J280" s="103" t="e">
        <f t="shared" si="19"/>
        <v>#NUM!</v>
      </c>
      <c r="K280" s="103" t="e">
        <f t="shared" si="20"/>
        <v>#NUM!</v>
      </c>
      <c r="L280" s="103"/>
      <c r="M280" s="105">
        <f t="shared" si="21"/>
        <v>0</v>
      </c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</row>
    <row r="281" spans="1:38" s="88" customFormat="1">
      <c r="A281" s="124"/>
      <c r="B281" s="123"/>
      <c r="C281" s="123"/>
      <c r="D281" s="123"/>
      <c r="E281" s="123"/>
      <c r="F281" s="123"/>
      <c r="H281" s="103">
        <v>276</v>
      </c>
      <c r="I281" s="104" t="str">
        <f t="shared" si="18"/>
        <v/>
      </c>
      <c r="J281" s="103" t="e">
        <f t="shared" si="19"/>
        <v>#NUM!</v>
      </c>
      <c r="K281" s="103" t="e">
        <f t="shared" si="20"/>
        <v>#NUM!</v>
      </c>
      <c r="L281" s="103"/>
      <c r="M281" s="105">
        <f t="shared" si="21"/>
        <v>0</v>
      </c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</row>
    <row r="282" spans="1:38" s="88" customFormat="1">
      <c r="A282" s="124"/>
      <c r="B282" s="123"/>
      <c r="C282" s="123"/>
      <c r="D282" s="123"/>
      <c r="E282" s="123"/>
      <c r="F282" s="123"/>
      <c r="H282" s="103">
        <v>277</v>
      </c>
      <c r="I282" s="104" t="str">
        <f t="shared" si="18"/>
        <v/>
      </c>
      <c r="J282" s="103" t="e">
        <f t="shared" si="19"/>
        <v>#NUM!</v>
      </c>
      <c r="K282" s="103" t="e">
        <f t="shared" si="20"/>
        <v>#NUM!</v>
      </c>
      <c r="L282" s="103"/>
      <c r="M282" s="105">
        <f t="shared" si="21"/>
        <v>0</v>
      </c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</row>
    <row r="283" spans="1:38" s="88" customFormat="1">
      <c r="A283" s="124"/>
      <c r="B283" s="123"/>
      <c r="C283" s="123"/>
      <c r="D283" s="123"/>
      <c r="E283" s="123"/>
      <c r="F283" s="123"/>
      <c r="H283" s="103">
        <v>278</v>
      </c>
      <c r="I283" s="104" t="str">
        <f t="shared" si="18"/>
        <v/>
      </c>
      <c r="J283" s="103" t="e">
        <f t="shared" si="19"/>
        <v>#NUM!</v>
      </c>
      <c r="K283" s="103" t="e">
        <f t="shared" si="20"/>
        <v>#NUM!</v>
      </c>
      <c r="L283" s="103"/>
      <c r="M283" s="105">
        <f t="shared" si="21"/>
        <v>0</v>
      </c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</row>
    <row r="284" spans="1:38" s="88" customFormat="1">
      <c r="A284" s="124"/>
      <c r="B284" s="123"/>
      <c r="C284" s="123"/>
      <c r="D284" s="123"/>
      <c r="E284" s="123"/>
      <c r="F284" s="123"/>
      <c r="H284" s="103">
        <v>279</v>
      </c>
      <c r="I284" s="104" t="str">
        <f t="shared" si="18"/>
        <v/>
      </c>
      <c r="J284" s="103" t="e">
        <f t="shared" si="19"/>
        <v>#NUM!</v>
      </c>
      <c r="K284" s="103" t="e">
        <f t="shared" si="20"/>
        <v>#NUM!</v>
      </c>
      <c r="L284" s="103"/>
      <c r="M284" s="105">
        <f t="shared" si="21"/>
        <v>0</v>
      </c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</row>
    <row r="285" spans="1:38" s="88" customFormat="1">
      <c r="A285" s="124"/>
      <c r="B285" s="123"/>
      <c r="C285" s="123"/>
      <c r="D285" s="123"/>
      <c r="E285" s="123"/>
      <c r="F285" s="123"/>
      <c r="H285" s="103">
        <v>280</v>
      </c>
      <c r="I285" s="104" t="str">
        <f t="shared" si="18"/>
        <v/>
      </c>
      <c r="J285" s="103" t="e">
        <f t="shared" si="19"/>
        <v>#NUM!</v>
      </c>
      <c r="K285" s="103" t="e">
        <f t="shared" si="20"/>
        <v>#NUM!</v>
      </c>
      <c r="L285" s="103"/>
      <c r="M285" s="105">
        <f t="shared" si="21"/>
        <v>0</v>
      </c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</row>
    <row r="286" spans="1:38" s="88" customFormat="1">
      <c r="A286" s="124"/>
      <c r="B286" s="123"/>
      <c r="C286" s="123"/>
      <c r="D286" s="123"/>
      <c r="E286" s="123"/>
      <c r="F286" s="123"/>
      <c r="H286" s="103">
        <v>281</v>
      </c>
      <c r="I286" s="104" t="str">
        <f t="shared" si="18"/>
        <v/>
      </c>
      <c r="J286" s="103" t="e">
        <f t="shared" si="19"/>
        <v>#NUM!</v>
      </c>
      <c r="K286" s="103" t="e">
        <f t="shared" si="20"/>
        <v>#NUM!</v>
      </c>
      <c r="L286" s="103"/>
      <c r="M286" s="105">
        <f t="shared" si="21"/>
        <v>0</v>
      </c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</row>
    <row r="287" spans="1:38" s="88" customFormat="1">
      <c r="A287" s="124"/>
      <c r="B287" s="123"/>
      <c r="C287" s="123"/>
      <c r="D287" s="123"/>
      <c r="E287" s="123"/>
      <c r="F287" s="123"/>
      <c r="H287" s="103">
        <v>282</v>
      </c>
      <c r="I287" s="104" t="str">
        <f t="shared" si="18"/>
        <v/>
      </c>
      <c r="J287" s="103" t="e">
        <f t="shared" si="19"/>
        <v>#NUM!</v>
      </c>
      <c r="K287" s="103" t="e">
        <f t="shared" si="20"/>
        <v>#NUM!</v>
      </c>
      <c r="L287" s="103"/>
      <c r="M287" s="105">
        <f t="shared" si="21"/>
        <v>0</v>
      </c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</row>
    <row r="288" spans="1:38" s="88" customFormat="1">
      <c r="A288" s="124"/>
      <c r="B288" s="123"/>
      <c r="C288" s="123"/>
      <c r="D288" s="123"/>
      <c r="E288" s="123"/>
      <c r="F288" s="123"/>
      <c r="H288" s="103">
        <v>283</v>
      </c>
      <c r="I288" s="104" t="str">
        <f t="shared" si="18"/>
        <v/>
      </c>
      <c r="J288" s="103" t="e">
        <f t="shared" si="19"/>
        <v>#NUM!</v>
      </c>
      <c r="K288" s="103" t="e">
        <f t="shared" si="20"/>
        <v>#NUM!</v>
      </c>
      <c r="L288" s="103"/>
      <c r="M288" s="105">
        <f t="shared" si="21"/>
        <v>0</v>
      </c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</row>
    <row r="289" spans="1:38" s="88" customFormat="1">
      <c r="A289" s="124"/>
      <c r="B289" s="123"/>
      <c r="C289" s="123"/>
      <c r="D289" s="123"/>
      <c r="E289" s="123"/>
      <c r="F289" s="123"/>
      <c r="H289" s="103">
        <v>284</v>
      </c>
      <c r="I289" s="104" t="str">
        <f t="shared" si="18"/>
        <v/>
      </c>
      <c r="J289" s="103" t="e">
        <f t="shared" si="19"/>
        <v>#NUM!</v>
      </c>
      <c r="K289" s="103" t="e">
        <f t="shared" si="20"/>
        <v>#NUM!</v>
      </c>
      <c r="L289" s="103"/>
      <c r="M289" s="105">
        <f t="shared" si="21"/>
        <v>0</v>
      </c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</row>
    <row r="290" spans="1:38" s="88" customFormat="1">
      <c r="A290" s="124"/>
      <c r="B290" s="123"/>
      <c r="C290" s="123"/>
      <c r="D290" s="123"/>
      <c r="E290" s="123"/>
      <c r="F290" s="123"/>
      <c r="H290" s="103">
        <v>285</v>
      </c>
      <c r="I290" s="104" t="str">
        <f t="shared" si="18"/>
        <v/>
      </c>
      <c r="J290" s="103" t="e">
        <f t="shared" si="19"/>
        <v>#NUM!</v>
      </c>
      <c r="K290" s="103" t="e">
        <f t="shared" si="20"/>
        <v>#NUM!</v>
      </c>
      <c r="L290" s="103"/>
      <c r="M290" s="105">
        <f t="shared" si="21"/>
        <v>0</v>
      </c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</row>
    <row r="291" spans="1:38" s="88" customFormat="1">
      <c r="A291" s="124"/>
      <c r="B291" s="123"/>
      <c r="C291" s="123"/>
      <c r="D291" s="123"/>
      <c r="E291" s="123"/>
      <c r="F291" s="123"/>
      <c r="H291" s="103">
        <v>286</v>
      </c>
      <c r="I291" s="104" t="str">
        <f t="shared" si="18"/>
        <v/>
      </c>
      <c r="J291" s="103" t="e">
        <f t="shared" si="19"/>
        <v>#NUM!</v>
      </c>
      <c r="K291" s="103" t="e">
        <f t="shared" si="20"/>
        <v>#NUM!</v>
      </c>
      <c r="L291" s="103"/>
      <c r="M291" s="105">
        <f t="shared" si="21"/>
        <v>0</v>
      </c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</row>
    <row r="292" spans="1:38" s="88" customFormat="1">
      <c r="A292" s="124"/>
      <c r="B292" s="123"/>
      <c r="C292" s="123"/>
      <c r="D292" s="123"/>
      <c r="E292" s="123"/>
      <c r="F292" s="123"/>
      <c r="H292" s="103">
        <v>287</v>
      </c>
      <c r="I292" s="104" t="str">
        <f t="shared" si="18"/>
        <v/>
      </c>
      <c r="J292" s="103" t="e">
        <f t="shared" si="19"/>
        <v>#NUM!</v>
      </c>
      <c r="K292" s="103" t="e">
        <f t="shared" si="20"/>
        <v>#NUM!</v>
      </c>
      <c r="L292" s="103"/>
      <c r="M292" s="105">
        <f t="shared" si="21"/>
        <v>0</v>
      </c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</row>
    <row r="293" spans="1:38" s="88" customFormat="1">
      <c r="A293" s="124"/>
      <c r="B293" s="123"/>
      <c r="C293" s="123"/>
      <c r="D293" s="123"/>
      <c r="E293" s="123"/>
      <c r="F293" s="123"/>
      <c r="H293" s="103">
        <v>288</v>
      </c>
      <c r="I293" s="104" t="str">
        <f t="shared" si="18"/>
        <v/>
      </c>
      <c r="J293" s="103" t="e">
        <f t="shared" si="19"/>
        <v>#NUM!</v>
      </c>
      <c r="K293" s="103" t="e">
        <f t="shared" si="20"/>
        <v>#NUM!</v>
      </c>
      <c r="L293" s="103"/>
      <c r="M293" s="105">
        <f t="shared" si="21"/>
        <v>0</v>
      </c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</row>
    <row r="294" spans="1:38" s="88" customFormat="1">
      <c r="A294" s="124"/>
      <c r="B294" s="123"/>
      <c r="C294" s="123"/>
      <c r="D294" s="123"/>
      <c r="E294" s="123"/>
      <c r="F294" s="123"/>
      <c r="H294" s="103">
        <v>289</v>
      </c>
      <c r="I294" s="104" t="str">
        <f t="shared" si="18"/>
        <v/>
      </c>
      <c r="J294" s="103" t="e">
        <f t="shared" si="19"/>
        <v>#NUM!</v>
      </c>
      <c r="K294" s="103" t="e">
        <f t="shared" si="20"/>
        <v>#NUM!</v>
      </c>
      <c r="L294" s="103"/>
      <c r="M294" s="105">
        <f t="shared" si="21"/>
        <v>0</v>
      </c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</row>
    <row r="295" spans="1:38" s="88" customFormat="1">
      <c r="A295" s="124"/>
      <c r="B295" s="123"/>
      <c r="C295" s="123"/>
      <c r="D295" s="123"/>
      <c r="E295" s="123"/>
      <c r="F295" s="123"/>
      <c r="H295" s="103">
        <v>290</v>
      </c>
      <c r="I295" s="104" t="str">
        <f t="shared" si="18"/>
        <v/>
      </c>
      <c r="J295" s="103" t="e">
        <f t="shared" si="19"/>
        <v>#NUM!</v>
      </c>
      <c r="K295" s="103" t="e">
        <f t="shared" si="20"/>
        <v>#NUM!</v>
      </c>
      <c r="L295" s="103"/>
      <c r="M295" s="105">
        <f t="shared" si="21"/>
        <v>0</v>
      </c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</row>
    <row r="296" spans="1:38" s="88" customFormat="1">
      <c r="A296" s="124"/>
      <c r="B296" s="123"/>
      <c r="C296" s="123"/>
      <c r="D296" s="123"/>
      <c r="E296" s="123"/>
      <c r="F296" s="123"/>
      <c r="H296" s="103">
        <v>291</v>
      </c>
      <c r="I296" s="104" t="str">
        <f t="shared" si="18"/>
        <v/>
      </c>
      <c r="J296" s="103" t="e">
        <f t="shared" si="19"/>
        <v>#NUM!</v>
      </c>
      <c r="K296" s="103" t="e">
        <f t="shared" si="20"/>
        <v>#NUM!</v>
      </c>
      <c r="L296" s="103"/>
      <c r="M296" s="105">
        <f t="shared" si="21"/>
        <v>0</v>
      </c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</row>
    <row r="297" spans="1:38" s="88" customFormat="1">
      <c r="A297" s="124"/>
      <c r="B297" s="123"/>
      <c r="C297" s="123"/>
      <c r="D297" s="123"/>
      <c r="E297" s="123"/>
      <c r="F297" s="123"/>
      <c r="H297" s="103">
        <v>292</v>
      </c>
      <c r="I297" s="104" t="str">
        <f t="shared" si="18"/>
        <v/>
      </c>
      <c r="J297" s="103" t="e">
        <f t="shared" si="19"/>
        <v>#NUM!</v>
      </c>
      <c r="K297" s="103" t="e">
        <f t="shared" si="20"/>
        <v>#NUM!</v>
      </c>
      <c r="L297" s="103"/>
      <c r="M297" s="105">
        <f t="shared" si="21"/>
        <v>0</v>
      </c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</row>
    <row r="298" spans="1:38" s="88" customFormat="1">
      <c r="A298" s="124"/>
      <c r="B298" s="123"/>
      <c r="C298" s="123"/>
      <c r="D298" s="123"/>
      <c r="E298" s="123"/>
      <c r="F298" s="123"/>
      <c r="H298" s="103">
        <v>293</v>
      </c>
      <c r="I298" s="104" t="str">
        <f t="shared" si="18"/>
        <v/>
      </c>
      <c r="J298" s="103" t="e">
        <f t="shared" si="19"/>
        <v>#NUM!</v>
      </c>
      <c r="K298" s="103" t="e">
        <f t="shared" si="20"/>
        <v>#NUM!</v>
      </c>
      <c r="L298" s="103"/>
      <c r="M298" s="105">
        <f t="shared" si="21"/>
        <v>0</v>
      </c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</row>
    <row r="299" spans="1:38" s="88" customFormat="1">
      <c r="A299" s="124"/>
      <c r="B299" s="123"/>
      <c r="C299" s="123"/>
      <c r="D299" s="123"/>
      <c r="E299" s="123"/>
      <c r="F299" s="123"/>
      <c r="H299" s="103">
        <v>294</v>
      </c>
      <c r="I299" s="104" t="str">
        <f t="shared" si="18"/>
        <v/>
      </c>
      <c r="J299" s="103" t="e">
        <f t="shared" si="19"/>
        <v>#NUM!</v>
      </c>
      <c r="K299" s="103" t="e">
        <f t="shared" si="20"/>
        <v>#NUM!</v>
      </c>
      <c r="L299" s="103"/>
      <c r="M299" s="105">
        <f t="shared" si="21"/>
        <v>0</v>
      </c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</row>
    <row r="300" spans="1:38" s="88" customFormat="1">
      <c r="A300" s="124"/>
      <c r="B300" s="123"/>
      <c r="C300" s="123"/>
      <c r="D300" s="123"/>
      <c r="E300" s="123"/>
      <c r="F300" s="123"/>
      <c r="H300" s="103">
        <v>295</v>
      </c>
      <c r="I300" s="104" t="str">
        <f t="shared" si="18"/>
        <v/>
      </c>
      <c r="J300" s="103" t="e">
        <f t="shared" si="19"/>
        <v>#NUM!</v>
      </c>
      <c r="K300" s="103" t="e">
        <f t="shared" si="20"/>
        <v>#NUM!</v>
      </c>
      <c r="L300" s="103"/>
      <c r="M300" s="105">
        <f t="shared" si="21"/>
        <v>0</v>
      </c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</row>
    <row r="301" spans="1:38" s="88" customFormat="1">
      <c r="A301" s="124"/>
      <c r="B301" s="123"/>
      <c r="C301" s="123"/>
      <c r="D301" s="123"/>
      <c r="E301" s="123"/>
      <c r="F301" s="123"/>
      <c r="H301" s="103">
        <v>296</v>
      </c>
      <c r="I301" s="104" t="str">
        <f t="shared" si="18"/>
        <v/>
      </c>
      <c r="J301" s="103" t="e">
        <f t="shared" si="19"/>
        <v>#NUM!</v>
      </c>
      <c r="K301" s="103" t="e">
        <f t="shared" si="20"/>
        <v>#NUM!</v>
      </c>
      <c r="L301" s="103"/>
      <c r="M301" s="105">
        <f t="shared" si="21"/>
        <v>0</v>
      </c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</row>
    <row r="302" spans="1:38" s="88" customFormat="1">
      <c r="A302" s="124"/>
      <c r="B302" s="123"/>
      <c r="C302" s="123"/>
      <c r="D302" s="123"/>
      <c r="E302" s="123"/>
      <c r="F302" s="123"/>
      <c r="H302" s="103">
        <v>297</v>
      </c>
      <c r="I302" s="104" t="str">
        <f t="shared" si="18"/>
        <v/>
      </c>
      <c r="J302" s="103" t="e">
        <f t="shared" si="19"/>
        <v>#NUM!</v>
      </c>
      <c r="K302" s="103" t="e">
        <f t="shared" si="20"/>
        <v>#NUM!</v>
      </c>
      <c r="L302" s="103"/>
      <c r="M302" s="105">
        <f t="shared" si="21"/>
        <v>0</v>
      </c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</row>
    <row r="303" spans="1:38" s="88" customFormat="1">
      <c r="A303" s="124"/>
      <c r="B303" s="123"/>
      <c r="C303" s="123"/>
      <c r="D303" s="123"/>
      <c r="E303" s="123"/>
      <c r="F303" s="123"/>
      <c r="H303" s="103">
        <v>298</v>
      </c>
      <c r="I303" s="104" t="str">
        <f t="shared" si="18"/>
        <v/>
      </c>
      <c r="J303" s="103" t="e">
        <f t="shared" si="19"/>
        <v>#NUM!</v>
      </c>
      <c r="K303" s="103" t="e">
        <f t="shared" si="20"/>
        <v>#NUM!</v>
      </c>
      <c r="L303" s="103"/>
      <c r="M303" s="105">
        <f t="shared" si="21"/>
        <v>0</v>
      </c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</row>
    <row r="304" spans="1:38" s="88" customFormat="1">
      <c r="A304" s="124"/>
      <c r="B304" s="123"/>
      <c r="C304" s="123"/>
      <c r="D304" s="123"/>
      <c r="E304" s="123"/>
      <c r="F304" s="123"/>
      <c r="H304" s="103">
        <v>299</v>
      </c>
      <c r="I304" s="104" t="str">
        <f t="shared" si="18"/>
        <v/>
      </c>
      <c r="J304" s="103" t="e">
        <f t="shared" si="19"/>
        <v>#NUM!</v>
      </c>
      <c r="K304" s="103" t="e">
        <f t="shared" si="20"/>
        <v>#NUM!</v>
      </c>
      <c r="L304" s="103"/>
      <c r="M304" s="105">
        <f t="shared" si="21"/>
        <v>0</v>
      </c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</row>
    <row r="305" spans="1:38" s="88" customFormat="1">
      <c r="A305" s="124"/>
      <c r="B305" s="123"/>
      <c r="C305" s="123"/>
      <c r="D305" s="123"/>
      <c r="E305" s="123"/>
      <c r="F305" s="123"/>
      <c r="H305" s="103">
        <v>300</v>
      </c>
      <c r="I305" s="104" t="str">
        <f t="shared" si="18"/>
        <v/>
      </c>
      <c r="J305" s="103" t="e">
        <f t="shared" si="19"/>
        <v>#NUM!</v>
      </c>
      <c r="K305" s="103" t="e">
        <f t="shared" si="20"/>
        <v>#NUM!</v>
      </c>
      <c r="L305" s="103"/>
      <c r="M305" s="105">
        <f t="shared" si="21"/>
        <v>0</v>
      </c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</row>
    <row r="306" spans="1:38" s="88" customFormat="1">
      <c r="A306" s="125"/>
      <c r="B306" s="123"/>
      <c r="C306" s="123"/>
      <c r="D306" s="123"/>
      <c r="E306" s="123"/>
      <c r="F306" s="123"/>
      <c r="G306" s="123"/>
      <c r="H306" s="126"/>
      <c r="I306" s="126"/>
      <c r="J306" s="126" t="e">
        <f t="shared" si="19"/>
        <v>#NUM!</v>
      </c>
      <c r="K306" s="126"/>
      <c r="L306" s="126"/>
      <c r="M306" s="127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</row>
    <row r="307" spans="1:38" s="88" customFormat="1">
      <c r="A307" s="123"/>
      <c r="B307" s="123"/>
      <c r="C307" s="123"/>
      <c r="D307" s="123"/>
      <c r="E307" s="123"/>
      <c r="F307" s="123"/>
      <c r="G307" s="123"/>
      <c r="H307" s="126"/>
      <c r="I307" s="126"/>
      <c r="J307" s="126" t="e">
        <f t="shared" si="19"/>
        <v>#NUM!</v>
      </c>
      <c r="K307" s="126"/>
      <c r="L307" s="126"/>
      <c r="M307" s="127"/>
      <c r="S307" s="93"/>
      <c r="T307" s="93"/>
      <c r="U307" s="93"/>
      <c r="V307" s="93"/>
      <c r="W307" s="93"/>
      <c r="X307" s="93"/>
      <c r="Y307" s="93"/>
      <c r="Z307" s="93"/>
      <c r="AA307" s="93"/>
      <c r="AB307" s="93"/>
      <c r="AC307" s="93"/>
      <c r="AD307" s="93"/>
      <c r="AE307" s="93"/>
      <c r="AF307" s="93"/>
      <c r="AG307" s="93"/>
      <c r="AH307" s="93"/>
      <c r="AI307" s="93"/>
      <c r="AJ307" s="93"/>
      <c r="AK307" s="93"/>
      <c r="AL307" s="93"/>
    </row>
    <row r="308" spans="1:38" s="88" customFormat="1">
      <c r="A308" s="123"/>
      <c r="B308" s="123"/>
      <c r="C308" s="123"/>
      <c r="D308" s="123"/>
      <c r="E308" s="123"/>
      <c r="F308" s="123"/>
      <c r="G308" s="123"/>
      <c r="H308" s="126"/>
      <c r="I308" s="126"/>
      <c r="J308" s="126" t="e">
        <f t="shared" si="19"/>
        <v>#NUM!</v>
      </c>
      <c r="K308" s="126"/>
      <c r="L308" s="126"/>
      <c r="M308" s="127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  <c r="AC308" s="93"/>
      <c r="AD308" s="93"/>
      <c r="AE308" s="93"/>
      <c r="AF308" s="93"/>
      <c r="AG308" s="93"/>
      <c r="AH308" s="93"/>
      <c r="AI308" s="93"/>
      <c r="AJ308" s="93"/>
      <c r="AK308" s="93"/>
      <c r="AL308" s="93"/>
    </row>
    <row r="309" spans="1:38" s="88" customFormat="1">
      <c r="A309" s="123"/>
      <c r="B309" s="123"/>
      <c r="C309" s="123"/>
      <c r="D309" s="123"/>
      <c r="E309" s="123"/>
      <c r="F309" s="123"/>
      <c r="G309" s="123"/>
      <c r="H309" s="126"/>
      <c r="I309" s="126"/>
      <c r="J309" s="126" t="e">
        <f t="shared" si="19"/>
        <v>#NUM!</v>
      </c>
      <c r="K309" s="126"/>
      <c r="L309" s="126"/>
      <c r="M309" s="127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  <c r="AC309" s="93"/>
      <c r="AD309" s="93"/>
      <c r="AE309" s="93"/>
      <c r="AF309" s="93"/>
      <c r="AG309" s="93"/>
      <c r="AH309" s="93"/>
      <c r="AI309" s="93"/>
      <c r="AJ309" s="93"/>
      <c r="AK309" s="93"/>
      <c r="AL309" s="93"/>
    </row>
    <row r="310" spans="1:38" s="88" customFormat="1">
      <c r="A310" s="123"/>
      <c r="B310" s="123"/>
      <c r="C310" s="123"/>
      <c r="D310" s="123"/>
      <c r="E310" s="123"/>
      <c r="F310" s="123"/>
      <c r="G310" s="123"/>
      <c r="H310" s="126"/>
      <c r="I310" s="126"/>
      <c r="J310" s="126" t="e">
        <f t="shared" si="19"/>
        <v>#NUM!</v>
      </c>
      <c r="K310" s="126"/>
      <c r="L310" s="126"/>
      <c r="M310" s="127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  <c r="AC310" s="93"/>
      <c r="AD310" s="93"/>
      <c r="AE310" s="93"/>
      <c r="AF310" s="93"/>
      <c r="AG310" s="93"/>
      <c r="AH310" s="93"/>
      <c r="AI310" s="93"/>
      <c r="AJ310" s="93"/>
      <c r="AK310" s="93"/>
      <c r="AL310" s="93"/>
    </row>
    <row r="311" spans="1:38" s="88" customFormat="1">
      <c r="A311" s="123"/>
      <c r="B311" s="123"/>
      <c r="C311" s="123"/>
      <c r="D311" s="123"/>
      <c r="E311" s="123"/>
      <c r="F311" s="123"/>
      <c r="G311" s="123"/>
      <c r="H311" s="126"/>
      <c r="I311" s="126"/>
      <c r="J311" s="126" t="e">
        <f t="shared" si="19"/>
        <v>#NUM!</v>
      </c>
      <c r="K311" s="126"/>
      <c r="L311" s="126"/>
      <c r="M311" s="127"/>
      <c r="S311" s="93"/>
      <c r="T311" s="93"/>
      <c r="U311" s="93"/>
      <c r="V311" s="93"/>
      <c r="W311" s="93"/>
      <c r="X311" s="93"/>
      <c r="Y311" s="93"/>
      <c r="Z311" s="93"/>
      <c r="AA311" s="93"/>
      <c r="AB311" s="93"/>
      <c r="AC311" s="93"/>
      <c r="AD311" s="93"/>
      <c r="AE311" s="93"/>
      <c r="AF311" s="93"/>
      <c r="AG311" s="93"/>
      <c r="AH311" s="93"/>
      <c r="AI311" s="93"/>
      <c r="AJ311" s="93"/>
      <c r="AK311" s="93"/>
      <c r="AL311" s="93"/>
    </row>
    <row r="312" spans="1:38" s="88" customFormat="1">
      <c r="A312" s="123"/>
      <c r="B312" s="123"/>
      <c r="C312" s="123"/>
      <c r="D312" s="123"/>
      <c r="E312" s="123"/>
      <c r="F312" s="123"/>
      <c r="G312" s="123"/>
      <c r="H312" s="126"/>
      <c r="I312" s="126"/>
      <c r="J312" s="126" t="e">
        <f t="shared" si="19"/>
        <v>#NUM!</v>
      </c>
      <c r="K312" s="126"/>
      <c r="L312" s="126"/>
      <c r="M312" s="127"/>
      <c r="S312" s="93"/>
      <c r="T312" s="93"/>
      <c r="U312" s="93"/>
      <c r="V312" s="93"/>
      <c r="W312" s="93"/>
      <c r="X312" s="93"/>
      <c r="Y312" s="93"/>
      <c r="Z312" s="93"/>
      <c r="AA312" s="93"/>
      <c r="AB312" s="93"/>
      <c r="AC312" s="93"/>
      <c r="AD312" s="93"/>
      <c r="AE312" s="93"/>
      <c r="AF312" s="93"/>
      <c r="AG312" s="93"/>
      <c r="AH312" s="93"/>
      <c r="AI312" s="93"/>
      <c r="AJ312" s="93"/>
      <c r="AK312" s="93"/>
      <c r="AL312" s="93"/>
    </row>
    <row r="313" spans="1:38" s="88" customFormat="1">
      <c r="A313" s="123"/>
      <c r="B313" s="123"/>
      <c r="C313" s="123"/>
      <c r="D313" s="123"/>
      <c r="E313" s="123"/>
      <c r="F313" s="123"/>
      <c r="G313" s="123"/>
      <c r="H313" s="126"/>
      <c r="I313" s="126"/>
      <c r="J313" s="126" t="e">
        <f t="shared" si="19"/>
        <v>#NUM!</v>
      </c>
      <c r="K313" s="126"/>
      <c r="L313" s="126"/>
      <c r="M313" s="127"/>
      <c r="S313" s="93"/>
      <c r="T313" s="93"/>
      <c r="U313" s="93"/>
      <c r="V313" s="93"/>
      <c r="W313" s="93"/>
      <c r="X313" s="93"/>
      <c r="Y313" s="93"/>
      <c r="Z313" s="93"/>
      <c r="AA313" s="93"/>
      <c r="AB313" s="93"/>
      <c r="AC313" s="93"/>
      <c r="AD313" s="93"/>
      <c r="AE313" s="93"/>
      <c r="AF313" s="93"/>
      <c r="AG313" s="93"/>
      <c r="AH313" s="93"/>
      <c r="AI313" s="93"/>
      <c r="AJ313" s="93"/>
      <c r="AK313" s="93"/>
      <c r="AL313" s="93"/>
    </row>
    <row r="314" spans="1:38" s="88" customFormat="1">
      <c r="A314" s="123"/>
      <c r="B314" s="123"/>
      <c r="C314" s="123"/>
      <c r="D314" s="123"/>
      <c r="E314" s="123"/>
      <c r="F314" s="123"/>
      <c r="G314" s="123"/>
      <c r="H314" s="126"/>
      <c r="I314" s="126"/>
      <c r="J314" s="126" t="e">
        <f t="shared" si="19"/>
        <v>#NUM!</v>
      </c>
      <c r="K314" s="126"/>
      <c r="L314" s="128"/>
      <c r="M314" s="127"/>
      <c r="P314" s="115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</row>
    <row r="315" spans="1:38" s="88" customFormat="1">
      <c r="A315" s="123"/>
      <c r="B315" s="123"/>
      <c r="C315" s="123"/>
      <c r="D315" s="123"/>
      <c r="E315" s="123"/>
      <c r="F315" s="123"/>
      <c r="G315" s="123"/>
      <c r="H315" s="126"/>
      <c r="I315" s="126"/>
      <c r="J315" s="126" t="e">
        <f t="shared" si="19"/>
        <v>#NUM!</v>
      </c>
      <c r="K315" s="126"/>
      <c r="L315" s="128"/>
      <c r="M315" s="127"/>
      <c r="P315" s="115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</row>
    <row r="316" spans="1:38" s="88" customFormat="1">
      <c r="A316" s="123"/>
      <c r="B316" s="123"/>
      <c r="C316" s="123"/>
      <c r="D316" s="123"/>
      <c r="E316" s="123"/>
      <c r="F316" s="123"/>
      <c r="G316" s="123"/>
      <c r="H316" s="126"/>
      <c r="I316" s="126"/>
      <c r="J316" s="126" t="e">
        <f t="shared" si="19"/>
        <v>#NUM!</v>
      </c>
      <c r="K316" s="126"/>
      <c r="L316" s="128"/>
      <c r="M316" s="127"/>
      <c r="P316" s="115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</row>
    <row r="317" spans="1:38" s="88" customFormat="1">
      <c r="A317" s="123"/>
      <c r="B317" s="123"/>
      <c r="C317" s="123"/>
      <c r="D317" s="123"/>
      <c r="E317" s="123"/>
      <c r="F317" s="123"/>
      <c r="G317" s="123"/>
      <c r="H317" s="126"/>
      <c r="I317" s="126"/>
      <c r="J317" s="126" t="e">
        <f t="shared" si="19"/>
        <v>#NUM!</v>
      </c>
      <c r="K317" s="126"/>
      <c r="L317" s="128"/>
      <c r="M317" s="127"/>
      <c r="P317" s="115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</row>
    <row r="318" spans="1:38" s="88" customFormat="1">
      <c r="A318" s="123"/>
      <c r="B318" s="123"/>
      <c r="C318" s="123"/>
      <c r="D318" s="123"/>
      <c r="E318" s="123"/>
      <c r="F318" s="123"/>
      <c r="G318" s="123"/>
      <c r="H318" s="126"/>
      <c r="I318" s="126"/>
      <c r="J318" s="126" t="e">
        <f t="shared" si="19"/>
        <v>#NUM!</v>
      </c>
      <c r="K318" s="126"/>
      <c r="L318" s="126"/>
      <c r="M318" s="127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  <c r="AC318" s="93"/>
      <c r="AD318" s="93"/>
      <c r="AE318" s="93"/>
      <c r="AF318" s="93"/>
      <c r="AG318" s="93"/>
      <c r="AH318" s="93"/>
      <c r="AI318" s="93"/>
      <c r="AJ318" s="93"/>
      <c r="AK318" s="93"/>
      <c r="AL318" s="93"/>
    </row>
    <row r="319" spans="1:38" s="88" customFormat="1">
      <c r="A319" s="123"/>
      <c r="B319" s="123"/>
      <c r="C319" s="123"/>
      <c r="D319" s="123"/>
      <c r="E319" s="123"/>
      <c r="F319" s="123"/>
      <c r="G319" s="123"/>
      <c r="H319" s="126"/>
      <c r="I319" s="126"/>
      <c r="J319" s="126" t="e">
        <f t="shared" si="19"/>
        <v>#NUM!</v>
      </c>
      <c r="K319" s="126"/>
      <c r="L319" s="126"/>
      <c r="M319" s="127"/>
      <c r="S319" s="93"/>
      <c r="T319" s="93"/>
      <c r="U319" s="93"/>
      <c r="V319" s="93"/>
      <c r="W319" s="93"/>
      <c r="X319" s="93"/>
      <c r="Y319" s="93"/>
      <c r="Z319" s="93"/>
      <c r="AA319" s="93"/>
      <c r="AB319" s="93"/>
      <c r="AC319" s="93"/>
      <c r="AD319" s="93"/>
      <c r="AE319" s="93"/>
      <c r="AF319" s="93"/>
      <c r="AG319" s="93"/>
      <c r="AH319" s="93"/>
      <c r="AI319" s="93"/>
      <c r="AJ319" s="93"/>
      <c r="AK319" s="93"/>
      <c r="AL319" s="93"/>
    </row>
    <row r="320" spans="1:38" s="88" customFormat="1">
      <c r="A320" s="123"/>
      <c r="B320" s="123"/>
      <c r="C320" s="123"/>
      <c r="D320" s="123"/>
      <c r="E320" s="123"/>
      <c r="F320" s="123"/>
      <c r="G320" s="123"/>
      <c r="H320" s="126"/>
      <c r="I320" s="126"/>
      <c r="J320" s="126" t="e">
        <f t="shared" si="19"/>
        <v>#NUM!</v>
      </c>
      <c r="K320" s="126"/>
      <c r="L320" s="126"/>
      <c r="M320" s="127"/>
      <c r="S320" s="93"/>
      <c r="T320" s="93"/>
      <c r="U320" s="93"/>
      <c r="V320" s="93"/>
      <c r="W320" s="93"/>
      <c r="X320" s="93"/>
      <c r="Y320" s="93"/>
      <c r="Z320" s="93"/>
      <c r="AA320" s="93"/>
      <c r="AB320" s="93"/>
      <c r="AC320" s="93"/>
      <c r="AD320" s="93"/>
      <c r="AE320" s="93"/>
      <c r="AF320" s="93"/>
      <c r="AG320" s="93"/>
      <c r="AH320" s="93"/>
      <c r="AI320" s="93"/>
      <c r="AJ320" s="93"/>
      <c r="AK320" s="93"/>
      <c r="AL320" s="93"/>
    </row>
    <row r="321" spans="10:38" s="126" customFormat="1">
      <c r="J321" s="126" t="e">
        <f t="shared" si="19"/>
        <v>#NUM!</v>
      </c>
      <c r="M321" s="127"/>
      <c r="N321" s="88"/>
      <c r="O321" s="88"/>
      <c r="P321" s="88"/>
      <c r="Q321" s="88"/>
      <c r="R321" s="88"/>
      <c r="S321" s="93"/>
      <c r="T321" s="93"/>
      <c r="U321" s="93"/>
      <c r="V321" s="93"/>
      <c r="W321" s="93"/>
      <c r="X321" s="93"/>
      <c r="Y321" s="93"/>
      <c r="Z321" s="93"/>
      <c r="AA321" s="93"/>
      <c r="AB321" s="93"/>
      <c r="AC321" s="93"/>
      <c r="AD321" s="93"/>
      <c r="AE321" s="93"/>
      <c r="AF321" s="93"/>
      <c r="AG321" s="93"/>
      <c r="AH321" s="93"/>
      <c r="AI321" s="93"/>
      <c r="AJ321" s="93"/>
      <c r="AK321" s="93"/>
      <c r="AL321" s="93"/>
    </row>
    <row r="322" spans="10:38" s="126" customFormat="1">
      <c r="J322" s="126" t="e">
        <f t="shared" si="19"/>
        <v>#NUM!</v>
      </c>
      <c r="M322" s="127"/>
      <c r="N322" s="88"/>
      <c r="O322" s="88"/>
      <c r="P322" s="88"/>
      <c r="Q322" s="88"/>
      <c r="R322" s="88"/>
      <c r="S322" s="93"/>
      <c r="T322" s="93"/>
      <c r="U322" s="93"/>
      <c r="V322" s="93"/>
      <c r="W322" s="93"/>
      <c r="X322" s="93"/>
      <c r="Y322" s="93"/>
      <c r="Z322" s="93"/>
      <c r="AA322" s="93"/>
      <c r="AB322" s="93"/>
      <c r="AC322" s="93"/>
      <c r="AD322" s="93"/>
      <c r="AE322" s="93"/>
      <c r="AF322" s="93"/>
      <c r="AG322" s="93"/>
      <c r="AH322" s="93"/>
      <c r="AI322" s="93"/>
      <c r="AJ322" s="93"/>
      <c r="AK322" s="93"/>
      <c r="AL322" s="93"/>
    </row>
    <row r="323" spans="10:38" s="126" customFormat="1">
      <c r="J323" s="126" t="e">
        <f t="shared" si="19"/>
        <v>#NUM!</v>
      </c>
      <c r="M323" s="127"/>
      <c r="N323" s="88"/>
      <c r="O323" s="88"/>
      <c r="P323" s="88"/>
      <c r="Q323" s="88"/>
      <c r="R323" s="88"/>
      <c r="S323" s="93"/>
      <c r="T323" s="93"/>
      <c r="U323" s="93"/>
      <c r="V323" s="93"/>
      <c r="W323" s="93"/>
      <c r="X323" s="93"/>
      <c r="Y323" s="93"/>
      <c r="Z323" s="93"/>
      <c r="AA323" s="93"/>
      <c r="AB323" s="93"/>
      <c r="AC323" s="93"/>
      <c r="AD323" s="93"/>
      <c r="AE323" s="93"/>
      <c r="AF323" s="93"/>
      <c r="AG323" s="93"/>
      <c r="AH323" s="93"/>
      <c r="AI323" s="93"/>
      <c r="AJ323" s="93"/>
      <c r="AK323" s="93"/>
      <c r="AL323" s="93"/>
    </row>
    <row r="324" spans="10:38" s="126" customFormat="1">
      <c r="J324" s="126" t="e">
        <f t="shared" si="19"/>
        <v>#NUM!</v>
      </c>
      <c r="M324" s="127"/>
      <c r="N324" s="88"/>
      <c r="O324" s="88"/>
      <c r="P324" s="88"/>
      <c r="Q324" s="88"/>
      <c r="R324" s="88"/>
      <c r="S324" s="93"/>
      <c r="T324" s="93"/>
      <c r="U324" s="93"/>
      <c r="V324" s="93"/>
      <c r="W324" s="93"/>
      <c r="X324" s="93"/>
      <c r="Y324" s="93"/>
      <c r="Z324" s="93"/>
      <c r="AA324" s="93"/>
      <c r="AB324" s="93"/>
      <c r="AC324" s="93"/>
      <c r="AD324" s="93"/>
      <c r="AE324" s="93"/>
      <c r="AF324" s="93"/>
      <c r="AG324" s="93"/>
      <c r="AH324" s="93"/>
      <c r="AI324" s="93"/>
      <c r="AJ324" s="93"/>
      <c r="AK324" s="93"/>
      <c r="AL324" s="93"/>
    </row>
    <row r="325" spans="10:38" s="126" customFormat="1">
      <c r="J325" s="126" t="e">
        <f t="shared" si="19"/>
        <v>#NUM!</v>
      </c>
      <c r="M325" s="127"/>
      <c r="N325" s="88"/>
      <c r="O325" s="88"/>
      <c r="P325" s="88"/>
      <c r="Q325" s="88"/>
      <c r="R325" s="88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  <c r="AC325" s="93"/>
      <c r="AD325" s="93"/>
      <c r="AE325" s="93"/>
      <c r="AF325" s="93"/>
      <c r="AG325" s="93"/>
      <c r="AH325" s="93"/>
      <c r="AI325" s="93"/>
      <c r="AJ325" s="93"/>
      <c r="AK325" s="93"/>
      <c r="AL325" s="93"/>
    </row>
    <row r="326" spans="10:38" s="126" customFormat="1">
      <c r="J326" s="126" t="e">
        <f t="shared" ref="J326:J374" si="22">INT(LOG($H$2,2))-ROUNDUP(LOG(H326,2),0)+IF(OR($H$2=1,$H$2=2,$H$2=4,$H$2=8,$H$2=16,$H$2=32,$H$2=64,$H$2=128,$H$2=256),0,1)</f>
        <v>#NUM!</v>
      </c>
      <c r="M326" s="127"/>
      <c r="N326" s="88"/>
      <c r="O326" s="88"/>
      <c r="P326" s="88"/>
      <c r="Q326" s="88"/>
      <c r="R326" s="88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  <c r="AC326" s="93"/>
      <c r="AD326" s="93"/>
      <c r="AE326" s="93"/>
      <c r="AF326" s="93"/>
      <c r="AG326" s="93"/>
      <c r="AH326" s="93"/>
      <c r="AI326" s="93"/>
      <c r="AJ326" s="93"/>
      <c r="AK326" s="93"/>
      <c r="AL326" s="93"/>
    </row>
    <row r="327" spans="10:38" s="126" customFormat="1">
      <c r="J327" s="126" t="e">
        <f t="shared" si="22"/>
        <v>#NUM!</v>
      </c>
      <c r="M327" s="127"/>
      <c r="N327" s="88"/>
      <c r="O327" s="88"/>
      <c r="P327" s="88"/>
      <c r="Q327" s="88"/>
      <c r="R327" s="88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  <c r="AC327" s="93"/>
      <c r="AD327" s="93"/>
      <c r="AE327" s="93"/>
      <c r="AF327" s="93"/>
      <c r="AG327" s="93"/>
      <c r="AH327" s="93"/>
      <c r="AI327" s="93"/>
      <c r="AJ327" s="93"/>
      <c r="AK327" s="93"/>
      <c r="AL327" s="93"/>
    </row>
    <row r="328" spans="10:38" s="126" customFormat="1">
      <c r="J328" s="126" t="e">
        <f t="shared" si="22"/>
        <v>#NUM!</v>
      </c>
      <c r="M328" s="127"/>
      <c r="N328" s="88"/>
      <c r="O328" s="88"/>
      <c r="P328" s="88"/>
      <c r="Q328" s="88"/>
      <c r="R328" s="88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  <c r="AC328" s="93"/>
      <c r="AD328" s="93"/>
      <c r="AE328" s="93"/>
      <c r="AF328" s="93"/>
      <c r="AG328" s="93"/>
      <c r="AH328" s="93"/>
      <c r="AI328" s="93"/>
      <c r="AJ328" s="93"/>
      <c r="AK328" s="93"/>
      <c r="AL328" s="93"/>
    </row>
    <row r="329" spans="10:38" s="126" customFormat="1">
      <c r="J329" s="126" t="e">
        <f t="shared" si="22"/>
        <v>#NUM!</v>
      </c>
      <c r="M329" s="127"/>
      <c r="N329" s="88"/>
      <c r="O329" s="88"/>
      <c r="P329" s="88"/>
      <c r="Q329" s="88"/>
      <c r="R329" s="88"/>
      <c r="S329" s="93"/>
      <c r="T329" s="93"/>
      <c r="U329" s="93"/>
      <c r="V329" s="93"/>
      <c r="W329" s="93"/>
      <c r="X329" s="93"/>
      <c r="Y329" s="93"/>
      <c r="Z329" s="93"/>
      <c r="AA329" s="93"/>
      <c r="AB329" s="93"/>
      <c r="AC329" s="93"/>
      <c r="AD329" s="93"/>
      <c r="AE329" s="93"/>
      <c r="AF329" s="93"/>
      <c r="AG329" s="93"/>
      <c r="AH329" s="93"/>
      <c r="AI329" s="93"/>
      <c r="AJ329" s="93"/>
      <c r="AK329" s="93"/>
      <c r="AL329" s="93"/>
    </row>
    <row r="330" spans="10:38" s="126" customFormat="1">
      <c r="J330" s="126" t="e">
        <f t="shared" si="22"/>
        <v>#NUM!</v>
      </c>
      <c r="M330" s="127"/>
      <c r="N330" s="88"/>
      <c r="O330" s="88"/>
      <c r="P330" s="88"/>
      <c r="Q330" s="88"/>
      <c r="R330" s="88"/>
      <c r="S330" s="93"/>
      <c r="T330" s="93"/>
      <c r="U330" s="93"/>
      <c r="V330" s="93"/>
      <c r="W330" s="93"/>
      <c r="X330" s="93"/>
      <c r="Y330" s="93"/>
      <c r="Z330" s="93"/>
      <c r="AA330" s="93"/>
      <c r="AB330" s="93"/>
      <c r="AC330" s="93"/>
      <c r="AD330" s="93"/>
      <c r="AE330" s="93"/>
      <c r="AF330" s="93"/>
      <c r="AG330" s="93"/>
      <c r="AH330" s="93"/>
      <c r="AI330" s="93"/>
      <c r="AJ330" s="93"/>
      <c r="AK330" s="93"/>
      <c r="AL330" s="93"/>
    </row>
    <row r="331" spans="10:38" s="126" customFormat="1">
      <c r="J331" s="126" t="e">
        <f t="shared" si="22"/>
        <v>#NUM!</v>
      </c>
      <c r="M331" s="127"/>
      <c r="N331" s="88"/>
      <c r="O331" s="88"/>
      <c r="P331" s="88"/>
      <c r="Q331" s="88"/>
      <c r="R331" s="88"/>
      <c r="S331" s="93"/>
      <c r="T331" s="93"/>
      <c r="U331" s="93"/>
      <c r="V331" s="93"/>
      <c r="W331" s="93"/>
      <c r="X331" s="93"/>
      <c r="Y331" s="93"/>
      <c r="Z331" s="93"/>
      <c r="AA331" s="93"/>
      <c r="AB331" s="93"/>
      <c r="AC331" s="93"/>
      <c r="AD331" s="93"/>
      <c r="AE331" s="93"/>
      <c r="AF331" s="93"/>
      <c r="AG331" s="93"/>
      <c r="AH331" s="93"/>
      <c r="AI331" s="93"/>
      <c r="AJ331" s="93"/>
      <c r="AK331" s="93"/>
      <c r="AL331" s="93"/>
    </row>
    <row r="332" spans="10:38" s="126" customFormat="1">
      <c r="J332" s="126" t="e">
        <f t="shared" si="22"/>
        <v>#NUM!</v>
      </c>
      <c r="M332" s="127"/>
      <c r="N332" s="88"/>
      <c r="O332" s="88"/>
      <c r="P332" s="88"/>
      <c r="Q332" s="88"/>
      <c r="R332" s="88"/>
      <c r="S332" s="93"/>
      <c r="T332" s="93"/>
      <c r="U332" s="93"/>
      <c r="V332" s="93"/>
      <c r="W332" s="93"/>
      <c r="X332" s="93"/>
      <c r="Y332" s="93"/>
      <c r="Z332" s="93"/>
      <c r="AA332" s="93"/>
      <c r="AB332" s="93"/>
      <c r="AC332" s="93"/>
      <c r="AD332" s="93"/>
      <c r="AE332" s="93"/>
      <c r="AF332" s="93"/>
      <c r="AG332" s="93"/>
      <c r="AH332" s="93"/>
      <c r="AI332" s="93"/>
      <c r="AJ332" s="93"/>
      <c r="AK332" s="93"/>
      <c r="AL332" s="93"/>
    </row>
    <row r="333" spans="10:38" s="126" customFormat="1">
      <c r="J333" s="126" t="e">
        <f t="shared" si="22"/>
        <v>#NUM!</v>
      </c>
      <c r="M333" s="127"/>
      <c r="N333" s="88"/>
      <c r="O333" s="88"/>
      <c r="P333" s="88"/>
      <c r="Q333" s="88"/>
      <c r="R333" s="88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  <c r="AC333" s="93"/>
      <c r="AD333" s="93"/>
      <c r="AE333" s="93"/>
      <c r="AF333" s="93"/>
      <c r="AG333" s="93"/>
      <c r="AH333" s="93"/>
      <c r="AI333" s="93"/>
      <c r="AJ333" s="93"/>
      <c r="AK333" s="93"/>
      <c r="AL333" s="93"/>
    </row>
    <row r="334" spans="10:38" s="126" customFormat="1">
      <c r="J334" s="126" t="e">
        <f t="shared" si="22"/>
        <v>#NUM!</v>
      </c>
      <c r="M334" s="127"/>
      <c r="N334" s="88"/>
      <c r="O334" s="88"/>
      <c r="P334" s="88"/>
      <c r="Q334" s="88"/>
      <c r="R334" s="88"/>
      <c r="S334" s="93"/>
      <c r="T334" s="93"/>
      <c r="U334" s="93"/>
      <c r="V334" s="93"/>
      <c r="W334" s="93"/>
      <c r="X334" s="93"/>
      <c r="Y334" s="93"/>
      <c r="Z334" s="93"/>
      <c r="AA334" s="93"/>
      <c r="AB334" s="93"/>
      <c r="AC334" s="93"/>
      <c r="AD334" s="93"/>
      <c r="AE334" s="93"/>
      <c r="AF334" s="93"/>
      <c r="AG334" s="93"/>
      <c r="AH334" s="93"/>
      <c r="AI334" s="93"/>
      <c r="AJ334" s="93"/>
      <c r="AK334" s="93"/>
      <c r="AL334" s="93"/>
    </row>
    <row r="335" spans="10:38" s="126" customFormat="1">
      <c r="J335" s="126" t="e">
        <f t="shared" si="22"/>
        <v>#NUM!</v>
      </c>
      <c r="M335" s="127"/>
      <c r="N335" s="88"/>
      <c r="O335" s="88"/>
      <c r="P335" s="88"/>
      <c r="Q335" s="88"/>
      <c r="R335" s="88"/>
      <c r="S335" s="93"/>
      <c r="T335" s="93"/>
      <c r="U335" s="93"/>
      <c r="V335" s="93"/>
      <c r="W335" s="93"/>
      <c r="X335" s="93"/>
      <c r="Y335" s="93"/>
      <c r="Z335" s="93"/>
      <c r="AA335" s="93"/>
      <c r="AB335" s="93"/>
      <c r="AC335" s="93"/>
      <c r="AD335" s="93"/>
      <c r="AE335" s="93"/>
      <c r="AF335" s="93"/>
      <c r="AG335" s="93"/>
      <c r="AH335" s="93"/>
      <c r="AI335" s="93"/>
      <c r="AJ335" s="93"/>
      <c r="AK335" s="93"/>
      <c r="AL335" s="93"/>
    </row>
    <row r="336" spans="10:38" s="126" customFormat="1">
      <c r="J336" s="126" t="e">
        <f t="shared" si="22"/>
        <v>#NUM!</v>
      </c>
      <c r="M336" s="127"/>
      <c r="N336" s="88"/>
      <c r="O336" s="88"/>
      <c r="P336" s="88"/>
      <c r="Q336" s="88"/>
      <c r="R336" s="88"/>
      <c r="S336" s="93"/>
      <c r="T336" s="93"/>
      <c r="U336" s="93"/>
      <c r="V336" s="93"/>
      <c r="W336" s="93"/>
      <c r="X336" s="93"/>
      <c r="Y336" s="93"/>
      <c r="Z336" s="93"/>
      <c r="AA336" s="93"/>
      <c r="AB336" s="93"/>
      <c r="AC336" s="93"/>
      <c r="AD336" s="93"/>
      <c r="AE336" s="93"/>
      <c r="AF336" s="93"/>
      <c r="AG336" s="93"/>
      <c r="AH336" s="93"/>
      <c r="AI336" s="93"/>
      <c r="AJ336" s="93"/>
      <c r="AK336" s="93"/>
      <c r="AL336" s="93"/>
    </row>
    <row r="337" spans="10:38" s="126" customFormat="1">
      <c r="J337" s="126" t="e">
        <f t="shared" si="22"/>
        <v>#NUM!</v>
      </c>
      <c r="M337" s="127"/>
      <c r="N337" s="88"/>
      <c r="O337" s="88"/>
      <c r="P337" s="88"/>
      <c r="Q337" s="88"/>
      <c r="R337" s="88"/>
      <c r="S337" s="93"/>
      <c r="T337" s="93"/>
      <c r="U337" s="93"/>
      <c r="V337" s="93"/>
      <c r="W337" s="93"/>
      <c r="X337" s="93"/>
      <c r="Y337" s="93"/>
      <c r="Z337" s="93"/>
      <c r="AA337" s="93"/>
      <c r="AB337" s="93"/>
      <c r="AC337" s="93"/>
      <c r="AD337" s="93"/>
      <c r="AE337" s="93"/>
      <c r="AF337" s="93"/>
      <c r="AG337" s="93"/>
      <c r="AH337" s="93"/>
      <c r="AI337" s="93"/>
      <c r="AJ337" s="93"/>
      <c r="AK337" s="93"/>
      <c r="AL337" s="93"/>
    </row>
    <row r="338" spans="10:38" s="126" customFormat="1">
      <c r="J338" s="126" t="e">
        <f t="shared" si="22"/>
        <v>#NUM!</v>
      </c>
      <c r="M338" s="127"/>
      <c r="N338" s="88"/>
      <c r="O338" s="88"/>
      <c r="P338" s="88"/>
      <c r="Q338" s="88"/>
      <c r="R338" s="88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  <c r="AF338" s="93"/>
      <c r="AG338" s="93"/>
      <c r="AH338" s="93"/>
      <c r="AI338" s="93"/>
      <c r="AJ338" s="93"/>
      <c r="AK338" s="93"/>
      <c r="AL338" s="93"/>
    </row>
    <row r="339" spans="10:38" s="126" customFormat="1">
      <c r="J339" s="126" t="e">
        <f t="shared" si="22"/>
        <v>#NUM!</v>
      </c>
      <c r="M339" s="127"/>
      <c r="N339" s="88"/>
      <c r="O339" s="88"/>
      <c r="P339" s="88"/>
      <c r="Q339" s="88"/>
      <c r="R339" s="88"/>
      <c r="S339" s="93"/>
      <c r="T339" s="93"/>
      <c r="U339" s="93"/>
      <c r="V339" s="93"/>
      <c r="W339" s="93"/>
      <c r="X339" s="93"/>
      <c r="Y339" s="93"/>
      <c r="Z339" s="93"/>
      <c r="AA339" s="93"/>
      <c r="AB339" s="93"/>
      <c r="AC339" s="93"/>
      <c r="AD339" s="93"/>
      <c r="AE339" s="93"/>
      <c r="AF339" s="93"/>
      <c r="AG339" s="93"/>
      <c r="AH339" s="93"/>
      <c r="AI339" s="93"/>
      <c r="AJ339" s="93"/>
      <c r="AK339" s="93"/>
      <c r="AL339" s="93"/>
    </row>
    <row r="340" spans="10:38" s="126" customFormat="1">
      <c r="J340" s="126" t="e">
        <f t="shared" si="22"/>
        <v>#NUM!</v>
      </c>
      <c r="M340" s="127"/>
      <c r="N340" s="88"/>
      <c r="O340" s="88"/>
      <c r="P340" s="88"/>
      <c r="Q340" s="88"/>
      <c r="R340" s="88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</row>
    <row r="341" spans="10:38" s="126" customFormat="1">
      <c r="J341" s="126" t="e">
        <f t="shared" si="22"/>
        <v>#NUM!</v>
      </c>
      <c r="M341" s="127"/>
      <c r="N341" s="88"/>
      <c r="O341" s="88"/>
      <c r="P341" s="88"/>
      <c r="Q341" s="88"/>
      <c r="R341" s="88"/>
      <c r="S341" s="93"/>
      <c r="T341" s="93"/>
      <c r="U341" s="93"/>
      <c r="V341" s="93"/>
      <c r="W341" s="93"/>
      <c r="X341" s="93"/>
      <c r="Y341" s="93"/>
      <c r="Z341" s="93"/>
      <c r="AA341" s="93"/>
      <c r="AB341" s="93"/>
      <c r="AC341" s="93"/>
      <c r="AD341" s="93"/>
      <c r="AE341" s="93"/>
      <c r="AF341" s="93"/>
      <c r="AG341" s="93"/>
      <c r="AH341" s="93"/>
      <c r="AI341" s="93"/>
      <c r="AJ341" s="93"/>
      <c r="AK341" s="93"/>
      <c r="AL341" s="93"/>
    </row>
    <row r="342" spans="10:38" s="126" customFormat="1">
      <c r="J342" s="126" t="e">
        <f t="shared" si="22"/>
        <v>#NUM!</v>
      </c>
      <c r="M342" s="127"/>
      <c r="N342" s="88"/>
      <c r="O342" s="88"/>
      <c r="P342" s="88"/>
      <c r="Q342" s="88"/>
      <c r="R342" s="88"/>
      <c r="S342" s="93"/>
      <c r="T342" s="93"/>
      <c r="U342" s="93"/>
      <c r="V342" s="93"/>
      <c r="W342" s="93"/>
      <c r="X342" s="93"/>
      <c r="Y342" s="93"/>
      <c r="Z342" s="93"/>
      <c r="AA342" s="93"/>
      <c r="AB342" s="93"/>
      <c r="AC342" s="93"/>
      <c r="AD342" s="93"/>
      <c r="AE342" s="93"/>
      <c r="AF342" s="93"/>
      <c r="AG342" s="93"/>
      <c r="AH342" s="93"/>
      <c r="AI342" s="93"/>
      <c r="AJ342" s="93"/>
      <c r="AK342" s="93"/>
      <c r="AL342" s="93"/>
    </row>
    <row r="343" spans="10:38" s="126" customFormat="1">
      <c r="J343" s="126" t="e">
        <f t="shared" si="22"/>
        <v>#NUM!</v>
      </c>
      <c r="M343" s="127"/>
      <c r="N343" s="88"/>
      <c r="O343" s="88"/>
      <c r="P343" s="88"/>
      <c r="Q343" s="88"/>
      <c r="R343" s="88"/>
      <c r="S343" s="93"/>
      <c r="T343" s="93"/>
      <c r="U343" s="93"/>
      <c r="V343" s="93"/>
      <c r="W343" s="93"/>
      <c r="X343" s="93"/>
      <c r="Y343" s="93"/>
      <c r="Z343" s="93"/>
      <c r="AA343" s="93"/>
      <c r="AB343" s="93"/>
      <c r="AC343" s="93"/>
      <c r="AD343" s="93"/>
      <c r="AE343" s="93"/>
      <c r="AF343" s="93"/>
      <c r="AG343" s="93"/>
      <c r="AH343" s="93"/>
      <c r="AI343" s="93"/>
      <c r="AJ343" s="93"/>
      <c r="AK343" s="93"/>
      <c r="AL343" s="93"/>
    </row>
    <row r="344" spans="10:38" s="126" customFormat="1">
      <c r="J344" s="126" t="e">
        <f t="shared" si="22"/>
        <v>#NUM!</v>
      </c>
      <c r="M344" s="127"/>
      <c r="N344" s="88"/>
      <c r="O344" s="88"/>
      <c r="P344" s="88"/>
      <c r="Q344" s="88"/>
      <c r="R344" s="88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  <c r="AC344" s="93"/>
      <c r="AD344" s="93"/>
      <c r="AE344" s="93"/>
      <c r="AF344" s="93"/>
      <c r="AG344" s="93"/>
      <c r="AH344" s="93"/>
      <c r="AI344" s="93"/>
      <c r="AJ344" s="93"/>
      <c r="AK344" s="93"/>
      <c r="AL344" s="93"/>
    </row>
    <row r="345" spans="10:38" s="126" customFormat="1">
      <c r="J345" s="126" t="e">
        <f t="shared" si="22"/>
        <v>#NUM!</v>
      </c>
      <c r="M345" s="127"/>
      <c r="N345" s="88"/>
      <c r="O345" s="88"/>
      <c r="P345" s="88"/>
      <c r="Q345" s="88"/>
      <c r="R345" s="88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  <c r="AC345" s="93"/>
      <c r="AD345" s="93"/>
      <c r="AE345" s="93"/>
      <c r="AF345" s="93"/>
      <c r="AG345" s="93"/>
      <c r="AH345" s="93"/>
      <c r="AI345" s="93"/>
      <c r="AJ345" s="93"/>
      <c r="AK345" s="93"/>
      <c r="AL345" s="93"/>
    </row>
    <row r="346" spans="10:38" s="126" customFormat="1">
      <c r="J346" s="126" t="e">
        <f t="shared" si="22"/>
        <v>#NUM!</v>
      </c>
      <c r="M346" s="127"/>
      <c r="N346" s="88"/>
      <c r="O346" s="88"/>
      <c r="P346" s="88"/>
      <c r="Q346" s="88"/>
      <c r="R346" s="88"/>
      <c r="S346" s="93"/>
      <c r="T346" s="93"/>
      <c r="U346" s="93"/>
      <c r="V346" s="93"/>
      <c r="W346" s="93"/>
      <c r="X346" s="93"/>
      <c r="Y346" s="93"/>
      <c r="Z346" s="93"/>
      <c r="AA346" s="93"/>
      <c r="AB346" s="93"/>
      <c r="AC346" s="93"/>
      <c r="AD346" s="93"/>
      <c r="AE346" s="93"/>
      <c r="AF346" s="93"/>
      <c r="AG346" s="93"/>
      <c r="AH346" s="93"/>
      <c r="AI346" s="93"/>
      <c r="AJ346" s="93"/>
      <c r="AK346" s="93"/>
      <c r="AL346" s="93"/>
    </row>
    <row r="347" spans="10:38" s="126" customFormat="1">
      <c r="J347" s="126" t="e">
        <f t="shared" si="22"/>
        <v>#NUM!</v>
      </c>
      <c r="M347" s="127"/>
      <c r="N347" s="88"/>
      <c r="O347" s="88"/>
      <c r="P347" s="88"/>
      <c r="Q347" s="88"/>
      <c r="R347" s="88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  <c r="AC347" s="93"/>
      <c r="AD347" s="93"/>
      <c r="AE347" s="93"/>
      <c r="AF347" s="93"/>
      <c r="AG347" s="93"/>
      <c r="AH347" s="93"/>
      <c r="AI347" s="93"/>
      <c r="AJ347" s="93"/>
      <c r="AK347" s="93"/>
      <c r="AL347" s="93"/>
    </row>
    <row r="348" spans="10:38" s="126" customFormat="1">
      <c r="J348" s="126" t="e">
        <f t="shared" si="22"/>
        <v>#NUM!</v>
      </c>
      <c r="M348" s="127"/>
      <c r="N348" s="88"/>
      <c r="O348" s="88"/>
      <c r="P348" s="88"/>
      <c r="Q348" s="88"/>
      <c r="R348" s="88"/>
      <c r="S348" s="93"/>
      <c r="T348" s="93"/>
      <c r="U348" s="93"/>
      <c r="V348" s="93"/>
      <c r="W348" s="93"/>
      <c r="X348" s="93"/>
      <c r="Y348" s="93"/>
      <c r="Z348" s="93"/>
      <c r="AA348" s="93"/>
      <c r="AB348" s="93"/>
      <c r="AC348" s="93"/>
      <c r="AD348" s="93"/>
      <c r="AE348" s="93"/>
      <c r="AF348" s="93"/>
      <c r="AG348" s="93"/>
      <c r="AH348" s="93"/>
      <c r="AI348" s="93"/>
      <c r="AJ348" s="93"/>
      <c r="AK348" s="93"/>
      <c r="AL348" s="93"/>
    </row>
    <row r="349" spans="10:38" s="126" customFormat="1">
      <c r="J349" s="126" t="e">
        <f t="shared" si="22"/>
        <v>#NUM!</v>
      </c>
      <c r="M349" s="127"/>
      <c r="N349" s="88"/>
      <c r="O349" s="88"/>
      <c r="P349" s="88"/>
      <c r="Q349" s="88"/>
      <c r="R349" s="88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3"/>
      <c r="AH349" s="93"/>
      <c r="AI349" s="93"/>
      <c r="AJ349" s="93"/>
      <c r="AK349" s="93"/>
      <c r="AL349" s="93"/>
    </row>
    <row r="350" spans="10:38" s="126" customFormat="1">
      <c r="J350" s="126" t="e">
        <f t="shared" si="22"/>
        <v>#NUM!</v>
      </c>
      <c r="M350" s="127"/>
      <c r="N350" s="88"/>
      <c r="O350" s="88"/>
      <c r="P350" s="88"/>
      <c r="Q350" s="88"/>
      <c r="R350" s="88"/>
      <c r="S350" s="93"/>
      <c r="T350" s="93"/>
      <c r="U350" s="93"/>
      <c r="V350" s="93"/>
      <c r="W350" s="93"/>
      <c r="X350" s="93"/>
      <c r="Y350" s="93"/>
      <c r="Z350" s="93"/>
      <c r="AA350" s="93"/>
      <c r="AB350" s="93"/>
      <c r="AC350" s="93"/>
      <c r="AD350" s="93"/>
      <c r="AE350" s="93"/>
      <c r="AF350" s="93"/>
      <c r="AG350" s="93"/>
      <c r="AH350" s="93"/>
      <c r="AI350" s="93"/>
      <c r="AJ350" s="93"/>
      <c r="AK350" s="93"/>
      <c r="AL350" s="93"/>
    </row>
    <row r="351" spans="10:38" s="126" customFormat="1">
      <c r="J351" s="126" t="e">
        <f t="shared" si="22"/>
        <v>#NUM!</v>
      </c>
      <c r="M351" s="127"/>
      <c r="N351" s="88"/>
      <c r="O351" s="88"/>
      <c r="P351" s="88"/>
      <c r="Q351" s="88"/>
      <c r="R351" s="88"/>
      <c r="S351" s="93"/>
      <c r="T351" s="93"/>
      <c r="U351" s="93"/>
      <c r="V351" s="93"/>
      <c r="W351" s="93"/>
      <c r="X351" s="93"/>
      <c r="Y351" s="93"/>
      <c r="Z351" s="93"/>
      <c r="AA351" s="93"/>
      <c r="AB351" s="93"/>
      <c r="AC351" s="93"/>
      <c r="AD351" s="93"/>
      <c r="AE351" s="93"/>
      <c r="AF351" s="93"/>
      <c r="AG351" s="93"/>
      <c r="AH351" s="93"/>
      <c r="AI351" s="93"/>
      <c r="AJ351" s="93"/>
      <c r="AK351" s="93"/>
      <c r="AL351" s="93"/>
    </row>
    <row r="352" spans="10:38" s="126" customFormat="1">
      <c r="J352" s="126" t="e">
        <f t="shared" si="22"/>
        <v>#NUM!</v>
      </c>
      <c r="M352" s="127"/>
      <c r="N352" s="88"/>
      <c r="O352" s="88"/>
      <c r="P352" s="88"/>
      <c r="Q352" s="88"/>
      <c r="R352" s="88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  <c r="AC352" s="93"/>
      <c r="AD352" s="93"/>
      <c r="AE352" s="93"/>
      <c r="AF352" s="93"/>
      <c r="AG352" s="93"/>
      <c r="AH352" s="93"/>
      <c r="AI352" s="93"/>
      <c r="AJ352" s="93"/>
      <c r="AK352" s="93"/>
      <c r="AL352" s="93"/>
    </row>
    <row r="353" spans="10:38" s="126" customFormat="1">
      <c r="J353" s="126" t="e">
        <f t="shared" si="22"/>
        <v>#NUM!</v>
      </c>
      <c r="M353" s="127"/>
      <c r="N353" s="88"/>
      <c r="O353" s="88"/>
      <c r="P353" s="88"/>
      <c r="Q353" s="88"/>
      <c r="R353" s="88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  <c r="AE353" s="93"/>
      <c r="AF353" s="93"/>
      <c r="AG353" s="93"/>
      <c r="AH353" s="93"/>
      <c r="AI353" s="93"/>
      <c r="AJ353" s="93"/>
      <c r="AK353" s="93"/>
      <c r="AL353" s="93"/>
    </row>
    <row r="354" spans="10:38" s="126" customFormat="1">
      <c r="J354" s="126" t="e">
        <f t="shared" si="22"/>
        <v>#NUM!</v>
      </c>
      <c r="M354" s="127"/>
      <c r="N354" s="88"/>
      <c r="O354" s="88"/>
      <c r="P354" s="88"/>
      <c r="Q354" s="88"/>
      <c r="R354" s="88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  <c r="AC354" s="93"/>
      <c r="AD354" s="93"/>
      <c r="AE354" s="93"/>
      <c r="AF354" s="93"/>
      <c r="AG354" s="93"/>
      <c r="AH354" s="93"/>
      <c r="AI354" s="93"/>
      <c r="AJ354" s="93"/>
      <c r="AK354" s="93"/>
      <c r="AL354" s="93"/>
    </row>
    <row r="355" spans="10:38" s="126" customFormat="1">
      <c r="J355" s="126" t="e">
        <f t="shared" si="22"/>
        <v>#NUM!</v>
      </c>
      <c r="M355" s="127"/>
      <c r="N355" s="88"/>
      <c r="O355" s="88"/>
      <c r="P355" s="88"/>
      <c r="Q355" s="88"/>
      <c r="R355" s="88"/>
      <c r="S355" s="93"/>
      <c r="T355" s="93"/>
      <c r="U355" s="93"/>
      <c r="V355" s="93"/>
      <c r="W355" s="93"/>
      <c r="X355" s="93"/>
      <c r="Y355" s="93"/>
      <c r="Z355" s="93"/>
      <c r="AA355" s="93"/>
      <c r="AB355" s="93"/>
      <c r="AC355" s="93"/>
      <c r="AD355" s="93"/>
      <c r="AE355" s="93"/>
      <c r="AF355" s="93"/>
      <c r="AG355" s="93"/>
      <c r="AH355" s="93"/>
      <c r="AI355" s="93"/>
      <c r="AJ355" s="93"/>
      <c r="AK355" s="93"/>
      <c r="AL355" s="93"/>
    </row>
    <row r="356" spans="10:38" s="126" customFormat="1">
      <c r="J356" s="126" t="e">
        <f t="shared" si="22"/>
        <v>#NUM!</v>
      </c>
      <c r="M356" s="127"/>
      <c r="N356" s="88"/>
      <c r="O356" s="88"/>
      <c r="P356" s="88"/>
      <c r="Q356" s="88"/>
      <c r="R356" s="88"/>
      <c r="S356" s="93"/>
      <c r="T356" s="93"/>
      <c r="U356" s="93"/>
      <c r="V356" s="93"/>
      <c r="W356" s="93"/>
      <c r="X356" s="93"/>
      <c r="Y356" s="93"/>
      <c r="Z356" s="93"/>
      <c r="AA356" s="93"/>
      <c r="AB356" s="93"/>
      <c r="AC356" s="93"/>
      <c r="AD356" s="93"/>
      <c r="AE356" s="93"/>
      <c r="AF356" s="93"/>
      <c r="AG356" s="93"/>
      <c r="AH356" s="93"/>
      <c r="AI356" s="93"/>
      <c r="AJ356" s="93"/>
      <c r="AK356" s="93"/>
      <c r="AL356" s="93"/>
    </row>
    <row r="357" spans="10:38" s="126" customFormat="1">
      <c r="J357" s="126" t="e">
        <f t="shared" si="22"/>
        <v>#NUM!</v>
      </c>
      <c r="M357" s="127"/>
      <c r="N357" s="88"/>
      <c r="O357" s="88"/>
      <c r="P357" s="88"/>
      <c r="Q357" s="88"/>
      <c r="R357" s="88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  <c r="AC357" s="93"/>
      <c r="AD357" s="93"/>
      <c r="AE357" s="93"/>
      <c r="AF357" s="93"/>
      <c r="AG357" s="93"/>
      <c r="AH357" s="93"/>
      <c r="AI357" s="93"/>
      <c r="AJ357" s="93"/>
      <c r="AK357" s="93"/>
      <c r="AL357" s="93"/>
    </row>
    <row r="358" spans="10:38" s="126" customFormat="1">
      <c r="J358" s="126" t="e">
        <f t="shared" si="22"/>
        <v>#NUM!</v>
      </c>
      <c r="M358" s="127"/>
      <c r="N358" s="88"/>
      <c r="O358" s="88"/>
      <c r="P358" s="88"/>
      <c r="Q358" s="88"/>
      <c r="R358" s="88"/>
      <c r="S358" s="93"/>
      <c r="T358" s="93"/>
      <c r="U358" s="93"/>
      <c r="V358" s="93"/>
      <c r="W358" s="93"/>
      <c r="X358" s="93"/>
      <c r="Y358" s="93"/>
      <c r="Z358" s="93"/>
      <c r="AA358" s="93"/>
      <c r="AB358" s="93"/>
      <c r="AC358" s="93"/>
      <c r="AD358" s="93"/>
      <c r="AE358" s="93"/>
      <c r="AF358" s="93"/>
      <c r="AG358" s="93"/>
      <c r="AH358" s="93"/>
      <c r="AI358" s="93"/>
      <c r="AJ358" s="93"/>
      <c r="AK358" s="93"/>
      <c r="AL358" s="93"/>
    </row>
    <row r="359" spans="10:38" s="126" customFormat="1">
      <c r="J359" s="126" t="e">
        <f t="shared" si="22"/>
        <v>#NUM!</v>
      </c>
      <c r="M359" s="127"/>
      <c r="N359" s="88"/>
      <c r="O359" s="88"/>
      <c r="P359" s="88"/>
      <c r="Q359" s="88"/>
      <c r="R359" s="88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  <c r="AC359" s="93"/>
      <c r="AD359" s="93"/>
      <c r="AE359" s="93"/>
      <c r="AF359" s="93"/>
      <c r="AG359" s="93"/>
      <c r="AH359" s="93"/>
      <c r="AI359" s="93"/>
      <c r="AJ359" s="93"/>
      <c r="AK359" s="93"/>
      <c r="AL359" s="93"/>
    </row>
    <row r="360" spans="10:38" s="126" customFormat="1">
      <c r="J360" s="126" t="e">
        <f t="shared" si="22"/>
        <v>#NUM!</v>
      </c>
      <c r="M360" s="127"/>
      <c r="N360" s="88"/>
      <c r="O360" s="88"/>
      <c r="P360" s="88"/>
      <c r="Q360" s="88"/>
      <c r="R360" s="88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3"/>
      <c r="AD360" s="93"/>
      <c r="AE360" s="93"/>
      <c r="AF360" s="93"/>
      <c r="AG360" s="93"/>
      <c r="AH360" s="93"/>
      <c r="AI360" s="93"/>
      <c r="AJ360" s="93"/>
      <c r="AK360" s="93"/>
      <c r="AL360" s="93"/>
    </row>
    <row r="361" spans="10:38" s="126" customFormat="1">
      <c r="J361" s="126" t="e">
        <f t="shared" si="22"/>
        <v>#NUM!</v>
      </c>
      <c r="M361" s="127"/>
      <c r="N361" s="88"/>
      <c r="O361" s="88"/>
      <c r="P361" s="88"/>
      <c r="Q361" s="88"/>
      <c r="R361" s="88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93"/>
      <c r="AG361" s="93"/>
      <c r="AH361" s="93"/>
      <c r="AI361" s="93"/>
      <c r="AJ361" s="93"/>
      <c r="AK361" s="93"/>
      <c r="AL361" s="93"/>
    </row>
    <row r="362" spans="10:38" s="126" customFormat="1">
      <c r="J362" s="126" t="e">
        <f t="shared" si="22"/>
        <v>#NUM!</v>
      </c>
      <c r="M362" s="127"/>
      <c r="N362" s="88"/>
      <c r="O362" s="88"/>
      <c r="P362" s="88"/>
      <c r="Q362" s="88"/>
      <c r="R362" s="88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3"/>
      <c r="AH362" s="93"/>
      <c r="AI362" s="93"/>
      <c r="AJ362" s="93"/>
      <c r="AK362" s="93"/>
      <c r="AL362" s="93"/>
    </row>
    <row r="363" spans="10:38" s="126" customFormat="1">
      <c r="J363" s="126" t="e">
        <f t="shared" si="22"/>
        <v>#NUM!</v>
      </c>
      <c r="M363" s="127"/>
      <c r="N363" s="88"/>
      <c r="O363" s="88"/>
      <c r="P363" s="88"/>
      <c r="Q363" s="88"/>
      <c r="R363" s="88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  <c r="AE363" s="93"/>
      <c r="AF363" s="93"/>
      <c r="AG363" s="93"/>
      <c r="AH363" s="93"/>
      <c r="AI363" s="93"/>
      <c r="AJ363" s="93"/>
      <c r="AK363" s="93"/>
      <c r="AL363" s="93"/>
    </row>
    <row r="364" spans="10:38" s="126" customFormat="1">
      <c r="J364" s="126" t="e">
        <f t="shared" si="22"/>
        <v>#NUM!</v>
      </c>
      <c r="M364" s="127"/>
      <c r="N364" s="88"/>
      <c r="O364" s="88"/>
      <c r="P364" s="88"/>
      <c r="Q364" s="88"/>
      <c r="R364" s="88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  <c r="AE364" s="93"/>
      <c r="AF364" s="93"/>
      <c r="AG364" s="93"/>
      <c r="AH364" s="93"/>
      <c r="AI364" s="93"/>
      <c r="AJ364" s="93"/>
      <c r="AK364" s="93"/>
      <c r="AL364" s="93"/>
    </row>
    <row r="365" spans="10:38" s="126" customFormat="1">
      <c r="J365" s="126" t="e">
        <f t="shared" si="22"/>
        <v>#NUM!</v>
      </c>
      <c r="M365" s="127"/>
      <c r="N365" s="88"/>
      <c r="O365" s="88"/>
      <c r="P365" s="88"/>
      <c r="Q365" s="88"/>
      <c r="R365" s="88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3"/>
      <c r="AE365" s="93"/>
      <c r="AF365" s="93"/>
      <c r="AG365" s="93"/>
      <c r="AH365" s="93"/>
      <c r="AI365" s="93"/>
      <c r="AJ365" s="93"/>
      <c r="AK365" s="93"/>
      <c r="AL365" s="93"/>
    </row>
    <row r="366" spans="10:38" s="126" customFormat="1">
      <c r="J366" s="126" t="e">
        <f t="shared" si="22"/>
        <v>#NUM!</v>
      </c>
      <c r="M366" s="127"/>
      <c r="N366" s="88"/>
      <c r="O366" s="88"/>
      <c r="P366" s="88"/>
      <c r="Q366" s="88"/>
      <c r="R366" s="88"/>
      <c r="S366" s="93"/>
      <c r="T366" s="93"/>
      <c r="U366" s="93"/>
      <c r="V366" s="93"/>
      <c r="W366" s="93"/>
      <c r="X366" s="93"/>
      <c r="Y366" s="93"/>
      <c r="Z366" s="93"/>
      <c r="AA366" s="93"/>
      <c r="AB366" s="93"/>
      <c r="AC366" s="93"/>
      <c r="AD366" s="93"/>
      <c r="AE366" s="93"/>
      <c r="AF366" s="93"/>
      <c r="AG366" s="93"/>
      <c r="AH366" s="93"/>
      <c r="AI366" s="93"/>
      <c r="AJ366" s="93"/>
      <c r="AK366" s="93"/>
      <c r="AL366" s="93"/>
    </row>
    <row r="367" spans="10:38" s="126" customFormat="1">
      <c r="J367" s="126" t="e">
        <f t="shared" si="22"/>
        <v>#NUM!</v>
      </c>
      <c r="M367" s="127"/>
      <c r="N367" s="88"/>
      <c r="O367" s="88"/>
      <c r="P367" s="88"/>
      <c r="Q367" s="88"/>
      <c r="R367" s="88"/>
      <c r="S367" s="93"/>
      <c r="T367" s="93"/>
      <c r="U367" s="93"/>
      <c r="V367" s="93"/>
      <c r="W367" s="93"/>
      <c r="X367" s="93"/>
      <c r="Y367" s="93"/>
      <c r="Z367" s="93"/>
      <c r="AA367" s="93"/>
      <c r="AB367" s="93"/>
      <c r="AC367" s="93"/>
      <c r="AD367" s="93"/>
      <c r="AE367" s="93"/>
      <c r="AF367" s="93"/>
      <c r="AG367" s="93"/>
      <c r="AH367" s="93"/>
      <c r="AI367" s="93"/>
      <c r="AJ367" s="93"/>
      <c r="AK367" s="93"/>
      <c r="AL367" s="93"/>
    </row>
    <row r="368" spans="10:38" s="126" customFormat="1">
      <c r="J368" s="126" t="e">
        <f t="shared" si="22"/>
        <v>#NUM!</v>
      </c>
      <c r="M368" s="127"/>
      <c r="N368" s="88"/>
      <c r="O368" s="88"/>
      <c r="P368" s="88"/>
      <c r="Q368" s="88"/>
      <c r="R368" s="88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3"/>
      <c r="AD368" s="93"/>
      <c r="AE368" s="93"/>
      <c r="AF368" s="93"/>
      <c r="AG368" s="93"/>
      <c r="AH368" s="93"/>
      <c r="AI368" s="93"/>
      <c r="AJ368" s="93"/>
      <c r="AK368" s="93"/>
      <c r="AL368" s="93"/>
    </row>
    <row r="369" spans="10:38" s="126" customFormat="1">
      <c r="J369" s="126" t="e">
        <f t="shared" si="22"/>
        <v>#NUM!</v>
      </c>
      <c r="M369" s="127"/>
      <c r="N369" s="88"/>
      <c r="O369" s="88"/>
      <c r="P369" s="88"/>
      <c r="Q369" s="88"/>
      <c r="R369" s="88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  <c r="AD369" s="93"/>
      <c r="AE369" s="93"/>
      <c r="AF369" s="93"/>
      <c r="AG369" s="93"/>
      <c r="AH369" s="93"/>
      <c r="AI369" s="93"/>
      <c r="AJ369" s="93"/>
      <c r="AK369" s="93"/>
      <c r="AL369" s="93"/>
    </row>
    <row r="370" spans="10:38" s="126" customFormat="1">
      <c r="J370" s="126" t="e">
        <f t="shared" si="22"/>
        <v>#NUM!</v>
      </c>
      <c r="M370" s="127"/>
      <c r="N370" s="88"/>
      <c r="O370" s="88"/>
      <c r="P370" s="88"/>
      <c r="Q370" s="88"/>
      <c r="R370" s="88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3"/>
      <c r="AD370" s="93"/>
      <c r="AE370" s="93"/>
      <c r="AF370" s="93"/>
      <c r="AG370" s="93"/>
      <c r="AH370" s="93"/>
      <c r="AI370" s="93"/>
      <c r="AJ370" s="93"/>
      <c r="AK370" s="93"/>
      <c r="AL370" s="93"/>
    </row>
    <row r="371" spans="10:38" s="126" customFormat="1">
      <c r="J371" s="126" t="e">
        <f t="shared" si="22"/>
        <v>#NUM!</v>
      </c>
      <c r="M371" s="127"/>
      <c r="N371" s="88"/>
      <c r="O371" s="88"/>
      <c r="P371" s="88"/>
      <c r="Q371" s="88"/>
      <c r="R371" s="88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  <c r="AE371" s="93"/>
      <c r="AF371" s="93"/>
      <c r="AG371" s="93"/>
      <c r="AH371" s="93"/>
      <c r="AI371" s="93"/>
      <c r="AJ371" s="93"/>
      <c r="AK371" s="93"/>
      <c r="AL371" s="93"/>
    </row>
    <row r="372" spans="10:38" s="126" customFormat="1">
      <c r="J372" s="126" t="e">
        <f t="shared" si="22"/>
        <v>#NUM!</v>
      </c>
      <c r="M372" s="127"/>
      <c r="N372" s="88"/>
      <c r="O372" s="88"/>
      <c r="P372" s="88"/>
      <c r="Q372" s="88"/>
      <c r="R372" s="88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  <c r="AF372" s="93"/>
      <c r="AG372" s="93"/>
      <c r="AH372" s="93"/>
      <c r="AI372" s="93"/>
      <c r="AJ372" s="93"/>
      <c r="AK372" s="93"/>
      <c r="AL372" s="93"/>
    </row>
    <row r="373" spans="10:38" s="126" customFormat="1">
      <c r="J373" s="126" t="e">
        <f t="shared" si="22"/>
        <v>#NUM!</v>
      </c>
      <c r="M373" s="127"/>
      <c r="N373" s="88"/>
      <c r="O373" s="88"/>
      <c r="P373" s="88"/>
      <c r="Q373" s="88"/>
      <c r="R373" s="88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3"/>
      <c r="AH373" s="93"/>
      <c r="AI373" s="93"/>
      <c r="AJ373" s="93"/>
      <c r="AK373" s="93"/>
      <c r="AL373" s="93"/>
    </row>
    <row r="374" spans="10:38" s="126" customFormat="1">
      <c r="J374" s="126" t="e">
        <f t="shared" si="22"/>
        <v>#NUM!</v>
      </c>
      <c r="M374" s="127"/>
      <c r="N374" s="88"/>
      <c r="O374" s="88"/>
      <c r="P374" s="88"/>
      <c r="Q374" s="88"/>
      <c r="R374" s="88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  <c r="AE374" s="93"/>
      <c r="AF374" s="93"/>
      <c r="AG374" s="93"/>
      <c r="AH374" s="93"/>
      <c r="AI374" s="93"/>
      <c r="AJ374" s="93"/>
      <c r="AK374" s="93"/>
      <c r="AL374" s="93"/>
    </row>
  </sheetData>
  <conditionalFormatting sqref="J9:K305">
    <cfRule type="cellIs" dxfId="1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2E8E-ED99-4822-A023-F44BA5C0E423}">
  <sheetPr>
    <tabColor rgb="FF92D050"/>
  </sheetPr>
  <dimension ref="A1:AL317"/>
  <sheetViews>
    <sheetView workbookViewId="0">
      <selection activeCell="C3" sqref="C3"/>
    </sheetView>
  </sheetViews>
  <sheetFormatPr defaultColWidth="8.85546875" defaultRowHeight="14.25"/>
  <cols>
    <col min="1" max="1" width="8" style="123" customWidth="1"/>
    <col min="2" max="2" width="8.28515625" style="123" customWidth="1"/>
    <col min="3" max="3" width="34.7109375" style="123" customWidth="1"/>
    <col min="4" max="4" width="43.7109375" style="123" customWidth="1"/>
    <col min="5" max="6" width="8.85546875" style="123"/>
    <col min="7" max="7" width="0.85546875" style="123" customWidth="1"/>
    <col min="8" max="8" width="8.85546875" style="126"/>
    <col min="9" max="9" width="11" style="126" customWidth="1"/>
    <col min="10" max="10" width="15.28515625" style="126" customWidth="1"/>
    <col min="11" max="11" width="8.7109375" style="126" customWidth="1"/>
    <col min="12" max="12" width="11" style="126" customWidth="1"/>
    <col min="13" max="13" width="12.28515625" style="127" customWidth="1"/>
    <col min="14" max="15" width="13.85546875" style="88" customWidth="1"/>
    <col min="16" max="18" width="8.85546875" style="88"/>
    <col min="19" max="20" width="8.85546875" style="93"/>
    <col min="21" max="21" width="12.140625" style="93" customWidth="1"/>
    <col min="22" max="22" width="27.42578125" style="93" customWidth="1"/>
    <col min="23" max="38" width="8.85546875" style="93"/>
    <col min="39" max="16384" width="8.85546875" style="123"/>
  </cols>
  <sheetData>
    <row r="1" spans="1:36" s="93" customFormat="1">
      <c r="A1" s="88"/>
      <c r="B1" s="88"/>
      <c r="C1" s="88"/>
      <c r="D1" s="88"/>
      <c r="E1" s="88"/>
      <c r="F1" s="88"/>
      <c r="G1" s="88"/>
      <c r="H1" s="89" t="s">
        <v>34</v>
      </c>
      <c r="I1" s="90" t="s">
        <v>35</v>
      </c>
      <c r="J1" s="90" t="s">
        <v>36</v>
      </c>
      <c r="K1" s="91" t="s">
        <v>131</v>
      </c>
      <c r="L1" s="92"/>
      <c r="M1" s="92"/>
      <c r="N1" s="88"/>
      <c r="O1" s="88"/>
      <c r="P1" s="88"/>
      <c r="Q1" s="88"/>
      <c r="R1" s="88"/>
    </row>
    <row r="2" spans="1:36" s="93" customFormat="1">
      <c r="A2" s="88"/>
      <c r="B2" s="21" t="s">
        <v>38</v>
      </c>
      <c r="C2" s="74" t="s">
        <v>136</v>
      </c>
      <c r="D2" s="73"/>
      <c r="E2" s="22"/>
      <c r="F2" s="22"/>
      <c r="G2" s="22"/>
      <c r="H2" s="94">
        <v>27</v>
      </c>
      <c r="I2" s="95">
        <v>50</v>
      </c>
      <c r="J2" s="95">
        <v>10</v>
      </c>
      <c r="K2" s="129">
        <f>3*H2^(1/3)</f>
        <v>8.9999999999999982</v>
      </c>
      <c r="L2" s="92"/>
      <c r="M2" s="92"/>
      <c r="N2" s="88"/>
      <c r="O2" s="88"/>
      <c r="P2" s="88"/>
      <c r="Q2" s="88"/>
      <c r="R2" s="88"/>
    </row>
    <row r="3" spans="1:36" s="93" customFormat="1">
      <c r="A3" s="88"/>
      <c r="B3" s="97" t="s">
        <v>40</v>
      </c>
      <c r="C3" s="74" t="s">
        <v>137</v>
      </c>
      <c r="D3" s="74"/>
      <c r="E3" s="27"/>
      <c r="F3" s="27"/>
      <c r="G3" s="27"/>
      <c r="H3" s="92"/>
      <c r="I3" s="92"/>
      <c r="J3" s="98"/>
      <c r="K3" s="92"/>
      <c r="L3" s="92"/>
      <c r="M3" s="92"/>
      <c r="N3" s="88"/>
      <c r="O3" s="88"/>
      <c r="P3" s="88"/>
      <c r="Q3" s="88"/>
      <c r="R3" s="88"/>
    </row>
    <row r="4" spans="1:36" s="93" customFormat="1" ht="10.15" customHeight="1">
      <c r="A4" s="29"/>
      <c r="B4" s="27"/>
      <c r="C4" s="29"/>
      <c r="D4" s="29"/>
      <c r="E4" s="29"/>
      <c r="F4" s="29"/>
      <c r="G4" s="29"/>
      <c r="H4" s="92"/>
      <c r="I4" s="92"/>
      <c r="J4" s="98"/>
      <c r="K4" s="92"/>
      <c r="L4" s="92"/>
      <c r="M4" s="92"/>
      <c r="N4" s="88"/>
      <c r="O4" s="88"/>
      <c r="P4" s="88"/>
      <c r="Q4" s="88"/>
      <c r="R4" s="88"/>
    </row>
    <row r="5" spans="1:36" s="93" customFormat="1" ht="34.700000000000003">
      <c r="A5" s="1" t="s">
        <v>42</v>
      </c>
      <c r="B5" s="30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9"/>
      <c r="H5" s="99" t="s">
        <v>48</v>
      </c>
      <c r="I5" s="100" t="s">
        <v>49</v>
      </c>
      <c r="J5" s="101" t="s">
        <v>50</v>
      </c>
      <c r="K5" s="100" t="s">
        <v>51</v>
      </c>
      <c r="L5" s="100" t="s">
        <v>52</v>
      </c>
      <c r="M5" s="99" t="s">
        <v>53</v>
      </c>
      <c r="N5" s="88"/>
      <c r="O5" s="88"/>
      <c r="P5" s="88"/>
      <c r="Q5" s="88"/>
      <c r="R5" s="88"/>
    </row>
    <row r="6" spans="1:36" s="93" customFormat="1" ht="14.45" customHeight="1">
      <c r="A6" s="102">
        <f t="shared" ref="A6:A37" si="0">M6</f>
        <v>117</v>
      </c>
      <c r="B6" s="35">
        <f>IF(H6&gt;$H$2,"",(ROW()-5))</f>
        <v>1</v>
      </c>
      <c r="C6" s="36" t="s">
        <v>57</v>
      </c>
      <c r="D6" s="36"/>
      <c r="E6" s="36"/>
      <c r="F6" s="36"/>
      <c r="G6" s="29"/>
      <c r="H6" s="103">
        <v>1</v>
      </c>
      <c r="I6" s="104">
        <f t="shared" ref="I6:I69" si="1">IF(H6&lt;$H$2+1,($I$2-($I$2-1)*(LOG(H6)/LOG($H$2))),"")</f>
        <v>50</v>
      </c>
      <c r="J6" s="103">
        <v>4</v>
      </c>
      <c r="K6" s="103">
        <f t="shared" ref="K6:K69" si="2">J6*$J$2</f>
        <v>40</v>
      </c>
      <c r="L6" s="105">
        <f>3*K2</f>
        <v>26.999999999999993</v>
      </c>
      <c r="M6" s="105">
        <f t="shared" ref="M6:M69" si="3">IF(I6&lt;&gt;"",K6+I6+L6,0)</f>
        <v>117</v>
      </c>
      <c r="N6" s="88"/>
      <c r="O6" s="88"/>
      <c r="P6" s="88"/>
      <c r="Q6" s="88"/>
      <c r="R6" s="88"/>
    </row>
    <row r="7" spans="1:36" s="93" customFormat="1" ht="14.45" customHeight="1">
      <c r="A7" s="106">
        <f t="shared" si="0"/>
        <v>87.69481402499953</v>
      </c>
      <c r="B7" s="41">
        <f>IF(H7&gt;$H$2,"",(ROW()-5))</f>
        <v>2</v>
      </c>
      <c r="C7" s="42" t="s">
        <v>57</v>
      </c>
      <c r="D7" s="42"/>
      <c r="E7" s="42"/>
      <c r="F7" s="42"/>
      <c r="G7" s="29"/>
      <c r="H7" s="107">
        <v>2</v>
      </c>
      <c r="I7" s="108">
        <f t="shared" si="1"/>
        <v>39.69481402499953</v>
      </c>
      <c r="J7" s="107">
        <v>3</v>
      </c>
      <c r="K7" s="107">
        <f t="shared" si="2"/>
        <v>30</v>
      </c>
      <c r="L7" s="109">
        <f>2*K2</f>
        <v>17.999999999999996</v>
      </c>
      <c r="M7" s="109">
        <f t="shared" si="3"/>
        <v>87.69481402499953</v>
      </c>
      <c r="N7" s="88"/>
      <c r="O7" s="88"/>
      <c r="P7" s="88"/>
      <c r="Q7" s="88"/>
      <c r="R7" s="88"/>
    </row>
    <row r="8" spans="1:36" s="93" customFormat="1" ht="14.45" customHeight="1">
      <c r="A8" s="102">
        <f t="shared" si="0"/>
        <v>62.666666666666671</v>
      </c>
      <c r="B8" s="35">
        <f>IF(H8&gt;$H$2,"",(ROW()-5))</f>
        <v>3</v>
      </c>
      <c r="C8" s="36" t="s">
        <v>57</v>
      </c>
      <c r="D8" s="36"/>
      <c r="E8" s="36"/>
      <c r="F8" s="36"/>
      <c r="G8" s="29"/>
      <c r="H8" s="103">
        <v>3</v>
      </c>
      <c r="I8" s="104">
        <f t="shared" si="1"/>
        <v>33.666666666666671</v>
      </c>
      <c r="J8" s="103">
        <v>2</v>
      </c>
      <c r="K8" s="103">
        <f t="shared" si="2"/>
        <v>20</v>
      </c>
      <c r="L8" s="105">
        <f>K2</f>
        <v>8.9999999999999982</v>
      </c>
      <c r="M8" s="105">
        <f t="shared" si="3"/>
        <v>62.666666666666671</v>
      </c>
      <c r="N8" s="88"/>
      <c r="O8" s="88"/>
      <c r="P8" s="88"/>
      <c r="Q8" s="88"/>
      <c r="R8" s="88"/>
    </row>
    <row r="9" spans="1:36" s="93" customFormat="1" ht="14.45" customHeight="1">
      <c r="A9" s="106">
        <f t="shared" si="0"/>
        <v>62.666666666666671</v>
      </c>
      <c r="B9" s="41">
        <f>IF(H9&gt;$H$2,"",3)</f>
        <v>3</v>
      </c>
      <c r="C9" s="42" t="s">
        <v>57</v>
      </c>
      <c r="D9" s="42"/>
      <c r="E9" s="42"/>
      <c r="F9" s="42"/>
      <c r="G9" s="29"/>
      <c r="H9" s="107">
        <v>3</v>
      </c>
      <c r="I9" s="108">
        <f t="shared" si="1"/>
        <v>33.666666666666671</v>
      </c>
      <c r="J9" s="107">
        <v>2</v>
      </c>
      <c r="K9" s="107">
        <f t="shared" si="2"/>
        <v>20</v>
      </c>
      <c r="L9" s="109">
        <f>K2</f>
        <v>8.9999999999999982</v>
      </c>
      <c r="M9" s="109">
        <f t="shared" si="3"/>
        <v>62.666666666666671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57</v>
      </c>
      <c r="AI9" s="93">
        <v>23</v>
      </c>
    </row>
    <row r="10" spans="1:36" s="93" customFormat="1" ht="14.45" customHeight="1">
      <c r="A10" s="102">
        <f t="shared" si="0"/>
        <v>46.072099161607184</v>
      </c>
      <c r="B10" s="35">
        <f t="shared" ref="B10:B65" si="4">IF(H10&gt;$H$2,"",(ROW()-5))</f>
        <v>5</v>
      </c>
      <c r="C10" s="36" t="s">
        <v>57</v>
      </c>
      <c r="D10" s="36"/>
      <c r="E10" s="36"/>
      <c r="F10" s="36"/>
      <c r="G10" s="29"/>
      <c r="H10" s="103">
        <v>5</v>
      </c>
      <c r="I10" s="104">
        <f t="shared" si="1"/>
        <v>26.072099161607188</v>
      </c>
      <c r="J10" s="103">
        <f t="shared" ref="J10:J73" si="5">INT(LOG($H$2,2))-ROUNDUP(LOG(H10,2),0)+IF(OR($H$2=1,$H$2=2,$H$2=4,$H$2=8,$H$2=16,$H$2=32,$H$2=64,$H$2=128,$H$2=256),0,1)</f>
        <v>2</v>
      </c>
      <c r="K10" s="103">
        <f t="shared" si="2"/>
        <v>20</v>
      </c>
      <c r="L10" s="103"/>
      <c r="M10" s="105">
        <f t="shared" si="3"/>
        <v>46.072099161607184</v>
      </c>
      <c r="N10" s="88"/>
      <c r="O10" s="88"/>
      <c r="P10" s="88"/>
      <c r="Q10" s="88"/>
      <c r="R10" s="88"/>
      <c r="V10" s="110"/>
      <c r="Z10" s="111"/>
      <c r="AA10" s="111"/>
      <c r="AG10" s="112"/>
      <c r="AH10" s="93" t="s">
        <v>58</v>
      </c>
      <c r="AI10" s="93">
        <v>45</v>
      </c>
    </row>
    <row r="11" spans="1:36" s="93" customFormat="1" ht="14.45" customHeight="1">
      <c r="A11" s="106">
        <f t="shared" si="0"/>
        <v>43.361480691666195</v>
      </c>
      <c r="B11" s="41">
        <f t="shared" si="4"/>
        <v>6</v>
      </c>
      <c r="C11" s="42" t="s">
        <v>26</v>
      </c>
      <c r="D11" s="42"/>
      <c r="E11" s="42"/>
      <c r="F11" s="42"/>
      <c r="G11" s="29"/>
      <c r="H11" s="107">
        <v>6</v>
      </c>
      <c r="I11" s="108">
        <f t="shared" si="1"/>
        <v>23.361480691666195</v>
      </c>
      <c r="J11" s="107">
        <f t="shared" si="5"/>
        <v>2</v>
      </c>
      <c r="K11" s="107">
        <f t="shared" si="2"/>
        <v>20</v>
      </c>
      <c r="L11" s="107"/>
      <c r="M11" s="109">
        <f t="shared" si="3"/>
        <v>43.361480691666195</v>
      </c>
      <c r="N11" s="88"/>
      <c r="O11" s="88"/>
      <c r="P11" s="88"/>
      <c r="Q11" s="88"/>
      <c r="R11" s="88"/>
      <c r="V11" s="113"/>
      <c r="Z11" s="111"/>
      <c r="AA11" s="111"/>
      <c r="AG11" s="112"/>
      <c r="AH11" s="93" t="s">
        <v>60</v>
      </c>
      <c r="AI11" s="93">
        <v>50</v>
      </c>
    </row>
    <row r="12" spans="1:36" s="93" customFormat="1" ht="14.45" customHeight="1">
      <c r="A12" s="102">
        <f t="shared" si="0"/>
        <v>41.069685430363435</v>
      </c>
      <c r="B12" s="35">
        <f t="shared" si="4"/>
        <v>7</v>
      </c>
      <c r="C12" s="36" t="s">
        <v>57</v>
      </c>
      <c r="D12" s="36"/>
      <c r="E12" s="36"/>
      <c r="F12" s="36"/>
      <c r="G12" s="29"/>
      <c r="H12" s="103">
        <v>7</v>
      </c>
      <c r="I12" s="104">
        <f t="shared" si="1"/>
        <v>21.069685430363439</v>
      </c>
      <c r="J12" s="103">
        <f t="shared" si="5"/>
        <v>2</v>
      </c>
      <c r="K12" s="103">
        <f t="shared" si="2"/>
        <v>20</v>
      </c>
      <c r="L12" s="103"/>
      <c r="M12" s="105">
        <f t="shared" si="3"/>
        <v>41.069685430363435</v>
      </c>
      <c r="N12" s="88"/>
      <c r="O12" s="88"/>
      <c r="P12" s="88"/>
      <c r="Q12" s="88"/>
      <c r="R12" s="88"/>
      <c r="Z12" s="111"/>
      <c r="AA12" s="111"/>
      <c r="AG12" s="112"/>
      <c r="AH12" s="93" t="s">
        <v>61</v>
      </c>
      <c r="AI12" s="93">
        <f>AI11-1</f>
        <v>49</v>
      </c>
    </row>
    <row r="13" spans="1:36" s="93" customFormat="1" ht="14.45" customHeight="1">
      <c r="A13" s="106">
        <f t="shared" si="0"/>
        <v>39.084442074998591</v>
      </c>
      <c r="B13" s="41">
        <f t="shared" si="4"/>
        <v>8</v>
      </c>
      <c r="C13" s="42" t="s">
        <v>57</v>
      </c>
      <c r="D13" s="42"/>
      <c r="E13" s="42"/>
      <c r="F13" s="42"/>
      <c r="G13" s="29"/>
      <c r="H13" s="107">
        <v>8</v>
      </c>
      <c r="I13" s="108">
        <f t="shared" si="1"/>
        <v>19.084442074998588</v>
      </c>
      <c r="J13" s="107">
        <f t="shared" si="5"/>
        <v>2</v>
      </c>
      <c r="K13" s="107">
        <f t="shared" si="2"/>
        <v>20</v>
      </c>
      <c r="L13" s="107"/>
      <c r="M13" s="109">
        <f t="shared" si="3"/>
        <v>39.084442074998591</v>
      </c>
      <c r="N13" s="88"/>
      <c r="O13" s="88"/>
      <c r="P13" s="88"/>
      <c r="Q13" s="88"/>
      <c r="R13" s="88"/>
      <c r="X13" s="110"/>
      <c r="AG13" s="112"/>
      <c r="AH13" s="93" t="s">
        <v>62</v>
      </c>
      <c r="AI13" s="93">
        <f>LOG(AI9)</f>
        <v>1.3617278360175928</v>
      </c>
    </row>
    <row r="14" spans="1:36" s="93" customFormat="1">
      <c r="A14" s="102">
        <f t="shared" si="0"/>
        <v>27.333333333333336</v>
      </c>
      <c r="B14" s="35">
        <f t="shared" si="4"/>
        <v>9</v>
      </c>
      <c r="C14" s="36" t="s">
        <v>57</v>
      </c>
      <c r="D14" s="36"/>
      <c r="E14" s="36"/>
      <c r="F14" s="36"/>
      <c r="G14" s="29"/>
      <c r="H14" s="103">
        <v>9</v>
      </c>
      <c r="I14" s="104">
        <f t="shared" si="1"/>
        <v>17.333333333333336</v>
      </c>
      <c r="J14" s="103">
        <f t="shared" si="5"/>
        <v>1</v>
      </c>
      <c r="K14" s="103">
        <f t="shared" si="2"/>
        <v>10</v>
      </c>
      <c r="L14" s="103"/>
      <c r="M14" s="105">
        <f t="shared" si="3"/>
        <v>27.333333333333336</v>
      </c>
      <c r="N14" s="88"/>
      <c r="O14" s="88"/>
      <c r="P14" s="88"/>
      <c r="Q14" s="88"/>
      <c r="R14" s="88"/>
      <c r="X14" s="114"/>
      <c r="Z14" s="111"/>
      <c r="AA14" s="111"/>
      <c r="AG14" s="112"/>
      <c r="AH14" s="93" t="s">
        <v>64</v>
      </c>
      <c r="AI14" s="93">
        <f>LOG(AI10)</f>
        <v>1.6532125137753437</v>
      </c>
    </row>
    <row r="15" spans="1:36" s="93" customFormat="1">
      <c r="A15" s="106">
        <f t="shared" si="0"/>
        <v>25.766913186606715</v>
      </c>
      <c r="B15" s="41">
        <f t="shared" si="4"/>
        <v>10</v>
      </c>
      <c r="C15" s="42" t="s">
        <v>57</v>
      </c>
      <c r="D15" s="42"/>
      <c r="E15" s="42"/>
      <c r="F15" s="42"/>
      <c r="G15" s="29"/>
      <c r="H15" s="107">
        <v>10</v>
      </c>
      <c r="I15" s="108">
        <f t="shared" si="1"/>
        <v>15.766913186606715</v>
      </c>
      <c r="J15" s="107">
        <f t="shared" si="5"/>
        <v>1</v>
      </c>
      <c r="K15" s="107">
        <f t="shared" si="2"/>
        <v>10</v>
      </c>
      <c r="L15" s="107"/>
      <c r="M15" s="109">
        <f t="shared" si="3"/>
        <v>25.766913186606715</v>
      </c>
      <c r="N15" s="88"/>
      <c r="O15" s="88"/>
      <c r="P15" s="88"/>
      <c r="Q15" s="88"/>
      <c r="R15" s="88"/>
      <c r="X15" s="110"/>
      <c r="Z15" s="111"/>
      <c r="AA15" s="111"/>
    </row>
    <row r="16" spans="1:36" s="93" customFormat="1">
      <c r="A16" s="102">
        <f t="shared" si="0"/>
        <v>24.349913802145743</v>
      </c>
      <c r="B16" s="35">
        <f t="shared" si="4"/>
        <v>11</v>
      </c>
      <c r="C16" s="36" t="s">
        <v>57</v>
      </c>
      <c r="D16" s="36"/>
      <c r="E16" s="36"/>
      <c r="F16" s="36"/>
      <c r="G16" s="29"/>
      <c r="H16" s="103">
        <v>11</v>
      </c>
      <c r="I16" s="104">
        <f t="shared" si="1"/>
        <v>14.349913802145743</v>
      </c>
      <c r="J16" s="103">
        <f t="shared" si="5"/>
        <v>1</v>
      </c>
      <c r="K16" s="103">
        <f t="shared" si="2"/>
        <v>10</v>
      </c>
      <c r="L16" s="103"/>
      <c r="M16" s="105">
        <f t="shared" si="3"/>
        <v>24.349913802145743</v>
      </c>
      <c r="N16" s="88"/>
      <c r="O16" s="88"/>
      <c r="P16" s="88"/>
      <c r="Q16" s="88"/>
      <c r="R16" s="115"/>
      <c r="Z16" s="111"/>
      <c r="AA16" s="111"/>
      <c r="AH16" s="116" t="s">
        <v>66</v>
      </c>
      <c r="AI16" s="93">
        <f>AI11-AI12*AI13/AI14</f>
        <v>9.6393909380186855</v>
      </c>
      <c r="AJ16" s="93" t="s">
        <v>67</v>
      </c>
    </row>
    <row r="17" spans="1:19" s="93" customFormat="1">
      <c r="A17" s="106">
        <f t="shared" si="0"/>
        <v>23.056294716665725</v>
      </c>
      <c r="B17" s="41">
        <f t="shared" si="4"/>
        <v>12</v>
      </c>
      <c r="C17" s="42" t="s">
        <v>57</v>
      </c>
      <c r="D17" s="42"/>
      <c r="E17" s="42"/>
      <c r="F17" s="42"/>
      <c r="G17" s="29"/>
      <c r="H17" s="107">
        <v>12</v>
      </c>
      <c r="I17" s="108">
        <f t="shared" si="1"/>
        <v>13.056294716665725</v>
      </c>
      <c r="J17" s="107">
        <f t="shared" si="5"/>
        <v>1</v>
      </c>
      <c r="K17" s="107">
        <f t="shared" si="2"/>
        <v>10</v>
      </c>
      <c r="L17" s="107"/>
      <c r="M17" s="109">
        <f t="shared" si="3"/>
        <v>23.056294716665725</v>
      </c>
      <c r="N17" s="88"/>
      <c r="O17" s="88"/>
      <c r="P17" s="88"/>
      <c r="Q17" s="88"/>
      <c r="R17" s="88"/>
    </row>
    <row r="18" spans="1:19" s="93" customFormat="1">
      <c r="A18" s="102">
        <f t="shared" si="0"/>
        <v>21.866280515277722</v>
      </c>
      <c r="B18" s="35">
        <f t="shared" si="4"/>
        <v>13</v>
      </c>
      <c r="C18" s="72" t="s">
        <v>57</v>
      </c>
      <c r="D18" s="36"/>
      <c r="E18" s="36"/>
      <c r="F18" s="36"/>
      <c r="G18" s="29"/>
      <c r="H18" s="103">
        <v>13</v>
      </c>
      <c r="I18" s="104">
        <f t="shared" si="1"/>
        <v>11.866280515277722</v>
      </c>
      <c r="J18" s="103">
        <f t="shared" si="5"/>
        <v>1</v>
      </c>
      <c r="K18" s="103">
        <f t="shared" si="2"/>
        <v>10</v>
      </c>
      <c r="L18" s="103"/>
      <c r="M18" s="105">
        <f t="shared" si="3"/>
        <v>21.866280515277722</v>
      </c>
      <c r="N18" s="88"/>
      <c r="O18" s="88"/>
      <c r="P18" s="88"/>
      <c r="Q18" s="88"/>
      <c r="R18" s="88"/>
    </row>
    <row r="19" spans="1:19" s="93" customFormat="1">
      <c r="A19" s="106">
        <f t="shared" si="0"/>
        <v>20.764499455362966</v>
      </c>
      <c r="B19" s="41">
        <f t="shared" si="4"/>
        <v>14</v>
      </c>
      <c r="C19" s="42" t="s">
        <v>57</v>
      </c>
      <c r="D19" s="42"/>
      <c r="E19" s="42"/>
      <c r="F19" s="42"/>
      <c r="G19" s="29"/>
      <c r="H19" s="107">
        <v>14</v>
      </c>
      <c r="I19" s="108">
        <f t="shared" si="1"/>
        <v>10.764499455362966</v>
      </c>
      <c r="J19" s="107">
        <f t="shared" si="5"/>
        <v>1</v>
      </c>
      <c r="K19" s="107">
        <f t="shared" si="2"/>
        <v>10</v>
      </c>
      <c r="L19" s="107"/>
      <c r="M19" s="109">
        <f t="shared" si="3"/>
        <v>20.764499455362966</v>
      </c>
      <c r="N19" s="88"/>
      <c r="O19" s="88"/>
      <c r="P19" s="88"/>
      <c r="Q19" s="88"/>
      <c r="R19" s="88"/>
    </row>
    <row r="20" spans="1:19" s="93" customFormat="1">
      <c r="A20" s="102">
        <f t="shared" si="0"/>
        <v>19.738765828273856</v>
      </c>
      <c r="B20" s="35">
        <f t="shared" si="4"/>
        <v>15</v>
      </c>
      <c r="C20" s="36" t="s">
        <v>57</v>
      </c>
      <c r="D20" s="36"/>
      <c r="E20" s="36"/>
      <c r="F20" s="36"/>
      <c r="G20" s="29"/>
      <c r="H20" s="103">
        <v>15</v>
      </c>
      <c r="I20" s="104">
        <f t="shared" si="1"/>
        <v>9.7387658282738556</v>
      </c>
      <c r="J20" s="103">
        <f t="shared" si="5"/>
        <v>1</v>
      </c>
      <c r="K20" s="103">
        <f t="shared" si="2"/>
        <v>10</v>
      </c>
      <c r="L20" s="103"/>
      <c r="M20" s="105">
        <f t="shared" si="3"/>
        <v>19.738765828273856</v>
      </c>
      <c r="N20" s="88"/>
      <c r="O20" s="88"/>
      <c r="P20" s="88"/>
      <c r="Q20" s="88"/>
      <c r="R20" s="117"/>
      <c r="S20" s="118"/>
    </row>
    <row r="21" spans="1:19" s="93" customFormat="1">
      <c r="A21" s="106">
        <f t="shared" si="0"/>
        <v>18.779256099998115</v>
      </c>
      <c r="B21" s="41">
        <f t="shared" si="4"/>
        <v>16</v>
      </c>
      <c r="C21" s="42" t="s">
        <v>57</v>
      </c>
      <c r="D21" s="42"/>
      <c r="E21" s="42"/>
      <c r="F21" s="42"/>
      <c r="G21" s="29"/>
      <c r="H21" s="107">
        <v>16</v>
      </c>
      <c r="I21" s="108">
        <f t="shared" si="1"/>
        <v>8.7792560999981148</v>
      </c>
      <c r="J21" s="107">
        <f t="shared" si="5"/>
        <v>1</v>
      </c>
      <c r="K21" s="107">
        <f t="shared" si="2"/>
        <v>10</v>
      </c>
      <c r="L21" s="107"/>
      <c r="M21" s="109">
        <f t="shared" si="3"/>
        <v>18.779256099998115</v>
      </c>
      <c r="N21" s="88"/>
      <c r="O21" s="88"/>
      <c r="P21" s="88"/>
      <c r="Q21" s="88"/>
      <c r="R21" s="88"/>
    </row>
    <row r="22" spans="1:19" s="93" customFormat="1">
      <c r="A22" s="102">
        <f t="shared" si="0"/>
        <v>7.8779352550114297</v>
      </c>
      <c r="B22" s="35">
        <f t="shared" si="4"/>
        <v>17</v>
      </c>
      <c r="C22" s="36" t="s">
        <v>57</v>
      </c>
      <c r="D22" s="36"/>
      <c r="E22" s="36"/>
      <c r="F22" s="36"/>
      <c r="G22" s="29"/>
      <c r="H22" s="103">
        <v>17</v>
      </c>
      <c r="I22" s="104">
        <f t="shared" si="1"/>
        <v>7.8779352550114297</v>
      </c>
      <c r="J22" s="103">
        <f t="shared" si="5"/>
        <v>0</v>
      </c>
      <c r="K22" s="103">
        <f t="shared" si="2"/>
        <v>0</v>
      </c>
      <c r="L22" s="103"/>
      <c r="M22" s="105">
        <f t="shared" si="3"/>
        <v>7.8779352550114297</v>
      </c>
      <c r="N22" s="88"/>
      <c r="O22" s="88"/>
      <c r="P22" s="88"/>
      <c r="Q22" s="88"/>
      <c r="R22" s="88"/>
    </row>
    <row r="23" spans="1:19" s="93" customFormat="1">
      <c r="A23" s="106">
        <f t="shared" si="0"/>
        <v>7.0281473583328662</v>
      </c>
      <c r="B23" s="41">
        <f t="shared" si="4"/>
        <v>18</v>
      </c>
      <c r="C23" s="42" t="s">
        <v>57</v>
      </c>
      <c r="D23" s="42"/>
      <c r="E23" s="42"/>
      <c r="F23" s="42"/>
      <c r="G23" s="29"/>
      <c r="H23" s="107">
        <v>18</v>
      </c>
      <c r="I23" s="108">
        <f t="shared" si="1"/>
        <v>7.0281473583328662</v>
      </c>
      <c r="J23" s="107">
        <f t="shared" si="5"/>
        <v>0</v>
      </c>
      <c r="K23" s="107">
        <f t="shared" si="2"/>
        <v>0</v>
      </c>
      <c r="L23" s="107"/>
      <c r="M23" s="109">
        <f t="shared" si="3"/>
        <v>7.0281473583328662</v>
      </c>
      <c r="N23" s="88"/>
      <c r="O23" s="88"/>
      <c r="P23" s="88"/>
      <c r="Q23" s="88"/>
      <c r="R23" s="88"/>
    </row>
    <row r="24" spans="1:19" s="93" customFormat="1">
      <c r="A24" s="102">
        <f t="shared" si="0"/>
        <v>6.2243169656425437</v>
      </c>
      <c r="B24" s="35">
        <f t="shared" si="4"/>
        <v>19</v>
      </c>
      <c r="C24" s="36" t="s">
        <v>57</v>
      </c>
      <c r="D24" s="36"/>
      <c r="E24" s="36"/>
      <c r="F24" s="36"/>
      <c r="G24" s="29"/>
      <c r="H24" s="103">
        <v>19</v>
      </c>
      <c r="I24" s="104">
        <f t="shared" si="1"/>
        <v>6.2243169656425437</v>
      </c>
      <c r="J24" s="103">
        <f t="shared" si="5"/>
        <v>0</v>
      </c>
      <c r="K24" s="103">
        <f t="shared" si="2"/>
        <v>0</v>
      </c>
      <c r="L24" s="103"/>
      <c r="M24" s="105">
        <f t="shared" si="3"/>
        <v>6.2243169656425437</v>
      </c>
      <c r="N24" s="88"/>
      <c r="O24" s="88"/>
      <c r="P24" s="88"/>
      <c r="Q24" s="88"/>
      <c r="R24" s="117"/>
      <c r="S24" s="118"/>
    </row>
    <row r="25" spans="1:19" s="93" customFormat="1">
      <c r="A25" s="106">
        <f t="shared" si="0"/>
        <v>5.4617272116062452</v>
      </c>
      <c r="B25" s="41">
        <f t="shared" si="4"/>
        <v>20</v>
      </c>
      <c r="C25" s="42" t="s">
        <v>57</v>
      </c>
      <c r="D25" s="42"/>
      <c r="E25" s="42"/>
      <c r="F25" s="42"/>
      <c r="G25" s="29"/>
      <c r="H25" s="107">
        <v>20</v>
      </c>
      <c r="I25" s="108">
        <f t="shared" si="1"/>
        <v>5.4617272116062452</v>
      </c>
      <c r="J25" s="107">
        <f t="shared" si="5"/>
        <v>0</v>
      </c>
      <c r="K25" s="107">
        <f t="shared" si="2"/>
        <v>0</v>
      </c>
      <c r="L25" s="107"/>
      <c r="M25" s="109">
        <f t="shared" si="3"/>
        <v>5.4617272116062452</v>
      </c>
      <c r="N25" s="88"/>
      <c r="O25" s="88"/>
      <c r="P25" s="88"/>
      <c r="Q25" s="88"/>
      <c r="R25" s="88"/>
    </row>
    <row r="26" spans="1:19" s="93" customFormat="1">
      <c r="A26" s="102">
        <f t="shared" si="0"/>
        <v>4.7363520970301067</v>
      </c>
      <c r="B26" s="35">
        <f t="shared" si="4"/>
        <v>21</v>
      </c>
      <c r="C26" s="36" t="s">
        <v>57</v>
      </c>
      <c r="D26" s="36"/>
      <c r="E26" s="36"/>
      <c r="F26" s="36"/>
      <c r="G26" s="29"/>
      <c r="H26" s="103">
        <v>21</v>
      </c>
      <c r="I26" s="104">
        <f t="shared" si="1"/>
        <v>4.7363520970301067</v>
      </c>
      <c r="J26" s="103">
        <f t="shared" si="5"/>
        <v>0</v>
      </c>
      <c r="K26" s="103">
        <f t="shared" si="2"/>
        <v>0</v>
      </c>
      <c r="L26" s="103"/>
      <c r="M26" s="105">
        <f t="shared" si="3"/>
        <v>4.7363520970301067</v>
      </c>
      <c r="N26" s="88"/>
      <c r="O26" s="88"/>
      <c r="P26" s="88"/>
      <c r="Q26" s="88"/>
      <c r="R26" s="88"/>
    </row>
    <row r="27" spans="1:19" s="93" customFormat="1">
      <c r="A27" s="106">
        <f t="shared" si="0"/>
        <v>4.0447278271452731</v>
      </c>
      <c r="B27" s="41">
        <f t="shared" si="4"/>
        <v>22</v>
      </c>
      <c r="C27" s="42" t="s">
        <v>57</v>
      </c>
      <c r="D27" s="42"/>
      <c r="E27" s="42"/>
      <c r="F27" s="42"/>
      <c r="G27" s="29"/>
      <c r="H27" s="107">
        <v>22</v>
      </c>
      <c r="I27" s="108">
        <f t="shared" si="1"/>
        <v>4.0447278271452731</v>
      </c>
      <c r="J27" s="107">
        <f t="shared" si="5"/>
        <v>0</v>
      </c>
      <c r="K27" s="107">
        <f t="shared" si="2"/>
        <v>0</v>
      </c>
      <c r="L27" s="107"/>
      <c r="M27" s="109">
        <f t="shared" si="3"/>
        <v>4.0447278271452731</v>
      </c>
      <c r="N27" s="88"/>
      <c r="O27" s="88"/>
      <c r="P27" s="88"/>
      <c r="Q27" s="88"/>
      <c r="R27" s="88"/>
    </row>
    <row r="28" spans="1:19" s="93" customFormat="1">
      <c r="A28" s="102">
        <f t="shared" si="0"/>
        <v>3.3838527733955743</v>
      </c>
      <c r="B28" s="35">
        <f t="shared" si="4"/>
        <v>23</v>
      </c>
      <c r="C28" s="36" t="s">
        <v>57</v>
      </c>
      <c r="D28" s="36"/>
      <c r="E28" s="36"/>
      <c r="F28" s="36"/>
      <c r="G28" s="29"/>
      <c r="H28" s="103">
        <v>23</v>
      </c>
      <c r="I28" s="104">
        <f t="shared" si="1"/>
        <v>3.3838527733955743</v>
      </c>
      <c r="J28" s="103">
        <f t="shared" si="5"/>
        <v>0</v>
      </c>
      <c r="K28" s="103">
        <f t="shared" si="2"/>
        <v>0</v>
      </c>
      <c r="L28" s="103"/>
      <c r="M28" s="105">
        <f t="shared" si="3"/>
        <v>3.3838527733955743</v>
      </c>
      <c r="N28" s="88"/>
      <c r="O28" s="88"/>
      <c r="P28" s="88"/>
      <c r="Q28" s="88"/>
      <c r="R28" s="117"/>
      <c r="S28" s="118"/>
    </row>
    <row r="29" spans="1:19" s="93" customFormat="1">
      <c r="A29" s="106">
        <f t="shared" si="0"/>
        <v>2.7511087416652558</v>
      </c>
      <c r="B29" s="41">
        <f t="shared" si="4"/>
        <v>24</v>
      </c>
      <c r="C29" s="42" t="s">
        <v>57</v>
      </c>
      <c r="D29" s="42"/>
      <c r="E29" s="42"/>
      <c r="F29" s="42"/>
      <c r="G29" s="88"/>
      <c r="H29" s="107">
        <v>24</v>
      </c>
      <c r="I29" s="108">
        <f t="shared" si="1"/>
        <v>2.7511087416652558</v>
      </c>
      <c r="J29" s="107">
        <f t="shared" si="5"/>
        <v>0</v>
      </c>
      <c r="K29" s="107">
        <f t="shared" si="2"/>
        <v>0</v>
      </c>
      <c r="L29" s="107"/>
      <c r="M29" s="109">
        <f t="shared" si="3"/>
        <v>2.7511087416652558</v>
      </c>
      <c r="N29" s="88"/>
      <c r="O29" s="88"/>
      <c r="P29" s="88"/>
      <c r="Q29" s="88"/>
      <c r="R29" s="88"/>
    </row>
    <row r="30" spans="1:19" s="93" customFormat="1">
      <c r="A30" s="102">
        <f t="shared" si="0"/>
        <v>2.1441983232143755</v>
      </c>
      <c r="B30" s="35">
        <f t="shared" si="4"/>
        <v>25</v>
      </c>
      <c r="C30" s="36" t="s">
        <v>57</v>
      </c>
      <c r="D30" s="36"/>
      <c r="E30" s="36"/>
      <c r="F30" s="36"/>
      <c r="G30" s="88"/>
      <c r="H30" s="103">
        <v>25</v>
      </c>
      <c r="I30" s="104">
        <f t="shared" si="1"/>
        <v>2.1441983232143755</v>
      </c>
      <c r="J30" s="103">
        <f t="shared" si="5"/>
        <v>0</v>
      </c>
      <c r="K30" s="103">
        <f t="shared" si="2"/>
        <v>0</v>
      </c>
      <c r="L30" s="103"/>
      <c r="M30" s="105">
        <f t="shared" si="3"/>
        <v>2.1441983232143755</v>
      </c>
      <c r="N30" s="88"/>
      <c r="O30" s="88"/>
      <c r="P30" s="88"/>
      <c r="Q30" s="88"/>
      <c r="R30" s="88"/>
    </row>
    <row r="31" spans="1:19" s="93" customFormat="1">
      <c r="A31" s="106">
        <f t="shared" si="0"/>
        <v>1.5610945402772529</v>
      </c>
      <c r="B31" s="41">
        <f t="shared" si="4"/>
        <v>26</v>
      </c>
      <c r="C31" s="42" t="s">
        <v>29</v>
      </c>
      <c r="D31" s="42"/>
      <c r="E31" s="42"/>
      <c r="F31" s="42"/>
      <c r="G31" s="88"/>
      <c r="H31" s="107">
        <v>26</v>
      </c>
      <c r="I31" s="108">
        <f t="shared" si="1"/>
        <v>1.5610945402772529</v>
      </c>
      <c r="J31" s="107">
        <f t="shared" si="5"/>
        <v>0</v>
      </c>
      <c r="K31" s="107">
        <f t="shared" si="2"/>
        <v>0</v>
      </c>
      <c r="L31" s="107"/>
      <c r="M31" s="109">
        <f t="shared" si="3"/>
        <v>1.5610945402772529</v>
      </c>
      <c r="N31" s="88"/>
      <c r="O31" s="88"/>
      <c r="P31" s="88"/>
      <c r="Q31" s="88"/>
      <c r="R31" s="88"/>
    </row>
    <row r="32" spans="1:19" s="93" customFormat="1">
      <c r="A32" s="102">
        <f t="shared" si="0"/>
        <v>1</v>
      </c>
      <c r="B32" s="35">
        <f t="shared" si="4"/>
        <v>27</v>
      </c>
      <c r="C32" s="36" t="s">
        <v>57</v>
      </c>
      <c r="D32" s="36"/>
      <c r="E32" s="36"/>
      <c r="F32" s="36"/>
      <c r="G32" s="88"/>
      <c r="H32" s="103">
        <v>27</v>
      </c>
      <c r="I32" s="104">
        <f t="shared" si="1"/>
        <v>1</v>
      </c>
      <c r="J32" s="103">
        <f t="shared" si="5"/>
        <v>0</v>
      </c>
      <c r="K32" s="103">
        <f t="shared" si="2"/>
        <v>0</v>
      </c>
      <c r="L32" s="103"/>
      <c r="M32" s="105">
        <f t="shared" si="3"/>
        <v>1</v>
      </c>
      <c r="N32" s="88"/>
      <c r="O32" s="88"/>
      <c r="P32" s="88"/>
      <c r="Q32" s="88"/>
      <c r="R32" s="117"/>
      <c r="S32" s="118"/>
    </row>
    <row r="33" spans="1:21" s="93" customFormat="1">
      <c r="A33" s="106">
        <f t="shared" si="0"/>
        <v>0</v>
      </c>
      <c r="B33" s="41" t="str">
        <f t="shared" si="4"/>
        <v/>
      </c>
      <c r="C33" s="42"/>
      <c r="D33" s="42"/>
      <c r="E33" s="42"/>
      <c r="F33" s="42"/>
      <c r="G33" s="88"/>
      <c r="H33" s="107">
        <v>28</v>
      </c>
      <c r="I33" s="108" t="str">
        <f t="shared" si="1"/>
        <v/>
      </c>
      <c r="J33" s="107">
        <f t="shared" si="5"/>
        <v>0</v>
      </c>
      <c r="K33" s="107">
        <f t="shared" si="2"/>
        <v>0</v>
      </c>
      <c r="L33" s="107"/>
      <c r="M33" s="109">
        <f t="shared" si="3"/>
        <v>0</v>
      </c>
      <c r="N33" s="88"/>
      <c r="O33" s="88"/>
      <c r="P33" s="88"/>
      <c r="Q33" s="88"/>
      <c r="R33" s="88"/>
    </row>
    <row r="34" spans="1:21" s="93" customFormat="1">
      <c r="A34" s="102">
        <f t="shared" si="0"/>
        <v>0</v>
      </c>
      <c r="B34" s="35" t="str">
        <f t="shared" si="4"/>
        <v/>
      </c>
      <c r="C34" s="36"/>
      <c r="D34" s="36"/>
      <c r="E34" s="36"/>
      <c r="F34" s="36"/>
      <c r="G34" s="88"/>
      <c r="H34" s="103">
        <v>29</v>
      </c>
      <c r="I34" s="104" t="str">
        <f t="shared" si="1"/>
        <v/>
      </c>
      <c r="J34" s="103">
        <f t="shared" si="5"/>
        <v>0</v>
      </c>
      <c r="K34" s="103">
        <f t="shared" si="2"/>
        <v>0</v>
      </c>
      <c r="L34" s="103"/>
      <c r="M34" s="105">
        <f t="shared" si="3"/>
        <v>0</v>
      </c>
      <c r="N34" s="88"/>
      <c r="O34" s="88"/>
      <c r="P34" s="88"/>
      <c r="Q34" s="88"/>
      <c r="R34" s="88"/>
    </row>
    <row r="35" spans="1:21" s="93" customFormat="1">
      <c r="A35" s="106">
        <f t="shared" si="0"/>
        <v>0</v>
      </c>
      <c r="B35" s="41" t="str">
        <f t="shared" si="4"/>
        <v/>
      </c>
      <c r="C35" s="42"/>
      <c r="D35" s="42"/>
      <c r="E35" s="42"/>
      <c r="F35" s="42"/>
      <c r="G35" s="88"/>
      <c r="H35" s="107">
        <v>30</v>
      </c>
      <c r="I35" s="108" t="str">
        <f t="shared" si="1"/>
        <v/>
      </c>
      <c r="J35" s="107">
        <f t="shared" si="5"/>
        <v>0</v>
      </c>
      <c r="K35" s="107">
        <f t="shared" si="2"/>
        <v>0</v>
      </c>
      <c r="L35" s="107"/>
      <c r="M35" s="109">
        <f t="shared" si="3"/>
        <v>0</v>
      </c>
      <c r="N35" s="88"/>
      <c r="O35" s="88"/>
      <c r="P35" s="88"/>
      <c r="Q35" s="88"/>
      <c r="R35" s="88"/>
    </row>
    <row r="36" spans="1:21" s="93" customFormat="1">
      <c r="A36" s="102">
        <f t="shared" si="0"/>
        <v>0</v>
      </c>
      <c r="B36" s="35" t="str">
        <f t="shared" si="4"/>
        <v/>
      </c>
      <c r="C36" s="36"/>
      <c r="D36" s="36"/>
      <c r="E36" s="36"/>
      <c r="F36" s="36"/>
      <c r="G36" s="88"/>
      <c r="H36" s="103">
        <v>31</v>
      </c>
      <c r="I36" s="104" t="str">
        <f t="shared" si="1"/>
        <v/>
      </c>
      <c r="J36" s="103">
        <f t="shared" si="5"/>
        <v>0</v>
      </c>
      <c r="K36" s="103">
        <f t="shared" si="2"/>
        <v>0</v>
      </c>
      <c r="L36" s="103"/>
      <c r="M36" s="105">
        <f t="shared" si="3"/>
        <v>0</v>
      </c>
      <c r="N36" s="88"/>
      <c r="O36" s="88"/>
      <c r="P36" s="88"/>
      <c r="Q36" s="88"/>
      <c r="R36" s="117"/>
      <c r="S36" s="118"/>
    </row>
    <row r="37" spans="1:21" s="93" customFormat="1">
      <c r="A37" s="106">
        <f t="shared" si="0"/>
        <v>0</v>
      </c>
      <c r="B37" s="41" t="str">
        <f t="shared" si="4"/>
        <v/>
      </c>
      <c r="C37" s="42"/>
      <c r="D37" s="42"/>
      <c r="E37" s="42"/>
      <c r="F37" s="42"/>
      <c r="G37" s="88"/>
      <c r="H37" s="107">
        <v>32</v>
      </c>
      <c r="I37" s="108" t="str">
        <f t="shared" si="1"/>
        <v/>
      </c>
      <c r="J37" s="107">
        <f t="shared" si="5"/>
        <v>0</v>
      </c>
      <c r="K37" s="107">
        <f t="shared" si="2"/>
        <v>0</v>
      </c>
      <c r="L37" s="107"/>
      <c r="M37" s="109">
        <f t="shared" si="3"/>
        <v>0</v>
      </c>
      <c r="N37" s="88"/>
      <c r="O37" s="88"/>
      <c r="P37" s="88"/>
      <c r="Q37" s="88"/>
      <c r="R37" s="88"/>
    </row>
    <row r="38" spans="1:21" s="93" customFormat="1">
      <c r="A38" s="102"/>
      <c r="B38" s="35" t="str">
        <f t="shared" si="4"/>
        <v/>
      </c>
      <c r="C38" s="36"/>
      <c r="D38" s="36"/>
      <c r="E38" s="36"/>
      <c r="F38" s="36"/>
      <c r="G38" s="88"/>
      <c r="H38" s="103">
        <v>33</v>
      </c>
      <c r="I38" s="104" t="str">
        <f t="shared" si="1"/>
        <v/>
      </c>
      <c r="J38" s="103">
        <f t="shared" si="5"/>
        <v>-1</v>
      </c>
      <c r="K38" s="103">
        <f t="shared" si="2"/>
        <v>-10</v>
      </c>
      <c r="L38" s="103"/>
      <c r="M38" s="105">
        <f t="shared" si="3"/>
        <v>0</v>
      </c>
      <c r="N38" s="88"/>
      <c r="O38" s="88"/>
      <c r="P38" s="88"/>
      <c r="Q38" s="88"/>
      <c r="R38" s="88"/>
    </row>
    <row r="39" spans="1:21" s="93" customFormat="1">
      <c r="A39" s="106"/>
      <c r="B39" s="41" t="str">
        <f t="shared" si="4"/>
        <v/>
      </c>
      <c r="C39" s="42"/>
      <c r="D39" s="42"/>
      <c r="E39" s="42"/>
      <c r="F39" s="42"/>
      <c r="G39" s="88"/>
      <c r="H39" s="107">
        <v>34</v>
      </c>
      <c r="I39" s="108" t="str">
        <f t="shared" si="1"/>
        <v/>
      </c>
      <c r="J39" s="107">
        <f t="shared" si="5"/>
        <v>-1</v>
      </c>
      <c r="K39" s="107">
        <f t="shared" si="2"/>
        <v>-10</v>
      </c>
      <c r="L39" s="107"/>
      <c r="M39" s="109">
        <f t="shared" si="3"/>
        <v>0</v>
      </c>
      <c r="N39" s="88"/>
      <c r="O39" s="88"/>
      <c r="P39" s="88"/>
      <c r="Q39" s="88"/>
      <c r="R39" s="88"/>
    </row>
    <row r="40" spans="1:21" s="93" customFormat="1">
      <c r="A40" s="102"/>
      <c r="B40" s="35" t="str">
        <f t="shared" si="4"/>
        <v/>
      </c>
      <c r="C40" s="36"/>
      <c r="D40" s="36"/>
      <c r="E40" s="36"/>
      <c r="F40" s="36"/>
      <c r="G40" s="88"/>
      <c r="H40" s="103">
        <v>35</v>
      </c>
      <c r="I40" s="104" t="str">
        <f t="shared" si="1"/>
        <v/>
      </c>
      <c r="J40" s="103">
        <f t="shared" si="5"/>
        <v>-1</v>
      </c>
      <c r="K40" s="103">
        <f t="shared" si="2"/>
        <v>-10</v>
      </c>
      <c r="L40" s="103"/>
      <c r="M40" s="105">
        <f t="shared" si="3"/>
        <v>0</v>
      </c>
      <c r="N40" s="88"/>
      <c r="O40" s="88"/>
      <c r="P40" s="88"/>
      <c r="Q40" s="88"/>
      <c r="R40" s="88"/>
    </row>
    <row r="41" spans="1:21" s="93" customFormat="1">
      <c r="A41" s="106"/>
      <c r="B41" s="41" t="str">
        <f t="shared" si="4"/>
        <v/>
      </c>
      <c r="C41" s="42"/>
      <c r="D41" s="42"/>
      <c r="E41" s="42"/>
      <c r="F41" s="42"/>
      <c r="G41" s="88"/>
      <c r="H41" s="107">
        <v>36</v>
      </c>
      <c r="I41" s="108" t="str">
        <f t="shared" si="1"/>
        <v/>
      </c>
      <c r="J41" s="107">
        <f t="shared" si="5"/>
        <v>-1</v>
      </c>
      <c r="K41" s="107">
        <f t="shared" si="2"/>
        <v>-10</v>
      </c>
      <c r="L41" s="107"/>
      <c r="M41" s="109">
        <f t="shared" si="3"/>
        <v>0</v>
      </c>
      <c r="N41" s="88"/>
      <c r="O41" s="88"/>
      <c r="P41" s="88"/>
      <c r="Q41" s="88"/>
      <c r="R41" s="88"/>
      <c r="S41" s="119"/>
    </row>
    <row r="42" spans="1:21" s="93" customFormat="1">
      <c r="A42" s="102"/>
      <c r="B42" s="35" t="str">
        <f t="shared" si="4"/>
        <v/>
      </c>
      <c r="C42" s="36"/>
      <c r="D42" s="36"/>
      <c r="E42" s="36"/>
      <c r="F42" s="36"/>
      <c r="G42" s="88"/>
      <c r="H42" s="103">
        <v>37</v>
      </c>
      <c r="I42" s="104" t="str">
        <f t="shared" si="1"/>
        <v/>
      </c>
      <c r="J42" s="103">
        <f t="shared" si="5"/>
        <v>-1</v>
      </c>
      <c r="K42" s="103">
        <f t="shared" si="2"/>
        <v>-10</v>
      </c>
      <c r="L42" s="103"/>
      <c r="M42" s="105">
        <f t="shared" si="3"/>
        <v>0</v>
      </c>
      <c r="N42" s="88"/>
      <c r="O42" s="88"/>
      <c r="P42" s="88"/>
      <c r="Q42" s="88"/>
      <c r="R42" s="88"/>
    </row>
    <row r="43" spans="1:21" s="93" customFormat="1">
      <c r="A43" s="106"/>
      <c r="B43" s="41" t="str">
        <f t="shared" si="4"/>
        <v/>
      </c>
      <c r="C43" s="42"/>
      <c r="D43" s="42"/>
      <c r="E43" s="42"/>
      <c r="F43" s="42"/>
      <c r="G43" s="88"/>
      <c r="H43" s="107">
        <v>38</v>
      </c>
      <c r="I43" s="108" t="str">
        <f t="shared" si="1"/>
        <v/>
      </c>
      <c r="J43" s="107">
        <f t="shared" si="5"/>
        <v>-1</v>
      </c>
      <c r="K43" s="107">
        <f t="shared" si="2"/>
        <v>-10</v>
      </c>
      <c r="L43" s="107"/>
      <c r="M43" s="109">
        <f t="shared" si="3"/>
        <v>0</v>
      </c>
      <c r="N43" s="88"/>
      <c r="O43" s="88"/>
      <c r="P43" s="88"/>
      <c r="Q43" s="88"/>
      <c r="R43" s="88"/>
    </row>
    <row r="44" spans="1:21" s="93" customFormat="1">
      <c r="A44" s="102"/>
      <c r="B44" s="35" t="str">
        <f t="shared" si="4"/>
        <v/>
      </c>
      <c r="C44" s="36"/>
      <c r="D44" s="36"/>
      <c r="E44" s="36"/>
      <c r="F44" s="36"/>
      <c r="G44" s="88"/>
      <c r="H44" s="103">
        <v>39</v>
      </c>
      <c r="I44" s="104" t="str">
        <f t="shared" si="1"/>
        <v/>
      </c>
      <c r="J44" s="103">
        <f t="shared" si="5"/>
        <v>-1</v>
      </c>
      <c r="K44" s="103">
        <f t="shared" si="2"/>
        <v>-10</v>
      </c>
      <c r="L44" s="103"/>
      <c r="M44" s="105">
        <f t="shared" si="3"/>
        <v>0</v>
      </c>
      <c r="N44" s="88"/>
      <c r="O44" s="88"/>
      <c r="P44" s="88"/>
      <c r="Q44" s="88"/>
      <c r="R44" s="88"/>
    </row>
    <row r="45" spans="1:21" s="93" customFormat="1">
      <c r="A45" s="106"/>
      <c r="B45" s="41" t="str">
        <f t="shared" si="4"/>
        <v/>
      </c>
      <c r="C45" s="42"/>
      <c r="D45" s="42"/>
      <c r="E45" s="42"/>
      <c r="F45" s="42"/>
      <c r="G45" s="88"/>
      <c r="H45" s="107">
        <v>40</v>
      </c>
      <c r="I45" s="108" t="str">
        <f t="shared" si="1"/>
        <v/>
      </c>
      <c r="J45" s="107">
        <f t="shared" si="5"/>
        <v>-1</v>
      </c>
      <c r="K45" s="107">
        <f t="shared" si="2"/>
        <v>-10</v>
      </c>
      <c r="L45" s="107"/>
      <c r="M45" s="109">
        <f t="shared" si="3"/>
        <v>0</v>
      </c>
      <c r="N45" s="88"/>
      <c r="O45" s="88"/>
      <c r="P45" s="88"/>
      <c r="Q45" s="88"/>
      <c r="R45" s="88"/>
    </row>
    <row r="46" spans="1:21" s="93" customFormat="1">
      <c r="A46" s="102"/>
      <c r="B46" s="35" t="str">
        <f t="shared" si="4"/>
        <v/>
      </c>
      <c r="C46" s="36"/>
      <c r="D46" s="36"/>
      <c r="E46" s="36"/>
      <c r="F46" s="36"/>
      <c r="G46" s="88"/>
      <c r="H46" s="103">
        <v>41</v>
      </c>
      <c r="I46" s="104" t="str">
        <f t="shared" si="1"/>
        <v/>
      </c>
      <c r="J46" s="103">
        <f t="shared" si="5"/>
        <v>-1</v>
      </c>
      <c r="K46" s="103">
        <f t="shared" si="2"/>
        <v>-10</v>
      </c>
      <c r="L46" s="103"/>
      <c r="M46" s="105">
        <f t="shared" si="3"/>
        <v>0</v>
      </c>
      <c r="N46" s="88"/>
      <c r="O46" s="88"/>
      <c r="P46" s="88"/>
      <c r="Q46" s="88"/>
      <c r="R46" s="88">
        <f>LOG($H$2,2)</f>
        <v>4.7548875021634691</v>
      </c>
      <c r="T46" s="93">
        <f>LOG(H38,2)</f>
        <v>5.0443941193584534</v>
      </c>
      <c r="U46" s="93">
        <f>R46-T46</f>
        <v>-0.28950661719498427</v>
      </c>
    </row>
    <row r="47" spans="1:21" s="93" customFormat="1">
      <c r="A47" s="106"/>
      <c r="B47" s="41" t="str">
        <f t="shared" si="4"/>
        <v/>
      </c>
      <c r="C47" s="42"/>
      <c r="D47" s="42"/>
      <c r="E47" s="42"/>
      <c r="F47" s="42"/>
      <c r="G47" s="88"/>
      <c r="H47" s="107">
        <v>42</v>
      </c>
      <c r="I47" s="108" t="str">
        <f t="shared" si="1"/>
        <v/>
      </c>
      <c r="J47" s="107">
        <f t="shared" si="5"/>
        <v>-1</v>
      </c>
      <c r="K47" s="107">
        <f t="shared" si="2"/>
        <v>-10</v>
      </c>
      <c r="L47" s="107"/>
      <c r="M47" s="109">
        <f t="shared" si="3"/>
        <v>0</v>
      </c>
      <c r="N47" s="88"/>
      <c r="O47" s="88"/>
      <c r="P47" s="88"/>
      <c r="Q47" s="88"/>
      <c r="R47" s="88"/>
    </row>
    <row r="48" spans="1:21" s="93" customFormat="1">
      <c r="A48" s="102"/>
      <c r="B48" s="35" t="str">
        <f t="shared" si="4"/>
        <v/>
      </c>
      <c r="C48" s="36"/>
      <c r="D48" s="36"/>
      <c r="E48" s="36"/>
      <c r="F48" s="36"/>
      <c r="G48" s="88"/>
      <c r="H48" s="103">
        <v>43</v>
      </c>
      <c r="I48" s="104" t="str">
        <f t="shared" si="1"/>
        <v/>
      </c>
      <c r="J48" s="103">
        <f t="shared" si="5"/>
        <v>-1</v>
      </c>
      <c r="K48" s="103">
        <f t="shared" si="2"/>
        <v>-10</v>
      </c>
      <c r="L48" s="103"/>
      <c r="M48" s="105">
        <f t="shared" si="3"/>
        <v>0</v>
      </c>
      <c r="N48" s="88"/>
      <c r="O48" s="88"/>
      <c r="P48" s="88"/>
      <c r="Q48" s="88"/>
      <c r="R48" s="88"/>
    </row>
    <row r="49" spans="1:38" s="88" customFormat="1">
      <c r="A49" s="106"/>
      <c r="B49" s="41" t="str">
        <f t="shared" si="4"/>
        <v/>
      </c>
      <c r="C49" s="42"/>
      <c r="D49" s="42"/>
      <c r="E49" s="42"/>
      <c r="F49" s="42"/>
      <c r="H49" s="107">
        <v>44</v>
      </c>
      <c r="I49" s="108" t="str">
        <f t="shared" si="1"/>
        <v/>
      </c>
      <c r="J49" s="107">
        <f t="shared" si="5"/>
        <v>-1</v>
      </c>
      <c r="K49" s="107">
        <f t="shared" si="2"/>
        <v>-10</v>
      </c>
      <c r="L49" s="107"/>
      <c r="M49" s="109">
        <f t="shared" si="3"/>
        <v>0</v>
      </c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</row>
    <row r="50" spans="1:38" s="88" customFormat="1">
      <c r="A50" s="102"/>
      <c r="B50" s="35" t="str">
        <f t="shared" si="4"/>
        <v/>
      </c>
      <c r="C50" s="36"/>
      <c r="D50" s="36"/>
      <c r="E50" s="36"/>
      <c r="F50" s="36"/>
      <c r="H50" s="103">
        <v>45</v>
      </c>
      <c r="I50" s="104" t="str">
        <f t="shared" si="1"/>
        <v/>
      </c>
      <c r="J50" s="103">
        <f t="shared" si="5"/>
        <v>-1</v>
      </c>
      <c r="K50" s="103">
        <f t="shared" si="2"/>
        <v>-10</v>
      </c>
      <c r="L50" s="103"/>
      <c r="M50" s="105">
        <f t="shared" si="3"/>
        <v>0</v>
      </c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</row>
    <row r="51" spans="1:38" s="88" customFormat="1">
      <c r="A51" s="106"/>
      <c r="B51" s="41" t="str">
        <f t="shared" si="4"/>
        <v/>
      </c>
      <c r="C51" s="42"/>
      <c r="D51" s="42"/>
      <c r="E51" s="42"/>
      <c r="F51" s="42"/>
      <c r="H51" s="107">
        <v>46</v>
      </c>
      <c r="I51" s="108" t="str">
        <f t="shared" si="1"/>
        <v/>
      </c>
      <c r="J51" s="107">
        <f t="shared" si="5"/>
        <v>-1</v>
      </c>
      <c r="K51" s="107">
        <f t="shared" si="2"/>
        <v>-10</v>
      </c>
      <c r="L51" s="107"/>
      <c r="M51" s="109">
        <f t="shared" si="3"/>
        <v>0</v>
      </c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</row>
    <row r="52" spans="1:38" s="88" customFormat="1">
      <c r="A52" s="102"/>
      <c r="B52" s="35" t="str">
        <f t="shared" si="4"/>
        <v/>
      </c>
      <c r="C52" s="36"/>
      <c r="D52" s="36"/>
      <c r="E52" s="36"/>
      <c r="F52" s="36"/>
      <c r="H52" s="103">
        <v>47</v>
      </c>
      <c r="I52" s="104" t="str">
        <f t="shared" si="1"/>
        <v/>
      </c>
      <c r="J52" s="103">
        <f t="shared" si="5"/>
        <v>-1</v>
      </c>
      <c r="K52" s="103">
        <f t="shared" si="2"/>
        <v>-10</v>
      </c>
      <c r="L52" s="103"/>
      <c r="M52" s="105">
        <f t="shared" si="3"/>
        <v>0</v>
      </c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</row>
    <row r="53" spans="1:38" s="88" customFormat="1">
      <c r="A53" s="106"/>
      <c r="B53" s="41" t="str">
        <f t="shared" si="4"/>
        <v/>
      </c>
      <c r="C53" s="42"/>
      <c r="D53" s="42"/>
      <c r="E53" s="42"/>
      <c r="F53" s="42"/>
      <c r="H53" s="107">
        <v>48</v>
      </c>
      <c r="I53" s="108" t="str">
        <f t="shared" si="1"/>
        <v/>
      </c>
      <c r="J53" s="107">
        <f t="shared" si="5"/>
        <v>-1</v>
      </c>
      <c r="K53" s="107">
        <f t="shared" si="2"/>
        <v>-10</v>
      </c>
      <c r="L53" s="107"/>
      <c r="M53" s="109">
        <f t="shared" si="3"/>
        <v>0</v>
      </c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</row>
    <row r="54" spans="1:38" s="88" customFormat="1">
      <c r="A54" s="102"/>
      <c r="B54" s="35" t="str">
        <f t="shared" si="4"/>
        <v/>
      </c>
      <c r="C54" s="36"/>
      <c r="D54" s="36"/>
      <c r="E54" s="36"/>
      <c r="F54" s="36"/>
      <c r="H54" s="103">
        <v>49</v>
      </c>
      <c r="I54" s="104" t="str">
        <f t="shared" si="1"/>
        <v/>
      </c>
      <c r="J54" s="103">
        <f t="shared" si="5"/>
        <v>-1</v>
      </c>
      <c r="K54" s="103">
        <f t="shared" si="2"/>
        <v>-10</v>
      </c>
      <c r="L54" s="103"/>
      <c r="M54" s="105">
        <f t="shared" si="3"/>
        <v>0</v>
      </c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</row>
    <row r="55" spans="1:38" s="88" customFormat="1">
      <c r="A55" s="106"/>
      <c r="B55" s="41" t="str">
        <f t="shared" si="4"/>
        <v/>
      </c>
      <c r="C55" s="42"/>
      <c r="D55" s="42"/>
      <c r="E55" s="42"/>
      <c r="F55" s="42"/>
      <c r="H55" s="107">
        <v>50</v>
      </c>
      <c r="I55" s="108" t="str">
        <f t="shared" si="1"/>
        <v/>
      </c>
      <c r="J55" s="107">
        <f t="shared" si="5"/>
        <v>-1</v>
      </c>
      <c r="K55" s="107">
        <f t="shared" si="2"/>
        <v>-10</v>
      </c>
      <c r="L55" s="107"/>
      <c r="M55" s="109">
        <f t="shared" si="3"/>
        <v>0</v>
      </c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</row>
    <row r="56" spans="1:38" s="88" customFormat="1">
      <c r="A56" s="102"/>
      <c r="B56" s="35" t="str">
        <f t="shared" si="4"/>
        <v/>
      </c>
      <c r="C56" s="36"/>
      <c r="D56" s="36"/>
      <c r="E56" s="36"/>
      <c r="F56" s="36"/>
      <c r="H56" s="103">
        <v>51</v>
      </c>
      <c r="I56" s="104" t="str">
        <f t="shared" si="1"/>
        <v/>
      </c>
      <c r="J56" s="103">
        <f t="shared" si="5"/>
        <v>-1</v>
      </c>
      <c r="K56" s="103">
        <f t="shared" si="2"/>
        <v>-10</v>
      </c>
      <c r="L56" s="103"/>
      <c r="M56" s="105">
        <f t="shared" si="3"/>
        <v>0</v>
      </c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</row>
    <row r="57" spans="1:38" s="88" customFormat="1">
      <c r="A57" s="106"/>
      <c r="B57" s="41" t="str">
        <f t="shared" si="4"/>
        <v/>
      </c>
      <c r="C57" s="42"/>
      <c r="D57" s="42"/>
      <c r="E57" s="42"/>
      <c r="F57" s="42"/>
      <c r="H57" s="107">
        <v>52</v>
      </c>
      <c r="I57" s="108" t="str">
        <f t="shared" si="1"/>
        <v/>
      </c>
      <c r="J57" s="107">
        <f t="shared" si="5"/>
        <v>-1</v>
      </c>
      <c r="K57" s="107">
        <f t="shared" si="2"/>
        <v>-10</v>
      </c>
      <c r="L57" s="107"/>
      <c r="M57" s="109">
        <f t="shared" si="3"/>
        <v>0</v>
      </c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</row>
    <row r="58" spans="1:38" s="88" customFormat="1">
      <c r="A58" s="102"/>
      <c r="B58" s="35" t="str">
        <f t="shared" si="4"/>
        <v/>
      </c>
      <c r="C58" s="36"/>
      <c r="D58" s="36"/>
      <c r="E58" s="36"/>
      <c r="F58" s="36"/>
      <c r="H58" s="103">
        <v>53</v>
      </c>
      <c r="I58" s="104" t="str">
        <f t="shared" si="1"/>
        <v/>
      </c>
      <c r="J58" s="103">
        <f t="shared" si="5"/>
        <v>-1</v>
      </c>
      <c r="K58" s="103">
        <f t="shared" si="2"/>
        <v>-10</v>
      </c>
      <c r="L58" s="103"/>
      <c r="M58" s="105">
        <f t="shared" si="3"/>
        <v>0</v>
      </c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</row>
    <row r="59" spans="1:38" s="88" customFormat="1">
      <c r="A59" s="106"/>
      <c r="B59" s="41" t="str">
        <f t="shared" si="4"/>
        <v/>
      </c>
      <c r="C59" s="42"/>
      <c r="D59" s="42"/>
      <c r="E59" s="42"/>
      <c r="F59" s="42"/>
      <c r="H59" s="107">
        <v>54</v>
      </c>
      <c r="I59" s="108" t="str">
        <f t="shared" si="1"/>
        <v/>
      </c>
      <c r="J59" s="107">
        <f t="shared" si="5"/>
        <v>-1</v>
      </c>
      <c r="K59" s="107">
        <f t="shared" si="2"/>
        <v>-10</v>
      </c>
      <c r="L59" s="107"/>
      <c r="M59" s="109">
        <f t="shared" si="3"/>
        <v>0</v>
      </c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</row>
    <row r="60" spans="1:38" s="88" customFormat="1">
      <c r="A60" s="102"/>
      <c r="B60" s="35" t="str">
        <f t="shared" si="4"/>
        <v/>
      </c>
      <c r="C60" s="36"/>
      <c r="D60" s="36"/>
      <c r="E60" s="36"/>
      <c r="F60" s="36"/>
      <c r="H60" s="103">
        <v>55</v>
      </c>
      <c r="I60" s="104" t="str">
        <f t="shared" si="1"/>
        <v/>
      </c>
      <c r="J60" s="103">
        <f t="shared" si="5"/>
        <v>-1</v>
      </c>
      <c r="K60" s="103">
        <f t="shared" si="2"/>
        <v>-10</v>
      </c>
      <c r="L60" s="103"/>
      <c r="M60" s="105">
        <f t="shared" si="3"/>
        <v>0</v>
      </c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</row>
    <row r="61" spans="1:38" s="88" customFormat="1">
      <c r="A61" s="106"/>
      <c r="B61" s="41" t="str">
        <f t="shared" si="4"/>
        <v/>
      </c>
      <c r="C61" s="42"/>
      <c r="D61" s="42"/>
      <c r="E61" s="42"/>
      <c r="F61" s="42"/>
      <c r="H61" s="107">
        <v>56</v>
      </c>
      <c r="I61" s="108" t="str">
        <f t="shared" si="1"/>
        <v/>
      </c>
      <c r="J61" s="107">
        <f t="shared" si="5"/>
        <v>-1</v>
      </c>
      <c r="K61" s="107">
        <f t="shared" si="2"/>
        <v>-10</v>
      </c>
      <c r="L61" s="107"/>
      <c r="M61" s="109">
        <f t="shared" si="3"/>
        <v>0</v>
      </c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</row>
    <row r="62" spans="1:38" s="88" customFormat="1">
      <c r="A62" s="102"/>
      <c r="B62" s="35" t="str">
        <f t="shared" si="4"/>
        <v/>
      </c>
      <c r="C62" s="36"/>
      <c r="D62" s="36"/>
      <c r="E62" s="36"/>
      <c r="F62" s="36"/>
      <c r="H62" s="103">
        <v>57</v>
      </c>
      <c r="I62" s="104" t="str">
        <f t="shared" si="1"/>
        <v/>
      </c>
      <c r="J62" s="103">
        <f t="shared" si="5"/>
        <v>-1</v>
      </c>
      <c r="K62" s="103">
        <f t="shared" si="2"/>
        <v>-10</v>
      </c>
      <c r="L62" s="103"/>
      <c r="M62" s="105">
        <f t="shared" si="3"/>
        <v>0</v>
      </c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</row>
    <row r="63" spans="1:38" s="88" customFormat="1">
      <c r="A63" s="106"/>
      <c r="B63" s="41" t="str">
        <f t="shared" si="4"/>
        <v/>
      </c>
      <c r="C63" s="42"/>
      <c r="D63" s="42"/>
      <c r="E63" s="42"/>
      <c r="F63" s="42"/>
      <c r="H63" s="107">
        <v>58</v>
      </c>
      <c r="I63" s="108" t="str">
        <f t="shared" si="1"/>
        <v/>
      </c>
      <c r="J63" s="107">
        <f t="shared" si="5"/>
        <v>-1</v>
      </c>
      <c r="K63" s="107">
        <f t="shared" si="2"/>
        <v>-10</v>
      </c>
      <c r="L63" s="107"/>
      <c r="M63" s="109">
        <f t="shared" si="3"/>
        <v>0</v>
      </c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</row>
    <row r="64" spans="1:38" s="88" customFormat="1">
      <c r="A64" s="102"/>
      <c r="B64" s="35" t="str">
        <f t="shared" si="4"/>
        <v/>
      </c>
      <c r="C64" s="36"/>
      <c r="D64" s="36"/>
      <c r="E64" s="36"/>
      <c r="F64" s="36"/>
      <c r="H64" s="103">
        <v>59</v>
      </c>
      <c r="I64" s="104" t="str">
        <f t="shared" si="1"/>
        <v/>
      </c>
      <c r="J64" s="103">
        <f t="shared" si="5"/>
        <v>-1</v>
      </c>
      <c r="K64" s="103">
        <f t="shared" si="2"/>
        <v>-10</v>
      </c>
      <c r="L64" s="103"/>
      <c r="M64" s="105">
        <f t="shared" si="3"/>
        <v>0</v>
      </c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</row>
    <row r="65" spans="1:38" s="88" customFormat="1">
      <c r="A65" s="106"/>
      <c r="B65" s="41" t="str">
        <f t="shared" si="4"/>
        <v/>
      </c>
      <c r="C65" s="42"/>
      <c r="D65" s="42"/>
      <c r="E65" s="42"/>
      <c r="F65" s="42"/>
      <c r="H65" s="107">
        <v>60</v>
      </c>
      <c r="I65" s="108" t="str">
        <f t="shared" si="1"/>
        <v/>
      </c>
      <c r="J65" s="107">
        <f t="shared" si="5"/>
        <v>-1</v>
      </c>
      <c r="K65" s="107">
        <f t="shared" si="2"/>
        <v>-10</v>
      </c>
      <c r="L65" s="107"/>
      <c r="M65" s="109">
        <f t="shared" si="3"/>
        <v>0</v>
      </c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</row>
    <row r="66" spans="1:38" s="88" customFormat="1">
      <c r="A66" s="102"/>
      <c r="B66" s="35"/>
      <c r="C66" s="123"/>
      <c r="D66" s="123"/>
      <c r="E66" s="123"/>
      <c r="F66" s="123"/>
      <c r="H66" s="103">
        <v>61</v>
      </c>
      <c r="I66" s="104" t="str">
        <f t="shared" si="1"/>
        <v/>
      </c>
      <c r="J66" s="103">
        <f t="shared" si="5"/>
        <v>-1</v>
      </c>
      <c r="K66" s="103">
        <f t="shared" si="2"/>
        <v>-10</v>
      </c>
      <c r="L66" s="103"/>
      <c r="M66" s="105">
        <f t="shared" si="3"/>
        <v>0</v>
      </c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</row>
    <row r="67" spans="1:38" s="88" customFormat="1">
      <c r="A67" s="106"/>
      <c r="B67" s="41"/>
      <c r="C67" s="123"/>
      <c r="D67" s="123"/>
      <c r="E67" s="123"/>
      <c r="F67" s="123"/>
      <c r="H67" s="103">
        <v>62</v>
      </c>
      <c r="I67" s="104" t="str">
        <f t="shared" si="1"/>
        <v/>
      </c>
      <c r="J67" s="103">
        <f t="shared" si="5"/>
        <v>-1</v>
      </c>
      <c r="K67" s="103">
        <f t="shared" si="2"/>
        <v>-10</v>
      </c>
      <c r="L67" s="103"/>
      <c r="M67" s="105">
        <f t="shared" si="3"/>
        <v>0</v>
      </c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</row>
    <row r="68" spans="1:38" s="88" customFormat="1">
      <c r="A68" s="124"/>
      <c r="B68" s="35"/>
      <c r="C68" s="123"/>
      <c r="D68" s="123"/>
      <c r="E68" s="123"/>
      <c r="F68" s="123"/>
      <c r="H68" s="103">
        <v>63</v>
      </c>
      <c r="I68" s="104" t="str">
        <f t="shared" si="1"/>
        <v/>
      </c>
      <c r="J68" s="103">
        <f t="shared" si="5"/>
        <v>-1</v>
      </c>
      <c r="K68" s="103">
        <f t="shared" si="2"/>
        <v>-10</v>
      </c>
      <c r="L68" s="103"/>
      <c r="M68" s="105">
        <f t="shared" si="3"/>
        <v>0</v>
      </c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</row>
    <row r="69" spans="1:38" s="88" customFormat="1">
      <c r="A69" s="124"/>
      <c r="B69" s="41"/>
      <c r="C69" s="123"/>
      <c r="D69" s="123"/>
      <c r="E69" s="123"/>
      <c r="F69" s="123"/>
      <c r="H69" s="103">
        <v>64</v>
      </c>
      <c r="I69" s="104" t="str">
        <f t="shared" si="1"/>
        <v/>
      </c>
      <c r="J69" s="103">
        <f t="shared" si="5"/>
        <v>-1</v>
      </c>
      <c r="K69" s="103">
        <f t="shared" si="2"/>
        <v>-10</v>
      </c>
      <c r="L69" s="103"/>
      <c r="M69" s="105">
        <f t="shared" si="3"/>
        <v>0</v>
      </c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</row>
    <row r="70" spans="1:38" s="88" customFormat="1">
      <c r="A70" s="124"/>
      <c r="B70" s="123"/>
      <c r="C70" s="123"/>
      <c r="D70" s="123"/>
      <c r="E70" s="123"/>
      <c r="F70" s="123"/>
      <c r="H70" s="103">
        <v>65</v>
      </c>
      <c r="I70" s="104" t="str">
        <f t="shared" ref="I70:I133" si="6">IF(H70&lt;$H$2+1,($I$2-($I$2-1)*(LOG(H70)/LOG($H$2))),"")</f>
        <v/>
      </c>
      <c r="J70" s="103">
        <f t="shared" si="5"/>
        <v>-2</v>
      </c>
      <c r="K70" s="103">
        <f t="shared" ref="K70:K133" si="7">J70*$J$2</f>
        <v>-20</v>
      </c>
      <c r="L70" s="103"/>
      <c r="M70" s="105">
        <f t="shared" ref="M70:M133" si="8">IF(I70&lt;&gt;"",K70+I70+L70,0)</f>
        <v>0</v>
      </c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</row>
    <row r="71" spans="1:38" s="88" customFormat="1">
      <c r="A71" s="124"/>
      <c r="B71" s="123"/>
      <c r="C71" s="123"/>
      <c r="D71" s="123"/>
      <c r="E71" s="123"/>
      <c r="F71" s="123"/>
      <c r="H71" s="103">
        <v>66</v>
      </c>
      <c r="I71" s="104" t="str">
        <f t="shared" si="6"/>
        <v/>
      </c>
      <c r="J71" s="103">
        <f t="shared" si="5"/>
        <v>-2</v>
      </c>
      <c r="K71" s="103">
        <f t="shared" si="7"/>
        <v>-20</v>
      </c>
      <c r="L71" s="103"/>
      <c r="M71" s="105">
        <f t="shared" si="8"/>
        <v>0</v>
      </c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</row>
    <row r="72" spans="1:38" s="88" customFormat="1">
      <c r="A72" s="124"/>
      <c r="B72" s="123"/>
      <c r="C72" s="123"/>
      <c r="D72" s="123"/>
      <c r="E72" s="123"/>
      <c r="F72" s="123"/>
      <c r="H72" s="103">
        <v>67</v>
      </c>
      <c r="I72" s="104" t="str">
        <f t="shared" si="6"/>
        <v/>
      </c>
      <c r="J72" s="103">
        <f t="shared" si="5"/>
        <v>-2</v>
      </c>
      <c r="K72" s="103">
        <f t="shared" si="7"/>
        <v>-20</v>
      </c>
      <c r="L72" s="103"/>
      <c r="M72" s="105">
        <f t="shared" si="8"/>
        <v>0</v>
      </c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</row>
    <row r="73" spans="1:38" s="88" customFormat="1">
      <c r="A73" s="124"/>
      <c r="B73" s="123"/>
      <c r="C73" s="123"/>
      <c r="D73" s="123"/>
      <c r="E73" s="123"/>
      <c r="F73" s="123"/>
      <c r="H73" s="103">
        <v>68</v>
      </c>
      <c r="I73" s="104" t="str">
        <f t="shared" si="6"/>
        <v/>
      </c>
      <c r="J73" s="103">
        <f t="shared" si="5"/>
        <v>-2</v>
      </c>
      <c r="K73" s="103">
        <f t="shared" si="7"/>
        <v>-20</v>
      </c>
      <c r="L73" s="103"/>
      <c r="M73" s="105">
        <f t="shared" si="8"/>
        <v>0</v>
      </c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</row>
    <row r="74" spans="1:38" s="88" customFormat="1">
      <c r="A74" s="124"/>
      <c r="B74" s="123"/>
      <c r="C74" s="123"/>
      <c r="D74" s="123"/>
      <c r="E74" s="123"/>
      <c r="F74" s="123"/>
      <c r="H74" s="103">
        <v>69</v>
      </c>
      <c r="I74" s="104" t="str">
        <f t="shared" si="6"/>
        <v/>
      </c>
      <c r="J74" s="103">
        <f t="shared" ref="J74:J137" si="9">INT(LOG($H$2,2))-ROUNDUP(LOG(H74,2),0)+IF(OR($H$2=1,$H$2=2,$H$2=4,$H$2=8,$H$2=16,$H$2=32,$H$2=64,$H$2=128,$H$2=256),0,1)</f>
        <v>-2</v>
      </c>
      <c r="K74" s="103">
        <f t="shared" si="7"/>
        <v>-20</v>
      </c>
      <c r="L74" s="103"/>
      <c r="M74" s="105">
        <f t="shared" si="8"/>
        <v>0</v>
      </c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</row>
    <row r="75" spans="1:38" s="88" customFormat="1">
      <c r="A75" s="124"/>
      <c r="B75" s="123"/>
      <c r="C75" s="123"/>
      <c r="D75" s="123"/>
      <c r="E75" s="123"/>
      <c r="F75" s="123"/>
      <c r="H75" s="103">
        <v>70</v>
      </c>
      <c r="I75" s="104" t="str">
        <f t="shared" si="6"/>
        <v/>
      </c>
      <c r="J75" s="103">
        <f t="shared" si="9"/>
        <v>-2</v>
      </c>
      <c r="K75" s="103">
        <f t="shared" si="7"/>
        <v>-20</v>
      </c>
      <c r="L75" s="103"/>
      <c r="M75" s="105">
        <f t="shared" si="8"/>
        <v>0</v>
      </c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</row>
    <row r="76" spans="1:38" s="88" customFormat="1">
      <c r="A76" s="124"/>
      <c r="B76" s="123"/>
      <c r="C76" s="123"/>
      <c r="D76" s="123"/>
      <c r="E76" s="123"/>
      <c r="F76" s="123"/>
      <c r="H76" s="103">
        <v>71</v>
      </c>
      <c r="I76" s="104" t="str">
        <f t="shared" si="6"/>
        <v/>
      </c>
      <c r="J76" s="103">
        <f t="shared" si="9"/>
        <v>-2</v>
      </c>
      <c r="K76" s="103">
        <f t="shared" si="7"/>
        <v>-20</v>
      </c>
      <c r="L76" s="103"/>
      <c r="M76" s="105">
        <f t="shared" si="8"/>
        <v>0</v>
      </c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</row>
    <row r="77" spans="1:38" s="88" customFormat="1">
      <c r="A77" s="124"/>
      <c r="B77" s="123"/>
      <c r="C77" s="123"/>
      <c r="D77" s="123"/>
      <c r="E77" s="123"/>
      <c r="F77" s="123"/>
      <c r="H77" s="103">
        <v>72</v>
      </c>
      <c r="I77" s="104" t="str">
        <f t="shared" si="6"/>
        <v/>
      </c>
      <c r="J77" s="103">
        <f t="shared" si="9"/>
        <v>-2</v>
      </c>
      <c r="K77" s="103">
        <f t="shared" si="7"/>
        <v>-20</v>
      </c>
      <c r="L77" s="103"/>
      <c r="M77" s="105">
        <f t="shared" si="8"/>
        <v>0</v>
      </c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</row>
    <row r="78" spans="1:38" s="88" customFormat="1">
      <c r="A78" s="124"/>
      <c r="B78" s="123"/>
      <c r="C78" s="123"/>
      <c r="D78" s="123"/>
      <c r="E78" s="123"/>
      <c r="F78" s="123"/>
      <c r="H78" s="103">
        <v>73</v>
      </c>
      <c r="I78" s="104" t="str">
        <f t="shared" si="6"/>
        <v/>
      </c>
      <c r="J78" s="103">
        <f t="shared" si="9"/>
        <v>-2</v>
      </c>
      <c r="K78" s="103">
        <f t="shared" si="7"/>
        <v>-20</v>
      </c>
      <c r="L78" s="103"/>
      <c r="M78" s="105">
        <f t="shared" si="8"/>
        <v>0</v>
      </c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</row>
    <row r="79" spans="1:38" s="88" customFormat="1">
      <c r="A79" s="124"/>
      <c r="B79" s="123"/>
      <c r="C79" s="123"/>
      <c r="D79" s="123"/>
      <c r="E79" s="123"/>
      <c r="F79" s="123"/>
      <c r="H79" s="103">
        <v>74</v>
      </c>
      <c r="I79" s="104" t="str">
        <f t="shared" si="6"/>
        <v/>
      </c>
      <c r="J79" s="103">
        <f t="shared" si="9"/>
        <v>-2</v>
      </c>
      <c r="K79" s="103">
        <f t="shared" si="7"/>
        <v>-20</v>
      </c>
      <c r="L79" s="103"/>
      <c r="M79" s="105">
        <f t="shared" si="8"/>
        <v>0</v>
      </c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</row>
    <row r="80" spans="1:38" s="88" customFormat="1">
      <c r="A80" s="124"/>
      <c r="B80" s="123"/>
      <c r="C80" s="123"/>
      <c r="D80" s="123"/>
      <c r="E80" s="123"/>
      <c r="F80" s="123"/>
      <c r="H80" s="103">
        <v>75</v>
      </c>
      <c r="I80" s="104" t="str">
        <f t="shared" si="6"/>
        <v/>
      </c>
      <c r="J80" s="103">
        <f t="shared" si="9"/>
        <v>-2</v>
      </c>
      <c r="K80" s="103">
        <f t="shared" si="7"/>
        <v>-20</v>
      </c>
      <c r="L80" s="103"/>
      <c r="M80" s="105">
        <f t="shared" si="8"/>
        <v>0</v>
      </c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</row>
    <row r="81" spans="1:38" s="88" customFormat="1">
      <c r="A81" s="124"/>
      <c r="B81" s="123"/>
      <c r="C81" s="123"/>
      <c r="D81" s="123"/>
      <c r="E81" s="123"/>
      <c r="F81" s="123"/>
      <c r="H81" s="103">
        <v>76</v>
      </c>
      <c r="I81" s="104" t="str">
        <f t="shared" si="6"/>
        <v/>
      </c>
      <c r="J81" s="103">
        <f t="shared" si="9"/>
        <v>-2</v>
      </c>
      <c r="K81" s="103">
        <f t="shared" si="7"/>
        <v>-20</v>
      </c>
      <c r="L81" s="103"/>
      <c r="M81" s="105">
        <f t="shared" si="8"/>
        <v>0</v>
      </c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</row>
    <row r="82" spans="1:38" s="88" customFormat="1">
      <c r="A82" s="124"/>
      <c r="B82" s="123"/>
      <c r="C82" s="123"/>
      <c r="D82" s="123"/>
      <c r="E82" s="123"/>
      <c r="F82" s="123"/>
      <c r="H82" s="103">
        <v>77</v>
      </c>
      <c r="I82" s="104" t="str">
        <f t="shared" si="6"/>
        <v/>
      </c>
      <c r="J82" s="103">
        <f t="shared" si="9"/>
        <v>-2</v>
      </c>
      <c r="K82" s="103">
        <f t="shared" si="7"/>
        <v>-20</v>
      </c>
      <c r="L82" s="103"/>
      <c r="M82" s="105">
        <f t="shared" si="8"/>
        <v>0</v>
      </c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</row>
    <row r="83" spans="1:38" s="88" customFormat="1">
      <c r="A83" s="124"/>
      <c r="B83" s="123"/>
      <c r="C83" s="123"/>
      <c r="D83" s="123"/>
      <c r="E83" s="123"/>
      <c r="F83" s="123"/>
      <c r="H83" s="103">
        <v>78</v>
      </c>
      <c r="I83" s="104" t="str">
        <f t="shared" si="6"/>
        <v/>
      </c>
      <c r="J83" s="103">
        <f t="shared" si="9"/>
        <v>-2</v>
      </c>
      <c r="K83" s="103">
        <f t="shared" si="7"/>
        <v>-20</v>
      </c>
      <c r="L83" s="103"/>
      <c r="M83" s="105">
        <f t="shared" si="8"/>
        <v>0</v>
      </c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</row>
    <row r="84" spans="1:38" s="88" customFormat="1">
      <c r="A84" s="124"/>
      <c r="B84" s="123"/>
      <c r="C84" s="123"/>
      <c r="D84" s="123"/>
      <c r="E84" s="123"/>
      <c r="F84" s="123"/>
      <c r="H84" s="103">
        <v>79</v>
      </c>
      <c r="I84" s="104" t="str">
        <f t="shared" si="6"/>
        <v/>
      </c>
      <c r="J84" s="103">
        <f t="shared" si="9"/>
        <v>-2</v>
      </c>
      <c r="K84" s="103">
        <f t="shared" si="7"/>
        <v>-20</v>
      </c>
      <c r="L84" s="103"/>
      <c r="M84" s="105">
        <f t="shared" si="8"/>
        <v>0</v>
      </c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</row>
    <row r="85" spans="1:38" s="88" customFormat="1">
      <c r="A85" s="124"/>
      <c r="B85" s="123"/>
      <c r="C85" s="123"/>
      <c r="D85" s="123"/>
      <c r="E85" s="123"/>
      <c r="F85" s="123"/>
      <c r="H85" s="103">
        <v>80</v>
      </c>
      <c r="I85" s="104" t="str">
        <f t="shared" si="6"/>
        <v/>
      </c>
      <c r="J85" s="103">
        <f t="shared" si="9"/>
        <v>-2</v>
      </c>
      <c r="K85" s="103">
        <f t="shared" si="7"/>
        <v>-20</v>
      </c>
      <c r="L85" s="103"/>
      <c r="M85" s="105">
        <f t="shared" si="8"/>
        <v>0</v>
      </c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</row>
    <row r="86" spans="1:38" s="88" customFormat="1">
      <c r="A86" s="124"/>
      <c r="B86" s="123"/>
      <c r="C86" s="123"/>
      <c r="D86" s="123"/>
      <c r="E86" s="123"/>
      <c r="F86" s="123"/>
      <c r="H86" s="103">
        <v>81</v>
      </c>
      <c r="I86" s="104" t="str">
        <f t="shared" si="6"/>
        <v/>
      </c>
      <c r="J86" s="103">
        <f t="shared" si="9"/>
        <v>-2</v>
      </c>
      <c r="K86" s="103">
        <f t="shared" si="7"/>
        <v>-20</v>
      </c>
      <c r="L86" s="103"/>
      <c r="M86" s="105">
        <f t="shared" si="8"/>
        <v>0</v>
      </c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</row>
    <row r="87" spans="1:38" s="88" customFormat="1">
      <c r="A87" s="124"/>
      <c r="B87" s="123"/>
      <c r="C87" s="123"/>
      <c r="D87" s="123"/>
      <c r="E87" s="123"/>
      <c r="F87" s="123"/>
      <c r="H87" s="103">
        <v>82</v>
      </c>
      <c r="I87" s="104" t="str">
        <f t="shared" si="6"/>
        <v/>
      </c>
      <c r="J87" s="103">
        <f t="shared" si="9"/>
        <v>-2</v>
      </c>
      <c r="K87" s="103">
        <f t="shared" si="7"/>
        <v>-20</v>
      </c>
      <c r="L87" s="103"/>
      <c r="M87" s="105">
        <f t="shared" si="8"/>
        <v>0</v>
      </c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</row>
    <row r="88" spans="1:38" s="88" customFormat="1">
      <c r="A88" s="124"/>
      <c r="B88" s="123"/>
      <c r="C88" s="123"/>
      <c r="D88" s="123"/>
      <c r="E88" s="123"/>
      <c r="F88" s="123"/>
      <c r="H88" s="103">
        <v>83</v>
      </c>
      <c r="I88" s="104" t="str">
        <f t="shared" si="6"/>
        <v/>
      </c>
      <c r="J88" s="103">
        <f t="shared" si="9"/>
        <v>-2</v>
      </c>
      <c r="K88" s="103">
        <f t="shared" si="7"/>
        <v>-20</v>
      </c>
      <c r="L88" s="103"/>
      <c r="M88" s="105">
        <f t="shared" si="8"/>
        <v>0</v>
      </c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</row>
    <row r="89" spans="1:38" s="88" customFormat="1">
      <c r="A89" s="124"/>
      <c r="B89" s="123"/>
      <c r="C89" s="123"/>
      <c r="D89" s="123"/>
      <c r="E89" s="123"/>
      <c r="F89" s="123"/>
      <c r="H89" s="103">
        <v>84</v>
      </c>
      <c r="I89" s="104" t="str">
        <f t="shared" si="6"/>
        <v/>
      </c>
      <c r="J89" s="103">
        <f t="shared" si="9"/>
        <v>-2</v>
      </c>
      <c r="K89" s="103">
        <f t="shared" si="7"/>
        <v>-20</v>
      </c>
      <c r="L89" s="103"/>
      <c r="M89" s="105">
        <f t="shared" si="8"/>
        <v>0</v>
      </c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</row>
    <row r="90" spans="1:38" s="88" customFormat="1">
      <c r="A90" s="124"/>
      <c r="B90" s="123"/>
      <c r="C90" s="123"/>
      <c r="D90" s="123"/>
      <c r="E90" s="123"/>
      <c r="F90" s="123"/>
      <c r="H90" s="103">
        <v>85</v>
      </c>
      <c r="I90" s="104" t="str">
        <f t="shared" si="6"/>
        <v/>
      </c>
      <c r="J90" s="103">
        <f t="shared" si="9"/>
        <v>-2</v>
      </c>
      <c r="K90" s="103">
        <f t="shared" si="7"/>
        <v>-20</v>
      </c>
      <c r="L90" s="103"/>
      <c r="M90" s="105">
        <f t="shared" si="8"/>
        <v>0</v>
      </c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</row>
    <row r="91" spans="1:38" s="88" customFormat="1">
      <c r="A91" s="124"/>
      <c r="B91" s="123"/>
      <c r="C91" s="123"/>
      <c r="D91" s="123"/>
      <c r="E91" s="123"/>
      <c r="F91" s="123"/>
      <c r="H91" s="103">
        <v>86</v>
      </c>
      <c r="I91" s="104" t="str">
        <f t="shared" si="6"/>
        <v/>
      </c>
      <c r="J91" s="103">
        <f t="shared" si="9"/>
        <v>-2</v>
      </c>
      <c r="K91" s="103">
        <f t="shared" si="7"/>
        <v>-20</v>
      </c>
      <c r="L91" s="103"/>
      <c r="M91" s="105">
        <f t="shared" si="8"/>
        <v>0</v>
      </c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</row>
    <row r="92" spans="1:38" s="88" customFormat="1">
      <c r="A92" s="124"/>
      <c r="B92" s="123"/>
      <c r="C92" s="123"/>
      <c r="D92" s="123"/>
      <c r="E92" s="123"/>
      <c r="F92" s="123"/>
      <c r="H92" s="103">
        <v>87</v>
      </c>
      <c r="I92" s="104" t="str">
        <f t="shared" si="6"/>
        <v/>
      </c>
      <c r="J92" s="103">
        <f t="shared" si="9"/>
        <v>-2</v>
      </c>
      <c r="K92" s="103">
        <f t="shared" si="7"/>
        <v>-20</v>
      </c>
      <c r="L92" s="103"/>
      <c r="M92" s="105">
        <f t="shared" si="8"/>
        <v>0</v>
      </c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</row>
    <row r="93" spans="1:38" s="88" customFormat="1">
      <c r="A93" s="124"/>
      <c r="B93" s="123"/>
      <c r="C93" s="123"/>
      <c r="D93" s="123"/>
      <c r="E93" s="123"/>
      <c r="F93" s="123"/>
      <c r="H93" s="103">
        <v>88</v>
      </c>
      <c r="I93" s="104" t="str">
        <f t="shared" si="6"/>
        <v/>
      </c>
      <c r="J93" s="103">
        <f t="shared" si="9"/>
        <v>-2</v>
      </c>
      <c r="K93" s="103">
        <f t="shared" si="7"/>
        <v>-20</v>
      </c>
      <c r="L93" s="103"/>
      <c r="M93" s="105">
        <f t="shared" si="8"/>
        <v>0</v>
      </c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</row>
    <row r="94" spans="1:38" s="88" customFormat="1">
      <c r="A94" s="124"/>
      <c r="B94" s="123"/>
      <c r="C94" s="123"/>
      <c r="D94" s="123"/>
      <c r="E94" s="123"/>
      <c r="F94" s="123"/>
      <c r="H94" s="103">
        <v>89</v>
      </c>
      <c r="I94" s="104" t="str">
        <f t="shared" si="6"/>
        <v/>
      </c>
      <c r="J94" s="103">
        <f t="shared" si="9"/>
        <v>-2</v>
      </c>
      <c r="K94" s="103">
        <f t="shared" si="7"/>
        <v>-20</v>
      </c>
      <c r="L94" s="103"/>
      <c r="M94" s="105">
        <f t="shared" si="8"/>
        <v>0</v>
      </c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</row>
    <row r="95" spans="1:38" s="88" customFormat="1">
      <c r="A95" s="124"/>
      <c r="B95" s="123"/>
      <c r="C95" s="123"/>
      <c r="D95" s="123"/>
      <c r="E95" s="123"/>
      <c r="F95" s="123"/>
      <c r="H95" s="103">
        <v>90</v>
      </c>
      <c r="I95" s="104" t="str">
        <f t="shared" si="6"/>
        <v/>
      </c>
      <c r="J95" s="103">
        <f t="shared" si="9"/>
        <v>-2</v>
      </c>
      <c r="K95" s="103">
        <f t="shared" si="7"/>
        <v>-20</v>
      </c>
      <c r="L95" s="103"/>
      <c r="M95" s="105">
        <f t="shared" si="8"/>
        <v>0</v>
      </c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</row>
    <row r="96" spans="1:38" s="88" customFormat="1">
      <c r="A96" s="124"/>
      <c r="B96" s="123"/>
      <c r="C96" s="123"/>
      <c r="D96" s="123"/>
      <c r="E96" s="123"/>
      <c r="F96" s="123"/>
      <c r="H96" s="103">
        <v>91</v>
      </c>
      <c r="I96" s="104" t="str">
        <f t="shared" si="6"/>
        <v/>
      </c>
      <c r="J96" s="103">
        <f t="shared" si="9"/>
        <v>-2</v>
      </c>
      <c r="K96" s="103">
        <f t="shared" si="7"/>
        <v>-20</v>
      </c>
      <c r="L96" s="103"/>
      <c r="M96" s="105">
        <f t="shared" si="8"/>
        <v>0</v>
      </c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</row>
    <row r="97" spans="1:38" s="88" customFormat="1">
      <c r="A97" s="124"/>
      <c r="B97" s="123"/>
      <c r="C97" s="123"/>
      <c r="D97" s="123"/>
      <c r="E97" s="123"/>
      <c r="F97" s="123"/>
      <c r="H97" s="103">
        <v>92</v>
      </c>
      <c r="I97" s="104" t="str">
        <f t="shared" si="6"/>
        <v/>
      </c>
      <c r="J97" s="103">
        <f t="shared" si="9"/>
        <v>-2</v>
      </c>
      <c r="K97" s="103">
        <f t="shared" si="7"/>
        <v>-20</v>
      </c>
      <c r="L97" s="103"/>
      <c r="M97" s="105">
        <f t="shared" si="8"/>
        <v>0</v>
      </c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</row>
    <row r="98" spans="1:38" s="88" customFormat="1">
      <c r="A98" s="124"/>
      <c r="B98" s="123"/>
      <c r="C98" s="123"/>
      <c r="D98" s="123"/>
      <c r="E98" s="123"/>
      <c r="F98" s="123"/>
      <c r="H98" s="103">
        <v>93</v>
      </c>
      <c r="I98" s="104" t="str">
        <f t="shared" si="6"/>
        <v/>
      </c>
      <c r="J98" s="103">
        <f t="shared" si="9"/>
        <v>-2</v>
      </c>
      <c r="K98" s="103">
        <f t="shared" si="7"/>
        <v>-20</v>
      </c>
      <c r="L98" s="103"/>
      <c r="M98" s="105">
        <f t="shared" si="8"/>
        <v>0</v>
      </c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</row>
    <row r="99" spans="1:38" s="88" customFormat="1">
      <c r="A99" s="124"/>
      <c r="B99" s="123"/>
      <c r="C99" s="123"/>
      <c r="D99" s="123"/>
      <c r="E99" s="123"/>
      <c r="F99" s="123"/>
      <c r="H99" s="103">
        <v>94</v>
      </c>
      <c r="I99" s="104" t="str">
        <f t="shared" si="6"/>
        <v/>
      </c>
      <c r="J99" s="103">
        <f t="shared" si="9"/>
        <v>-2</v>
      </c>
      <c r="K99" s="103">
        <f t="shared" si="7"/>
        <v>-20</v>
      </c>
      <c r="L99" s="103"/>
      <c r="M99" s="105">
        <f t="shared" si="8"/>
        <v>0</v>
      </c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</row>
    <row r="100" spans="1:38" s="88" customFormat="1">
      <c r="A100" s="124"/>
      <c r="B100" s="123"/>
      <c r="C100" s="123"/>
      <c r="D100" s="123"/>
      <c r="E100" s="123"/>
      <c r="F100" s="123"/>
      <c r="H100" s="103">
        <v>95</v>
      </c>
      <c r="I100" s="104" t="str">
        <f t="shared" si="6"/>
        <v/>
      </c>
      <c r="J100" s="103">
        <f t="shared" si="9"/>
        <v>-2</v>
      </c>
      <c r="K100" s="103">
        <f t="shared" si="7"/>
        <v>-20</v>
      </c>
      <c r="L100" s="103"/>
      <c r="M100" s="105">
        <f t="shared" si="8"/>
        <v>0</v>
      </c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</row>
    <row r="101" spans="1:38" s="88" customFormat="1">
      <c r="A101" s="124"/>
      <c r="B101" s="123"/>
      <c r="C101" s="123"/>
      <c r="D101" s="123"/>
      <c r="E101" s="123"/>
      <c r="F101" s="123"/>
      <c r="H101" s="103">
        <v>96</v>
      </c>
      <c r="I101" s="104" t="str">
        <f t="shared" si="6"/>
        <v/>
      </c>
      <c r="J101" s="103">
        <f t="shared" si="9"/>
        <v>-2</v>
      </c>
      <c r="K101" s="103">
        <f t="shared" si="7"/>
        <v>-20</v>
      </c>
      <c r="L101" s="103"/>
      <c r="M101" s="105">
        <f t="shared" si="8"/>
        <v>0</v>
      </c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</row>
    <row r="102" spans="1:38" s="88" customFormat="1">
      <c r="A102" s="124"/>
      <c r="B102" s="123"/>
      <c r="C102" s="123"/>
      <c r="D102" s="123"/>
      <c r="E102" s="123"/>
      <c r="F102" s="123"/>
      <c r="H102" s="103">
        <v>97</v>
      </c>
      <c r="I102" s="104" t="str">
        <f t="shared" si="6"/>
        <v/>
      </c>
      <c r="J102" s="103">
        <f t="shared" si="9"/>
        <v>-2</v>
      </c>
      <c r="K102" s="103">
        <f t="shared" si="7"/>
        <v>-20</v>
      </c>
      <c r="L102" s="103"/>
      <c r="M102" s="105">
        <f t="shared" si="8"/>
        <v>0</v>
      </c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</row>
    <row r="103" spans="1:38" s="88" customFormat="1">
      <c r="A103" s="124"/>
      <c r="B103" s="123"/>
      <c r="C103" s="123"/>
      <c r="D103" s="123"/>
      <c r="E103" s="123"/>
      <c r="F103" s="123"/>
      <c r="H103" s="103">
        <v>98</v>
      </c>
      <c r="I103" s="104" t="str">
        <f t="shared" si="6"/>
        <v/>
      </c>
      <c r="J103" s="103">
        <f t="shared" si="9"/>
        <v>-2</v>
      </c>
      <c r="K103" s="103">
        <f t="shared" si="7"/>
        <v>-20</v>
      </c>
      <c r="L103" s="103"/>
      <c r="M103" s="105">
        <f t="shared" si="8"/>
        <v>0</v>
      </c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</row>
    <row r="104" spans="1:38" s="88" customFormat="1">
      <c r="A104" s="124"/>
      <c r="B104" s="123"/>
      <c r="C104" s="123"/>
      <c r="D104" s="123"/>
      <c r="E104" s="123"/>
      <c r="F104" s="123"/>
      <c r="H104" s="103">
        <v>99</v>
      </c>
      <c r="I104" s="104" t="str">
        <f t="shared" si="6"/>
        <v/>
      </c>
      <c r="J104" s="103">
        <f t="shared" si="9"/>
        <v>-2</v>
      </c>
      <c r="K104" s="103">
        <f t="shared" si="7"/>
        <v>-20</v>
      </c>
      <c r="L104" s="103"/>
      <c r="M104" s="105">
        <f t="shared" si="8"/>
        <v>0</v>
      </c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</row>
    <row r="105" spans="1:38" s="88" customFormat="1">
      <c r="A105" s="124"/>
      <c r="B105" s="123"/>
      <c r="C105" s="123"/>
      <c r="D105" s="123"/>
      <c r="E105" s="123"/>
      <c r="F105" s="123"/>
      <c r="H105" s="103">
        <v>100</v>
      </c>
      <c r="I105" s="104" t="str">
        <f t="shared" si="6"/>
        <v/>
      </c>
      <c r="J105" s="103">
        <f t="shared" si="9"/>
        <v>-2</v>
      </c>
      <c r="K105" s="103">
        <f t="shared" si="7"/>
        <v>-20</v>
      </c>
      <c r="L105" s="103"/>
      <c r="M105" s="105">
        <f t="shared" si="8"/>
        <v>0</v>
      </c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</row>
    <row r="106" spans="1:38" s="88" customFormat="1">
      <c r="A106" s="124"/>
      <c r="B106" s="123"/>
      <c r="C106" s="123"/>
      <c r="D106" s="123"/>
      <c r="E106" s="123"/>
      <c r="F106" s="123"/>
      <c r="H106" s="103">
        <v>101</v>
      </c>
      <c r="I106" s="104" t="str">
        <f t="shared" si="6"/>
        <v/>
      </c>
      <c r="J106" s="103">
        <f t="shared" si="9"/>
        <v>-2</v>
      </c>
      <c r="K106" s="103">
        <f t="shared" si="7"/>
        <v>-20</v>
      </c>
      <c r="L106" s="103"/>
      <c r="M106" s="105">
        <f t="shared" si="8"/>
        <v>0</v>
      </c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</row>
    <row r="107" spans="1:38" s="88" customFormat="1">
      <c r="A107" s="124"/>
      <c r="B107" s="123"/>
      <c r="C107" s="123"/>
      <c r="D107" s="123"/>
      <c r="E107" s="123"/>
      <c r="F107" s="123"/>
      <c r="H107" s="103">
        <v>102</v>
      </c>
      <c r="I107" s="104" t="str">
        <f t="shared" si="6"/>
        <v/>
      </c>
      <c r="J107" s="103">
        <f t="shared" si="9"/>
        <v>-2</v>
      </c>
      <c r="K107" s="103">
        <f t="shared" si="7"/>
        <v>-20</v>
      </c>
      <c r="L107" s="103"/>
      <c r="M107" s="105">
        <f t="shared" si="8"/>
        <v>0</v>
      </c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</row>
    <row r="108" spans="1:38" s="88" customFormat="1">
      <c r="A108" s="124"/>
      <c r="B108" s="123"/>
      <c r="C108" s="123"/>
      <c r="D108" s="123"/>
      <c r="E108" s="123"/>
      <c r="F108" s="123"/>
      <c r="H108" s="103">
        <v>103</v>
      </c>
      <c r="I108" s="104" t="str">
        <f t="shared" si="6"/>
        <v/>
      </c>
      <c r="J108" s="103">
        <f t="shared" si="9"/>
        <v>-2</v>
      </c>
      <c r="K108" s="103">
        <f t="shared" si="7"/>
        <v>-20</v>
      </c>
      <c r="L108" s="103"/>
      <c r="M108" s="105">
        <f t="shared" si="8"/>
        <v>0</v>
      </c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</row>
    <row r="109" spans="1:38" s="88" customFormat="1">
      <c r="A109" s="124"/>
      <c r="B109" s="123"/>
      <c r="C109" s="123"/>
      <c r="D109" s="123"/>
      <c r="E109" s="123"/>
      <c r="F109" s="123"/>
      <c r="H109" s="103">
        <v>104</v>
      </c>
      <c r="I109" s="104" t="str">
        <f t="shared" si="6"/>
        <v/>
      </c>
      <c r="J109" s="103">
        <f t="shared" si="9"/>
        <v>-2</v>
      </c>
      <c r="K109" s="103">
        <f t="shared" si="7"/>
        <v>-20</v>
      </c>
      <c r="L109" s="103"/>
      <c r="M109" s="105">
        <f t="shared" si="8"/>
        <v>0</v>
      </c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</row>
    <row r="110" spans="1:38" s="88" customFormat="1">
      <c r="A110" s="124"/>
      <c r="B110" s="123"/>
      <c r="C110" s="123"/>
      <c r="D110" s="123"/>
      <c r="E110" s="123"/>
      <c r="F110" s="123"/>
      <c r="H110" s="103">
        <v>105</v>
      </c>
      <c r="I110" s="104" t="str">
        <f t="shared" si="6"/>
        <v/>
      </c>
      <c r="J110" s="103">
        <f t="shared" si="9"/>
        <v>-2</v>
      </c>
      <c r="K110" s="103">
        <f t="shared" si="7"/>
        <v>-20</v>
      </c>
      <c r="L110" s="103"/>
      <c r="M110" s="105">
        <f t="shared" si="8"/>
        <v>0</v>
      </c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</row>
    <row r="111" spans="1:38" s="88" customFormat="1">
      <c r="A111" s="124"/>
      <c r="B111" s="123"/>
      <c r="C111" s="123"/>
      <c r="D111" s="123"/>
      <c r="E111" s="123"/>
      <c r="F111" s="123"/>
      <c r="H111" s="103">
        <v>106</v>
      </c>
      <c r="I111" s="104" t="str">
        <f t="shared" si="6"/>
        <v/>
      </c>
      <c r="J111" s="103">
        <f t="shared" si="9"/>
        <v>-2</v>
      </c>
      <c r="K111" s="103">
        <f t="shared" si="7"/>
        <v>-20</v>
      </c>
      <c r="L111" s="103"/>
      <c r="M111" s="105">
        <f t="shared" si="8"/>
        <v>0</v>
      </c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</row>
    <row r="112" spans="1:38" s="88" customFormat="1">
      <c r="A112" s="124"/>
      <c r="B112" s="123"/>
      <c r="C112" s="123"/>
      <c r="D112" s="123"/>
      <c r="E112" s="123"/>
      <c r="F112" s="123"/>
      <c r="H112" s="103">
        <v>107</v>
      </c>
      <c r="I112" s="104" t="str">
        <f t="shared" si="6"/>
        <v/>
      </c>
      <c r="J112" s="103">
        <f t="shared" si="9"/>
        <v>-2</v>
      </c>
      <c r="K112" s="103">
        <f t="shared" si="7"/>
        <v>-20</v>
      </c>
      <c r="L112" s="103"/>
      <c r="M112" s="105">
        <f t="shared" si="8"/>
        <v>0</v>
      </c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</row>
    <row r="113" spans="1:38" s="88" customFormat="1">
      <c r="A113" s="124"/>
      <c r="B113" s="123"/>
      <c r="C113" s="123"/>
      <c r="D113" s="123"/>
      <c r="E113" s="123"/>
      <c r="F113" s="123"/>
      <c r="H113" s="103">
        <v>108</v>
      </c>
      <c r="I113" s="104" t="str">
        <f t="shared" si="6"/>
        <v/>
      </c>
      <c r="J113" s="103">
        <f t="shared" si="9"/>
        <v>-2</v>
      </c>
      <c r="K113" s="103">
        <f t="shared" si="7"/>
        <v>-20</v>
      </c>
      <c r="L113" s="103"/>
      <c r="M113" s="105">
        <f t="shared" si="8"/>
        <v>0</v>
      </c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</row>
    <row r="114" spans="1:38" s="88" customFormat="1">
      <c r="A114" s="124"/>
      <c r="B114" s="123"/>
      <c r="C114" s="123"/>
      <c r="D114" s="123"/>
      <c r="E114" s="123"/>
      <c r="F114" s="123"/>
      <c r="H114" s="103">
        <v>109</v>
      </c>
      <c r="I114" s="104" t="str">
        <f t="shared" si="6"/>
        <v/>
      </c>
      <c r="J114" s="103">
        <f t="shared" si="9"/>
        <v>-2</v>
      </c>
      <c r="K114" s="103">
        <f t="shared" si="7"/>
        <v>-20</v>
      </c>
      <c r="L114" s="103"/>
      <c r="M114" s="105">
        <f t="shared" si="8"/>
        <v>0</v>
      </c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</row>
    <row r="115" spans="1:38" s="88" customFormat="1">
      <c r="A115" s="124"/>
      <c r="B115" s="123"/>
      <c r="C115" s="123"/>
      <c r="D115" s="123"/>
      <c r="E115" s="123"/>
      <c r="F115" s="123"/>
      <c r="H115" s="103">
        <v>110</v>
      </c>
      <c r="I115" s="104" t="str">
        <f t="shared" si="6"/>
        <v/>
      </c>
      <c r="J115" s="103">
        <f t="shared" si="9"/>
        <v>-2</v>
      </c>
      <c r="K115" s="103">
        <f t="shared" si="7"/>
        <v>-20</v>
      </c>
      <c r="L115" s="103"/>
      <c r="M115" s="105">
        <f t="shared" si="8"/>
        <v>0</v>
      </c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</row>
    <row r="116" spans="1:38" s="88" customFormat="1">
      <c r="A116" s="124"/>
      <c r="B116" s="123"/>
      <c r="C116" s="123"/>
      <c r="D116" s="123"/>
      <c r="E116" s="123"/>
      <c r="F116" s="123"/>
      <c r="H116" s="103">
        <v>111</v>
      </c>
      <c r="I116" s="104" t="str">
        <f t="shared" si="6"/>
        <v/>
      </c>
      <c r="J116" s="103">
        <f t="shared" si="9"/>
        <v>-2</v>
      </c>
      <c r="K116" s="103">
        <f t="shared" si="7"/>
        <v>-20</v>
      </c>
      <c r="L116" s="103"/>
      <c r="M116" s="105">
        <f t="shared" si="8"/>
        <v>0</v>
      </c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</row>
    <row r="117" spans="1:38" s="88" customFormat="1">
      <c r="A117" s="124"/>
      <c r="B117" s="123"/>
      <c r="C117" s="123"/>
      <c r="D117" s="123"/>
      <c r="E117" s="123"/>
      <c r="F117" s="123"/>
      <c r="H117" s="103">
        <v>112</v>
      </c>
      <c r="I117" s="104" t="str">
        <f t="shared" si="6"/>
        <v/>
      </c>
      <c r="J117" s="103">
        <f t="shared" si="9"/>
        <v>-2</v>
      </c>
      <c r="K117" s="103">
        <f t="shared" si="7"/>
        <v>-20</v>
      </c>
      <c r="L117" s="103"/>
      <c r="M117" s="105">
        <f t="shared" si="8"/>
        <v>0</v>
      </c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</row>
    <row r="118" spans="1:38" s="88" customFormat="1">
      <c r="A118" s="124"/>
      <c r="B118" s="123"/>
      <c r="C118" s="123"/>
      <c r="D118" s="123"/>
      <c r="E118" s="123"/>
      <c r="F118" s="123"/>
      <c r="H118" s="103">
        <v>113</v>
      </c>
      <c r="I118" s="104" t="str">
        <f t="shared" si="6"/>
        <v/>
      </c>
      <c r="J118" s="103">
        <f t="shared" si="9"/>
        <v>-2</v>
      </c>
      <c r="K118" s="103">
        <f t="shared" si="7"/>
        <v>-20</v>
      </c>
      <c r="L118" s="103"/>
      <c r="M118" s="105">
        <f t="shared" si="8"/>
        <v>0</v>
      </c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</row>
    <row r="119" spans="1:38" s="88" customFormat="1">
      <c r="A119" s="124"/>
      <c r="B119" s="123"/>
      <c r="C119" s="123"/>
      <c r="D119" s="123"/>
      <c r="E119" s="123"/>
      <c r="F119" s="123"/>
      <c r="H119" s="103">
        <v>114</v>
      </c>
      <c r="I119" s="104" t="str">
        <f t="shared" si="6"/>
        <v/>
      </c>
      <c r="J119" s="103">
        <f t="shared" si="9"/>
        <v>-2</v>
      </c>
      <c r="K119" s="103">
        <f t="shared" si="7"/>
        <v>-20</v>
      </c>
      <c r="L119" s="103"/>
      <c r="M119" s="105">
        <f t="shared" si="8"/>
        <v>0</v>
      </c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</row>
    <row r="120" spans="1:38" s="88" customFormat="1">
      <c r="A120" s="124"/>
      <c r="B120" s="123"/>
      <c r="C120" s="123"/>
      <c r="D120" s="123"/>
      <c r="E120" s="123"/>
      <c r="F120" s="123"/>
      <c r="H120" s="103">
        <v>115</v>
      </c>
      <c r="I120" s="104" t="str">
        <f t="shared" si="6"/>
        <v/>
      </c>
      <c r="J120" s="103">
        <f t="shared" si="9"/>
        <v>-2</v>
      </c>
      <c r="K120" s="103">
        <f t="shared" si="7"/>
        <v>-20</v>
      </c>
      <c r="L120" s="103"/>
      <c r="M120" s="105">
        <f t="shared" si="8"/>
        <v>0</v>
      </c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</row>
    <row r="121" spans="1:38" s="88" customFormat="1">
      <c r="A121" s="124"/>
      <c r="B121" s="123"/>
      <c r="C121" s="123"/>
      <c r="D121" s="123"/>
      <c r="E121" s="123"/>
      <c r="F121" s="123"/>
      <c r="H121" s="103">
        <v>116</v>
      </c>
      <c r="I121" s="104" t="str">
        <f t="shared" si="6"/>
        <v/>
      </c>
      <c r="J121" s="103">
        <f t="shared" si="9"/>
        <v>-2</v>
      </c>
      <c r="K121" s="103">
        <f t="shared" si="7"/>
        <v>-20</v>
      </c>
      <c r="L121" s="103"/>
      <c r="M121" s="105">
        <f t="shared" si="8"/>
        <v>0</v>
      </c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</row>
    <row r="122" spans="1:38" s="88" customFormat="1">
      <c r="A122" s="124"/>
      <c r="B122" s="123"/>
      <c r="C122" s="123"/>
      <c r="D122" s="123"/>
      <c r="E122" s="123"/>
      <c r="F122" s="123"/>
      <c r="H122" s="103">
        <v>117</v>
      </c>
      <c r="I122" s="104" t="str">
        <f t="shared" si="6"/>
        <v/>
      </c>
      <c r="J122" s="103">
        <f t="shared" si="9"/>
        <v>-2</v>
      </c>
      <c r="K122" s="103">
        <f t="shared" si="7"/>
        <v>-20</v>
      </c>
      <c r="L122" s="103"/>
      <c r="M122" s="105">
        <f t="shared" si="8"/>
        <v>0</v>
      </c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</row>
    <row r="123" spans="1:38" s="88" customFormat="1">
      <c r="A123" s="124"/>
      <c r="B123" s="123"/>
      <c r="C123" s="123"/>
      <c r="D123" s="123"/>
      <c r="E123" s="123"/>
      <c r="F123" s="123"/>
      <c r="H123" s="103">
        <v>118</v>
      </c>
      <c r="I123" s="104" t="str">
        <f t="shared" si="6"/>
        <v/>
      </c>
      <c r="J123" s="103">
        <f t="shared" si="9"/>
        <v>-2</v>
      </c>
      <c r="K123" s="103">
        <f t="shared" si="7"/>
        <v>-20</v>
      </c>
      <c r="L123" s="103"/>
      <c r="M123" s="105">
        <f t="shared" si="8"/>
        <v>0</v>
      </c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</row>
    <row r="124" spans="1:38" s="88" customFormat="1">
      <c r="A124" s="124"/>
      <c r="B124" s="123"/>
      <c r="C124" s="123"/>
      <c r="D124" s="123"/>
      <c r="E124" s="123"/>
      <c r="F124" s="123"/>
      <c r="H124" s="103">
        <v>119</v>
      </c>
      <c r="I124" s="104" t="str">
        <f t="shared" si="6"/>
        <v/>
      </c>
      <c r="J124" s="103">
        <f t="shared" si="9"/>
        <v>-2</v>
      </c>
      <c r="K124" s="103">
        <f t="shared" si="7"/>
        <v>-20</v>
      </c>
      <c r="L124" s="103"/>
      <c r="M124" s="105">
        <f t="shared" si="8"/>
        <v>0</v>
      </c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</row>
    <row r="125" spans="1:38" s="88" customFormat="1">
      <c r="A125" s="124"/>
      <c r="B125" s="123"/>
      <c r="C125" s="123"/>
      <c r="D125" s="123"/>
      <c r="E125" s="123"/>
      <c r="F125" s="123"/>
      <c r="H125" s="103">
        <v>120</v>
      </c>
      <c r="I125" s="104" t="str">
        <f t="shared" si="6"/>
        <v/>
      </c>
      <c r="J125" s="103">
        <f t="shared" si="9"/>
        <v>-2</v>
      </c>
      <c r="K125" s="103">
        <f t="shared" si="7"/>
        <v>-20</v>
      </c>
      <c r="L125" s="103"/>
      <c r="M125" s="105">
        <f t="shared" si="8"/>
        <v>0</v>
      </c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</row>
    <row r="126" spans="1:38" s="88" customFormat="1">
      <c r="A126" s="124"/>
      <c r="B126" s="123"/>
      <c r="C126" s="123"/>
      <c r="D126" s="123"/>
      <c r="E126" s="123"/>
      <c r="F126" s="123"/>
      <c r="H126" s="103">
        <v>121</v>
      </c>
      <c r="I126" s="104" t="str">
        <f t="shared" si="6"/>
        <v/>
      </c>
      <c r="J126" s="103">
        <f t="shared" si="9"/>
        <v>-2</v>
      </c>
      <c r="K126" s="103">
        <f t="shared" si="7"/>
        <v>-20</v>
      </c>
      <c r="L126" s="103"/>
      <c r="M126" s="105">
        <f t="shared" si="8"/>
        <v>0</v>
      </c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</row>
    <row r="127" spans="1:38" s="88" customFormat="1">
      <c r="A127" s="124"/>
      <c r="B127" s="123"/>
      <c r="C127" s="123"/>
      <c r="D127" s="123"/>
      <c r="E127" s="123"/>
      <c r="F127" s="123"/>
      <c r="H127" s="103">
        <v>122</v>
      </c>
      <c r="I127" s="104" t="str">
        <f t="shared" si="6"/>
        <v/>
      </c>
      <c r="J127" s="103">
        <f t="shared" si="9"/>
        <v>-2</v>
      </c>
      <c r="K127" s="103">
        <f t="shared" si="7"/>
        <v>-20</v>
      </c>
      <c r="L127" s="103"/>
      <c r="M127" s="105">
        <f t="shared" si="8"/>
        <v>0</v>
      </c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</row>
    <row r="128" spans="1:38" s="88" customFormat="1">
      <c r="A128" s="124"/>
      <c r="B128" s="123"/>
      <c r="C128" s="123"/>
      <c r="D128" s="123"/>
      <c r="E128" s="123"/>
      <c r="F128" s="123"/>
      <c r="H128" s="103">
        <v>123</v>
      </c>
      <c r="I128" s="104" t="str">
        <f t="shared" si="6"/>
        <v/>
      </c>
      <c r="J128" s="103">
        <f t="shared" si="9"/>
        <v>-2</v>
      </c>
      <c r="K128" s="103">
        <f t="shared" si="7"/>
        <v>-20</v>
      </c>
      <c r="L128" s="103"/>
      <c r="M128" s="105">
        <f t="shared" si="8"/>
        <v>0</v>
      </c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</row>
    <row r="129" spans="1:38" s="88" customFormat="1">
      <c r="A129" s="124"/>
      <c r="B129" s="123"/>
      <c r="C129" s="123"/>
      <c r="D129" s="123"/>
      <c r="E129" s="123"/>
      <c r="F129" s="123"/>
      <c r="H129" s="103">
        <v>124</v>
      </c>
      <c r="I129" s="104" t="str">
        <f t="shared" si="6"/>
        <v/>
      </c>
      <c r="J129" s="103">
        <f t="shared" si="9"/>
        <v>-2</v>
      </c>
      <c r="K129" s="103">
        <f t="shared" si="7"/>
        <v>-20</v>
      </c>
      <c r="L129" s="103"/>
      <c r="M129" s="105">
        <f t="shared" si="8"/>
        <v>0</v>
      </c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</row>
    <row r="130" spans="1:38" s="88" customFormat="1">
      <c r="A130" s="124"/>
      <c r="B130" s="123"/>
      <c r="C130" s="123"/>
      <c r="D130" s="123"/>
      <c r="E130" s="123"/>
      <c r="F130" s="123"/>
      <c r="H130" s="103">
        <v>125</v>
      </c>
      <c r="I130" s="104" t="str">
        <f t="shared" si="6"/>
        <v/>
      </c>
      <c r="J130" s="103">
        <f t="shared" si="9"/>
        <v>-2</v>
      </c>
      <c r="K130" s="103">
        <f t="shared" si="7"/>
        <v>-20</v>
      </c>
      <c r="L130" s="103"/>
      <c r="M130" s="105">
        <f t="shared" si="8"/>
        <v>0</v>
      </c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</row>
    <row r="131" spans="1:38" s="88" customFormat="1">
      <c r="A131" s="124"/>
      <c r="B131" s="123"/>
      <c r="C131" s="123"/>
      <c r="D131" s="123"/>
      <c r="E131" s="123"/>
      <c r="F131" s="123"/>
      <c r="H131" s="103">
        <v>126</v>
      </c>
      <c r="I131" s="104" t="str">
        <f t="shared" si="6"/>
        <v/>
      </c>
      <c r="J131" s="103">
        <f t="shared" si="9"/>
        <v>-2</v>
      </c>
      <c r="K131" s="103">
        <f t="shared" si="7"/>
        <v>-20</v>
      </c>
      <c r="L131" s="103"/>
      <c r="M131" s="105">
        <f t="shared" si="8"/>
        <v>0</v>
      </c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</row>
    <row r="132" spans="1:38" s="88" customFormat="1">
      <c r="A132" s="124"/>
      <c r="B132" s="123"/>
      <c r="C132" s="123"/>
      <c r="D132" s="123"/>
      <c r="E132" s="123"/>
      <c r="F132" s="123"/>
      <c r="H132" s="103">
        <v>127</v>
      </c>
      <c r="I132" s="104" t="str">
        <f t="shared" si="6"/>
        <v/>
      </c>
      <c r="J132" s="103">
        <f t="shared" si="9"/>
        <v>-2</v>
      </c>
      <c r="K132" s="103">
        <f t="shared" si="7"/>
        <v>-20</v>
      </c>
      <c r="L132" s="103"/>
      <c r="M132" s="105">
        <f t="shared" si="8"/>
        <v>0</v>
      </c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</row>
    <row r="133" spans="1:38" s="88" customFormat="1">
      <c r="A133" s="124"/>
      <c r="B133" s="123"/>
      <c r="C133" s="123"/>
      <c r="D133" s="123"/>
      <c r="E133" s="123"/>
      <c r="F133" s="123"/>
      <c r="H133" s="103">
        <v>128</v>
      </c>
      <c r="I133" s="104" t="str">
        <f t="shared" si="6"/>
        <v/>
      </c>
      <c r="J133" s="103">
        <f t="shared" si="9"/>
        <v>-2</v>
      </c>
      <c r="K133" s="103">
        <f t="shared" si="7"/>
        <v>-20</v>
      </c>
      <c r="L133" s="103"/>
      <c r="M133" s="105">
        <f t="shared" si="8"/>
        <v>0</v>
      </c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</row>
    <row r="134" spans="1:38" s="88" customFormat="1">
      <c r="A134" s="124"/>
      <c r="B134" s="123"/>
      <c r="C134" s="123"/>
      <c r="D134" s="123"/>
      <c r="E134" s="123"/>
      <c r="F134" s="123"/>
      <c r="H134" s="103">
        <v>129</v>
      </c>
      <c r="I134" s="104" t="str">
        <f t="shared" ref="I134:I197" si="10">IF(H134&lt;$H$2+1,($I$2-($I$2-1)*(LOG(H134)/LOG($H$2))),"")</f>
        <v/>
      </c>
      <c r="J134" s="103">
        <f t="shared" si="9"/>
        <v>-3</v>
      </c>
      <c r="K134" s="103">
        <f t="shared" ref="K134:K197" si="11">J134*$J$2</f>
        <v>-30</v>
      </c>
      <c r="L134" s="103"/>
      <c r="M134" s="105">
        <f t="shared" ref="M134:M197" si="12">IF(I134&lt;&gt;"",K134+I134+L134,0)</f>
        <v>0</v>
      </c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</row>
    <row r="135" spans="1:38" s="88" customFormat="1">
      <c r="A135" s="124"/>
      <c r="B135" s="123"/>
      <c r="C135" s="123"/>
      <c r="D135" s="123"/>
      <c r="E135" s="123"/>
      <c r="F135" s="123"/>
      <c r="H135" s="103">
        <v>130</v>
      </c>
      <c r="I135" s="104" t="str">
        <f t="shared" si="10"/>
        <v/>
      </c>
      <c r="J135" s="103">
        <f t="shared" si="9"/>
        <v>-3</v>
      </c>
      <c r="K135" s="103">
        <f t="shared" si="11"/>
        <v>-30</v>
      </c>
      <c r="L135" s="103"/>
      <c r="M135" s="105">
        <f t="shared" si="12"/>
        <v>0</v>
      </c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</row>
    <row r="136" spans="1:38" s="88" customFormat="1">
      <c r="A136" s="124"/>
      <c r="B136" s="123"/>
      <c r="C136" s="123"/>
      <c r="D136" s="123"/>
      <c r="E136" s="123"/>
      <c r="F136" s="123"/>
      <c r="H136" s="103">
        <v>131</v>
      </c>
      <c r="I136" s="104" t="str">
        <f t="shared" si="10"/>
        <v/>
      </c>
      <c r="J136" s="103">
        <f t="shared" si="9"/>
        <v>-3</v>
      </c>
      <c r="K136" s="103">
        <f t="shared" si="11"/>
        <v>-30</v>
      </c>
      <c r="L136" s="103"/>
      <c r="M136" s="105">
        <f t="shared" si="12"/>
        <v>0</v>
      </c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</row>
    <row r="137" spans="1:38" s="88" customFormat="1">
      <c r="A137" s="124"/>
      <c r="B137" s="123"/>
      <c r="C137" s="123"/>
      <c r="D137" s="123"/>
      <c r="E137" s="123"/>
      <c r="F137" s="123"/>
      <c r="H137" s="103">
        <v>132</v>
      </c>
      <c r="I137" s="104" t="str">
        <f t="shared" si="10"/>
        <v/>
      </c>
      <c r="J137" s="103">
        <f t="shared" si="9"/>
        <v>-3</v>
      </c>
      <c r="K137" s="103">
        <f t="shared" si="11"/>
        <v>-30</v>
      </c>
      <c r="L137" s="103"/>
      <c r="M137" s="105">
        <f t="shared" si="12"/>
        <v>0</v>
      </c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</row>
    <row r="138" spans="1:38" s="88" customFormat="1">
      <c r="A138" s="124"/>
      <c r="B138" s="123"/>
      <c r="C138" s="123"/>
      <c r="D138" s="123"/>
      <c r="E138" s="123"/>
      <c r="F138" s="123"/>
      <c r="H138" s="103">
        <v>133</v>
      </c>
      <c r="I138" s="104" t="str">
        <f t="shared" si="10"/>
        <v/>
      </c>
      <c r="J138" s="103">
        <f t="shared" ref="J138:J201" si="13">INT(LOG($H$2,2))-ROUNDUP(LOG(H138,2),0)+IF(OR($H$2=1,$H$2=2,$H$2=4,$H$2=8,$H$2=16,$H$2=32,$H$2=64,$H$2=128,$H$2=256),0,1)</f>
        <v>-3</v>
      </c>
      <c r="K138" s="103">
        <f t="shared" si="11"/>
        <v>-30</v>
      </c>
      <c r="L138" s="103"/>
      <c r="M138" s="105">
        <f t="shared" si="12"/>
        <v>0</v>
      </c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</row>
    <row r="139" spans="1:38" s="88" customFormat="1">
      <c r="A139" s="124"/>
      <c r="B139" s="123"/>
      <c r="C139" s="123"/>
      <c r="D139" s="123"/>
      <c r="E139" s="123"/>
      <c r="F139" s="123"/>
      <c r="H139" s="103">
        <v>134</v>
      </c>
      <c r="I139" s="104" t="str">
        <f t="shared" si="10"/>
        <v/>
      </c>
      <c r="J139" s="103">
        <f t="shared" si="13"/>
        <v>-3</v>
      </c>
      <c r="K139" s="103">
        <f t="shared" si="11"/>
        <v>-30</v>
      </c>
      <c r="L139" s="103"/>
      <c r="M139" s="105">
        <f t="shared" si="12"/>
        <v>0</v>
      </c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</row>
    <row r="140" spans="1:38" s="88" customFormat="1">
      <c r="A140" s="124"/>
      <c r="B140" s="123"/>
      <c r="C140" s="123"/>
      <c r="D140" s="123"/>
      <c r="E140" s="123"/>
      <c r="F140" s="123"/>
      <c r="H140" s="103">
        <v>135</v>
      </c>
      <c r="I140" s="104" t="str">
        <f t="shared" si="10"/>
        <v/>
      </c>
      <c r="J140" s="103">
        <f t="shared" si="13"/>
        <v>-3</v>
      </c>
      <c r="K140" s="103">
        <f t="shared" si="11"/>
        <v>-30</v>
      </c>
      <c r="L140" s="103"/>
      <c r="M140" s="105">
        <f t="shared" si="12"/>
        <v>0</v>
      </c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</row>
    <row r="141" spans="1:38" s="88" customFormat="1">
      <c r="A141" s="124"/>
      <c r="B141" s="123"/>
      <c r="C141" s="123"/>
      <c r="D141" s="123"/>
      <c r="E141" s="123"/>
      <c r="F141" s="123"/>
      <c r="H141" s="103">
        <v>136</v>
      </c>
      <c r="I141" s="104" t="str">
        <f t="shared" si="10"/>
        <v/>
      </c>
      <c r="J141" s="103">
        <f t="shared" si="13"/>
        <v>-3</v>
      </c>
      <c r="K141" s="103">
        <f t="shared" si="11"/>
        <v>-30</v>
      </c>
      <c r="L141" s="103"/>
      <c r="M141" s="105">
        <f t="shared" si="12"/>
        <v>0</v>
      </c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</row>
    <row r="142" spans="1:38" s="88" customFormat="1">
      <c r="A142" s="124"/>
      <c r="B142" s="123"/>
      <c r="C142" s="123"/>
      <c r="D142" s="123"/>
      <c r="E142" s="123"/>
      <c r="F142" s="123"/>
      <c r="H142" s="103">
        <v>137</v>
      </c>
      <c r="I142" s="104" t="str">
        <f t="shared" si="10"/>
        <v/>
      </c>
      <c r="J142" s="103">
        <f t="shared" si="13"/>
        <v>-3</v>
      </c>
      <c r="K142" s="103">
        <f t="shared" si="11"/>
        <v>-30</v>
      </c>
      <c r="L142" s="103"/>
      <c r="M142" s="105">
        <f t="shared" si="12"/>
        <v>0</v>
      </c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</row>
    <row r="143" spans="1:38" s="88" customFormat="1">
      <c r="A143" s="124"/>
      <c r="B143" s="123"/>
      <c r="C143" s="123"/>
      <c r="D143" s="123"/>
      <c r="E143" s="123"/>
      <c r="F143" s="123"/>
      <c r="H143" s="103">
        <v>138</v>
      </c>
      <c r="I143" s="104" t="str">
        <f t="shared" si="10"/>
        <v/>
      </c>
      <c r="J143" s="103">
        <f t="shared" si="13"/>
        <v>-3</v>
      </c>
      <c r="K143" s="103">
        <f t="shared" si="11"/>
        <v>-30</v>
      </c>
      <c r="L143" s="103"/>
      <c r="M143" s="105">
        <f t="shared" si="12"/>
        <v>0</v>
      </c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</row>
    <row r="144" spans="1:38" s="88" customFormat="1">
      <c r="A144" s="124"/>
      <c r="B144" s="123"/>
      <c r="C144" s="123"/>
      <c r="D144" s="123"/>
      <c r="E144" s="123"/>
      <c r="F144" s="123"/>
      <c r="H144" s="103">
        <v>139</v>
      </c>
      <c r="I144" s="104" t="str">
        <f t="shared" si="10"/>
        <v/>
      </c>
      <c r="J144" s="103">
        <f t="shared" si="13"/>
        <v>-3</v>
      </c>
      <c r="K144" s="103">
        <f t="shared" si="11"/>
        <v>-30</v>
      </c>
      <c r="L144" s="103"/>
      <c r="M144" s="105">
        <f t="shared" si="12"/>
        <v>0</v>
      </c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</row>
    <row r="145" spans="1:38" s="88" customFormat="1">
      <c r="A145" s="124"/>
      <c r="B145" s="123"/>
      <c r="C145" s="123"/>
      <c r="D145" s="123"/>
      <c r="E145" s="123"/>
      <c r="F145" s="123"/>
      <c r="H145" s="103">
        <v>140</v>
      </c>
      <c r="I145" s="104" t="str">
        <f t="shared" si="10"/>
        <v/>
      </c>
      <c r="J145" s="103">
        <f t="shared" si="13"/>
        <v>-3</v>
      </c>
      <c r="K145" s="103">
        <f t="shared" si="11"/>
        <v>-30</v>
      </c>
      <c r="L145" s="103"/>
      <c r="M145" s="105">
        <f t="shared" si="12"/>
        <v>0</v>
      </c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</row>
    <row r="146" spans="1:38" s="88" customFormat="1">
      <c r="A146" s="124"/>
      <c r="B146" s="123"/>
      <c r="C146" s="123"/>
      <c r="D146" s="123"/>
      <c r="E146" s="123"/>
      <c r="F146" s="123"/>
      <c r="H146" s="103">
        <v>141</v>
      </c>
      <c r="I146" s="104" t="str">
        <f t="shared" si="10"/>
        <v/>
      </c>
      <c r="J146" s="103">
        <f t="shared" si="13"/>
        <v>-3</v>
      </c>
      <c r="K146" s="103">
        <f t="shared" si="11"/>
        <v>-30</v>
      </c>
      <c r="L146" s="103"/>
      <c r="M146" s="105">
        <f t="shared" si="12"/>
        <v>0</v>
      </c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</row>
    <row r="147" spans="1:38" s="88" customFormat="1">
      <c r="A147" s="124"/>
      <c r="B147" s="123"/>
      <c r="C147" s="123"/>
      <c r="D147" s="123"/>
      <c r="E147" s="123"/>
      <c r="F147" s="123"/>
      <c r="H147" s="103">
        <v>142</v>
      </c>
      <c r="I147" s="104" t="str">
        <f t="shared" si="10"/>
        <v/>
      </c>
      <c r="J147" s="103">
        <f t="shared" si="13"/>
        <v>-3</v>
      </c>
      <c r="K147" s="103">
        <f t="shared" si="11"/>
        <v>-30</v>
      </c>
      <c r="L147" s="103"/>
      <c r="M147" s="105">
        <f t="shared" si="12"/>
        <v>0</v>
      </c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</row>
    <row r="148" spans="1:38" s="88" customFormat="1">
      <c r="A148" s="124"/>
      <c r="B148" s="123"/>
      <c r="C148" s="123"/>
      <c r="D148" s="123"/>
      <c r="E148" s="123"/>
      <c r="F148" s="123"/>
      <c r="H148" s="103">
        <v>143</v>
      </c>
      <c r="I148" s="104" t="str">
        <f t="shared" si="10"/>
        <v/>
      </c>
      <c r="J148" s="103">
        <f t="shared" si="13"/>
        <v>-3</v>
      </c>
      <c r="K148" s="103">
        <f t="shared" si="11"/>
        <v>-30</v>
      </c>
      <c r="L148" s="103"/>
      <c r="M148" s="105">
        <f t="shared" si="12"/>
        <v>0</v>
      </c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</row>
    <row r="149" spans="1:38" s="88" customFormat="1">
      <c r="A149" s="124"/>
      <c r="B149" s="123"/>
      <c r="C149" s="123"/>
      <c r="D149" s="123"/>
      <c r="E149" s="123"/>
      <c r="F149" s="123"/>
      <c r="H149" s="103">
        <v>144</v>
      </c>
      <c r="I149" s="104" t="str">
        <f t="shared" si="10"/>
        <v/>
      </c>
      <c r="J149" s="103">
        <f t="shared" si="13"/>
        <v>-3</v>
      </c>
      <c r="K149" s="103">
        <f t="shared" si="11"/>
        <v>-30</v>
      </c>
      <c r="L149" s="103"/>
      <c r="M149" s="105">
        <f t="shared" si="12"/>
        <v>0</v>
      </c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</row>
    <row r="150" spans="1:38" s="88" customFormat="1">
      <c r="A150" s="124"/>
      <c r="B150" s="123"/>
      <c r="C150" s="123"/>
      <c r="D150" s="123"/>
      <c r="E150" s="123"/>
      <c r="F150" s="123"/>
      <c r="H150" s="103">
        <v>145</v>
      </c>
      <c r="I150" s="104" t="str">
        <f t="shared" si="10"/>
        <v/>
      </c>
      <c r="J150" s="103">
        <f t="shared" si="13"/>
        <v>-3</v>
      </c>
      <c r="K150" s="103">
        <f t="shared" si="11"/>
        <v>-30</v>
      </c>
      <c r="L150" s="103"/>
      <c r="M150" s="105">
        <f t="shared" si="12"/>
        <v>0</v>
      </c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</row>
    <row r="151" spans="1:38" s="88" customFormat="1">
      <c r="A151" s="124"/>
      <c r="B151" s="123"/>
      <c r="C151" s="123"/>
      <c r="D151" s="123"/>
      <c r="E151" s="123"/>
      <c r="F151" s="123"/>
      <c r="H151" s="103">
        <v>146</v>
      </c>
      <c r="I151" s="104" t="str">
        <f t="shared" si="10"/>
        <v/>
      </c>
      <c r="J151" s="103">
        <f t="shared" si="13"/>
        <v>-3</v>
      </c>
      <c r="K151" s="103">
        <f t="shared" si="11"/>
        <v>-30</v>
      </c>
      <c r="L151" s="103"/>
      <c r="M151" s="105">
        <f t="shared" si="12"/>
        <v>0</v>
      </c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</row>
    <row r="152" spans="1:38" s="88" customFormat="1">
      <c r="A152" s="124"/>
      <c r="B152" s="123"/>
      <c r="C152" s="123"/>
      <c r="D152" s="123"/>
      <c r="E152" s="123"/>
      <c r="F152" s="123"/>
      <c r="H152" s="103">
        <v>147</v>
      </c>
      <c r="I152" s="104" t="str">
        <f t="shared" si="10"/>
        <v/>
      </c>
      <c r="J152" s="103">
        <f t="shared" si="13"/>
        <v>-3</v>
      </c>
      <c r="K152" s="103">
        <f t="shared" si="11"/>
        <v>-30</v>
      </c>
      <c r="L152" s="103"/>
      <c r="M152" s="105">
        <f t="shared" si="12"/>
        <v>0</v>
      </c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</row>
    <row r="153" spans="1:38" s="88" customFormat="1">
      <c r="A153" s="124"/>
      <c r="B153" s="123"/>
      <c r="C153" s="123"/>
      <c r="D153" s="123"/>
      <c r="E153" s="123"/>
      <c r="F153" s="123"/>
      <c r="H153" s="103">
        <v>148</v>
      </c>
      <c r="I153" s="104" t="str">
        <f t="shared" si="10"/>
        <v/>
      </c>
      <c r="J153" s="103">
        <f t="shared" si="13"/>
        <v>-3</v>
      </c>
      <c r="K153" s="103">
        <f t="shared" si="11"/>
        <v>-30</v>
      </c>
      <c r="L153" s="103"/>
      <c r="M153" s="105">
        <f t="shared" si="12"/>
        <v>0</v>
      </c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</row>
    <row r="154" spans="1:38" s="88" customFormat="1">
      <c r="A154" s="124"/>
      <c r="B154" s="123"/>
      <c r="C154" s="123"/>
      <c r="D154" s="123"/>
      <c r="E154" s="123"/>
      <c r="F154" s="123"/>
      <c r="H154" s="103">
        <v>149</v>
      </c>
      <c r="I154" s="104" t="str">
        <f t="shared" si="10"/>
        <v/>
      </c>
      <c r="J154" s="103">
        <f t="shared" si="13"/>
        <v>-3</v>
      </c>
      <c r="K154" s="103">
        <f t="shared" si="11"/>
        <v>-30</v>
      </c>
      <c r="L154" s="103"/>
      <c r="M154" s="105">
        <f t="shared" si="12"/>
        <v>0</v>
      </c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</row>
    <row r="155" spans="1:38" s="88" customFormat="1">
      <c r="A155" s="124"/>
      <c r="B155" s="123"/>
      <c r="C155" s="123"/>
      <c r="D155" s="123"/>
      <c r="E155" s="123"/>
      <c r="F155" s="123"/>
      <c r="H155" s="103">
        <v>150</v>
      </c>
      <c r="I155" s="104" t="str">
        <f t="shared" si="10"/>
        <v/>
      </c>
      <c r="J155" s="103">
        <f t="shared" si="13"/>
        <v>-3</v>
      </c>
      <c r="K155" s="103">
        <f t="shared" si="11"/>
        <v>-30</v>
      </c>
      <c r="L155" s="103"/>
      <c r="M155" s="105">
        <f t="shared" si="12"/>
        <v>0</v>
      </c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</row>
    <row r="156" spans="1:38" s="88" customFormat="1">
      <c r="A156" s="124"/>
      <c r="B156" s="123"/>
      <c r="C156" s="123"/>
      <c r="D156" s="123"/>
      <c r="E156" s="123"/>
      <c r="F156" s="123"/>
      <c r="H156" s="103">
        <v>151</v>
      </c>
      <c r="I156" s="104" t="str">
        <f t="shared" si="10"/>
        <v/>
      </c>
      <c r="J156" s="103">
        <f t="shared" si="13"/>
        <v>-3</v>
      </c>
      <c r="K156" s="103">
        <f t="shared" si="11"/>
        <v>-30</v>
      </c>
      <c r="L156" s="103"/>
      <c r="M156" s="105">
        <f t="shared" si="12"/>
        <v>0</v>
      </c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</row>
    <row r="157" spans="1:38" s="88" customFormat="1">
      <c r="A157" s="124"/>
      <c r="B157" s="123"/>
      <c r="C157" s="123"/>
      <c r="D157" s="123"/>
      <c r="E157" s="123"/>
      <c r="F157" s="123"/>
      <c r="H157" s="103">
        <v>152</v>
      </c>
      <c r="I157" s="104" t="str">
        <f t="shared" si="10"/>
        <v/>
      </c>
      <c r="J157" s="103">
        <f t="shared" si="13"/>
        <v>-3</v>
      </c>
      <c r="K157" s="103">
        <f t="shared" si="11"/>
        <v>-30</v>
      </c>
      <c r="L157" s="103"/>
      <c r="M157" s="105">
        <f t="shared" si="12"/>
        <v>0</v>
      </c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</row>
    <row r="158" spans="1:38" s="88" customFormat="1">
      <c r="A158" s="124"/>
      <c r="B158" s="123"/>
      <c r="C158" s="123"/>
      <c r="D158" s="123"/>
      <c r="E158" s="123"/>
      <c r="F158" s="123"/>
      <c r="H158" s="103">
        <v>153</v>
      </c>
      <c r="I158" s="104" t="str">
        <f t="shared" si="10"/>
        <v/>
      </c>
      <c r="J158" s="103">
        <f t="shared" si="13"/>
        <v>-3</v>
      </c>
      <c r="K158" s="103">
        <f t="shared" si="11"/>
        <v>-30</v>
      </c>
      <c r="L158" s="103"/>
      <c r="M158" s="105">
        <f t="shared" si="12"/>
        <v>0</v>
      </c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</row>
    <row r="159" spans="1:38" s="88" customFormat="1">
      <c r="A159" s="124"/>
      <c r="B159" s="123"/>
      <c r="C159" s="123"/>
      <c r="D159" s="123"/>
      <c r="E159" s="123"/>
      <c r="F159" s="123"/>
      <c r="H159" s="103">
        <v>154</v>
      </c>
      <c r="I159" s="104" t="str">
        <f t="shared" si="10"/>
        <v/>
      </c>
      <c r="J159" s="103">
        <f t="shared" si="13"/>
        <v>-3</v>
      </c>
      <c r="K159" s="103">
        <f t="shared" si="11"/>
        <v>-30</v>
      </c>
      <c r="L159" s="103"/>
      <c r="M159" s="105">
        <f t="shared" si="12"/>
        <v>0</v>
      </c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</row>
    <row r="160" spans="1:38" s="88" customFormat="1">
      <c r="A160" s="124"/>
      <c r="B160" s="123"/>
      <c r="C160" s="123"/>
      <c r="D160" s="123"/>
      <c r="E160" s="123"/>
      <c r="F160" s="123"/>
      <c r="H160" s="103">
        <v>155</v>
      </c>
      <c r="I160" s="104" t="str">
        <f t="shared" si="10"/>
        <v/>
      </c>
      <c r="J160" s="103">
        <f t="shared" si="13"/>
        <v>-3</v>
      </c>
      <c r="K160" s="103">
        <f t="shared" si="11"/>
        <v>-30</v>
      </c>
      <c r="L160" s="103"/>
      <c r="M160" s="105">
        <f t="shared" si="12"/>
        <v>0</v>
      </c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</row>
    <row r="161" spans="1:38" s="88" customFormat="1">
      <c r="A161" s="124"/>
      <c r="B161" s="123"/>
      <c r="C161" s="123"/>
      <c r="D161" s="123"/>
      <c r="E161" s="123"/>
      <c r="F161" s="123"/>
      <c r="H161" s="103">
        <v>156</v>
      </c>
      <c r="I161" s="104" t="str">
        <f t="shared" si="10"/>
        <v/>
      </c>
      <c r="J161" s="103">
        <f t="shared" si="13"/>
        <v>-3</v>
      </c>
      <c r="K161" s="103">
        <f t="shared" si="11"/>
        <v>-30</v>
      </c>
      <c r="L161" s="103"/>
      <c r="M161" s="105">
        <f t="shared" si="12"/>
        <v>0</v>
      </c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</row>
    <row r="162" spans="1:38" s="88" customFormat="1">
      <c r="A162" s="124"/>
      <c r="B162" s="123"/>
      <c r="C162" s="123"/>
      <c r="D162" s="123"/>
      <c r="E162" s="123"/>
      <c r="F162" s="123"/>
      <c r="H162" s="103">
        <v>157</v>
      </c>
      <c r="I162" s="104" t="str">
        <f t="shared" si="10"/>
        <v/>
      </c>
      <c r="J162" s="103">
        <f t="shared" si="13"/>
        <v>-3</v>
      </c>
      <c r="K162" s="103">
        <f t="shared" si="11"/>
        <v>-30</v>
      </c>
      <c r="L162" s="103"/>
      <c r="M162" s="105">
        <f t="shared" si="12"/>
        <v>0</v>
      </c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</row>
    <row r="163" spans="1:38" s="88" customFormat="1">
      <c r="A163" s="124"/>
      <c r="B163" s="123"/>
      <c r="C163" s="123"/>
      <c r="D163" s="123"/>
      <c r="E163" s="123"/>
      <c r="F163" s="123"/>
      <c r="H163" s="103">
        <v>158</v>
      </c>
      <c r="I163" s="104" t="str">
        <f t="shared" si="10"/>
        <v/>
      </c>
      <c r="J163" s="103">
        <f t="shared" si="13"/>
        <v>-3</v>
      </c>
      <c r="K163" s="103">
        <f t="shared" si="11"/>
        <v>-30</v>
      </c>
      <c r="L163" s="103"/>
      <c r="M163" s="105">
        <f t="shared" si="12"/>
        <v>0</v>
      </c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</row>
    <row r="164" spans="1:38" s="88" customFormat="1">
      <c r="A164" s="124"/>
      <c r="B164" s="123"/>
      <c r="C164" s="123"/>
      <c r="D164" s="123"/>
      <c r="E164" s="123"/>
      <c r="F164" s="123"/>
      <c r="H164" s="103">
        <v>159</v>
      </c>
      <c r="I164" s="104" t="str">
        <f t="shared" si="10"/>
        <v/>
      </c>
      <c r="J164" s="103">
        <f t="shared" si="13"/>
        <v>-3</v>
      </c>
      <c r="K164" s="103">
        <f t="shared" si="11"/>
        <v>-30</v>
      </c>
      <c r="L164" s="103"/>
      <c r="M164" s="105">
        <f t="shared" si="12"/>
        <v>0</v>
      </c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</row>
    <row r="165" spans="1:38" s="88" customFormat="1">
      <c r="A165" s="124"/>
      <c r="B165" s="123"/>
      <c r="C165" s="123"/>
      <c r="D165" s="123"/>
      <c r="E165" s="123"/>
      <c r="F165" s="123"/>
      <c r="H165" s="103">
        <v>160</v>
      </c>
      <c r="I165" s="104" t="str">
        <f t="shared" si="10"/>
        <v/>
      </c>
      <c r="J165" s="103">
        <f t="shared" si="13"/>
        <v>-3</v>
      </c>
      <c r="K165" s="103">
        <f t="shared" si="11"/>
        <v>-30</v>
      </c>
      <c r="L165" s="103"/>
      <c r="M165" s="105">
        <f t="shared" si="12"/>
        <v>0</v>
      </c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</row>
    <row r="166" spans="1:38" s="88" customFormat="1">
      <c r="A166" s="124"/>
      <c r="B166" s="123"/>
      <c r="C166" s="123"/>
      <c r="D166" s="123"/>
      <c r="E166" s="123"/>
      <c r="F166" s="123"/>
      <c r="H166" s="103">
        <v>161</v>
      </c>
      <c r="I166" s="104" t="str">
        <f t="shared" si="10"/>
        <v/>
      </c>
      <c r="J166" s="103">
        <f t="shared" si="13"/>
        <v>-3</v>
      </c>
      <c r="K166" s="103">
        <f t="shared" si="11"/>
        <v>-30</v>
      </c>
      <c r="L166" s="103"/>
      <c r="M166" s="105">
        <f t="shared" si="12"/>
        <v>0</v>
      </c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</row>
    <row r="167" spans="1:38" s="88" customFormat="1">
      <c r="A167" s="124"/>
      <c r="B167" s="123"/>
      <c r="C167" s="123"/>
      <c r="D167" s="123"/>
      <c r="E167" s="123"/>
      <c r="F167" s="123"/>
      <c r="H167" s="103">
        <v>162</v>
      </c>
      <c r="I167" s="104" t="str">
        <f t="shared" si="10"/>
        <v/>
      </c>
      <c r="J167" s="103">
        <f t="shared" si="13"/>
        <v>-3</v>
      </c>
      <c r="K167" s="103">
        <f t="shared" si="11"/>
        <v>-30</v>
      </c>
      <c r="L167" s="103"/>
      <c r="M167" s="105">
        <f t="shared" si="12"/>
        <v>0</v>
      </c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</row>
    <row r="168" spans="1:38" s="88" customFormat="1">
      <c r="A168" s="124"/>
      <c r="B168" s="123"/>
      <c r="C168" s="123"/>
      <c r="D168" s="123"/>
      <c r="E168" s="123"/>
      <c r="F168" s="123"/>
      <c r="H168" s="103">
        <v>163</v>
      </c>
      <c r="I168" s="104" t="str">
        <f t="shared" si="10"/>
        <v/>
      </c>
      <c r="J168" s="103">
        <f t="shared" si="13"/>
        <v>-3</v>
      </c>
      <c r="K168" s="103">
        <f t="shared" si="11"/>
        <v>-30</v>
      </c>
      <c r="L168" s="103"/>
      <c r="M168" s="105">
        <f t="shared" si="12"/>
        <v>0</v>
      </c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</row>
    <row r="169" spans="1:38" s="88" customFormat="1">
      <c r="A169" s="124"/>
      <c r="B169" s="123"/>
      <c r="C169" s="123" t="s">
        <v>57</v>
      </c>
      <c r="D169" s="123"/>
      <c r="E169" s="123"/>
      <c r="F169" s="123"/>
      <c r="H169" s="103">
        <v>164</v>
      </c>
      <c r="I169" s="104" t="str">
        <f t="shared" si="10"/>
        <v/>
      </c>
      <c r="J169" s="103">
        <f t="shared" si="13"/>
        <v>-3</v>
      </c>
      <c r="K169" s="103">
        <f t="shared" si="11"/>
        <v>-30</v>
      </c>
      <c r="L169" s="103"/>
      <c r="M169" s="105">
        <f t="shared" si="12"/>
        <v>0</v>
      </c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</row>
    <row r="170" spans="1:38" s="88" customFormat="1">
      <c r="A170" s="124"/>
      <c r="B170" s="123"/>
      <c r="C170" s="123"/>
      <c r="D170" s="123"/>
      <c r="E170" s="123"/>
      <c r="F170" s="123"/>
      <c r="H170" s="103">
        <v>165</v>
      </c>
      <c r="I170" s="104" t="str">
        <f t="shared" si="10"/>
        <v/>
      </c>
      <c r="J170" s="103">
        <f t="shared" si="13"/>
        <v>-3</v>
      </c>
      <c r="K170" s="103">
        <f t="shared" si="11"/>
        <v>-30</v>
      </c>
      <c r="L170" s="103"/>
      <c r="M170" s="105">
        <f t="shared" si="12"/>
        <v>0</v>
      </c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</row>
    <row r="171" spans="1:38" s="88" customFormat="1">
      <c r="A171" s="124"/>
      <c r="B171" s="123"/>
      <c r="C171" s="123"/>
      <c r="D171" s="123"/>
      <c r="E171" s="123"/>
      <c r="F171" s="123"/>
      <c r="H171" s="103">
        <v>166</v>
      </c>
      <c r="I171" s="104" t="str">
        <f t="shared" si="10"/>
        <v/>
      </c>
      <c r="J171" s="103">
        <f t="shared" si="13"/>
        <v>-3</v>
      </c>
      <c r="K171" s="103">
        <f t="shared" si="11"/>
        <v>-30</v>
      </c>
      <c r="L171" s="103"/>
      <c r="M171" s="105">
        <f t="shared" si="12"/>
        <v>0</v>
      </c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</row>
    <row r="172" spans="1:38" s="88" customFormat="1">
      <c r="A172" s="124"/>
      <c r="B172" s="123"/>
      <c r="C172" s="123"/>
      <c r="D172" s="123"/>
      <c r="E172" s="123"/>
      <c r="F172" s="123"/>
      <c r="H172" s="103">
        <v>167</v>
      </c>
      <c r="I172" s="104" t="str">
        <f t="shared" si="10"/>
        <v/>
      </c>
      <c r="J172" s="103">
        <f t="shared" si="13"/>
        <v>-3</v>
      </c>
      <c r="K172" s="103">
        <f t="shared" si="11"/>
        <v>-30</v>
      </c>
      <c r="L172" s="103"/>
      <c r="M172" s="105">
        <f t="shared" si="12"/>
        <v>0</v>
      </c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</row>
    <row r="173" spans="1:38" s="88" customFormat="1">
      <c r="A173" s="124"/>
      <c r="B173" s="123"/>
      <c r="C173" s="123"/>
      <c r="D173" s="123"/>
      <c r="E173" s="123"/>
      <c r="F173" s="123"/>
      <c r="H173" s="103">
        <v>168</v>
      </c>
      <c r="I173" s="104" t="str">
        <f t="shared" si="10"/>
        <v/>
      </c>
      <c r="J173" s="103">
        <f t="shared" si="13"/>
        <v>-3</v>
      </c>
      <c r="K173" s="103">
        <f t="shared" si="11"/>
        <v>-30</v>
      </c>
      <c r="L173" s="103"/>
      <c r="M173" s="105">
        <f t="shared" si="12"/>
        <v>0</v>
      </c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</row>
    <row r="174" spans="1:38" s="88" customFormat="1">
      <c r="A174" s="124"/>
      <c r="B174" s="123"/>
      <c r="C174" s="123"/>
      <c r="D174" s="123"/>
      <c r="E174" s="123"/>
      <c r="F174" s="123"/>
      <c r="H174" s="103">
        <v>169</v>
      </c>
      <c r="I174" s="104" t="str">
        <f t="shared" si="10"/>
        <v/>
      </c>
      <c r="J174" s="103">
        <f t="shared" si="13"/>
        <v>-3</v>
      </c>
      <c r="K174" s="103">
        <f t="shared" si="11"/>
        <v>-30</v>
      </c>
      <c r="L174" s="103"/>
      <c r="M174" s="105">
        <f t="shared" si="12"/>
        <v>0</v>
      </c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</row>
    <row r="175" spans="1:38" s="88" customFormat="1">
      <c r="A175" s="124"/>
      <c r="B175" s="123"/>
      <c r="C175" s="123"/>
      <c r="D175" s="123"/>
      <c r="E175" s="123"/>
      <c r="F175" s="123"/>
      <c r="H175" s="103">
        <v>170</v>
      </c>
      <c r="I175" s="104" t="str">
        <f t="shared" si="10"/>
        <v/>
      </c>
      <c r="J175" s="103">
        <f t="shared" si="13"/>
        <v>-3</v>
      </c>
      <c r="K175" s="103">
        <f t="shared" si="11"/>
        <v>-30</v>
      </c>
      <c r="L175" s="103"/>
      <c r="M175" s="105">
        <f t="shared" si="12"/>
        <v>0</v>
      </c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</row>
    <row r="176" spans="1:38" s="88" customFormat="1">
      <c r="A176" s="124"/>
      <c r="B176" s="123"/>
      <c r="C176" s="123"/>
      <c r="D176" s="123"/>
      <c r="E176" s="123"/>
      <c r="F176" s="123"/>
      <c r="H176" s="103">
        <v>171</v>
      </c>
      <c r="I176" s="104" t="str">
        <f t="shared" si="10"/>
        <v/>
      </c>
      <c r="J176" s="103">
        <f t="shared" si="13"/>
        <v>-3</v>
      </c>
      <c r="K176" s="103">
        <f t="shared" si="11"/>
        <v>-30</v>
      </c>
      <c r="L176" s="103"/>
      <c r="M176" s="105">
        <f t="shared" si="12"/>
        <v>0</v>
      </c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</row>
    <row r="177" spans="1:38" s="88" customFormat="1">
      <c r="A177" s="124"/>
      <c r="B177" s="123"/>
      <c r="C177" s="123"/>
      <c r="D177" s="123"/>
      <c r="E177" s="123"/>
      <c r="F177" s="123"/>
      <c r="H177" s="103">
        <v>172</v>
      </c>
      <c r="I177" s="104" t="str">
        <f t="shared" si="10"/>
        <v/>
      </c>
      <c r="J177" s="103">
        <f t="shared" si="13"/>
        <v>-3</v>
      </c>
      <c r="K177" s="103">
        <f t="shared" si="11"/>
        <v>-30</v>
      </c>
      <c r="L177" s="103"/>
      <c r="M177" s="105">
        <f t="shared" si="12"/>
        <v>0</v>
      </c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</row>
    <row r="178" spans="1:38" s="88" customFormat="1">
      <c r="A178" s="124"/>
      <c r="B178" s="123"/>
      <c r="C178" s="123"/>
      <c r="D178" s="123"/>
      <c r="E178" s="123"/>
      <c r="F178" s="123"/>
      <c r="H178" s="103">
        <v>173</v>
      </c>
      <c r="I178" s="104" t="str">
        <f t="shared" si="10"/>
        <v/>
      </c>
      <c r="J178" s="103">
        <f t="shared" si="13"/>
        <v>-3</v>
      </c>
      <c r="K178" s="103">
        <f t="shared" si="11"/>
        <v>-30</v>
      </c>
      <c r="L178" s="103"/>
      <c r="M178" s="105">
        <f t="shared" si="12"/>
        <v>0</v>
      </c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</row>
    <row r="179" spans="1:38" s="88" customFormat="1">
      <c r="A179" s="124"/>
      <c r="B179" s="123"/>
      <c r="C179" s="123"/>
      <c r="D179" s="123"/>
      <c r="E179" s="123"/>
      <c r="F179" s="123"/>
      <c r="H179" s="103">
        <v>174</v>
      </c>
      <c r="I179" s="104" t="str">
        <f t="shared" si="10"/>
        <v/>
      </c>
      <c r="J179" s="103">
        <f t="shared" si="13"/>
        <v>-3</v>
      </c>
      <c r="K179" s="103">
        <f t="shared" si="11"/>
        <v>-30</v>
      </c>
      <c r="L179" s="103"/>
      <c r="M179" s="105">
        <f t="shared" si="12"/>
        <v>0</v>
      </c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</row>
    <row r="180" spans="1:38" s="88" customFormat="1">
      <c r="A180" s="124"/>
      <c r="B180" s="123"/>
      <c r="C180" s="123"/>
      <c r="D180" s="123"/>
      <c r="E180" s="123"/>
      <c r="F180" s="123"/>
      <c r="H180" s="103">
        <v>175</v>
      </c>
      <c r="I180" s="104" t="str">
        <f t="shared" si="10"/>
        <v/>
      </c>
      <c r="J180" s="103">
        <f t="shared" si="13"/>
        <v>-3</v>
      </c>
      <c r="K180" s="103">
        <f t="shared" si="11"/>
        <v>-30</v>
      </c>
      <c r="L180" s="103"/>
      <c r="M180" s="105">
        <f t="shared" si="12"/>
        <v>0</v>
      </c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</row>
    <row r="181" spans="1:38" s="88" customFormat="1">
      <c r="A181" s="124"/>
      <c r="B181" s="123"/>
      <c r="C181" s="123"/>
      <c r="D181" s="123"/>
      <c r="E181" s="123"/>
      <c r="F181" s="123"/>
      <c r="H181" s="103">
        <v>176</v>
      </c>
      <c r="I181" s="104" t="str">
        <f t="shared" si="10"/>
        <v/>
      </c>
      <c r="J181" s="103">
        <f t="shared" si="13"/>
        <v>-3</v>
      </c>
      <c r="K181" s="103">
        <f t="shared" si="11"/>
        <v>-30</v>
      </c>
      <c r="L181" s="103"/>
      <c r="M181" s="105">
        <f t="shared" si="12"/>
        <v>0</v>
      </c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</row>
    <row r="182" spans="1:38" s="88" customFormat="1">
      <c r="A182" s="124"/>
      <c r="B182" s="123"/>
      <c r="C182" s="123"/>
      <c r="D182" s="123"/>
      <c r="E182" s="123"/>
      <c r="F182" s="123"/>
      <c r="H182" s="103">
        <v>177</v>
      </c>
      <c r="I182" s="104" t="str">
        <f t="shared" si="10"/>
        <v/>
      </c>
      <c r="J182" s="103">
        <f t="shared" si="13"/>
        <v>-3</v>
      </c>
      <c r="K182" s="103">
        <f t="shared" si="11"/>
        <v>-30</v>
      </c>
      <c r="L182" s="103"/>
      <c r="M182" s="105">
        <f t="shared" si="12"/>
        <v>0</v>
      </c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</row>
    <row r="183" spans="1:38" s="88" customFormat="1">
      <c r="A183" s="124"/>
      <c r="B183" s="123"/>
      <c r="C183" s="123"/>
      <c r="D183" s="123"/>
      <c r="E183" s="123"/>
      <c r="F183" s="123"/>
      <c r="H183" s="103">
        <v>178</v>
      </c>
      <c r="I183" s="104" t="str">
        <f t="shared" si="10"/>
        <v/>
      </c>
      <c r="J183" s="103">
        <f t="shared" si="13"/>
        <v>-3</v>
      </c>
      <c r="K183" s="103">
        <f t="shared" si="11"/>
        <v>-30</v>
      </c>
      <c r="L183" s="103"/>
      <c r="M183" s="105">
        <f t="shared" si="12"/>
        <v>0</v>
      </c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</row>
    <row r="184" spans="1:38" s="88" customFormat="1">
      <c r="A184" s="124"/>
      <c r="B184" s="123"/>
      <c r="C184" s="123"/>
      <c r="D184" s="123"/>
      <c r="E184" s="123"/>
      <c r="F184" s="123"/>
      <c r="H184" s="103">
        <v>179</v>
      </c>
      <c r="I184" s="104" t="str">
        <f t="shared" si="10"/>
        <v/>
      </c>
      <c r="J184" s="103">
        <f t="shared" si="13"/>
        <v>-3</v>
      </c>
      <c r="K184" s="103">
        <f t="shared" si="11"/>
        <v>-30</v>
      </c>
      <c r="L184" s="103"/>
      <c r="M184" s="105">
        <f t="shared" si="12"/>
        <v>0</v>
      </c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</row>
    <row r="185" spans="1:38" s="88" customFormat="1">
      <c r="A185" s="124"/>
      <c r="B185" s="123"/>
      <c r="C185" s="123"/>
      <c r="D185" s="123"/>
      <c r="E185" s="123"/>
      <c r="F185" s="123"/>
      <c r="H185" s="103">
        <v>180</v>
      </c>
      <c r="I185" s="104" t="str">
        <f t="shared" si="10"/>
        <v/>
      </c>
      <c r="J185" s="103">
        <f t="shared" si="13"/>
        <v>-3</v>
      </c>
      <c r="K185" s="103">
        <f t="shared" si="11"/>
        <v>-30</v>
      </c>
      <c r="L185" s="103"/>
      <c r="M185" s="105">
        <f t="shared" si="12"/>
        <v>0</v>
      </c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</row>
    <row r="186" spans="1:38" s="88" customFormat="1">
      <c r="A186" s="124"/>
      <c r="B186" s="123"/>
      <c r="C186" s="123"/>
      <c r="D186" s="123"/>
      <c r="E186" s="123"/>
      <c r="F186" s="123"/>
      <c r="H186" s="103">
        <v>181</v>
      </c>
      <c r="I186" s="104" t="str">
        <f t="shared" si="10"/>
        <v/>
      </c>
      <c r="J186" s="103">
        <f t="shared" si="13"/>
        <v>-3</v>
      </c>
      <c r="K186" s="103">
        <f t="shared" si="11"/>
        <v>-30</v>
      </c>
      <c r="L186" s="103"/>
      <c r="M186" s="105">
        <f t="shared" si="12"/>
        <v>0</v>
      </c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</row>
    <row r="187" spans="1:38" s="88" customFormat="1">
      <c r="A187" s="124"/>
      <c r="B187" s="123"/>
      <c r="C187" s="123"/>
      <c r="D187" s="123"/>
      <c r="E187" s="123"/>
      <c r="F187" s="123"/>
      <c r="H187" s="103">
        <v>182</v>
      </c>
      <c r="I187" s="104" t="str">
        <f t="shared" si="10"/>
        <v/>
      </c>
      <c r="J187" s="103">
        <f t="shared" si="13"/>
        <v>-3</v>
      </c>
      <c r="K187" s="103">
        <f t="shared" si="11"/>
        <v>-30</v>
      </c>
      <c r="L187" s="103"/>
      <c r="M187" s="105">
        <f t="shared" si="12"/>
        <v>0</v>
      </c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</row>
    <row r="188" spans="1:38" s="88" customFormat="1">
      <c r="A188" s="124"/>
      <c r="B188" s="123"/>
      <c r="C188" s="123"/>
      <c r="D188" s="123"/>
      <c r="E188" s="123"/>
      <c r="F188" s="123"/>
      <c r="H188" s="103">
        <v>183</v>
      </c>
      <c r="I188" s="104" t="str">
        <f t="shared" si="10"/>
        <v/>
      </c>
      <c r="J188" s="103">
        <f t="shared" si="13"/>
        <v>-3</v>
      </c>
      <c r="K188" s="103">
        <f t="shared" si="11"/>
        <v>-30</v>
      </c>
      <c r="L188" s="103"/>
      <c r="M188" s="105">
        <f t="shared" si="12"/>
        <v>0</v>
      </c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</row>
    <row r="189" spans="1:38" s="88" customFormat="1">
      <c r="A189" s="124"/>
      <c r="B189" s="123"/>
      <c r="C189" s="123"/>
      <c r="D189" s="123"/>
      <c r="E189" s="123"/>
      <c r="F189" s="123"/>
      <c r="H189" s="103">
        <v>184</v>
      </c>
      <c r="I189" s="104" t="str">
        <f t="shared" si="10"/>
        <v/>
      </c>
      <c r="J189" s="103">
        <f t="shared" si="13"/>
        <v>-3</v>
      </c>
      <c r="K189" s="103">
        <f t="shared" si="11"/>
        <v>-30</v>
      </c>
      <c r="L189" s="103"/>
      <c r="M189" s="105">
        <f t="shared" si="12"/>
        <v>0</v>
      </c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</row>
    <row r="190" spans="1:38" s="88" customFormat="1">
      <c r="A190" s="124"/>
      <c r="B190" s="123"/>
      <c r="C190" s="123"/>
      <c r="D190" s="123"/>
      <c r="E190" s="123"/>
      <c r="F190" s="123"/>
      <c r="H190" s="103">
        <v>185</v>
      </c>
      <c r="I190" s="104" t="str">
        <f t="shared" si="10"/>
        <v/>
      </c>
      <c r="J190" s="103">
        <f t="shared" si="13"/>
        <v>-3</v>
      </c>
      <c r="K190" s="103">
        <f t="shared" si="11"/>
        <v>-30</v>
      </c>
      <c r="L190" s="103"/>
      <c r="M190" s="105">
        <f t="shared" si="12"/>
        <v>0</v>
      </c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</row>
    <row r="191" spans="1:38" s="88" customFormat="1">
      <c r="A191" s="124"/>
      <c r="B191" s="123"/>
      <c r="C191" s="123"/>
      <c r="D191" s="123"/>
      <c r="E191" s="123"/>
      <c r="F191" s="123"/>
      <c r="H191" s="103">
        <v>186</v>
      </c>
      <c r="I191" s="104" t="str">
        <f t="shared" si="10"/>
        <v/>
      </c>
      <c r="J191" s="103">
        <f t="shared" si="13"/>
        <v>-3</v>
      </c>
      <c r="K191" s="103">
        <f t="shared" si="11"/>
        <v>-30</v>
      </c>
      <c r="L191" s="103"/>
      <c r="M191" s="105">
        <f t="shared" si="12"/>
        <v>0</v>
      </c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</row>
    <row r="192" spans="1:38" s="88" customFormat="1">
      <c r="A192" s="124"/>
      <c r="B192" s="123"/>
      <c r="C192" s="123"/>
      <c r="D192" s="123"/>
      <c r="E192" s="123"/>
      <c r="F192" s="123"/>
      <c r="H192" s="103">
        <v>187</v>
      </c>
      <c r="I192" s="104" t="str">
        <f t="shared" si="10"/>
        <v/>
      </c>
      <c r="J192" s="103">
        <f t="shared" si="13"/>
        <v>-3</v>
      </c>
      <c r="K192" s="103">
        <f t="shared" si="11"/>
        <v>-30</v>
      </c>
      <c r="L192" s="103"/>
      <c r="M192" s="105">
        <f t="shared" si="12"/>
        <v>0</v>
      </c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</row>
    <row r="193" spans="1:38" s="88" customFormat="1">
      <c r="A193" s="124"/>
      <c r="B193" s="123"/>
      <c r="C193" s="123"/>
      <c r="D193" s="123"/>
      <c r="E193" s="123"/>
      <c r="F193" s="123"/>
      <c r="H193" s="103">
        <v>188</v>
      </c>
      <c r="I193" s="104" t="str">
        <f t="shared" si="10"/>
        <v/>
      </c>
      <c r="J193" s="103">
        <f t="shared" si="13"/>
        <v>-3</v>
      </c>
      <c r="K193" s="103">
        <f t="shared" si="11"/>
        <v>-30</v>
      </c>
      <c r="L193" s="103"/>
      <c r="M193" s="105">
        <f t="shared" si="12"/>
        <v>0</v>
      </c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</row>
    <row r="194" spans="1:38" s="88" customFormat="1">
      <c r="A194" s="124"/>
      <c r="B194" s="123"/>
      <c r="C194" s="123"/>
      <c r="D194" s="123"/>
      <c r="E194" s="123"/>
      <c r="F194" s="123"/>
      <c r="H194" s="103">
        <v>189</v>
      </c>
      <c r="I194" s="104" t="str">
        <f t="shared" si="10"/>
        <v/>
      </c>
      <c r="J194" s="103">
        <f t="shared" si="13"/>
        <v>-3</v>
      </c>
      <c r="K194" s="103">
        <f t="shared" si="11"/>
        <v>-30</v>
      </c>
      <c r="L194" s="103"/>
      <c r="M194" s="105">
        <f t="shared" si="12"/>
        <v>0</v>
      </c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</row>
    <row r="195" spans="1:38" s="88" customFormat="1">
      <c r="A195" s="124"/>
      <c r="B195" s="123"/>
      <c r="C195" s="123"/>
      <c r="D195" s="123"/>
      <c r="E195" s="123"/>
      <c r="F195" s="123"/>
      <c r="H195" s="103">
        <v>190</v>
      </c>
      <c r="I195" s="104" t="str">
        <f t="shared" si="10"/>
        <v/>
      </c>
      <c r="J195" s="103">
        <f t="shared" si="13"/>
        <v>-3</v>
      </c>
      <c r="K195" s="103">
        <f t="shared" si="11"/>
        <v>-30</v>
      </c>
      <c r="L195" s="103"/>
      <c r="M195" s="105">
        <f t="shared" si="12"/>
        <v>0</v>
      </c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</row>
    <row r="196" spans="1:38" s="88" customFormat="1">
      <c r="A196" s="124"/>
      <c r="B196" s="123"/>
      <c r="C196" s="123"/>
      <c r="D196" s="123"/>
      <c r="E196" s="123"/>
      <c r="F196" s="123"/>
      <c r="H196" s="103">
        <v>191</v>
      </c>
      <c r="I196" s="104" t="str">
        <f t="shared" si="10"/>
        <v/>
      </c>
      <c r="J196" s="103">
        <f t="shared" si="13"/>
        <v>-3</v>
      </c>
      <c r="K196" s="103">
        <f t="shared" si="11"/>
        <v>-30</v>
      </c>
      <c r="L196" s="103"/>
      <c r="M196" s="105">
        <f t="shared" si="12"/>
        <v>0</v>
      </c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</row>
    <row r="197" spans="1:38" s="88" customFormat="1">
      <c r="A197" s="124"/>
      <c r="B197" s="123"/>
      <c r="C197" s="123"/>
      <c r="D197" s="123"/>
      <c r="E197" s="123"/>
      <c r="F197" s="123"/>
      <c r="H197" s="103">
        <v>192</v>
      </c>
      <c r="I197" s="104" t="str">
        <f t="shared" si="10"/>
        <v/>
      </c>
      <c r="J197" s="103">
        <f t="shared" si="13"/>
        <v>-3</v>
      </c>
      <c r="K197" s="103">
        <f t="shared" si="11"/>
        <v>-30</v>
      </c>
      <c r="L197" s="103"/>
      <c r="M197" s="105">
        <f t="shared" si="12"/>
        <v>0</v>
      </c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</row>
    <row r="198" spans="1:38" s="88" customFormat="1">
      <c r="A198" s="124"/>
      <c r="B198" s="123"/>
      <c r="C198" s="123"/>
      <c r="D198" s="123"/>
      <c r="E198" s="123"/>
      <c r="F198" s="123"/>
      <c r="H198" s="103">
        <v>193</v>
      </c>
      <c r="I198" s="104" t="str">
        <f t="shared" ref="I198:I261" si="14">IF(H198&lt;$H$2+1,($I$2-($I$2-1)*(LOG(H198)/LOG($H$2))),"")</f>
        <v/>
      </c>
      <c r="J198" s="103">
        <f t="shared" si="13"/>
        <v>-3</v>
      </c>
      <c r="K198" s="103">
        <f t="shared" ref="K198:K261" si="15">J198*$J$2</f>
        <v>-30</v>
      </c>
      <c r="L198" s="103"/>
      <c r="M198" s="105">
        <f t="shared" ref="M198:M261" si="16">IF(I198&lt;&gt;"",K198+I198+L198,0)</f>
        <v>0</v>
      </c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</row>
    <row r="199" spans="1:38" s="88" customFormat="1">
      <c r="A199" s="124"/>
      <c r="B199" s="123"/>
      <c r="C199" s="123"/>
      <c r="D199" s="123"/>
      <c r="E199" s="123"/>
      <c r="F199" s="123"/>
      <c r="H199" s="103">
        <v>194</v>
      </c>
      <c r="I199" s="104" t="str">
        <f t="shared" si="14"/>
        <v/>
      </c>
      <c r="J199" s="103">
        <f t="shared" si="13"/>
        <v>-3</v>
      </c>
      <c r="K199" s="103">
        <f t="shared" si="15"/>
        <v>-30</v>
      </c>
      <c r="L199" s="103"/>
      <c r="M199" s="105">
        <f t="shared" si="16"/>
        <v>0</v>
      </c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</row>
    <row r="200" spans="1:38" s="88" customFormat="1">
      <c r="A200" s="124"/>
      <c r="B200" s="123"/>
      <c r="C200" s="123"/>
      <c r="D200" s="123"/>
      <c r="E200" s="123"/>
      <c r="F200" s="123"/>
      <c r="H200" s="103">
        <v>195</v>
      </c>
      <c r="I200" s="104" t="str">
        <f t="shared" si="14"/>
        <v/>
      </c>
      <c r="J200" s="103">
        <f t="shared" si="13"/>
        <v>-3</v>
      </c>
      <c r="K200" s="103">
        <f t="shared" si="15"/>
        <v>-30</v>
      </c>
      <c r="L200" s="103"/>
      <c r="M200" s="105">
        <f t="shared" si="16"/>
        <v>0</v>
      </c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</row>
    <row r="201" spans="1:38" s="88" customFormat="1">
      <c r="A201" s="124"/>
      <c r="B201" s="123"/>
      <c r="C201" s="123"/>
      <c r="D201" s="123"/>
      <c r="E201" s="123"/>
      <c r="F201" s="123"/>
      <c r="H201" s="103">
        <v>196</v>
      </c>
      <c r="I201" s="104" t="str">
        <f t="shared" si="14"/>
        <v/>
      </c>
      <c r="J201" s="103">
        <f t="shared" si="13"/>
        <v>-3</v>
      </c>
      <c r="K201" s="103">
        <f t="shared" si="15"/>
        <v>-30</v>
      </c>
      <c r="L201" s="103"/>
      <c r="M201" s="105">
        <f t="shared" si="16"/>
        <v>0</v>
      </c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</row>
    <row r="202" spans="1:38" s="88" customFormat="1">
      <c r="A202" s="124"/>
      <c r="B202" s="123"/>
      <c r="C202" s="123"/>
      <c r="D202" s="123"/>
      <c r="E202" s="123"/>
      <c r="F202" s="123"/>
      <c r="H202" s="103">
        <v>197</v>
      </c>
      <c r="I202" s="104" t="str">
        <f t="shared" si="14"/>
        <v/>
      </c>
      <c r="J202" s="103">
        <f t="shared" ref="J202:J265" si="17">INT(LOG($H$2,2))-ROUNDUP(LOG(H202,2),0)+IF(OR($H$2=1,$H$2=2,$H$2=4,$H$2=8,$H$2=16,$H$2=32,$H$2=64,$H$2=128,$H$2=256),0,1)</f>
        <v>-3</v>
      </c>
      <c r="K202" s="103">
        <f t="shared" si="15"/>
        <v>-30</v>
      </c>
      <c r="L202" s="103"/>
      <c r="M202" s="105">
        <f t="shared" si="16"/>
        <v>0</v>
      </c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</row>
    <row r="203" spans="1:38" s="88" customFormat="1">
      <c r="A203" s="124"/>
      <c r="B203" s="123"/>
      <c r="C203" s="123"/>
      <c r="D203" s="123"/>
      <c r="E203" s="123"/>
      <c r="F203" s="123"/>
      <c r="H203" s="103">
        <v>198</v>
      </c>
      <c r="I203" s="104" t="str">
        <f t="shared" si="14"/>
        <v/>
      </c>
      <c r="J203" s="103">
        <f t="shared" si="17"/>
        <v>-3</v>
      </c>
      <c r="K203" s="103">
        <f t="shared" si="15"/>
        <v>-30</v>
      </c>
      <c r="L203" s="103"/>
      <c r="M203" s="105">
        <f t="shared" si="16"/>
        <v>0</v>
      </c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</row>
    <row r="204" spans="1:38" s="88" customFormat="1">
      <c r="A204" s="124"/>
      <c r="B204" s="123"/>
      <c r="C204" s="123"/>
      <c r="D204" s="123"/>
      <c r="E204" s="123"/>
      <c r="F204" s="123"/>
      <c r="H204" s="103">
        <v>199</v>
      </c>
      <c r="I204" s="104" t="str">
        <f t="shared" si="14"/>
        <v/>
      </c>
      <c r="J204" s="103">
        <f t="shared" si="17"/>
        <v>-3</v>
      </c>
      <c r="K204" s="103">
        <f t="shared" si="15"/>
        <v>-30</v>
      </c>
      <c r="L204" s="103"/>
      <c r="M204" s="105">
        <f t="shared" si="16"/>
        <v>0</v>
      </c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</row>
    <row r="205" spans="1:38" s="88" customFormat="1">
      <c r="A205" s="124"/>
      <c r="B205" s="123"/>
      <c r="C205" s="123"/>
      <c r="D205" s="123"/>
      <c r="E205" s="123"/>
      <c r="F205" s="123"/>
      <c r="H205" s="103">
        <v>200</v>
      </c>
      <c r="I205" s="104" t="str">
        <f t="shared" si="14"/>
        <v/>
      </c>
      <c r="J205" s="103">
        <f t="shared" si="17"/>
        <v>-3</v>
      </c>
      <c r="K205" s="103">
        <f t="shared" si="15"/>
        <v>-30</v>
      </c>
      <c r="L205" s="103"/>
      <c r="M205" s="105">
        <f t="shared" si="16"/>
        <v>0</v>
      </c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</row>
    <row r="206" spans="1:38" s="88" customFormat="1">
      <c r="A206" s="124"/>
      <c r="B206" s="123"/>
      <c r="C206" s="123"/>
      <c r="D206" s="123"/>
      <c r="E206" s="123"/>
      <c r="F206" s="123"/>
      <c r="H206" s="103">
        <v>201</v>
      </c>
      <c r="I206" s="104" t="str">
        <f t="shared" si="14"/>
        <v/>
      </c>
      <c r="J206" s="103">
        <f t="shared" si="17"/>
        <v>-3</v>
      </c>
      <c r="K206" s="103">
        <f t="shared" si="15"/>
        <v>-30</v>
      </c>
      <c r="L206" s="103"/>
      <c r="M206" s="105">
        <f t="shared" si="16"/>
        <v>0</v>
      </c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</row>
    <row r="207" spans="1:38" s="88" customFormat="1">
      <c r="A207" s="124"/>
      <c r="B207" s="123"/>
      <c r="C207" s="123"/>
      <c r="D207" s="123"/>
      <c r="E207" s="123"/>
      <c r="F207" s="123"/>
      <c r="H207" s="103">
        <v>202</v>
      </c>
      <c r="I207" s="104" t="str">
        <f t="shared" si="14"/>
        <v/>
      </c>
      <c r="J207" s="103">
        <f t="shared" si="17"/>
        <v>-3</v>
      </c>
      <c r="K207" s="103">
        <f t="shared" si="15"/>
        <v>-30</v>
      </c>
      <c r="L207" s="103"/>
      <c r="M207" s="105">
        <f t="shared" si="16"/>
        <v>0</v>
      </c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</row>
    <row r="208" spans="1:38" s="88" customFormat="1">
      <c r="A208" s="124"/>
      <c r="B208" s="123"/>
      <c r="C208" s="123"/>
      <c r="D208" s="123"/>
      <c r="E208" s="123"/>
      <c r="F208" s="123"/>
      <c r="H208" s="103">
        <v>203</v>
      </c>
      <c r="I208" s="104" t="str">
        <f t="shared" si="14"/>
        <v/>
      </c>
      <c r="J208" s="103">
        <f t="shared" si="17"/>
        <v>-3</v>
      </c>
      <c r="K208" s="103">
        <f t="shared" si="15"/>
        <v>-30</v>
      </c>
      <c r="L208" s="103"/>
      <c r="M208" s="105">
        <f t="shared" si="16"/>
        <v>0</v>
      </c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</row>
    <row r="209" spans="1:38" s="88" customFormat="1">
      <c r="A209" s="124"/>
      <c r="B209" s="123"/>
      <c r="C209" s="123"/>
      <c r="D209" s="123"/>
      <c r="E209" s="123"/>
      <c r="F209" s="123"/>
      <c r="H209" s="103">
        <v>204</v>
      </c>
      <c r="I209" s="104" t="str">
        <f t="shared" si="14"/>
        <v/>
      </c>
      <c r="J209" s="103">
        <f t="shared" si="17"/>
        <v>-3</v>
      </c>
      <c r="K209" s="103">
        <f t="shared" si="15"/>
        <v>-30</v>
      </c>
      <c r="L209" s="103"/>
      <c r="M209" s="105">
        <f t="shared" si="16"/>
        <v>0</v>
      </c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</row>
    <row r="210" spans="1:38" s="88" customFormat="1">
      <c r="A210" s="124"/>
      <c r="B210" s="123"/>
      <c r="C210" s="123"/>
      <c r="D210" s="123"/>
      <c r="E210" s="123"/>
      <c r="F210" s="123"/>
      <c r="H210" s="103">
        <v>205</v>
      </c>
      <c r="I210" s="104" t="str">
        <f t="shared" si="14"/>
        <v/>
      </c>
      <c r="J210" s="103">
        <f t="shared" si="17"/>
        <v>-3</v>
      </c>
      <c r="K210" s="103">
        <f t="shared" si="15"/>
        <v>-30</v>
      </c>
      <c r="L210" s="103"/>
      <c r="M210" s="105">
        <f t="shared" si="16"/>
        <v>0</v>
      </c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</row>
    <row r="211" spans="1:38" s="88" customFormat="1">
      <c r="A211" s="124"/>
      <c r="B211" s="123"/>
      <c r="C211" s="123"/>
      <c r="D211" s="123"/>
      <c r="E211" s="123"/>
      <c r="F211" s="123"/>
      <c r="H211" s="103">
        <v>206</v>
      </c>
      <c r="I211" s="104" t="str">
        <f t="shared" si="14"/>
        <v/>
      </c>
      <c r="J211" s="103">
        <f t="shared" si="17"/>
        <v>-3</v>
      </c>
      <c r="K211" s="103">
        <f t="shared" si="15"/>
        <v>-30</v>
      </c>
      <c r="L211" s="103"/>
      <c r="M211" s="105">
        <f t="shared" si="16"/>
        <v>0</v>
      </c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</row>
    <row r="212" spans="1:38" s="88" customFormat="1">
      <c r="A212" s="124"/>
      <c r="B212" s="123"/>
      <c r="C212" s="123"/>
      <c r="D212" s="123"/>
      <c r="E212" s="123"/>
      <c r="F212" s="123"/>
      <c r="H212" s="103">
        <v>207</v>
      </c>
      <c r="I212" s="104" t="str">
        <f t="shared" si="14"/>
        <v/>
      </c>
      <c r="J212" s="103">
        <f t="shared" si="17"/>
        <v>-3</v>
      </c>
      <c r="K212" s="103">
        <f t="shared" si="15"/>
        <v>-30</v>
      </c>
      <c r="L212" s="103"/>
      <c r="M212" s="105">
        <f t="shared" si="16"/>
        <v>0</v>
      </c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</row>
    <row r="213" spans="1:38" s="88" customFormat="1">
      <c r="A213" s="124"/>
      <c r="B213" s="123"/>
      <c r="C213" s="123"/>
      <c r="D213" s="123"/>
      <c r="E213" s="123"/>
      <c r="F213" s="123"/>
      <c r="H213" s="103">
        <v>208</v>
      </c>
      <c r="I213" s="104" t="str">
        <f t="shared" si="14"/>
        <v/>
      </c>
      <c r="J213" s="103">
        <f t="shared" si="17"/>
        <v>-3</v>
      </c>
      <c r="K213" s="103">
        <f t="shared" si="15"/>
        <v>-30</v>
      </c>
      <c r="L213" s="103"/>
      <c r="M213" s="105">
        <f t="shared" si="16"/>
        <v>0</v>
      </c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</row>
    <row r="214" spans="1:38" s="88" customFormat="1">
      <c r="A214" s="124"/>
      <c r="B214" s="123"/>
      <c r="C214" s="123"/>
      <c r="D214" s="123"/>
      <c r="E214" s="123"/>
      <c r="F214" s="123"/>
      <c r="H214" s="103">
        <v>209</v>
      </c>
      <c r="I214" s="104" t="str">
        <f t="shared" si="14"/>
        <v/>
      </c>
      <c r="J214" s="103">
        <f t="shared" si="17"/>
        <v>-3</v>
      </c>
      <c r="K214" s="103">
        <f t="shared" si="15"/>
        <v>-30</v>
      </c>
      <c r="L214" s="103"/>
      <c r="M214" s="105">
        <f t="shared" si="16"/>
        <v>0</v>
      </c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</row>
    <row r="215" spans="1:38" s="88" customFormat="1">
      <c r="A215" s="124"/>
      <c r="B215" s="123"/>
      <c r="C215" s="123"/>
      <c r="D215" s="123"/>
      <c r="E215" s="123"/>
      <c r="F215" s="123"/>
      <c r="H215" s="103">
        <v>210</v>
      </c>
      <c r="I215" s="104" t="str">
        <f t="shared" si="14"/>
        <v/>
      </c>
      <c r="J215" s="103">
        <f t="shared" si="17"/>
        <v>-3</v>
      </c>
      <c r="K215" s="103">
        <f t="shared" si="15"/>
        <v>-30</v>
      </c>
      <c r="L215" s="103"/>
      <c r="M215" s="105">
        <f t="shared" si="16"/>
        <v>0</v>
      </c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</row>
    <row r="216" spans="1:38" s="88" customFormat="1">
      <c r="A216" s="124"/>
      <c r="B216" s="123"/>
      <c r="C216" s="123"/>
      <c r="D216" s="123"/>
      <c r="E216" s="123"/>
      <c r="F216" s="123"/>
      <c r="H216" s="103">
        <v>211</v>
      </c>
      <c r="I216" s="104" t="str">
        <f t="shared" si="14"/>
        <v/>
      </c>
      <c r="J216" s="103">
        <f t="shared" si="17"/>
        <v>-3</v>
      </c>
      <c r="K216" s="103">
        <f t="shared" si="15"/>
        <v>-30</v>
      </c>
      <c r="L216" s="103"/>
      <c r="M216" s="105">
        <f t="shared" si="16"/>
        <v>0</v>
      </c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</row>
    <row r="217" spans="1:38" s="88" customFormat="1">
      <c r="A217" s="124"/>
      <c r="B217" s="123"/>
      <c r="C217" s="123"/>
      <c r="D217" s="123"/>
      <c r="E217" s="123"/>
      <c r="F217" s="123"/>
      <c r="H217" s="103">
        <v>212</v>
      </c>
      <c r="I217" s="104" t="str">
        <f t="shared" si="14"/>
        <v/>
      </c>
      <c r="J217" s="103">
        <f t="shared" si="17"/>
        <v>-3</v>
      </c>
      <c r="K217" s="103">
        <f t="shared" si="15"/>
        <v>-30</v>
      </c>
      <c r="L217" s="103"/>
      <c r="M217" s="105">
        <f t="shared" si="16"/>
        <v>0</v>
      </c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</row>
    <row r="218" spans="1:38" s="88" customFormat="1">
      <c r="A218" s="124"/>
      <c r="B218" s="123"/>
      <c r="C218" s="123"/>
      <c r="D218" s="123"/>
      <c r="E218" s="123"/>
      <c r="F218" s="123"/>
      <c r="H218" s="103">
        <v>213</v>
      </c>
      <c r="I218" s="104" t="str">
        <f t="shared" si="14"/>
        <v/>
      </c>
      <c r="J218" s="103">
        <f t="shared" si="17"/>
        <v>-3</v>
      </c>
      <c r="K218" s="103">
        <f t="shared" si="15"/>
        <v>-30</v>
      </c>
      <c r="L218" s="103"/>
      <c r="M218" s="105">
        <f t="shared" si="16"/>
        <v>0</v>
      </c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</row>
    <row r="219" spans="1:38" s="88" customFormat="1">
      <c r="A219" s="124"/>
      <c r="B219" s="123"/>
      <c r="C219" s="123"/>
      <c r="D219" s="123"/>
      <c r="E219" s="123"/>
      <c r="F219" s="123"/>
      <c r="H219" s="103">
        <v>214</v>
      </c>
      <c r="I219" s="104" t="str">
        <f t="shared" si="14"/>
        <v/>
      </c>
      <c r="J219" s="103">
        <f t="shared" si="17"/>
        <v>-3</v>
      </c>
      <c r="K219" s="103">
        <f t="shared" si="15"/>
        <v>-30</v>
      </c>
      <c r="L219" s="103"/>
      <c r="M219" s="105">
        <f t="shared" si="16"/>
        <v>0</v>
      </c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</row>
    <row r="220" spans="1:38" s="88" customFormat="1">
      <c r="A220" s="124"/>
      <c r="B220" s="123"/>
      <c r="C220" s="123"/>
      <c r="D220" s="123"/>
      <c r="E220" s="123"/>
      <c r="F220" s="123"/>
      <c r="H220" s="103">
        <v>215</v>
      </c>
      <c r="I220" s="104" t="str">
        <f t="shared" si="14"/>
        <v/>
      </c>
      <c r="J220" s="103">
        <f t="shared" si="17"/>
        <v>-3</v>
      </c>
      <c r="K220" s="103">
        <f t="shared" si="15"/>
        <v>-30</v>
      </c>
      <c r="L220" s="103"/>
      <c r="M220" s="105">
        <f t="shared" si="16"/>
        <v>0</v>
      </c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</row>
    <row r="221" spans="1:38" s="88" customFormat="1">
      <c r="A221" s="124"/>
      <c r="B221" s="123"/>
      <c r="C221" s="123"/>
      <c r="D221" s="123"/>
      <c r="E221" s="123"/>
      <c r="F221" s="123"/>
      <c r="H221" s="103">
        <v>216</v>
      </c>
      <c r="I221" s="104" t="str">
        <f t="shared" si="14"/>
        <v/>
      </c>
      <c r="J221" s="103">
        <f t="shared" si="17"/>
        <v>-3</v>
      </c>
      <c r="K221" s="103">
        <f t="shared" si="15"/>
        <v>-30</v>
      </c>
      <c r="L221" s="103"/>
      <c r="M221" s="105">
        <f t="shared" si="16"/>
        <v>0</v>
      </c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</row>
    <row r="222" spans="1:38" s="88" customFormat="1">
      <c r="A222" s="124"/>
      <c r="B222" s="123"/>
      <c r="C222" s="123"/>
      <c r="D222" s="123"/>
      <c r="E222" s="123"/>
      <c r="F222" s="123"/>
      <c r="H222" s="103">
        <v>217</v>
      </c>
      <c r="I222" s="104" t="str">
        <f t="shared" si="14"/>
        <v/>
      </c>
      <c r="J222" s="103">
        <f t="shared" si="17"/>
        <v>-3</v>
      </c>
      <c r="K222" s="103">
        <f t="shared" si="15"/>
        <v>-30</v>
      </c>
      <c r="L222" s="103"/>
      <c r="M222" s="105">
        <f t="shared" si="16"/>
        <v>0</v>
      </c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</row>
    <row r="223" spans="1:38" s="88" customFormat="1">
      <c r="A223" s="124"/>
      <c r="B223" s="123"/>
      <c r="C223" s="123"/>
      <c r="D223" s="123"/>
      <c r="E223" s="123"/>
      <c r="F223" s="123"/>
      <c r="H223" s="103">
        <v>218</v>
      </c>
      <c r="I223" s="104" t="str">
        <f t="shared" si="14"/>
        <v/>
      </c>
      <c r="J223" s="103">
        <f t="shared" si="17"/>
        <v>-3</v>
      </c>
      <c r="K223" s="103">
        <f t="shared" si="15"/>
        <v>-30</v>
      </c>
      <c r="L223" s="103"/>
      <c r="M223" s="105">
        <f t="shared" si="16"/>
        <v>0</v>
      </c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</row>
    <row r="224" spans="1:38" s="88" customFormat="1">
      <c r="A224" s="124"/>
      <c r="B224" s="123"/>
      <c r="C224" s="123"/>
      <c r="D224" s="123"/>
      <c r="E224" s="123"/>
      <c r="F224" s="123"/>
      <c r="H224" s="103">
        <v>219</v>
      </c>
      <c r="I224" s="104" t="str">
        <f t="shared" si="14"/>
        <v/>
      </c>
      <c r="J224" s="103">
        <f t="shared" si="17"/>
        <v>-3</v>
      </c>
      <c r="K224" s="103">
        <f t="shared" si="15"/>
        <v>-30</v>
      </c>
      <c r="L224" s="103"/>
      <c r="M224" s="105">
        <f t="shared" si="16"/>
        <v>0</v>
      </c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</row>
    <row r="225" spans="1:38" s="88" customFormat="1">
      <c r="A225" s="124"/>
      <c r="B225" s="123"/>
      <c r="C225" s="123"/>
      <c r="D225" s="123"/>
      <c r="E225" s="123"/>
      <c r="F225" s="123"/>
      <c r="H225" s="103">
        <v>220</v>
      </c>
      <c r="I225" s="104" t="str">
        <f t="shared" si="14"/>
        <v/>
      </c>
      <c r="J225" s="103">
        <f t="shared" si="17"/>
        <v>-3</v>
      </c>
      <c r="K225" s="103">
        <f t="shared" si="15"/>
        <v>-30</v>
      </c>
      <c r="L225" s="103"/>
      <c r="M225" s="105">
        <f t="shared" si="16"/>
        <v>0</v>
      </c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</row>
    <row r="226" spans="1:38" s="88" customFormat="1">
      <c r="A226" s="124"/>
      <c r="B226" s="123"/>
      <c r="C226" s="123"/>
      <c r="D226" s="123"/>
      <c r="E226" s="123"/>
      <c r="F226" s="123"/>
      <c r="H226" s="103">
        <v>221</v>
      </c>
      <c r="I226" s="104" t="str">
        <f t="shared" si="14"/>
        <v/>
      </c>
      <c r="J226" s="103">
        <f t="shared" si="17"/>
        <v>-3</v>
      </c>
      <c r="K226" s="103">
        <f t="shared" si="15"/>
        <v>-30</v>
      </c>
      <c r="L226" s="103"/>
      <c r="M226" s="105">
        <f t="shared" si="16"/>
        <v>0</v>
      </c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</row>
    <row r="227" spans="1:38" s="88" customFormat="1">
      <c r="A227" s="124"/>
      <c r="B227" s="123"/>
      <c r="C227" s="123"/>
      <c r="D227" s="123"/>
      <c r="E227" s="123"/>
      <c r="F227" s="123"/>
      <c r="H227" s="103">
        <v>222</v>
      </c>
      <c r="I227" s="104" t="str">
        <f t="shared" si="14"/>
        <v/>
      </c>
      <c r="J227" s="103">
        <f t="shared" si="17"/>
        <v>-3</v>
      </c>
      <c r="K227" s="103">
        <f t="shared" si="15"/>
        <v>-30</v>
      </c>
      <c r="L227" s="103"/>
      <c r="M227" s="105">
        <f t="shared" si="16"/>
        <v>0</v>
      </c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</row>
    <row r="228" spans="1:38" s="88" customFormat="1">
      <c r="A228" s="124"/>
      <c r="B228" s="123"/>
      <c r="C228" s="123"/>
      <c r="D228" s="123"/>
      <c r="E228" s="123"/>
      <c r="F228" s="123"/>
      <c r="H228" s="103">
        <v>223</v>
      </c>
      <c r="I228" s="104" t="str">
        <f t="shared" si="14"/>
        <v/>
      </c>
      <c r="J228" s="103">
        <f t="shared" si="17"/>
        <v>-3</v>
      </c>
      <c r="K228" s="103">
        <f t="shared" si="15"/>
        <v>-30</v>
      </c>
      <c r="L228" s="103"/>
      <c r="M228" s="105">
        <f t="shared" si="16"/>
        <v>0</v>
      </c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</row>
    <row r="229" spans="1:38" s="88" customFormat="1">
      <c r="A229" s="124"/>
      <c r="B229" s="123"/>
      <c r="C229" s="123"/>
      <c r="D229" s="123"/>
      <c r="E229" s="123"/>
      <c r="F229" s="123"/>
      <c r="H229" s="103">
        <v>224</v>
      </c>
      <c r="I229" s="104" t="str">
        <f t="shared" si="14"/>
        <v/>
      </c>
      <c r="J229" s="103">
        <f t="shared" si="17"/>
        <v>-3</v>
      </c>
      <c r="K229" s="103">
        <f t="shared" si="15"/>
        <v>-30</v>
      </c>
      <c r="L229" s="103"/>
      <c r="M229" s="105">
        <f t="shared" si="16"/>
        <v>0</v>
      </c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</row>
    <row r="230" spans="1:38" s="88" customFormat="1">
      <c r="A230" s="124"/>
      <c r="B230" s="123"/>
      <c r="C230" s="123"/>
      <c r="D230" s="123"/>
      <c r="E230" s="123"/>
      <c r="F230" s="123"/>
      <c r="H230" s="103">
        <v>225</v>
      </c>
      <c r="I230" s="104" t="str">
        <f t="shared" si="14"/>
        <v/>
      </c>
      <c r="J230" s="103">
        <f t="shared" si="17"/>
        <v>-3</v>
      </c>
      <c r="K230" s="103">
        <f t="shared" si="15"/>
        <v>-30</v>
      </c>
      <c r="L230" s="103"/>
      <c r="M230" s="105">
        <f t="shared" si="16"/>
        <v>0</v>
      </c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</row>
    <row r="231" spans="1:38" s="88" customFormat="1">
      <c r="A231" s="124"/>
      <c r="B231" s="123"/>
      <c r="C231" s="123"/>
      <c r="D231" s="123"/>
      <c r="E231" s="123"/>
      <c r="F231" s="123"/>
      <c r="H231" s="103">
        <v>226</v>
      </c>
      <c r="I231" s="104" t="str">
        <f t="shared" si="14"/>
        <v/>
      </c>
      <c r="J231" s="103">
        <f t="shared" si="17"/>
        <v>-3</v>
      </c>
      <c r="K231" s="103">
        <f t="shared" si="15"/>
        <v>-30</v>
      </c>
      <c r="L231" s="103"/>
      <c r="M231" s="105">
        <f t="shared" si="16"/>
        <v>0</v>
      </c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</row>
    <row r="232" spans="1:38" s="88" customFormat="1">
      <c r="A232" s="124"/>
      <c r="B232" s="123"/>
      <c r="C232" s="123"/>
      <c r="D232" s="123"/>
      <c r="E232" s="123"/>
      <c r="F232" s="123"/>
      <c r="H232" s="103">
        <v>227</v>
      </c>
      <c r="I232" s="104" t="str">
        <f t="shared" si="14"/>
        <v/>
      </c>
      <c r="J232" s="103">
        <f t="shared" si="17"/>
        <v>-3</v>
      </c>
      <c r="K232" s="103">
        <f t="shared" si="15"/>
        <v>-30</v>
      </c>
      <c r="L232" s="103"/>
      <c r="M232" s="105">
        <f t="shared" si="16"/>
        <v>0</v>
      </c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</row>
    <row r="233" spans="1:38" s="88" customFormat="1">
      <c r="A233" s="124"/>
      <c r="B233" s="123"/>
      <c r="C233" s="123"/>
      <c r="D233" s="123"/>
      <c r="E233" s="123"/>
      <c r="F233" s="123"/>
      <c r="H233" s="103">
        <v>228</v>
      </c>
      <c r="I233" s="104" t="str">
        <f t="shared" si="14"/>
        <v/>
      </c>
      <c r="J233" s="103">
        <f t="shared" si="17"/>
        <v>-3</v>
      </c>
      <c r="K233" s="103">
        <f t="shared" si="15"/>
        <v>-30</v>
      </c>
      <c r="L233" s="103"/>
      <c r="M233" s="105">
        <f t="shared" si="16"/>
        <v>0</v>
      </c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</row>
    <row r="234" spans="1:38" s="88" customFormat="1">
      <c r="A234" s="124"/>
      <c r="B234" s="123"/>
      <c r="C234" s="123"/>
      <c r="D234" s="123"/>
      <c r="E234" s="123"/>
      <c r="F234" s="123"/>
      <c r="H234" s="103">
        <v>229</v>
      </c>
      <c r="I234" s="104" t="str">
        <f t="shared" si="14"/>
        <v/>
      </c>
      <c r="J234" s="103">
        <f t="shared" si="17"/>
        <v>-3</v>
      </c>
      <c r="K234" s="103">
        <f t="shared" si="15"/>
        <v>-30</v>
      </c>
      <c r="L234" s="103"/>
      <c r="M234" s="105">
        <f t="shared" si="16"/>
        <v>0</v>
      </c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</row>
    <row r="235" spans="1:38" s="88" customFormat="1">
      <c r="A235" s="124"/>
      <c r="B235" s="123"/>
      <c r="C235" s="123"/>
      <c r="D235" s="123"/>
      <c r="E235" s="123"/>
      <c r="F235" s="123"/>
      <c r="H235" s="103">
        <v>230</v>
      </c>
      <c r="I235" s="104" t="str">
        <f t="shared" si="14"/>
        <v/>
      </c>
      <c r="J235" s="103">
        <f t="shared" si="17"/>
        <v>-3</v>
      </c>
      <c r="K235" s="103">
        <f t="shared" si="15"/>
        <v>-30</v>
      </c>
      <c r="L235" s="103"/>
      <c r="M235" s="105">
        <f t="shared" si="16"/>
        <v>0</v>
      </c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</row>
    <row r="236" spans="1:38" s="88" customFormat="1">
      <c r="A236" s="124"/>
      <c r="B236" s="123"/>
      <c r="C236" s="123"/>
      <c r="D236" s="123"/>
      <c r="E236" s="123"/>
      <c r="F236" s="123"/>
      <c r="H236" s="103">
        <v>231</v>
      </c>
      <c r="I236" s="104" t="str">
        <f t="shared" si="14"/>
        <v/>
      </c>
      <c r="J236" s="103">
        <f t="shared" si="17"/>
        <v>-3</v>
      </c>
      <c r="K236" s="103">
        <f t="shared" si="15"/>
        <v>-30</v>
      </c>
      <c r="L236" s="103"/>
      <c r="M236" s="105">
        <f t="shared" si="16"/>
        <v>0</v>
      </c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</row>
    <row r="237" spans="1:38" s="88" customFormat="1">
      <c r="A237" s="124"/>
      <c r="B237" s="123"/>
      <c r="C237" s="123"/>
      <c r="D237" s="123"/>
      <c r="E237" s="123"/>
      <c r="F237" s="123"/>
      <c r="H237" s="103">
        <v>232</v>
      </c>
      <c r="I237" s="104" t="str">
        <f t="shared" si="14"/>
        <v/>
      </c>
      <c r="J237" s="103">
        <f t="shared" si="17"/>
        <v>-3</v>
      </c>
      <c r="K237" s="103">
        <f t="shared" si="15"/>
        <v>-30</v>
      </c>
      <c r="L237" s="103"/>
      <c r="M237" s="105">
        <f t="shared" si="16"/>
        <v>0</v>
      </c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</row>
    <row r="238" spans="1:38" s="88" customFormat="1">
      <c r="A238" s="124"/>
      <c r="B238" s="123"/>
      <c r="C238" s="123"/>
      <c r="D238" s="123"/>
      <c r="E238" s="123"/>
      <c r="F238" s="123"/>
      <c r="H238" s="103">
        <v>233</v>
      </c>
      <c r="I238" s="104" t="str">
        <f t="shared" si="14"/>
        <v/>
      </c>
      <c r="J238" s="103">
        <f t="shared" si="17"/>
        <v>-3</v>
      </c>
      <c r="K238" s="103">
        <f t="shared" si="15"/>
        <v>-30</v>
      </c>
      <c r="L238" s="103"/>
      <c r="M238" s="105">
        <f t="shared" si="16"/>
        <v>0</v>
      </c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</row>
    <row r="239" spans="1:38" s="88" customFormat="1">
      <c r="A239" s="124"/>
      <c r="B239" s="123"/>
      <c r="C239" s="123"/>
      <c r="D239" s="123"/>
      <c r="E239" s="123"/>
      <c r="F239" s="123"/>
      <c r="H239" s="103">
        <v>234</v>
      </c>
      <c r="I239" s="104" t="str">
        <f t="shared" si="14"/>
        <v/>
      </c>
      <c r="J239" s="103">
        <f t="shared" si="17"/>
        <v>-3</v>
      </c>
      <c r="K239" s="103">
        <f t="shared" si="15"/>
        <v>-30</v>
      </c>
      <c r="L239" s="103"/>
      <c r="M239" s="105">
        <f t="shared" si="16"/>
        <v>0</v>
      </c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</row>
    <row r="240" spans="1:38" s="88" customFormat="1">
      <c r="A240" s="124"/>
      <c r="B240" s="123"/>
      <c r="C240" s="123"/>
      <c r="D240" s="123"/>
      <c r="E240" s="123"/>
      <c r="F240" s="123"/>
      <c r="H240" s="103">
        <v>235</v>
      </c>
      <c r="I240" s="104" t="str">
        <f t="shared" si="14"/>
        <v/>
      </c>
      <c r="J240" s="103">
        <f t="shared" si="17"/>
        <v>-3</v>
      </c>
      <c r="K240" s="103">
        <f t="shared" si="15"/>
        <v>-30</v>
      </c>
      <c r="L240" s="103"/>
      <c r="M240" s="105">
        <f t="shared" si="16"/>
        <v>0</v>
      </c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</row>
    <row r="241" spans="1:38" s="88" customFormat="1">
      <c r="A241" s="124"/>
      <c r="B241" s="123"/>
      <c r="C241" s="123"/>
      <c r="D241" s="123"/>
      <c r="E241" s="123"/>
      <c r="F241" s="123"/>
      <c r="H241" s="103">
        <v>236</v>
      </c>
      <c r="I241" s="104" t="str">
        <f t="shared" si="14"/>
        <v/>
      </c>
      <c r="J241" s="103">
        <f t="shared" si="17"/>
        <v>-3</v>
      </c>
      <c r="K241" s="103">
        <f t="shared" si="15"/>
        <v>-30</v>
      </c>
      <c r="L241" s="103"/>
      <c r="M241" s="105">
        <f t="shared" si="16"/>
        <v>0</v>
      </c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</row>
    <row r="242" spans="1:38" s="88" customFormat="1">
      <c r="A242" s="124"/>
      <c r="B242" s="123"/>
      <c r="C242" s="123"/>
      <c r="D242" s="123"/>
      <c r="E242" s="123"/>
      <c r="F242" s="123"/>
      <c r="H242" s="103">
        <v>237</v>
      </c>
      <c r="I242" s="104" t="str">
        <f t="shared" si="14"/>
        <v/>
      </c>
      <c r="J242" s="103">
        <f t="shared" si="17"/>
        <v>-3</v>
      </c>
      <c r="K242" s="103">
        <f t="shared" si="15"/>
        <v>-30</v>
      </c>
      <c r="L242" s="103"/>
      <c r="M242" s="105">
        <f t="shared" si="16"/>
        <v>0</v>
      </c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</row>
    <row r="243" spans="1:38" s="88" customFormat="1">
      <c r="A243" s="124"/>
      <c r="B243" s="123"/>
      <c r="C243" s="123"/>
      <c r="D243" s="123"/>
      <c r="E243" s="123"/>
      <c r="F243" s="123"/>
      <c r="H243" s="103">
        <v>238</v>
      </c>
      <c r="I243" s="104" t="str">
        <f t="shared" si="14"/>
        <v/>
      </c>
      <c r="J243" s="103">
        <f t="shared" si="17"/>
        <v>-3</v>
      </c>
      <c r="K243" s="103">
        <f t="shared" si="15"/>
        <v>-30</v>
      </c>
      <c r="L243" s="103"/>
      <c r="M243" s="105">
        <f t="shared" si="16"/>
        <v>0</v>
      </c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</row>
    <row r="244" spans="1:38" s="88" customFormat="1">
      <c r="A244" s="124"/>
      <c r="B244" s="123"/>
      <c r="C244" s="123"/>
      <c r="D244" s="123"/>
      <c r="E244" s="123"/>
      <c r="F244" s="123"/>
      <c r="H244" s="103">
        <v>239</v>
      </c>
      <c r="I244" s="104" t="str">
        <f t="shared" si="14"/>
        <v/>
      </c>
      <c r="J244" s="103">
        <f t="shared" si="17"/>
        <v>-3</v>
      </c>
      <c r="K244" s="103">
        <f t="shared" si="15"/>
        <v>-30</v>
      </c>
      <c r="L244" s="103"/>
      <c r="M244" s="105">
        <f t="shared" si="16"/>
        <v>0</v>
      </c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</row>
    <row r="245" spans="1:38" s="88" customFormat="1">
      <c r="A245" s="124"/>
      <c r="B245" s="123"/>
      <c r="C245" s="123"/>
      <c r="D245" s="123"/>
      <c r="E245" s="123"/>
      <c r="F245" s="123"/>
      <c r="H245" s="103">
        <v>240</v>
      </c>
      <c r="I245" s="104" t="str">
        <f t="shared" si="14"/>
        <v/>
      </c>
      <c r="J245" s="103">
        <f t="shared" si="17"/>
        <v>-3</v>
      </c>
      <c r="K245" s="103">
        <f t="shared" si="15"/>
        <v>-30</v>
      </c>
      <c r="L245" s="103"/>
      <c r="M245" s="105">
        <f t="shared" si="16"/>
        <v>0</v>
      </c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</row>
    <row r="246" spans="1:38" s="88" customFormat="1">
      <c r="A246" s="124"/>
      <c r="B246" s="123"/>
      <c r="C246" s="123"/>
      <c r="D246" s="123"/>
      <c r="E246" s="123"/>
      <c r="F246" s="123"/>
      <c r="H246" s="103">
        <v>241</v>
      </c>
      <c r="I246" s="104" t="str">
        <f t="shared" si="14"/>
        <v/>
      </c>
      <c r="J246" s="103">
        <f t="shared" si="17"/>
        <v>-3</v>
      </c>
      <c r="K246" s="103">
        <f t="shared" si="15"/>
        <v>-30</v>
      </c>
      <c r="L246" s="103"/>
      <c r="M246" s="105">
        <f t="shared" si="16"/>
        <v>0</v>
      </c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</row>
    <row r="247" spans="1:38" s="88" customFormat="1">
      <c r="A247" s="124"/>
      <c r="B247" s="123"/>
      <c r="C247" s="123"/>
      <c r="D247" s="123"/>
      <c r="E247" s="123"/>
      <c r="F247" s="123"/>
      <c r="H247" s="103">
        <v>242</v>
      </c>
      <c r="I247" s="104" t="str">
        <f t="shared" si="14"/>
        <v/>
      </c>
      <c r="J247" s="103">
        <f t="shared" si="17"/>
        <v>-3</v>
      </c>
      <c r="K247" s="103">
        <f t="shared" si="15"/>
        <v>-30</v>
      </c>
      <c r="L247" s="103"/>
      <c r="M247" s="105">
        <f t="shared" si="16"/>
        <v>0</v>
      </c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</row>
    <row r="248" spans="1:38" s="88" customFormat="1">
      <c r="A248" s="124"/>
      <c r="B248" s="123"/>
      <c r="C248" s="123"/>
      <c r="D248" s="123"/>
      <c r="E248" s="123"/>
      <c r="F248" s="123"/>
      <c r="H248" s="103">
        <v>243</v>
      </c>
      <c r="I248" s="104" t="str">
        <f t="shared" si="14"/>
        <v/>
      </c>
      <c r="J248" s="103">
        <f t="shared" si="17"/>
        <v>-3</v>
      </c>
      <c r="K248" s="103">
        <f t="shared" si="15"/>
        <v>-30</v>
      </c>
      <c r="L248" s="103"/>
      <c r="M248" s="105">
        <f t="shared" si="16"/>
        <v>0</v>
      </c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</row>
    <row r="249" spans="1:38" s="88" customFormat="1">
      <c r="A249" s="124"/>
      <c r="B249" s="123"/>
      <c r="C249" s="123"/>
      <c r="D249" s="123"/>
      <c r="E249" s="123"/>
      <c r="F249" s="123"/>
      <c r="H249" s="103">
        <v>244</v>
      </c>
      <c r="I249" s="104" t="str">
        <f t="shared" si="14"/>
        <v/>
      </c>
      <c r="J249" s="103">
        <f t="shared" si="17"/>
        <v>-3</v>
      </c>
      <c r="K249" s="103">
        <f t="shared" si="15"/>
        <v>-30</v>
      </c>
      <c r="L249" s="103"/>
      <c r="M249" s="105">
        <f t="shared" si="16"/>
        <v>0</v>
      </c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</row>
    <row r="250" spans="1:38" s="88" customFormat="1">
      <c r="A250" s="124"/>
      <c r="B250" s="123"/>
      <c r="C250" s="123"/>
      <c r="D250" s="123"/>
      <c r="E250" s="123"/>
      <c r="F250" s="123"/>
      <c r="H250" s="103">
        <v>245</v>
      </c>
      <c r="I250" s="104" t="str">
        <f t="shared" si="14"/>
        <v/>
      </c>
      <c r="J250" s="103">
        <f t="shared" si="17"/>
        <v>-3</v>
      </c>
      <c r="K250" s="103">
        <f t="shared" si="15"/>
        <v>-30</v>
      </c>
      <c r="L250" s="103"/>
      <c r="M250" s="105">
        <f t="shared" si="16"/>
        <v>0</v>
      </c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</row>
    <row r="251" spans="1:38" s="88" customFormat="1">
      <c r="A251" s="124"/>
      <c r="B251" s="123"/>
      <c r="C251" s="123"/>
      <c r="D251" s="123"/>
      <c r="E251" s="123"/>
      <c r="F251" s="123"/>
      <c r="H251" s="103">
        <v>246</v>
      </c>
      <c r="I251" s="104" t="str">
        <f t="shared" si="14"/>
        <v/>
      </c>
      <c r="J251" s="103">
        <f t="shared" si="17"/>
        <v>-3</v>
      </c>
      <c r="K251" s="103">
        <f t="shared" si="15"/>
        <v>-30</v>
      </c>
      <c r="L251" s="103"/>
      <c r="M251" s="105">
        <f t="shared" si="16"/>
        <v>0</v>
      </c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</row>
    <row r="252" spans="1:38" s="88" customFormat="1">
      <c r="A252" s="124"/>
      <c r="B252" s="123"/>
      <c r="C252" s="123"/>
      <c r="D252" s="123"/>
      <c r="E252" s="123"/>
      <c r="F252" s="123"/>
      <c r="H252" s="103">
        <v>247</v>
      </c>
      <c r="I252" s="104" t="str">
        <f t="shared" si="14"/>
        <v/>
      </c>
      <c r="J252" s="103">
        <f t="shared" si="17"/>
        <v>-3</v>
      </c>
      <c r="K252" s="103">
        <f t="shared" si="15"/>
        <v>-30</v>
      </c>
      <c r="L252" s="103"/>
      <c r="M252" s="105">
        <f t="shared" si="16"/>
        <v>0</v>
      </c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</row>
    <row r="253" spans="1:38" s="88" customFormat="1">
      <c r="A253" s="124"/>
      <c r="B253" s="123"/>
      <c r="C253" s="123"/>
      <c r="D253" s="123"/>
      <c r="E253" s="123"/>
      <c r="F253" s="123"/>
      <c r="H253" s="103">
        <v>248</v>
      </c>
      <c r="I253" s="104" t="str">
        <f t="shared" si="14"/>
        <v/>
      </c>
      <c r="J253" s="103">
        <f t="shared" si="17"/>
        <v>-3</v>
      </c>
      <c r="K253" s="103">
        <f t="shared" si="15"/>
        <v>-30</v>
      </c>
      <c r="L253" s="103"/>
      <c r="M253" s="105">
        <f t="shared" si="16"/>
        <v>0</v>
      </c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</row>
    <row r="254" spans="1:38" s="88" customFormat="1">
      <c r="A254" s="124"/>
      <c r="B254" s="123"/>
      <c r="C254" s="123"/>
      <c r="D254" s="123"/>
      <c r="E254" s="123"/>
      <c r="F254" s="123"/>
      <c r="H254" s="103">
        <v>249</v>
      </c>
      <c r="I254" s="104" t="str">
        <f t="shared" si="14"/>
        <v/>
      </c>
      <c r="J254" s="103">
        <f t="shared" si="17"/>
        <v>-3</v>
      </c>
      <c r="K254" s="103">
        <f t="shared" si="15"/>
        <v>-30</v>
      </c>
      <c r="L254" s="103"/>
      <c r="M254" s="105">
        <f t="shared" si="16"/>
        <v>0</v>
      </c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</row>
    <row r="255" spans="1:38" s="88" customFormat="1">
      <c r="A255" s="124"/>
      <c r="B255" s="123"/>
      <c r="C255" s="123"/>
      <c r="D255" s="123"/>
      <c r="E255" s="123"/>
      <c r="F255" s="123"/>
      <c r="H255" s="103">
        <v>250</v>
      </c>
      <c r="I255" s="104" t="str">
        <f t="shared" si="14"/>
        <v/>
      </c>
      <c r="J255" s="103">
        <f t="shared" si="17"/>
        <v>-3</v>
      </c>
      <c r="K255" s="103">
        <f t="shared" si="15"/>
        <v>-30</v>
      </c>
      <c r="L255" s="103"/>
      <c r="M255" s="105">
        <f t="shared" si="16"/>
        <v>0</v>
      </c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</row>
    <row r="256" spans="1:38" s="88" customFormat="1">
      <c r="A256" s="124"/>
      <c r="B256" s="123"/>
      <c r="C256" s="123"/>
      <c r="D256" s="123"/>
      <c r="E256" s="123"/>
      <c r="F256" s="123"/>
      <c r="H256" s="103">
        <v>251</v>
      </c>
      <c r="I256" s="104" t="str">
        <f t="shared" si="14"/>
        <v/>
      </c>
      <c r="J256" s="103">
        <f t="shared" si="17"/>
        <v>-3</v>
      </c>
      <c r="K256" s="103">
        <f t="shared" si="15"/>
        <v>-30</v>
      </c>
      <c r="L256" s="103"/>
      <c r="M256" s="105">
        <f t="shared" si="16"/>
        <v>0</v>
      </c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</row>
    <row r="257" spans="1:38" s="88" customFormat="1">
      <c r="A257" s="124"/>
      <c r="B257" s="123"/>
      <c r="C257" s="123"/>
      <c r="D257" s="123"/>
      <c r="E257" s="123"/>
      <c r="F257" s="123"/>
      <c r="H257" s="103">
        <v>252</v>
      </c>
      <c r="I257" s="104" t="str">
        <f t="shared" si="14"/>
        <v/>
      </c>
      <c r="J257" s="103">
        <f t="shared" si="17"/>
        <v>-3</v>
      </c>
      <c r="K257" s="103">
        <f t="shared" si="15"/>
        <v>-30</v>
      </c>
      <c r="L257" s="103"/>
      <c r="M257" s="105">
        <f t="shared" si="16"/>
        <v>0</v>
      </c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</row>
    <row r="258" spans="1:38" s="88" customFormat="1">
      <c r="A258" s="124"/>
      <c r="B258" s="123"/>
      <c r="C258" s="123"/>
      <c r="D258" s="123"/>
      <c r="E258" s="123"/>
      <c r="F258" s="123"/>
      <c r="H258" s="103">
        <v>253</v>
      </c>
      <c r="I258" s="104" t="str">
        <f t="shared" si="14"/>
        <v/>
      </c>
      <c r="J258" s="103">
        <f t="shared" si="17"/>
        <v>-3</v>
      </c>
      <c r="K258" s="103">
        <f t="shared" si="15"/>
        <v>-30</v>
      </c>
      <c r="L258" s="103"/>
      <c r="M258" s="105">
        <f t="shared" si="16"/>
        <v>0</v>
      </c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</row>
    <row r="259" spans="1:38" s="88" customFormat="1">
      <c r="A259" s="124"/>
      <c r="B259" s="123"/>
      <c r="C259" s="123"/>
      <c r="D259" s="123"/>
      <c r="E259" s="123"/>
      <c r="F259" s="123"/>
      <c r="H259" s="103">
        <v>254</v>
      </c>
      <c r="I259" s="104" t="str">
        <f t="shared" si="14"/>
        <v/>
      </c>
      <c r="J259" s="103">
        <f t="shared" si="17"/>
        <v>-3</v>
      </c>
      <c r="K259" s="103">
        <f t="shared" si="15"/>
        <v>-30</v>
      </c>
      <c r="L259" s="103"/>
      <c r="M259" s="105">
        <f t="shared" si="16"/>
        <v>0</v>
      </c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</row>
    <row r="260" spans="1:38" s="88" customFormat="1">
      <c r="A260" s="124"/>
      <c r="B260" s="123"/>
      <c r="C260" s="123"/>
      <c r="D260" s="123"/>
      <c r="E260" s="123"/>
      <c r="F260" s="123"/>
      <c r="H260" s="103">
        <v>255</v>
      </c>
      <c r="I260" s="104" t="str">
        <f t="shared" si="14"/>
        <v/>
      </c>
      <c r="J260" s="103">
        <f t="shared" si="17"/>
        <v>-3</v>
      </c>
      <c r="K260" s="103">
        <f t="shared" si="15"/>
        <v>-30</v>
      </c>
      <c r="L260" s="103"/>
      <c r="M260" s="105">
        <f t="shared" si="16"/>
        <v>0</v>
      </c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</row>
    <row r="261" spans="1:38" s="88" customFormat="1">
      <c r="A261" s="124"/>
      <c r="B261" s="123"/>
      <c r="C261" s="123"/>
      <c r="D261" s="123"/>
      <c r="E261" s="123"/>
      <c r="F261" s="123"/>
      <c r="H261" s="103">
        <v>256</v>
      </c>
      <c r="I261" s="104" t="str">
        <f t="shared" si="14"/>
        <v/>
      </c>
      <c r="J261" s="103">
        <f t="shared" si="17"/>
        <v>-3</v>
      </c>
      <c r="K261" s="103">
        <f t="shared" si="15"/>
        <v>-30</v>
      </c>
      <c r="L261" s="103"/>
      <c r="M261" s="105">
        <f t="shared" si="16"/>
        <v>0</v>
      </c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</row>
    <row r="262" spans="1:38" s="88" customFormat="1">
      <c r="A262" s="124"/>
      <c r="B262" s="123"/>
      <c r="C262" s="123"/>
      <c r="D262" s="123"/>
      <c r="E262" s="123"/>
      <c r="F262" s="123"/>
      <c r="H262" s="103">
        <v>257</v>
      </c>
      <c r="I262" s="104" t="str">
        <f t="shared" ref="I262:I305" si="18">IF(H262&lt;$H$2+1,($I$2-($I$2-1)*(LOG(H262)/LOG($H$2))),"")</f>
        <v/>
      </c>
      <c r="J262" s="103">
        <f t="shared" si="17"/>
        <v>-4</v>
      </c>
      <c r="K262" s="103">
        <f t="shared" ref="K262:K305" si="19">J262*$J$2</f>
        <v>-40</v>
      </c>
      <c r="L262" s="103"/>
      <c r="M262" s="105">
        <f t="shared" ref="M262:M305" si="20">IF(I262&lt;&gt;"",K262+I262+L262,0)</f>
        <v>0</v>
      </c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</row>
    <row r="263" spans="1:38" s="88" customFormat="1">
      <c r="A263" s="124"/>
      <c r="B263" s="123"/>
      <c r="C263" s="123"/>
      <c r="D263" s="123"/>
      <c r="E263" s="123"/>
      <c r="F263" s="123"/>
      <c r="H263" s="103">
        <v>258</v>
      </c>
      <c r="I263" s="104" t="str">
        <f t="shared" si="18"/>
        <v/>
      </c>
      <c r="J263" s="103">
        <f t="shared" si="17"/>
        <v>-4</v>
      </c>
      <c r="K263" s="103">
        <f t="shared" si="19"/>
        <v>-40</v>
      </c>
      <c r="L263" s="103"/>
      <c r="M263" s="105">
        <f t="shared" si="20"/>
        <v>0</v>
      </c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</row>
    <row r="264" spans="1:38" s="88" customFormat="1">
      <c r="A264" s="124"/>
      <c r="B264" s="123"/>
      <c r="C264" s="123"/>
      <c r="D264" s="123"/>
      <c r="E264" s="123"/>
      <c r="F264" s="123"/>
      <c r="H264" s="103">
        <v>259</v>
      </c>
      <c r="I264" s="104" t="str">
        <f t="shared" si="18"/>
        <v/>
      </c>
      <c r="J264" s="103">
        <f t="shared" si="17"/>
        <v>-4</v>
      </c>
      <c r="K264" s="103">
        <f t="shared" si="19"/>
        <v>-40</v>
      </c>
      <c r="L264" s="103"/>
      <c r="M264" s="105">
        <f t="shared" si="20"/>
        <v>0</v>
      </c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</row>
    <row r="265" spans="1:38" s="88" customFormat="1">
      <c r="A265" s="124"/>
      <c r="B265" s="123"/>
      <c r="C265" s="123"/>
      <c r="D265" s="123"/>
      <c r="E265" s="123"/>
      <c r="F265" s="123"/>
      <c r="H265" s="103">
        <v>260</v>
      </c>
      <c r="I265" s="104" t="str">
        <f t="shared" si="18"/>
        <v/>
      </c>
      <c r="J265" s="103">
        <f t="shared" si="17"/>
        <v>-4</v>
      </c>
      <c r="K265" s="103">
        <f t="shared" si="19"/>
        <v>-40</v>
      </c>
      <c r="L265" s="103"/>
      <c r="M265" s="105">
        <f t="shared" si="20"/>
        <v>0</v>
      </c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</row>
    <row r="266" spans="1:38" s="88" customFormat="1">
      <c r="A266" s="124"/>
      <c r="B266" s="123"/>
      <c r="C266" s="123"/>
      <c r="D266" s="123"/>
      <c r="E266" s="123"/>
      <c r="F266" s="123"/>
      <c r="H266" s="103">
        <v>261</v>
      </c>
      <c r="I266" s="104" t="str">
        <f t="shared" si="18"/>
        <v/>
      </c>
      <c r="J266" s="103">
        <f t="shared" ref="J266:J305" si="21">INT(LOG($H$2,2))-ROUNDUP(LOG(H266,2),0)+IF(OR($H$2=1,$H$2=2,$H$2=4,$H$2=8,$H$2=16,$H$2=32,$H$2=64,$H$2=128,$H$2=256),0,1)</f>
        <v>-4</v>
      </c>
      <c r="K266" s="103">
        <f t="shared" si="19"/>
        <v>-40</v>
      </c>
      <c r="L266" s="103"/>
      <c r="M266" s="105">
        <f t="shared" si="20"/>
        <v>0</v>
      </c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</row>
    <row r="267" spans="1:38" s="88" customFormat="1">
      <c r="A267" s="124"/>
      <c r="B267" s="123"/>
      <c r="C267" s="123"/>
      <c r="D267" s="123"/>
      <c r="E267" s="123"/>
      <c r="F267" s="123"/>
      <c r="H267" s="103">
        <v>262</v>
      </c>
      <c r="I267" s="104" t="str">
        <f t="shared" si="18"/>
        <v/>
      </c>
      <c r="J267" s="103">
        <f t="shared" si="21"/>
        <v>-4</v>
      </c>
      <c r="K267" s="103">
        <f t="shared" si="19"/>
        <v>-40</v>
      </c>
      <c r="L267" s="103"/>
      <c r="M267" s="105">
        <f t="shared" si="20"/>
        <v>0</v>
      </c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</row>
    <row r="268" spans="1:38" s="88" customFormat="1">
      <c r="A268" s="124"/>
      <c r="B268" s="123"/>
      <c r="C268" s="123"/>
      <c r="D268" s="123"/>
      <c r="E268" s="123"/>
      <c r="F268" s="123"/>
      <c r="H268" s="103">
        <v>263</v>
      </c>
      <c r="I268" s="104" t="str">
        <f t="shared" si="18"/>
        <v/>
      </c>
      <c r="J268" s="103">
        <f t="shared" si="21"/>
        <v>-4</v>
      </c>
      <c r="K268" s="103">
        <f t="shared" si="19"/>
        <v>-40</v>
      </c>
      <c r="L268" s="103"/>
      <c r="M268" s="105">
        <f t="shared" si="20"/>
        <v>0</v>
      </c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</row>
    <row r="269" spans="1:38" s="88" customFormat="1">
      <c r="A269" s="124"/>
      <c r="B269" s="123"/>
      <c r="C269" s="123"/>
      <c r="D269" s="123"/>
      <c r="E269" s="123"/>
      <c r="F269" s="123"/>
      <c r="H269" s="103">
        <v>264</v>
      </c>
      <c r="I269" s="104" t="str">
        <f t="shared" si="18"/>
        <v/>
      </c>
      <c r="J269" s="103">
        <f t="shared" si="21"/>
        <v>-4</v>
      </c>
      <c r="K269" s="103">
        <f t="shared" si="19"/>
        <v>-40</v>
      </c>
      <c r="L269" s="103"/>
      <c r="M269" s="105">
        <f t="shared" si="20"/>
        <v>0</v>
      </c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</row>
    <row r="270" spans="1:38" s="88" customFormat="1">
      <c r="A270" s="124"/>
      <c r="B270" s="123"/>
      <c r="C270" s="123"/>
      <c r="D270" s="123"/>
      <c r="E270" s="123"/>
      <c r="F270" s="123"/>
      <c r="H270" s="103">
        <v>265</v>
      </c>
      <c r="I270" s="104" t="str">
        <f t="shared" si="18"/>
        <v/>
      </c>
      <c r="J270" s="103">
        <f t="shared" si="21"/>
        <v>-4</v>
      </c>
      <c r="K270" s="103">
        <f t="shared" si="19"/>
        <v>-40</v>
      </c>
      <c r="L270" s="103"/>
      <c r="M270" s="105">
        <f t="shared" si="20"/>
        <v>0</v>
      </c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</row>
    <row r="271" spans="1:38" s="88" customFormat="1">
      <c r="A271" s="124"/>
      <c r="B271" s="123"/>
      <c r="C271" s="123"/>
      <c r="D271" s="123"/>
      <c r="E271" s="123"/>
      <c r="F271" s="123"/>
      <c r="H271" s="103">
        <v>266</v>
      </c>
      <c r="I271" s="104" t="str">
        <f t="shared" si="18"/>
        <v/>
      </c>
      <c r="J271" s="103">
        <f t="shared" si="21"/>
        <v>-4</v>
      </c>
      <c r="K271" s="103">
        <f t="shared" si="19"/>
        <v>-40</v>
      </c>
      <c r="L271" s="103"/>
      <c r="M271" s="105">
        <f t="shared" si="20"/>
        <v>0</v>
      </c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</row>
    <row r="272" spans="1:38" s="88" customFormat="1">
      <c r="A272" s="124"/>
      <c r="B272" s="123"/>
      <c r="C272" s="123"/>
      <c r="D272" s="123"/>
      <c r="E272" s="123"/>
      <c r="F272" s="123"/>
      <c r="H272" s="103">
        <v>267</v>
      </c>
      <c r="I272" s="104" t="str">
        <f t="shared" si="18"/>
        <v/>
      </c>
      <c r="J272" s="103">
        <f t="shared" si="21"/>
        <v>-4</v>
      </c>
      <c r="K272" s="103">
        <f t="shared" si="19"/>
        <v>-40</v>
      </c>
      <c r="L272" s="103"/>
      <c r="M272" s="105">
        <f t="shared" si="20"/>
        <v>0</v>
      </c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</row>
    <row r="273" spans="1:38" s="88" customFormat="1">
      <c r="A273" s="124"/>
      <c r="B273" s="123"/>
      <c r="C273" s="123"/>
      <c r="D273" s="123"/>
      <c r="E273" s="123"/>
      <c r="F273" s="123"/>
      <c r="H273" s="103">
        <v>268</v>
      </c>
      <c r="I273" s="104" t="str">
        <f t="shared" si="18"/>
        <v/>
      </c>
      <c r="J273" s="103">
        <f t="shared" si="21"/>
        <v>-4</v>
      </c>
      <c r="K273" s="103">
        <f t="shared" si="19"/>
        <v>-40</v>
      </c>
      <c r="L273" s="103"/>
      <c r="M273" s="105">
        <f t="shared" si="20"/>
        <v>0</v>
      </c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</row>
    <row r="274" spans="1:38" s="88" customFormat="1">
      <c r="A274" s="124"/>
      <c r="B274" s="123"/>
      <c r="C274" s="123"/>
      <c r="D274" s="123"/>
      <c r="E274" s="123"/>
      <c r="F274" s="123"/>
      <c r="H274" s="103">
        <v>269</v>
      </c>
      <c r="I274" s="104" t="str">
        <f t="shared" si="18"/>
        <v/>
      </c>
      <c r="J274" s="103">
        <f t="shared" si="21"/>
        <v>-4</v>
      </c>
      <c r="K274" s="103">
        <f t="shared" si="19"/>
        <v>-40</v>
      </c>
      <c r="L274" s="103"/>
      <c r="M274" s="105">
        <f t="shared" si="20"/>
        <v>0</v>
      </c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</row>
    <row r="275" spans="1:38" s="88" customFormat="1">
      <c r="A275" s="124"/>
      <c r="B275" s="123"/>
      <c r="C275" s="123"/>
      <c r="D275" s="123"/>
      <c r="E275" s="123"/>
      <c r="F275" s="123"/>
      <c r="H275" s="103">
        <v>270</v>
      </c>
      <c r="I275" s="104" t="str">
        <f t="shared" si="18"/>
        <v/>
      </c>
      <c r="J275" s="103">
        <f t="shared" si="21"/>
        <v>-4</v>
      </c>
      <c r="K275" s="103">
        <f t="shared" si="19"/>
        <v>-40</v>
      </c>
      <c r="L275" s="103"/>
      <c r="M275" s="105">
        <f t="shared" si="20"/>
        <v>0</v>
      </c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</row>
    <row r="276" spans="1:38" s="88" customFormat="1">
      <c r="A276" s="124"/>
      <c r="B276" s="123"/>
      <c r="C276" s="123"/>
      <c r="D276" s="123"/>
      <c r="E276" s="123"/>
      <c r="F276" s="123"/>
      <c r="H276" s="103">
        <v>271</v>
      </c>
      <c r="I276" s="104" t="str">
        <f t="shared" si="18"/>
        <v/>
      </c>
      <c r="J276" s="103">
        <f t="shared" si="21"/>
        <v>-4</v>
      </c>
      <c r="K276" s="103">
        <f t="shared" si="19"/>
        <v>-40</v>
      </c>
      <c r="L276" s="103"/>
      <c r="M276" s="105">
        <f t="shared" si="20"/>
        <v>0</v>
      </c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</row>
    <row r="277" spans="1:38" s="88" customFormat="1">
      <c r="A277" s="124"/>
      <c r="B277" s="123"/>
      <c r="C277" s="123"/>
      <c r="D277" s="123"/>
      <c r="E277" s="123"/>
      <c r="F277" s="123"/>
      <c r="H277" s="103">
        <v>272</v>
      </c>
      <c r="I277" s="104" t="str">
        <f t="shared" si="18"/>
        <v/>
      </c>
      <c r="J277" s="103">
        <f t="shared" si="21"/>
        <v>-4</v>
      </c>
      <c r="K277" s="103">
        <f t="shared" si="19"/>
        <v>-40</v>
      </c>
      <c r="L277" s="103"/>
      <c r="M277" s="105">
        <f t="shared" si="20"/>
        <v>0</v>
      </c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</row>
    <row r="278" spans="1:38" s="88" customFormat="1">
      <c r="A278" s="124"/>
      <c r="B278" s="123"/>
      <c r="C278" s="123"/>
      <c r="D278" s="123"/>
      <c r="E278" s="123"/>
      <c r="F278" s="123"/>
      <c r="H278" s="103">
        <v>273</v>
      </c>
      <c r="I278" s="104" t="str">
        <f t="shared" si="18"/>
        <v/>
      </c>
      <c r="J278" s="103">
        <f t="shared" si="21"/>
        <v>-4</v>
      </c>
      <c r="K278" s="103">
        <f t="shared" si="19"/>
        <v>-40</v>
      </c>
      <c r="L278" s="103"/>
      <c r="M278" s="105">
        <f t="shared" si="20"/>
        <v>0</v>
      </c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</row>
    <row r="279" spans="1:38" s="88" customFormat="1">
      <c r="A279" s="124"/>
      <c r="B279" s="123"/>
      <c r="C279" s="123"/>
      <c r="D279" s="123"/>
      <c r="E279" s="123"/>
      <c r="F279" s="123"/>
      <c r="H279" s="103">
        <v>274</v>
      </c>
      <c r="I279" s="104" t="str">
        <f t="shared" si="18"/>
        <v/>
      </c>
      <c r="J279" s="103">
        <f t="shared" si="21"/>
        <v>-4</v>
      </c>
      <c r="K279" s="103">
        <f t="shared" si="19"/>
        <v>-40</v>
      </c>
      <c r="L279" s="103"/>
      <c r="M279" s="105">
        <f t="shared" si="20"/>
        <v>0</v>
      </c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</row>
    <row r="280" spans="1:38" s="88" customFormat="1">
      <c r="A280" s="124"/>
      <c r="B280" s="123"/>
      <c r="C280" s="123"/>
      <c r="D280" s="123"/>
      <c r="E280" s="123"/>
      <c r="F280" s="123"/>
      <c r="H280" s="103">
        <v>275</v>
      </c>
      <c r="I280" s="104" t="str">
        <f t="shared" si="18"/>
        <v/>
      </c>
      <c r="J280" s="103">
        <f t="shared" si="21"/>
        <v>-4</v>
      </c>
      <c r="K280" s="103">
        <f t="shared" si="19"/>
        <v>-40</v>
      </c>
      <c r="L280" s="103"/>
      <c r="M280" s="105">
        <f t="shared" si="20"/>
        <v>0</v>
      </c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</row>
    <row r="281" spans="1:38" s="88" customFormat="1">
      <c r="A281" s="124"/>
      <c r="B281" s="123"/>
      <c r="C281" s="123"/>
      <c r="D281" s="123"/>
      <c r="E281" s="123"/>
      <c r="F281" s="123"/>
      <c r="H281" s="103">
        <v>276</v>
      </c>
      <c r="I281" s="104" t="str">
        <f t="shared" si="18"/>
        <v/>
      </c>
      <c r="J281" s="103">
        <f t="shared" si="21"/>
        <v>-4</v>
      </c>
      <c r="K281" s="103">
        <f t="shared" si="19"/>
        <v>-40</v>
      </c>
      <c r="L281" s="103"/>
      <c r="M281" s="105">
        <f t="shared" si="20"/>
        <v>0</v>
      </c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</row>
    <row r="282" spans="1:38" s="88" customFormat="1">
      <c r="A282" s="124"/>
      <c r="B282" s="123"/>
      <c r="C282" s="123"/>
      <c r="D282" s="123"/>
      <c r="E282" s="123"/>
      <c r="F282" s="123"/>
      <c r="H282" s="103">
        <v>277</v>
      </c>
      <c r="I282" s="104" t="str">
        <f t="shared" si="18"/>
        <v/>
      </c>
      <c r="J282" s="103">
        <f t="shared" si="21"/>
        <v>-4</v>
      </c>
      <c r="K282" s="103">
        <f t="shared" si="19"/>
        <v>-40</v>
      </c>
      <c r="L282" s="103"/>
      <c r="M282" s="105">
        <f t="shared" si="20"/>
        <v>0</v>
      </c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</row>
    <row r="283" spans="1:38" s="88" customFormat="1">
      <c r="A283" s="124"/>
      <c r="B283" s="123"/>
      <c r="C283" s="123"/>
      <c r="D283" s="123"/>
      <c r="E283" s="123"/>
      <c r="F283" s="123"/>
      <c r="H283" s="103">
        <v>278</v>
      </c>
      <c r="I283" s="104" t="str">
        <f t="shared" si="18"/>
        <v/>
      </c>
      <c r="J283" s="103">
        <f t="shared" si="21"/>
        <v>-4</v>
      </c>
      <c r="K283" s="103">
        <f t="shared" si="19"/>
        <v>-40</v>
      </c>
      <c r="L283" s="103"/>
      <c r="M283" s="105">
        <f t="shared" si="20"/>
        <v>0</v>
      </c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</row>
    <row r="284" spans="1:38" s="88" customFormat="1">
      <c r="A284" s="124"/>
      <c r="B284" s="123"/>
      <c r="C284" s="123"/>
      <c r="D284" s="123"/>
      <c r="E284" s="123"/>
      <c r="F284" s="123"/>
      <c r="H284" s="103">
        <v>279</v>
      </c>
      <c r="I284" s="104" t="str">
        <f t="shared" si="18"/>
        <v/>
      </c>
      <c r="J284" s="103">
        <f t="shared" si="21"/>
        <v>-4</v>
      </c>
      <c r="K284" s="103">
        <f t="shared" si="19"/>
        <v>-40</v>
      </c>
      <c r="L284" s="103"/>
      <c r="M284" s="105">
        <f t="shared" si="20"/>
        <v>0</v>
      </c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</row>
    <row r="285" spans="1:38" s="88" customFormat="1">
      <c r="A285" s="124"/>
      <c r="B285" s="123"/>
      <c r="C285" s="123"/>
      <c r="D285" s="123"/>
      <c r="E285" s="123"/>
      <c r="F285" s="123"/>
      <c r="H285" s="103">
        <v>280</v>
      </c>
      <c r="I285" s="104" t="str">
        <f t="shared" si="18"/>
        <v/>
      </c>
      <c r="J285" s="103">
        <f t="shared" si="21"/>
        <v>-4</v>
      </c>
      <c r="K285" s="103">
        <f t="shared" si="19"/>
        <v>-40</v>
      </c>
      <c r="L285" s="103"/>
      <c r="M285" s="105">
        <f t="shared" si="20"/>
        <v>0</v>
      </c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</row>
    <row r="286" spans="1:38" s="88" customFormat="1">
      <c r="A286" s="124"/>
      <c r="B286" s="123"/>
      <c r="C286" s="123"/>
      <c r="D286" s="123"/>
      <c r="E286" s="123"/>
      <c r="F286" s="123"/>
      <c r="H286" s="103">
        <v>281</v>
      </c>
      <c r="I286" s="104" t="str">
        <f t="shared" si="18"/>
        <v/>
      </c>
      <c r="J286" s="103">
        <f t="shared" si="21"/>
        <v>-4</v>
      </c>
      <c r="K286" s="103">
        <f t="shared" si="19"/>
        <v>-40</v>
      </c>
      <c r="L286" s="103"/>
      <c r="M286" s="105">
        <f t="shared" si="20"/>
        <v>0</v>
      </c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</row>
    <row r="287" spans="1:38" s="88" customFormat="1">
      <c r="A287" s="124"/>
      <c r="B287" s="123"/>
      <c r="C287" s="123"/>
      <c r="D287" s="123"/>
      <c r="E287" s="123"/>
      <c r="F287" s="123"/>
      <c r="H287" s="103">
        <v>282</v>
      </c>
      <c r="I287" s="104" t="str">
        <f t="shared" si="18"/>
        <v/>
      </c>
      <c r="J287" s="103">
        <f t="shared" si="21"/>
        <v>-4</v>
      </c>
      <c r="K287" s="103">
        <f t="shared" si="19"/>
        <v>-40</v>
      </c>
      <c r="L287" s="103"/>
      <c r="M287" s="105">
        <f t="shared" si="20"/>
        <v>0</v>
      </c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</row>
    <row r="288" spans="1:38" s="88" customFormat="1">
      <c r="A288" s="124"/>
      <c r="B288" s="123"/>
      <c r="C288" s="123"/>
      <c r="D288" s="123"/>
      <c r="E288" s="123"/>
      <c r="F288" s="123"/>
      <c r="H288" s="103">
        <v>283</v>
      </c>
      <c r="I288" s="104" t="str">
        <f t="shared" si="18"/>
        <v/>
      </c>
      <c r="J288" s="103">
        <f t="shared" si="21"/>
        <v>-4</v>
      </c>
      <c r="K288" s="103">
        <f t="shared" si="19"/>
        <v>-40</v>
      </c>
      <c r="L288" s="103"/>
      <c r="M288" s="105">
        <f t="shared" si="20"/>
        <v>0</v>
      </c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</row>
    <row r="289" spans="1:38" s="88" customFormat="1">
      <c r="A289" s="124"/>
      <c r="B289" s="123"/>
      <c r="C289" s="123"/>
      <c r="D289" s="123"/>
      <c r="E289" s="123"/>
      <c r="F289" s="123"/>
      <c r="H289" s="103">
        <v>284</v>
      </c>
      <c r="I289" s="104" t="str">
        <f t="shared" si="18"/>
        <v/>
      </c>
      <c r="J289" s="103">
        <f t="shared" si="21"/>
        <v>-4</v>
      </c>
      <c r="K289" s="103">
        <f t="shared" si="19"/>
        <v>-40</v>
      </c>
      <c r="L289" s="103"/>
      <c r="M289" s="105">
        <f t="shared" si="20"/>
        <v>0</v>
      </c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</row>
    <row r="290" spans="1:38" s="88" customFormat="1">
      <c r="A290" s="124"/>
      <c r="B290" s="123"/>
      <c r="C290" s="123"/>
      <c r="D290" s="123"/>
      <c r="E290" s="123"/>
      <c r="F290" s="123"/>
      <c r="H290" s="103">
        <v>285</v>
      </c>
      <c r="I290" s="104" t="str">
        <f t="shared" si="18"/>
        <v/>
      </c>
      <c r="J290" s="103">
        <f t="shared" si="21"/>
        <v>-4</v>
      </c>
      <c r="K290" s="103">
        <f t="shared" si="19"/>
        <v>-40</v>
      </c>
      <c r="L290" s="103"/>
      <c r="M290" s="105">
        <f t="shared" si="20"/>
        <v>0</v>
      </c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</row>
    <row r="291" spans="1:38" s="88" customFormat="1">
      <c r="A291" s="124"/>
      <c r="B291" s="123"/>
      <c r="C291" s="123"/>
      <c r="D291" s="123"/>
      <c r="E291" s="123"/>
      <c r="F291" s="123"/>
      <c r="H291" s="103">
        <v>286</v>
      </c>
      <c r="I291" s="104" t="str">
        <f t="shared" si="18"/>
        <v/>
      </c>
      <c r="J291" s="103">
        <f t="shared" si="21"/>
        <v>-4</v>
      </c>
      <c r="K291" s="103">
        <f t="shared" si="19"/>
        <v>-40</v>
      </c>
      <c r="L291" s="103"/>
      <c r="M291" s="105">
        <f t="shared" si="20"/>
        <v>0</v>
      </c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</row>
    <row r="292" spans="1:38" s="88" customFormat="1">
      <c r="A292" s="124"/>
      <c r="B292" s="123"/>
      <c r="C292" s="123"/>
      <c r="D292" s="123"/>
      <c r="E292" s="123"/>
      <c r="F292" s="123"/>
      <c r="H292" s="103">
        <v>287</v>
      </c>
      <c r="I292" s="104" t="str">
        <f t="shared" si="18"/>
        <v/>
      </c>
      <c r="J292" s="103">
        <f t="shared" si="21"/>
        <v>-4</v>
      </c>
      <c r="K292" s="103">
        <f t="shared" si="19"/>
        <v>-40</v>
      </c>
      <c r="L292" s="103"/>
      <c r="M292" s="105">
        <f t="shared" si="20"/>
        <v>0</v>
      </c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</row>
    <row r="293" spans="1:38" s="88" customFormat="1">
      <c r="A293" s="124"/>
      <c r="B293" s="123"/>
      <c r="C293" s="123"/>
      <c r="D293" s="123"/>
      <c r="E293" s="123"/>
      <c r="F293" s="123"/>
      <c r="H293" s="103">
        <v>288</v>
      </c>
      <c r="I293" s="104" t="str">
        <f t="shared" si="18"/>
        <v/>
      </c>
      <c r="J293" s="103">
        <f t="shared" si="21"/>
        <v>-4</v>
      </c>
      <c r="K293" s="103">
        <f t="shared" si="19"/>
        <v>-40</v>
      </c>
      <c r="L293" s="103"/>
      <c r="M293" s="105">
        <f t="shared" si="20"/>
        <v>0</v>
      </c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</row>
    <row r="294" spans="1:38" s="88" customFormat="1">
      <c r="A294" s="124"/>
      <c r="B294" s="123"/>
      <c r="C294" s="123"/>
      <c r="D294" s="123"/>
      <c r="E294" s="123"/>
      <c r="F294" s="123"/>
      <c r="H294" s="103">
        <v>289</v>
      </c>
      <c r="I294" s="104" t="str">
        <f t="shared" si="18"/>
        <v/>
      </c>
      <c r="J294" s="103">
        <f t="shared" si="21"/>
        <v>-4</v>
      </c>
      <c r="K294" s="103">
        <f t="shared" si="19"/>
        <v>-40</v>
      </c>
      <c r="L294" s="103"/>
      <c r="M294" s="105">
        <f t="shared" si="20"/>
        <v>0</v>
      </c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</row>
    <row r="295" spans="1:38" s="88" customFormat="1">
      <c r="A295" s="124"/>
      <c r="B295" s="123"/>
      <c r="C295" s="123"/>
      <c r="D295" s="123"/>
      <c r="E295" s="123"/>
      <c r="F295" s="123"/>
      <c r="H295" s="103">
        <v>290</v>
      </c>
      <c r="I295" s="104" t="str">
        <f t="shared" si="18"/>
        <v/>
      </c>
      <c r="J295" s="103">
        <f t="shared" si="21"/>
        <v>-4</v>
      </c>
      <c r="K295" s="103">
        <f t="shared" si="19"/>
        <v>-40</v>
      </c>
      <c r="L295" s="103"/>
      <c r="M295" s="105">
        <f t="shared" si="20"/>
        <v>0</v>
      </c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</row>
    <row r="296" spans="1:38" s="88" customFormat="1">
      <c r="A296" s="124"/>
      <c r="B296" s="123"/>
      <c r="C296" s="123"/>
      <c r="D296" s="123"/>
      <c r="E296" s="123"/>
      <c r="F296" s="123"/>
      <c r="H296" s="103">
        <v>291</v>
      </c>
      <c r="I296" s="104" t="str">
        <f t="shared" si="18"/>
        <v/>
      </c>
      <c r="J296" s="103">
        <f t="shared" si="21"/>
        <v>-4</v>
      </c>
      <c r="K296" s="103">
        <f t="shared" si="19"/>
        <v>-40</v>
      </c>
      <c r="L296" s="103"/>
      <c r="M296" s="105">
        <f t="shared" si="20"/>
        <v>0</v>
      </c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</row>
    <row r="297" spans="1:38" s="88" customFormat="1">
      <c r="A297" s="124"/>
      <c r="B297" s="123"/>
      <c r="C297" s="123"/>
      <c r="D297" s="123"/>
      <c r="E297" s="123"/>
      <c r="F297" s="123"/>
      <c r="H297" s="103">
        <v>292</v>
      </c>
      <c r="I297" s="104" t="str">
        <f t="shared" si="18"/>
        <v/>
      </c>
      <c r="J297" s="103">
        <f t="shared" si="21"/>
        <v>-4</v>
      </c>
      <c r="K297" s="103">
        <f t="shared" si="19"/>
        <v>-40</v>
      </c>
      <c r="L297" s="103"/>
      <c r="M297" s="105">
        <f t="shared" si="20"/>
        <v>0</v>
      </c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</row>
    <row r="298" spans="1:38" s="88" customFormat="1">
      <c r="A298" s="124"/>
      <c r="B298" s="123"/>
      <c r="C298" s="123"/>
      <c r="D298" s="123"/>
      <c r="E298" s="123"/>
      <c r="F298" s="123"/>
      <c r="H298" s="103">
        <v>293</v>
      </c>
      <c r="I298" s="104" t="str">
        <f t="shared" si="18"/>
        <v/>
      </c>
      <c r="J298" s="103">
        <f t="shared" si="21"/>
        <v>-4</v>
      </c>
      <c r="K298" s="103">
        <f t="shared" si="19"/>
        <v>-40</v>
      </c>
      <c r="L298" s="103"/>
      <c r="M298" s="105">
        <f t="shared" si="20"/>
        <v>0</v>
      </c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</row>
    <row r="299" spans="1:38" s="88" customFormat="1">
      <c r="A299" s="124"/>
      <c r="B299" s="123"/>
      <c r="C299" s="123"/>
      <c r="D299" s="123"/>
      <c r="E299" s="123"/>
      <c r="F299" s="123"/>
      <c r="H299" s="103">
        <v>294</v>
      </c>
      <c r="I299" s="104" t="str">
        <f t="shared" si="18"/>
        <v/>
      </c>
      <c r="J299" s="103">
        <f t="shared" si="21"/>
        <v>-4</v>
      </c>
      <c r="K299" s="103">
        <f t="shared" si="19"/>
        <v>-40</v>
      </c>
      <c r="L299" s="103"/>
      <c r="M299" s="105">
        <f t="shared" si="20"/>
        <v>0</v>
      </c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</row>
    <row r="300" spans="1:38" s="88" customFormat="1">
      <c r="A300" s="124"/>
      <c r="B300" s="123"/>
      <c r="C300" s="123"/>
      <c r="D300" s="123"/>
      <c r="E300" s="123"/>
      <c r="F300" s="123"/>
      <c r="H300" s="103">
        <v>295</v>
      </c>
      <c r="I300" s="104" t="str">
        <f t="shared" si="18"/>
        <v/>
      </c>
      <c r="J300" s="103">
        <f t="shared" si="21"/>
        <v>-4</v>
      </c>
      <c r="K300" s="103">
        <f t="shared" si="19"/>
        <v>-40</v>
      </c>
      <c r="L300" s="103"/>
      <c r="M300" s="105">
        <f t="shared" si="20"/>
        <v>0</v>
      </c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</row>
    <row r="301" spans="1:38" s="88" customFormat="1">
      <c r="A301" s="124"/>
      <c r="B301" s="123"/>
      <c r="C301" s="123"/>
      <c r="D301" s="123"/>
      <c r="E301" s="123"/>
      <c r="F301" s="123"/>
      <c r="H301" s="103">
        <v>296</v>
      </c>
      <c r="I301" s="104" t="str">
        <f t="shared" si="18"/>
        <v/>
      </c>
      <c r="J301" s="103">
        <f t="shared" si="21"/>
        <v>-4</v>
      </c>
      <c r="K301" s="103">
        <f t="shared" si="19"/>
        <v>-40</v>
      </c>
      <c r="L301" s="103"/>
      <c r="M301" s="105">
        <f t="shared" si="20"/>
        <v>0</v>
      </c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</row>
    <row r="302" spans="1:38" s="88" customFormat="1">
      <c r="A302" s="124"/>
      <c r="B302" s="123"/>
      <c r="C302" s="123"/>
      <c r="D302" s="123"/>
      <c r="E302" s="123"/>
      <c r="F302" s="123"/>
      <c r="H302" s="103">
        <v>297</v>
      </c>
      <c r="I302" s="104" t="str">
        <f t="shared" si="18"/>
        <v/>
      </c>
      <c r="J302" s="103">
        <f t="shared" si="21"/>
        <v>-4</v>
      </c>
      <c r="K302" s="103">
        <f t="shared" si="19"/>
        <v>-40</v>
      </c>
      <c r="L302" s="103"/>
      <c r="M302" s="105">
        <f t="shared" si="20"/>
        <v>0</v>
      </c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</row>
    <row r="303" spans="1:38" s="88" customFormat="1">
      <c r="A303" s="124"/>
      <c r="B303" s="123"/>
      <c r="C303" s="123"/>
      <c r="D303" s="123"/>
      <c r="E303" s="123"/>
      <c r="F303" s="123"/>
      <c r="H303" s="103">
        <v>298</v>
      </c>
      <c r="I303" s="104" t="str">
        <f t="shared" si="18"/>
        <v/>
      </c>
      <c r="J303" s="103">
        <f t="shared" si="21"/>
        <v>-4</v>
      </c>
      <c r="K303" s="103">
        <f t="shared" si="19"/>
        <v>-40</v>
      </c>
      <c r="L303" s="103"/>
      <c r="M303" s="105">
        <f t="shared" si="20"/>
        <v>0</v>
      </c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</row>
    <row r="304" spans="1:38" s="88" customFormat="1">
      <c r="A304" s="124"/>
      <c r="B304" s="123"/>
      <c r="C304" s="123"/>
      <c r="D304" s="123"/>
      <c r="E304" s="123"/>
      <c r="F304" s="123"/>
      <c r="H304" s="103">
        <v>299</v>
      </c>
      <c r="I304" s="104" t="str">
        <f t="shared" si="18"/>
        <v/>
      </c>
      <c r="J304" s="103">
        <f t="shared" si="21"/>
        <v>-4</v>
      </c>
      <c r="K304" s="103">
        <f t="shared" si="19"/>
        <v>-40</v>
      </c>
      <c r="L304" s="103"/>
      <c r="M304" s="105">
        <f t="shared" si="20"/>
        <v>0</v>
      </c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</row>
    <row r="305" spans="1:38" s="88" customFormat="1">
      <c r="A305" s="124"/>
      <c r="B305" s="123"/>
      <c r="C305" s="123"/>
      <c r="D305" s="123"/>
      <c r="E305" s="123"/>
      <c r="F305" s="123"/>
      <c r="H305" s="103">
        <v>300</v>
      </c>
      <c r="I305" s="104" t="str">
        <f t="shared" si="18"/>
        <v/>
      </c>
      <c r="J305" s="103">
        <f t="shared" si="21"/>
        <v>-4</v>
      </c>
      <c r="K305" s="103">
        <f t="shared" si="19"/>
        <v>-40</v>
      </c>
      <c r="L305" s="103"/>
      <c r="M305" s="105">
        <f t="shared" si="20"/>
        <v>0</v>
      </c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</row>
    <row r="306" spans="1:38" s="88" customFormat="1">
      <c r="A306" s="125"/>
      <c r="B306" s="123"/>
      <c r="C306" s="123"/>
      <c r="D306" s="123"/>
      <c r="E306" s="123"/>
      <c r="F306" s="123"/>
      <c r="G306" s="123"/>
      <c r="H306" s="126"/>
      <c r="I306" s="126"/>
      <c r="J306" s="126"/>
      <c r="K306" s="126"/>
      <c r="L306" s="126"/>
      <c r="M306" s="127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</row>
    <row r="314" spans="1:38" s="88" customFormat="1">
      <c r="A314" s="123"/>
      <c r="B314" s="123"/>
      <c r="C314" s="123"/>
      <c r="D314" s="123"/>
      <c r="E314" s="123"/>
      <c r="F314" s="123"/>
      <c r="G314" s="123"/>
      <c r="H314" s="126"/>
      <c r="I314" s="126"/>
      <c r="J314" s="126"/>
      <c r="K314" s="126"/>
      <c r="L314" s="128"/>
      <c r="M314" s="127"/>
      <c r="P314" s="115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</row>
    <row r="315" spans="1:38" s="88" customFormat="1">
      <c r="A315" s="123"/>
      <c r="B315" s="123"/>
      <c r="C315" s="123"/>
      <c r="D315" s="123"/>
      <c r="E315" s="123"/>
      <c r="F315" s="123"/>
      <c r="G315" s="123"/>
      <c r="H315" s="126"/>
      <c r="I315" s="126"/>
      <c r="J315" s="126"/>
      <c r="K315" s="126"/>
      <c r="L315" s="128"/>
      <c r="M315" s="127"/>
      <c r="P315" s="115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</row>
    <row r="316" spans="1:38" s="88" customFormat="1">
      <c r="A316" s="123"/>
      <c r="B316" s="123"/>
      <c r="C316" s="123"/>
      <c r="D316" s="123"/>
      <c r="E316" s="123"/>
      <c r="F316" s="123"/>
      <c r="G316" s="123"/>
      <c r="H316" s="126"/>
      <c r="I316" s="126"/>
      <c r="J316" s="126"/>
      <c r="K316" s="126"/>
      <c r="L316" s="128"/>
      <c r="M316" s="127"/>
      <c r="P316" s="115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</row>
    <row r="317" spans="1:38" s="88" customFormat="1">
      <c r="A317" s="123"/>
      <c r="B317" s="123"/>
      <c r="C317" s="123"/>
      <c r="D317" s="123"/>
      <c r="E317" s="123"/>
      <c r="F317" s="123"/>
      <c r="G317" s="123"/>
      <c r="H317" s="126"/>
      <c r="I317" s="126"/>
      <c r="J317" s="126"/>
      <c r="K317" s="126"/>
      <c r="L317" s="128"/>
      <c r="M317" s="127"/>
      <c r="P317" s="115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</row>
  </sheetData>
  <conditionalFormatting sqref="J6:K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D88BD5AC-EA81-4880-9E7D-79B9D6EACF5A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87525-F6CB-48A5-B3DA-8CB599FDFF70}">
  <sheetPr>
    <tabColor rgb="FF92D050"/>
  </sheetPr>
  <dimension ref="A1:AL317"/>
  <sheetViews>
    <sheetView topLeftCell="A5" workbookViewId="0">
      <selection activeCell="C8" sqref="C8"/>
    </sheetView>
  </sheetViews>
  <sheetFormatPr defaultColWidth="8.85546875" defaultRowHeight="14.25"/>
  <cols>
    <col min="1" max="1" width="8" style="257" customWidth="1"/>
    <col min="2" max="2" width="8.28515625" style="257" customWidth="1"/>
    <col min="3" max="3" width="34.7109375" style="257" customWidth="1"/>
    <col min="4" max="4" width="11.28515625" style="257" customWidth="1"/>
    <col min="5" max="6" width="8.85546875" style="257"/>
    <col min="7" max="7" width="0.85546875" style="257" customWidth="1"/>
    <col min="8" max="8" width="8.85546875" style="260"/>
    <col min="9" max="9" width="11" style="260" customWidth="1"/>
    <col min="10" max="10" width="15.28515625" style="260" customWidth="1"/>
    <col min="11" max="11" width="8.7109375" style="260" customWidth="1"/>
    <col min="12" max="12" width="11" style="260" customWidth="1"/>
    <col min="13" max="13" width="12.28515625" style="261" customWidth="1"/>
    <col min="14" max="15" width="13.85546875" style="227" customWidth="1"/>
    <col min="16" max="18" width="8.85546875" style="227"/>
    <col min="19" max="20" width="8.85546875" style="232"/>
    <col min="21" max="21" width="12.140625" style="232" customWidth="1"/>
    <col min="22" max="22" width="27.42578125" style="232" customWidth="1"/>
    <col min="23" max="38" width="8.85546875" style="232"/>
    <col min="39" max="16384" width="8.85546875" style="257"/>
  </cols>
  <sheetData>
    <row r="1" spans="1:36">
      <c r="A1" s="227"/>
      <c r="B1" s="227"/>
      <c r="C1" s="227"/>
      <c r="D1" s="227"/>
      <c r="E1" s="227"/>
      <c r="F1" s="227"/>
      <c r="G1" s="227"/>
      <c r="H1" s="228" t="s">
        <v>34</v>
      </c>
      <c r="I1" s="229" t="s">
        <v>35</v>
      </c>
      <c r="J1" s="229" t="s">
        <v>36</v>
      </c>
      <c r="K1" s="230" t="s">
        <v>131</v>
      </c>
      <c r="L1" s="231"/>
      <c r="M1" s="231"/>
    </row>
    <row r="2" spans="1:36">
      <c r="A2" s="227"/>
      <c r="B2" s="21" t="s">
        <v>38</v>
      </c>
      <c r="C2" s="133" t="s">
        <v>138</v>
      </c>
      <c r="D2" s="73"/>
      <c r="E2" s="22"/>
      <c r="F2" s="22"/>
      <c r="G2" s="22"/>
      <c r="H2" s="233">
        <v>14</v>
      </c>
      <c r="I2" s="234">
        <v>50</v>
      </c>
      <c r="J2" s="234">
        <v>10</v>
      </c>
      <c r="K2" s="235">
        <f>3*H2^(1/3)</f>
        <v>7.2304267925256891</v>
      </c>
      <c r="L2" s="231"/>
      <c r="M2" s="231"/>
    </row>
    <row r="3" spans="1:36">
      <c r="A3" s="227"/>
      <c r="B3" s="236" t="s">
        <v>40</v>
      </c>
      <c r="C3" s="74">
        <v>45114</v>
      </c>
      <c r="D3" s="74"/>
      <c r="E3" s="27"/>
      <c r="F3" s="27"/>
      <c r="G3" s="27"/>
      <c r="H3" s="231"/>
      <c r="I3" s="231"/>
      <c r="J3" s="237"/>
      <c r="K3" s="231"/>
      <c r="L3" s="231"/>
      <c r="M3" s="231"/>
    </row>
    <row r="4" spans="1:36" ht="10.15" customHeight="1">
      <c r="A4" s="29"/>
      <c r="B4" s="27"/>
      <c r="C4" s="29"/>
      <c r="D4" s="29"/>
      <c r="E4" s="29"/>
      <c r="F4" s="29"/>
      <c r="G4" s="29"/>
      <c r="H4" s="231"/>
      <c r="I4" s="231"/>
      <c r="J4" s="237"/>
      <c r="K4" s="231"/>
      <c r="L4" s="231"/>
      <c r="M4" s="231"/>
    </row>
    <row r="5" spans="1:36" ht="34.700000000000003">
      <c r="A5" s="1" t="s">
        <v>42</v>
      </c>
      <c r="B5" s="30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9"/>
      <c r="H5" s="238" t="s">
        <v>48</v>
      </c>
      <c r="I5" s="239" t="s">
        <v>49</v>
      </c>
      <c r="J5" s="240" t="s">
        <v>50</v>
      </c>
      <c r="K5" s="239" t="s">
        <v>51</v>
      </c>
      <c r="L5" s="239" t="s">
        <v>52</v>
      </c>
      <c r="M5" s="238" t="s">
        <v>53</v>
      </c>
    </row>
    <row r="6" spans="1:36" ht="14.45" customHeight="1">
      <c r="A6" s="102">
        <f>M6</f>
        <v>111.69128037757707</v>
      </c>
      <c r="B6" s="35">
        <f t="shared" ref="B6:B69" si="0">IF(H6&gt;$H$2,"",(ROW()-5))</f>
        <v>1</v>
      </c>
      <c r="C6" s="36" t="s">
        <v>57</v>
      </c>
      <c r="D6" s="36"/>
      <c r="E6" s="36"/>
      <c r="F6" s="36"/>
      <c r="G6" s="29"/>
      <c r="H6" s="241">
        <v>1</v>
      </c>
      <c r="I6" s="242">
        <f t="shared" ref="I6:I69" si="1">IF(H6&lt;$H$2+1,($I$2-($I$2-1)*(LOG(H6)/LOG($H$2))),"")</f>
        <v>50</v>
      </c>
      <c r="J6" s="241">
        <f>INT(LOG($H$2,2))-ROUNDUP(LOG(H6,2),0)+IF(OR($H$2=1,$H$2=2,$H$2=4,$H$2=8,$H$2=16,$H$2=32,$H$2=64,$H$2=128,$H$2=256),0,1)</f>
        <v>4</v>
      </c>
      <c r="K6" s="241">
        <f t="shared" ref="K6:K69" si="2">J6*$J$2</f>
        <v>40</v>
      </c>
      <c r="L6" s="243">
        <f>3*K2</f>
        <v>21.691280377577066</v>
      </c>
      <c r="M6" s="243">
        <f t="shared" ref="M6:M69" si="3">IF(I6&lt;&gt;"",K6+I6+L6,0)</f>
        <v>111.69128037757707</v>
      </c>
    </row>
    <row r="7" spans="1:36" ht="14.45" customHeight="1">
      <c r="A7" s="106">
        <f t="shared" ref="A7:A70" si="4">M7</f>
        <v>81.591026368228896</v>
      </c>
      <c r="B7" s="41">
        <f t="shared" si="0"/>
        <v>2</v>
      </c>
      <c r="C7" s="42" t="s">
        <v>129</v>
      </c>
      <c r="D7" s="42"/>
      <c r="E7" s="42"/>
      <c r="F7" s="42"/>
      <c r="G7" s="29"/>
      <c r="H7" s="244">
        <v>2</v>
      </c>
      <c r="I7" s="245">
        <f t="shared" si="1"/>
        <v>37.130172783177514</v>
      </c>
      <c r="J7" s="244">
        <f t="shared" ref="J7:J70" si="5">INT(LOG($H$2,2))-ROUNDUP(LOG(H7,2),0)+IF(OR($H$2=1,$H$2=2,$H$2=4,$H$2=8,$H$2=16,$H$2=32,$H$2=64,$H$2=128,$H$2=256),0,1)</f>
        <v>3</v>
      </c>
      <c r="K7" s="244">
        <f t="shared" si="2"/>
        <v>30</v>
      </c>
      <c r="L7" s="246">
        <f>2*K2</f>
        <v>14.460853585051378</v>
      </c>
      <c r="M7" s="246">
        <f t="shared" si="3"/>
        <v>81.591026368228896</v>
      </c>
    </row>
    <row r="8" spans="1:36" ht="14.45" customHeight="1">
      <c r="A8" s="102">
        <f t="shared" si="4"/>
        <v>56.832233263101529</v>
      </c>
      <c r="B8" s="35">
        <f t="shared" si="0"/>
        <v>3</v>
      </c>
      <c r="C8" s="36" t="s">
        <v>57</v>
      </c>
      <c r="D8" s="36"/>
      <c r="E8" s="36"/>
      <c r="F8" s="36"/>
      <c r="G8" s="29"/>
      <c r="H8" s="241">
        <v>3</v>
      </c>
      <c r="I8" s="242">
        <f t="shared" si="1"/>
        <v>29.601806470575838</v>
      </c>
      <c r="J8" s="241">
        <f t="shared" si="5"/>
        <v>2</v>
      </c>
      <c r="K8" s="241">
        <f t="shared" si="2"/>
        <v>20</v>
      </c>
      <c r="L8" s="243">
        <f>K2</f>
        <v>7.2304267925256891</v>
      </c>
      <c r="M8" s="243">
        <f t="shared" si="3"/>
        <v>56.832233263101529</v>
      </c>
    </row>
    <row r="9" spans="1:36" s="232" customFormat="1" ht="14.45" customHeight="1">
      <c r="A9" s="106">
        <f t="shared" si="4"/>
        <v>56.832233263101529</v>
      </c>
      <c r="B9" s="41">
        <f>IF(H9&gt;$H$2,"",3)</f>
        <v>3</v>
      </c>
      <c r="C9" s="42" t="s">
        <v>57</v>
      </c>
      <c r="D9" s="42"/>
      <c r="E9" s="42"/>
      <c r="F9" s="42"/>
      <c r="G9" s="29"/>
      <c r="H9" s="244">
        <v>3</v>
      </c>
      <c r="I9" s="245">
        <f t="shared" si="1"/>
        <v>29.601806470575838</v>
      </c>
      <c r="J9" s="244">
        <f t="shared" si="5"/>
        <v>2</v>
      </c>
      <c r="K9" s="244">
        <f t="shared" si="2"/>
        <v>20</v>
      </c>
      <c r="L9" s="246">
        <f>K2</f>
        <v>7.2304267925256891</v>
      </c>
      <c r="M9" s="246">
        <f t="shared" si="3"/>
        <v>56.832233263101529</v>
      </c>
      <c r="N9" s="227"/>
      <c r="O9" s="227"/>
      <c r="P9" s="227"/>
      <c r="Q9" s="227"/>
      <c r="R9" s="227"/>
      <c r="V9" s="247"/>
      <c r="Z9" s="248"/>
      <c r="AA9" s="248"/>
      <c r="AG9" s="249"/>
      <c r="AH9" s="232" t="s">
        <v>57</v>
      </c>
      <c r="AI9" s="232">
        <v>23</v>
      </c>
    </row>
    <row r="10" spans="1:36" ht="14.45" customHeight="1">
      <c r="A10" s="102">
        <f t="shared" si="4"/>
        <v>30.11718660891384</v>
      </c>
      <c r="B10" s="35">
        <f t="shared" si="0"/>
        <v>5</v>
      </c>
      <c r="C10" s="36" t="s">
        <v>57</v>
      </c>
      <c r="D10" s="36"/>
      <c r="E10" s="36"/>
      <c r="F10" s="36"/>
      <c r="G10" s="29"/>
      <c r="H10" s="241">
        <v>5</v>
      </c>
      <c r="I10" s="242">
        <f t="shared" si="1"/>
        <v>20.11718660891384</v>
      </c>
      <c r="J10" s="241">
        <f t="shared" si="5"/>
        <v>1</v>
      </c>
      <c r="K10" s="241">
        <f t="shared" si="2"/>
        <v>10</v>
      </c>
      <c r="L10" s="241"/>
      <c r="M10" s="243">
        <f t="shared" si="3"/>
        <v>30.11718660891384</v>
      </c>
      <c r="V10" s="247"/>
      <c r="Z10" s="248"/>
      <c r="AA10" s="248"/>
      <c r="AG10" s="249"/>
      <c r="AH10" s="232" t="s">
        <v>58</v>
      </c>
      <c r="AI10" s="232">
        <v>45</v>
      </c>
    </row>
    <row r="11" spans="1:36" ht="14.45" customHeight="1">
      <c r="A11" s="106">
        <f t="shared" si="4"/>
        <v>26.731979253753352</v>
      </c>
      <c r="B11" s="41">
        <f t="shared" si="0"/>
        <v>6</v>
      </c>
      <c r="C11" s="42" t="s">
        <v>57</v>
      </c>
      <c r="D11" s="42"/>
      <c r="E11" s="42"/>
      <c r="F11" s="42"/>
      <c r="G11" s="29"/>
      <c r="H11" s="244">
        <v>6</v>
      </c>
      <c r="I11" s="245">
        <f t="shared" si="1"/>
        <v>16.731979253753352</v>
      </c>
      <c r="J11" s="244">
        <f t="shared" si="5"/>
        <v>1</v>
      </c>
      <c r="K11" s="244">
        <f t="shared" si="2"/>
        <v>10</v>
      </c>
      <c r="L11" s="244"/>
      <c r="M11" s="246">
        <f t="shared" si="3"/>
        <v>26.731979253753352</v>
      </c>
      <c r="V11" s="250"/>
      <c r="Z11" s="248"/>
      <c r="AA11" s="248"/>
      <c r="AG11" s="249"/>
      <c r="AH11" s="232" t="s">
        <v>60</v>
      </c>
      <c r="AI11" s="232">
        <v>50</v>
      </c>
    </row>
    <row r="12" spans="1:36" ht="14.45" customHeight="1">
      <c r="A12" s="102">
        <f t="shared" si="4"/>
        <v>23.869827216822486</v>
      </c>
      <c r="B12" s="35">
        <f t="shared" si="0"/>
        <v>7</v>
      </c>
      <c r="C12" s="36" t="s">
        <v>57</v>
      </c>
      <c r="D12" s="36"/>
      <c r="E12" s="36"/>
      <c r="F12" s="36"/>
      <c r="G12" s="29"/>
      <c r="H12" s="241">
        <v>7</v>
      </c>
      <c r="I12" s="242">
        <f t="shared" si="1"/>
        <v>13.869827216822486</v>
      </c>
      <c r="J12" s="241">
        <f t="shared" si="5"/>
        <v>1</v>
      </c>
      <c r="K12" s="241">
        <f t="shared" si="2"/>
        <v>10</v>
      </c>
      <c r="L12" s="241"/>
      <c r="M12" s="243">
        <f t="shared" si="3"/>
        <v>23.869827216822486</v>
      </c>
      <c r="Z12" s="248"/>
      <c r="AA12" s="248"/>
      <c r="AG12" s="249"/>
      <c r="AH12" s="232" t="s">
        <v>61</v>
      </c>
      <c r="AI12" s="232">
        <f>AI11-1</f>
        <v>49</v>
      </c>
    </row>
    <row r="13" spans="1:36" ht="14.45" customHeight="1">
      <c r="A13" s="106">
        <f t="shared" si="4"/>
        <v>21.390518349532549</v>
      </c>
      <c r="B13" s="41">
        <f t="shared" si="0"/>
        <v>8</v>
      </c>
      <c r="C13" s="42" t="s">
        <v>57</v>
      </c>
      <c r="D13" s="42"/>
      <c r="E13" s="42"/>
      <c r="F13" s="42"/>
      <c r="G13" s="29"/>
      <c r="H13" s="244">
        <v>8</v>
      </c>
      <c r="I13" s="245">
        <f t="shared" si="1"/>
        <v>11.390518349532549</v>
      </c>
      <c r="J13" s="244">
        <f t="shared" si="5"/>
        <v>1</v>
      </c>
      <c r="K13" s="244">
        <f t="shared" si="2"/>
        <v>10</v>
      </c>
      <c r="L13" s="244"/>
      <c r="M13" s="246">
        <f t="shared" si="3"/>
        <v>21.390518349532549</v>
      </c>
      <c r="X13" s="247"/>
      <c r="AG13" s="249"/>
      <c r="AH13" s="232" t="s">
        <v>62</v>
      </c>
      <c r="AI13" s="232">
        <f>LOG(AI9)</f>
        <v>1.3617278360175928</v>
      </c>
    </row>
    <row r="14" spans="1:36">
      <c r="A14" s="102">
        <f t="shared" si="4"/>
        <v>9.2036129411516754</v>
      </c>
      <c r="B14" s="35">
        <f t="shared" si="0"/>
        <v>9</v>
      </c>
      <c r="C14" s="36" t="s">
        <v>57</v>
      </c>
      <c r="D14" s="36"/>
      <c r="E14" s="36"/>
      <c r="F14" s="36"/>
      <c r="G14" s="29"/>
      <c r="H14" s="241">
        <v>9</v>
      </c>
      <c r="I14" s="242">
        <f t="shared" si="1"/>
        <v>9.2036129411516754</v>
      </c>
      <c r="J14" s="241">
        <f t="shared" si="5"/>
        <v>0</v>
      </c>
      <c r="K14" s="241">
        <f t="shared" si="2"/>
        <v>0</v>
      </c>
      <c r="L14" s="241"/>
      <c r="M14" s="243">
        <f t="shared" si="3"/>
        <v>9.2036129411516754</v>
      </c>
      <c r="X14" s="251"/>
      <c r="Z14" s="248"/>
      <c r="AA14" s="248"/>
      <c r="AG14" s="249"/>
      <c r="AH14" s="232" t="s">
        <v>64</v>
      </c>
      <c r="AI14" s="232">
        <f>LOG(AI10)</f>
        <v>1.6532125137753437</v>
      </c>
    </row>
    <row r="15" spans="1:36">
      <c r="A15" s="106">
        <f t="shared" si="4"/>
        <v>7.2473593920913615</v>
      </c>
      <c r="B15" s="41">
        <f t="shared" si="0"/>
        <v>10</v>
      </c>
      <c r="C15" s="42" t="s">
        <v>57</v>
      </c>
      <c r="D15" s="42"/>
      <c r="E15" s="42"/>
      <c r="F15" s="42"/>
      <c r="G15" s="29"/>
      <c r="H15" s="244">
        <v>10</v>
      </c>
      <c r="I15" s="245">
        <f t="shared" si="1"/>
        <v>7.2473593920913615</v>
      </c>
      <c r="J15" s="244">
        <f t="shared" si="5"/>
        <v>0</v>
      </c>
      <c r="K15" s="244">
        <f t="shared" si="2"/>
        <v>0</v>
      </c>
      <c r="L15" s="244"/>
      <c r="M15" s="246">
        <f t="shared" si="3"/>
        <v>7.2473593920913615</v>
      </c>
      <c r="X15" s="247"/>
      <c r="Z15" s="248"/>
      <c r="AA15" s="248"/>
    </row>
    <row r="16" spans="1:36">
      <c r="A16" s="102">
        <f t="shared" si="4"/>
        <v>5.4777127997254453</v>
      </c>
      <c r="B16" s="35">
        <f t="shared" si="0"/>
        <v>11</v>
      </c>
      <c r="C16" s="36" t="s">
        <v>57</v>
      </c>
      <c r="D16" s="36"/>
      <c r="E16" s="36"/>
      <c r="F16" s="36"/>
      <c r="G16" s="29"/>
      <c r="H16" s="241">
        <v>11</v>
      </c>
      <c r="I16" s="242">
        <f t="shared" si="1"/>
        <v>5.4777127997254453</v>
      </c>
      <c r="J16" s="241">
        <f t="shared" si="5"/>
        <v>0</v>
      </c>
      <c r="K16" s="241">
        <f t="shared" si="2"/>
        <v>0</v>
      </c>
      <c r="L16" s="241"/>
      <c r="M16" s="243">
        <f t="shared" si="3"/>
        <v>5.4777127997254453</v>
      </c>
      <c r="R16" s="252"/>
      <c r="Z16" s="248"/>
      <c r="AA16" s="248"/>
      <c r="AH16" s="253" t="s">
        <v>66</v>
      </c>
      <c r="AI16" s="232">
        <f>AI11-AI12*AI13/AI14</f>
        <v>9.6393909380186855</v>
      </c>
      <c r="AJ16" s="232" t="s">
        <v>67</v>
      </c>
    </row>
    <row r="17" spans="1:19">
      <c r="A17" s="106">
        <f t="shared" si="4"/>
        <v>3.8621520369308655</v>
      </c>
      <c r="B17" s="41">
        <f t="shared" si="0"/>
        <v>12</v>
      </c>
      <c r="C17" s="42" t="s">
        <v>57</v>
      </c>
      <c r="D17" s="42"/>
      <c r="E17" s="42"/>
      <c r="F17" s="42"/>
      <c r="G17" s="29"/>
      <c r="H17" s="244">
        <v>12</v>
      </c>
      <c r="I17" s="245">
        <f t="shared" si="1"/>
        <v>3.8621520369308655</v>
      </c>
      <c r="J17" s="244">
        <f t="shared" si="5"/>
        <v>0</v>
      </c>
      <c r="K17" s="244">
        <f t="shared" si="2"/>
        <v>0</v>
      </c>
      <c r="L17" s="244"/>
      <c r="M17" s="246">
        <f t="shared" si="3"/>
        <v>3.8621520369308655</v>
      </c>
    </row>
    <row r="18" spans="1:19">
      <c r="A18" s="102">
        <f t="shared" si="4"/>
        <v>2.3759802012568514</v>
      </c>
      <c r="B18" s="35">
        <f t="shared" si="0"/>
        <v>13</v>
      </c>
      <c r="C18" s="36" t="s">
        <v>57</v>
      </c>
      <c r="D18" s="36"/>
      <c r="E18" s="36"/>
      <c r="F18" s="36"/>
      <c r="G18" s="29"/>
      <c r="H18" s="241">
        <v>13</v>
      </c>
      <c r="I18" s="242">
        <f t="shared" si="1"/>
        <v>2.3759802012568514</v>
      </c>
      <c r="J18" s="241">
        <f t="shared" si="5"/>
        <v>0</v>
      </c>
      <c r="K18" s="241">
        <f t="shared" si="2"/>
        <v>0</v>
      </c>
      <c r="L18" s="241"/>
      <c r="M18" s="243">
        <f t="shared" si="3"/>
        <v>2.3759802012568514</v>
      </c>
    </row>
    <row r="19" spans="1:19">
      <c r="A19" s="106">
        <f t="shared" si="4"/>
        <v>1</v>
      </c>
      <c r="B19" s="41">
        <f t="shared" si="0"/>
        <v>14</v>
      </c>
      <c r="C19" s="42" t="s">
        <v>57</v>
      </c>
      <c r="D19" s="42"/>
      <c r="E19" s="42"/>
      <c r="F19" s="42"/>
      <c r="G19" s="29"/>
      <c r="H19" s="244">
        <v>14</v>
      </c>
      <c r="I19" s="245">
        <f t="shared" si="1"/>
        <v>1</v>
      </c>
      <c r="J19" s="244">
        <f t="shared" si="5"/>
        <v>0</v>
      </c>
      <c r="K19" s="244">
        <f t="shared" si="2"/>
        <v>0</v>
      </c>
      <c r="L19" s="244"/>
      <c r="M19" s="246">
        <f t="shared" si="3"/>
        <v>1</v>
      </c>
    </row>
    <row r="20" spans="1:19">
      <c r="A20" s="102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241">
        <v>15</v>
      </c>
      <c r="I20" s="242" t="str">
        <f t="shared" si="1"/>
        <v/>
      </c>
      <c r="J20" s="241">
        <f t="shared" si="5"/>
        <v>0</v>
      </c>
      <c r="K20" s="241">
        <f t="shared" si="2"/>
        <v>0</v>
      </c>
      <c r="L20" s="241"/>
      <c r="M20" s="243">
        <f t="shared" si="3"/>
        <v>0</v>
      </c>
      <c r="R20" s="254"/>
      <c r="S20" s="255"/>
    </row>
    <row r="21" spans="1:19">
      <c r="A21" s="106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244">
        <v>16</v>
      </c>
      <c r="I21" s="245" t="str">
        <f t="shared" si="1"/>
        <v/>
      </c>
      <c r="J21" s="244">
        <f t="shared" si="5"/>
        <v>0</v>
      </c>
      <c r="K21" s="244">
        <f t="shared" si="2"/>
        <v>0</v>
      </c>
      <c r="L21" s="244"/>
      <c r="M21" s="246">
        <f t="shared" si="3"/>
        <v>0</v>
      </c>
    </row>
    <row r="22" spans="1:19">
      <c r="A22" s="102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241">
        <v>17</v>
      </c>
      <c r="I22" s="242" t="str">
        <f t="shared" si="1"/>
        <v/>
      </c>
      <c r="J22" s="241">
        <f t="shared" si="5"/>
        <v>-1</v>
      </c>
      <c r="K22" s="241">
        <f t="shared" si="2"/>
        <v>-10</v>
      </c>
      <c r="L22" s="241"/>
      <c r="M22" s="243">
        <f t="shared" si="3"/>
        <v>0</v>
      </c>
    </row>
    <row r="23" spans="1:19">
      <c r="A23" s="106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244">
        <v>18</v>
      </c>
      <c r="I23" s="245" t="str">
        <f t="shared" si="1"/>
        <v/>
      </c>
      <c r="J23" s="244">
        <f t="shared" si="5"/>
        <v>-1</v>
      </c>
      <c r="K23" s="244">
        <f t="shared" si="2"/>
        <v>-10</v>
      </c>
      <c r="L23" s="244"/>
      <c r="M23" s="246">
        <f t="shared" si="3"/>
        <v>0</v>
      </c>
    </row>
    <row r="24" spans="1:19">
      <c r="A24" s="102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241">
        <v>19</v>
      </c>
      <c r="I24" s="242" t="str">
        <f t="shared" si="1"/>
        <v/>
      </c>
      <c r="J24" s="241">
        <f t="shared" si="5"/>
        <v>-1</v>
      </c>
      <c r="K24" s="241">
        <f t="shared" si="2"/>
        <v>-10</v>
      </c>
      <c r="L24" s="241"/>
      <c r="M24" s="243">
        <f t="shared" si="3"/>
        <v>0</v>
      </c>
      <c r="R24" s="254"/>
      <c r="S24" s="255"/>
    </row>
    <row r="25" spans="1:19">
      <c r="A25" s="106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244">
        <v>20</v>
      </c>
      <c r="I25" s="245" t="str">
        <f t="shared" si="1"/>
        <v/>
      </c>
      <c r="J25" s="244">
        <f t="shared" si="5"/>
        <v>-1</v>
      </c>
      <c r="K25" s="244">
        <f t="shared" si="2"/>
        <v>-10</v>
      </c>
      <c r="L25" s="244"/>
      <c r="M25" s="246">
        <f t="shared" si="3"/>
        <v>0</v>
      </c>
    </row>
    <row r="26" spans="1:19">
      <c r="A26" s="102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241">
        <v>21</v>
      </c>
      <c r="I26" s="242" t="str">
        <f t="shared" si="1"/>
        <v/>
      </c>
      <c r="J26" s="241">
        <f t="shared" si="5"/>
        <v>-1</v>
      </c>
      <c r="K26" s="241">
        <f t="shared" si="2"/>
        <v>-10</v>
      </c>
      <c r="L26" s="241"/>
      <c r="M26" s="243">
        <f t="shared" si="3"/>
        <v>0</v>
      </c>
    </row>
    <row r="27" spans="1:19">
      <c r="A27" s="106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244">
        <v>22</v>
      </c>
      <c r="I27" s="245" t="str">
        <f t="shared" si="1"/>
        <v/>
      </c>
      <c r="J27" s="244">
        <f t="shared" si="5"/>
        <v>-1</v>
      </c>
      <c r="K27" s="244">
        <f t="shared" si="2"/>
        <v>-10</v>
      </c>
      <c r="L27" s="244"/>
      <c r="M27" s="246">
        <f t="shared" si="3"/>
        <v>0</v>
      </c>
    </row>
    <row r="28" spans="1:19">
      <c r="A28" s="102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241">
        <v>23</v>
      </c>
      <c r="I28" s="242" t="str">
        <f t="shared" si="1"/>
        <v/>
      </c>
      <c r="J28" s="241">
        <f t="shared" si="5"/>
        <v>-1</v>
      </c>
      <c r="K28" s="241">
        <f t="shared" si="2"/>
        <v>-10</v>
      </c>
      <c r="L28" s="241"/>
      <c r="M28" s="243">
        <f t="shared" si="3"/>
        <v>0</v>
      </c>
      <c r="R28" s="254"/>
      <c r="S28" s="255"/>
    </row>
    <row r="29" spans="1:19">
      <c r="A29" s="106">
        <f t="shared" si="4"/>
        <v>0</v>
      </c>
      <c r="B29" s="41" t="str">
        <f t="shared" si="0"/>
        <v/>
      </c>
      <c r="C29" s="42"/>
      <c r="D29" s="42"/>
      <c r="E29" s="42"/>
      <c r="F29" s="42"/>
      <c r="G29" s="227"/>
      <c r="H29" s="244">
        <v>24</v>
      </c>
      <c r="I29" s="245" t="str">
        <f t="shared" si="1"/>
        <v/>
      </c>
      <c r="J29" s="244">
        <f t="shared" si="5"/>
        <v>-1</v>
      </c>
      <c r="K29" s="244">
        <f t="shared" si="2"/>
        <v>-10</v>
      </c>
      <c r="L29" s="244"/>
      <c r="M29" s="246">
        <f t="shared" si="3"/>
        <v>0</v>
      </c>
    </row>
    <row r="30" spans="1:19">
      <c r="A30" s="102">
        <f t="shared" si="4"/>
        <v>0</v>
      </c>
      <c r="B30" s="35" t="str">
        <f t="shared" si="0"/>
        <v/>
      </c>
      <c r="C30" s="36"/>
      <c r="D30" s="36"/>
      <c r="E30" s="36"/>
      <c r="F30" s="36"/>
      <c r="G30" s="227"/>
      <c r="H30" s="241">
        <v>25</v>
      </c>
      <c r="I30" s="242" t="str">
        <f t="shared" si="1"/>
        <v/>
      </c>
      <c r="J30" s="241">
        <f t="shared" si="5"/>
        <v>-1</v>
      </c>
      <c r="K30" s="241">
        <f t="shared" si="2"/>
        <v>-10</v>
      </c>
      <c r="L30" s="241"/>
      <c r="M30" s="243">
        <f t="shared" si="3"/>
        <v>0</v>
      </c>
    </row>
    <row r="31" spans="1:19">
      <c r="A31" s="106">
        <f t="shared" si="4"/>
        <v>0</v>
      </c>
      <c r="B31" s="41" t="str">
        <f t="shared" si="0"/>
        <v/>
      </c>
      <c r="C31" s="42"/>
      <c r="D31" s="42"/>
      <c r="E31" s="42"/>
      <c r="F31" s="42"/>
      <c r="G31" s="227"/>
      <c r="H31" s="244">
        <v>26</v>
      </c>
      <c r="I31" s="245" t="str">
        <f t="shared" si="1"/>
        <v/>
      </c>
      <c r="J31" s="244">
        <f t="shared" si="5"/>
        <v>-1</v>
      </c>
      <c r="K31" s="244">
        <f t="shared" si="2"/>
        <v>-10</v>
      </c>
      <c r="L31" s="244"/>
      <c r="M31" s="246">
        <f t="shared" si="3"/>
        <v>0</v>
      </c>
    </row>
    <row r="32" spans="1:19">
      <c r="A32" s="102">
        <f t="shared" si="4"/>
        <v>0</v>
      </c>
      <c r="B32" s="35" t="str">
        <f t="shared" si="0"/>
        <v/>
      </c>
      <c r="C32" s="36"/>
      <c r="D32" s="36"/>
      <c r="E32" s="36"/>
      <c r="F32" s="36"/>
      <c r="G32" s="227"/>
      <c r="H32" s="241">
        <v>27</v>
      </c>
      <c r="I32" s="242" t="str">
        <f t="shared" si="1"/>
        <v/>
      </c>
      <c r="J32" s="241">
        <f t="shared" si="5"/>
        <v>-1</v>
      </c>
      <c r="K32" s="241">
        <f t="shared" si="2"/>
        <v>-10</v>
      </c>
      <c r="L32" s="241"/>
      <c r="M32" s="243">
        <f t="shared" si="3"/>
        <v>0</v>
      </c>
      <c r="R32" s="254"/>
      <c r="S32" s="255"/>
    </row>
    <row r="33" spans="1:19">
      <c r="A33" s="106">
        <f t="shared" si="4"/>
        <v>0</v>
      </c>
      <c r="B33" s="41" t="str">
        <f t="shared" si="0"/>
        <v/>
      </c>
      <c r="C33" s="42"/>
      <c r="D33" s="42"/>
      <c r="E33" s="42"/>
      <c r="F33" s="42"/>
      <c r="G33" s="227"/>
      <c r="H33" s="244">
        <v>28</v>
      </c>
      <c r="I33" s="245" t="str">
        <f t="shared" si="1"/>
        <v/>
      </c>
      <c r="J33" s="244">
        <f t="shared" si="5"/>
        <v>-1</v>
      </c>
      <c r="K33" s="244">
        <f t="shared" si="2"/>
        <v>-10</v>
      </c>
      <c r="L33" s="244"/>
      <c r="M33" s="246">
        <f t="shared" si="3"/>
        <v>0</v>
      </c>
    </row>
    <row r="34" spans="1:19">
      <c r="A34" s="102">
        <f t="shared" si="4"/>
        <v>0</v>
      </c>
      <c r="B34" s="35" t="str">
        <f t="shared" si="0"/>
        <v/>
      </c>
      <c r="C34" s="36"/>
      <c r="D34" s="36"/>
      <c r="E34" s="36"/>
      <c r="F34" s="36"/>
      <c r="G34" s="227"/>
      <c r="H34" s="241">
        <v>29</v>
      </c>
      <c r="I34" s="242" t="str">
        <f t="shared" si="1"/>
        <v/>
      </c>
      <c r="J34" s="241">
        <f t="shared" si="5"/>
        <v>-1</v>
      </c>
      <c r="K34" s="241">
        <f t="shared" si="2"/>
        <v>-10</v>
      </c>
      <c r="L34" s="241"/>
      <c r="M34" s="243">
        <f t="shared" si="3"/>
        <v>0</v>
      </c>
    </row>
    <row r="35" spans="1:19">
      <c r="A35" s="106">
        <f t="shared" si="4"/>
        <v>0</v>
      </c>
      <c r="B35" s="41" t="str">
        <f t="shared" si="0"/>
        <v/>
      </c>
      <c r="C35" s="42"/>
      <c r="D35" s="42"/>
      <c r="E35" s="42"/>
      <c r="F35" s="42"/>
      <c r="G35" s="227"/>
      <c r="H35" s="244">
        <v>30</v>
      </c>
      <c r="I35" s="245" t="str">
        <f t="shared" si="1"/>
        <v/>
      </c>
      <c r="J35" s="244">
        <f t="shared" si="5"/>
        <v>-1</v>
      </c>
      <c r="K35" s="244">
        <f t="shared" si="2"/>
        <v>-10</v>
      </c>
      <c r="L35" s="244"/>
      <c r="M35" s="246">
        <f t="shared" si="3"/>
        <v>0</v>
      </c>
    </row>
    <row r="36" spans="1:19">
      <c r="A36" s="102">
        <f t="shared" si="4"/>
        <v>0</v>
      </c>
      <c r="B36" s="35" t="str">
        <f t="shared" si="0"/>
        <v/>
      </c>
      <c r="C36" s="36"/>
      <c r="D36" s="36"/>
      <c r="E36" s="36"/>
      <c r="F36" s="36"/>
      <c r="G36" s="227"/>
      <c r="H36" s="241">
        <v>31</v>
      </c>
      <c r="I36" s="242" t="str">
        <f t="shared" si="1"/>
        <v/>
      </c>
      <c r="J36" s="241">
        <f t="shared" si="5"/>
        <v>-1</v>
      </c>
      <c r="K36" s="241">
        <f t="shared" si="2"/>
        <v>-10</v>
      </c>
      <c r="L36" s="241"/>
      <c r="M36" s="243">
        <f t="shared" si="3"/>
        <v>0</v>
      </c>
      <c r="R36" s="254"/>
      <c r="S36" s="255"/>
    </row>
    <row r="37" spans="1:19">
      <c r="A37" s="106">
        <f t="shared" si="4"/>
        <v>0</v>
      </c>
      <c r="B37" s="41" t="str">
        <f t="shared" si="0"/>
        <v/>
      </c>
      <c r="C37" s="42"/>
      <c r="D37" s="42"/>
      <c r="E37" s="42"/>
      <c r="F37" s="42"/>
      <c r="G37" s="227"/>
      <c r="H37" s="244">
        <v>32</v>
      </c>
      <c r="I37" s="245" t="str">
        <f t="shared" si="1"/>
        <v/>
      </c>
      <c r="J37" s="244">
        <f t="shared" si="5"/>
        <v>-1</v>
      </c>
      <c r="K37" s="244">
        <f t="shared" si="2"/>
        <v>-10</v>
      </c>
      <c r="L37" s="244"/>
      <c r="M37" s="246">
        <f t="shared" si="3"/>
        <v>0</v>
      </c>
    </row>
    <row r="38" spans="1:19">
      <c r="A38" s="102">
        <f t="shared" si="4"/>
        <v>0</v>
      </c>
      <c r="B38" s="35" t="str">
        <f t="shared" si="0"/>
        <v/>
      </c>
      <c r="C38" s="36"/>
      <c r="D38" s="36"/>
      <c r="E38" s="36"/>
      <c r="F38" s="36"/>
      <c r="G38" s="227"/>
      <c r="H38" s="241">
        <v>33</v>
      </c>
      <c r="I38" s="242" t="str">
        <f t="shared" si="1"/>
        <v/>
      </c>
      <c r="J38" s="241">
        <f t="shared" si="5"/>
        <v>-2</v>
      </c>
      <c r="K38" s="241">
        <f t="shared" si="2"/>
        <v>-20</v>
      </c>
      <c r="L38" s="241"/>
      <c r="M38" s="243">
        <f t="shared" si="3"/>
        <v>0</v>
      </c>
    </row>
    <row r="39" spans="1:19">
      <c r="A39" s="106">
        <f t="shared" si="4"/>
        <v>0</v>
      </c>
      <c r="B39" s="41" t="str">
        <f t="shared" si="0"/>
        <v/>
      </c>
      <c r="C39" s="42"/>
      <c r="D39" s="42"/>
      <c r="E39" s="42"/>
      <c r="F39" s="42"/>
      <c r="G39" s="227"/>
      <c r="H39" s="244">
        <v>34</v>
      </c>
      <c r="I39" s="245" t="str">
        <f t="shared" si="1"/>
        <v/>
      </c>
      <c r="J39" s="244">
        <f t="shared" si="5"/>
        <v>-2</v>
      </c>
      <c r="K39" s="244">
        <f t="shared" si="2"/>
        <v>-20</v>
      </c>
      <c r="L39" s="244"/>
      <c r="M39" s="246">
        <f t="shared" si="3"/>
        <v>0</v>
      </c>
    </row>
    <row r="40" spans="1:19">
      <c r="A40" s="102">
        <f t="shared" si="4"/>
        <v>0</v>
      </c>
      <c r="B40" s="35" t="str">
        <f t="shared" si="0"/>
        <v/>
      </c>
      <c r="C40" s="36"/>
      <c r="D40" s="36"/>
      <c r="E40" s="36"/>
      <c r="F40" s="36"/>
      <c r="G40" s="227"/>
      <c r="H40" s="241">
        <v>35</v>
      </c>
      <c r="I40" s="242" t="str">
        <f t="shared" si="1"/>
        <v/>
      </c>
      <c r="J40" s="241">
        <f t="shared" si="5"/>
        <v>-2</v>
      </c>
      <c r="K40" s="241">
        <f t="shared" si="2"/>
        <v>-20</v>
      </c>
      <c r="L40" s="241"/>
      <c r="M40" s="243">
        <f t="shared" si="3"/>
        <v>0</v>
      </c>
    </row>
    <row r="41" spans="1:19">
      <c r="A41" s="106">
        <f t="shared" si="4"/>
        <v>0</v>
      </c>
      <c r="B41" s="41" t="str">
        <f t="shared" si="0"/>
        <v/>
      </c>
      <c r="C41" s="42"/>
      <c r="D41" s="42"/>
      <c r="E41" s="42"/>
      <c r="F41" s="42"/>
      <c r="G41" s="227"/>
      <c r="H41" s="244">
        <v>36</v>
      </c>
      <c r="I41" s="245" t="str">
        <f t="shared" si="1"/>
        <v/>
      </c>
      <c r="J41" s="244">
        <f t="shared" si="5"/>
        <v>-2</v>
      </c>
      <c r="K41" s="244">
        <f t="shared" si="2"/>
        <v>-20</v>
      </c>
      <c r="L41" s="244"/>
      <c r="M41" s="246">
        <f t="shared" si="3"/>
        <v>0</v>
      </c>
      <c r="S41" s="256"/>
    </row>
    <row r="42" spans="1:19">
      <c r="A42" s="102">
        <f t="shared" si="4"/>
        <v>0</v>
      </c>
      <c r="B42" s="35" t="str">
        <f t="shared" si="0"/>
        <v/>
      </c>
      <c r="C42" s="36"/>
      <c r="D42" s="36"/>
      <c r="E42" s="36"/>
      <c r="F42" s="36"/>
      <c r="G42" s="227"/>
      <c r="H42" s="241">
        <v>37</v>
      </c>
      <c r="I42" s="242" t="str">
        <f t="shared" si="1"/>
        <v/>
      </c>
      <c r="J42" s="241">
        <f t="shared" si="5"/>
        <v>-2</v>
      </c>
      <c r="K42" s="241">
        <f t="shared" si="2"/>
        <v>-20</v>
      </c>
      <c r="L42" s="241"/>
      <c r="M42" s="243">
        <f t="shared" si="3"/>
        <v>0</v>
      </c>
    </row>
    <row r="43" spans="1:19">
      <c r="A43" s="106">
        <f t="shared" si="4"/>
        <v>0</v>
      </c>
      <c r="B43" s="41" t="str">
        <f t="shared" si="0"/>
        <v/>
      </c>
      <c r="C43" s="42"/>
      <c r="D43" s="42"/>
      <c r="E43" s="42"/>
      <c r="F43" s="42"/>
      <c r="G43" s="227"/>
      <c r="H43" s="244">
        <v>38</v>
      </c>
      <c r="I43" s="245" t="str">
        <f t="shared" si="1"/>
        <v/>
      </c>
      <c r="J43" s="244">
        <f t="shared" si="5"/>
        <v>-2</v>
      </c>
      <c r="K43" s="244">
        <f t="shared" si="2"/>
        <v>-20</v>
      </c>
      <c r="L43" s="244"/>
      <c r="M43" s="246">
        <f t="shared" si="3"/>
        <v>0</v>
      </c>
    </row>
    <row r="44" spans="1:19">
      <c r="A44" s="102">
        <f t="shared" si="4"/>
        <v>0</v>
      </c>
      <c r="B44" s="35" t="str">
        <f t="shared" si="0"/>
        <v/>
      </c>
      <c r="C44" s="36"/>
      <c r="D44" s="36"/>
      <c r="E44" s="36"/>
      <c r="F44" s="36"/>
      <c r="G44" s="227"/>
      <c r="H44" s="241">
        <v>39</v>
      </c>
      <c r="I44" s="242" t="str">
        <f t="shared" si="1"/>
        <v/>
      </c>
      <c r="J44" s="241">
        <f t="shared" si="5"/>
        <v>-2</v>
      </c>
      <c r="K44" s="241">
        <f t="shared" si="2"/>
        <v>-20</v>
      </c>
      <c r="L44" s="241"/>
      <c r="M44" s="243">
        <f t="shared" si="3"/>
        <v>0</v>
      </c>
    </row>
    <row r="45" spans="1:19">
      <c r="A45" s="106">
        <f t="shared" si="4"/>
        <v>0</v>
      </c>
      <c r="B45" s="41" t="str">
        <f t="shared" si="0"/>
        <v/>
      </c>
      <c r="C45" s="42"/>
      <c r="D45" s="42"/>
      <c r="E45" s="42"/>
      <c r="F45" s="42"/>
      <c r="G45" s="227"/>
      <c r="H45" s="244">
        <v>40</v>
      </c>
      <c r="I45" s="245" t="str">
        <f t="shared" si="1"/>
        <v/>
      </c>
      <c r="J45" s="244">
        <f t="shared" si="5"/>
        <v>-2</v>
      </c>
      <c r="K45" s="244">
        <f t="shared" si="2"/>
        <v>-20</v>
      </c>
      <c r="L45" s="244"/>
      <c r="M45" s="246">
        <f t="shared" si="3"/>
        <v>0</v>
      </c>
    </row>
    <row r="46" spans="1:19">
      <c r="A46" s="102">
        <f t="shared" si="4"/>
        <v>0</v>
      </c>
      <c r="B46" s="35" t="str">
        <f t="shared" si="0"/>
        <v/>
      </c>
      <c r="C46" s="36"/>
      <c r="D46" s="36"/>
      <c r="E46" s="36"/>
      <c r="F46" s="36"/>
      <c r="G46" s="227"/>
      <c r="H46" s="241">
        <v>41</v>
      </c>
      <c r="I46" s="242" t="str">
        <f t="shared" si="1"/>
        <v/>
      </c>
      <c r="J46" s="241">
        <f t="shared" si="5"/>
        <v>-2</v>
      </c>
      <c r="K46" s="241">
        <f t="shared" si="2"/>
        <v>-20</v>
      </c>
      <c r="L46" s="241"/>
      <c r="M46" s="243">
        <f t="shared" si="3"/>
        <v>0</v>
      </c>
    </row>
    <row r="47" spans="1:19">
      <c r="A47" s="106">
        <f t="shared" si="4"/>
        <v>0</v>
      </c>
      <c r="B47" s="41" t="str">
        <f t="shared" si="0"/>
        <v/>
      </c>
      <c r="C47" s="42"/>
      <c r="D47" s="42"/>
      <c r="E47" s="42"/>
      <c r="F47" s="42"/>
      <c r="G47" s="227"/>
      <c r="H47" s="244">
        <v>42</v>
      </c>
      <c r="I47" s="245" t="str">
        <f t="shared" si="1"/>
        <v/>
      </c>
      <c r="J47" s="244">
        <f t="shared" si="5"/>
        <v>-2</v>
      </c>
      <c r="K47" s="244">
        <f t="shared" si="2"/>
        <v>-20</v>
      </c>
      <c r="L47" s="244"/>
      <c r="M47" s="246">
        <f t="shared" si="3"/>
        <v>0</v>
      </c>
    </row>
    <row r="48" spans="1:19">
      <c r="A48" s="102">
        <f t="shared" si="4"/>
        <v>0</v>
      </c>
      <c r="B48" s="35" t="str">
        <f t="shared" si="0"/>
        <v/>
      </c>
      <c r="C48" s="36"/>
      <c r="D48" s="36"/>
      <c r="E48" s="36"/>
      <c r="F48" s="36"/>
      <c r="G48" s="227"/>
      <c r="H48" s="241">
        <v>43</v>
      </c>
      <c r="I48" s="242" t="str">
        <f t="shared" si="1"/>
        <v/>
      </c>
      <c r="J48" s="241">
        <f t="shared" si="5"/>
        <v>-2</v>
      </c>
      <c r="K48" s="241">
        <f t="shared" si="2"/>
        <v>-20</v>
      </c>
      <c r="L48" s="241"/>
      <c r="M48" s="243">
        <f t="shared" si="3"/>
        <v>0</v>
      </c>
    </row>
    <row r="49" spans="1:38">
      <c r="A49" s="106">
        <f t="shared" si="4"/>
        <v>0</v>
      </c>
      <c r="B49" s="41" t="str">
        <f t="shared" si="0"/>
        <v/>
      </c>
      <c r="C49" s="42"/>
      <c r="D49" s="42"/>
      <c r="E49" s="42"/>
      <c r="F49" s="42"/>
      <c r="G49" s="227"/>
      <c r="H49" s="244">
        <v>44</v>
      </c>
      <c r="I49" s="245" t="str">
        <f t="shared" si="1"/>
        <v/>
      </c>
      <c r="J49" s="244">
        <f t="shared" si="5"/>
        <v>-2</v>
      </c>
      <c r="K49" s="244">
        <f t="shared" si="2"/>
        <v>-20</v>
      </c>
      <c r="L49" s="244"/>
      <c r="M49" s="246">
        <f t="shared" si="3"/>
        <v>0</v>
      </c>
    </row>
    <row r="50" spans="1:38">
      <c r="A50" s="102">
        <f t="shared" si="4"/>
        <v>0</v>
      </c>
      <c r="B50" s="35" t="str">
        <f t="shared" si="0"/>
        <v/>
      </c>
      <c r="C50" s="36"/>
      <c r="D50" s="36"/>
      <c r="E50" s="36"/>
      <c r="F50" s="36"/>
      <c r="G50" s="227"/>
      <c r="H50" s="241">
        <v>45</v>
      </c>
      <c r="I50" s="242" t="str">
        <f t="shared" si="1"/>
        <v/>
      </c>
      <c r="J50" s="241">
        <f t="shared" si="5"/>
        <v>-2</v>
      </c>
      <c r="K50" s="241">
        <f t="shared" si="2"/>
        <v>-20</v>
      </c>
      <c r="L50" s="241"/>
      <c r="M50" s="243">
        <f t="shared" si="3"/>
        <v>0</v>
      </c>
    </row>
    <row r="51" spans="1:38">
      <c r="A51" s="106">
        <f t="shared" si="4"/>
        <v>0</v>
      </c>
      <c r="B51" s="41" t="str">
        <f t="shared" si="0"/>
        <v/>
      </c>
      <c r="C51" s="42"/>
      <c r="D51" s="42"/>
      <c r="E51" s="42"/>
      <c r="F51" s="42"/>
      <c r="G51" s="227"/>
      <c r="H51" s="244">
        <v>46</v>
      </c>
      <c r="I51" s="245" t="str">
        <f t="shared" si="1"/>
        <v/>
      </c>
      <c r="J51" s="244">
        <f t="shared" si="5"/>
        <v>-2</v>
      </c>
      <c r="K51" s="244">
        <f t="shared" si="2"/>
        <v>-20</v>
      </c>
      <c r="L51" s="244"/>
      <c r="M51" s="246">
        <f t="shared" si="3"/>
        <v>0</v>
      </c>
    </row>
    <row r="52" spans="1:38">
      <c r="A52" s="102">
        <f t="shared" si="4"/>
        <v>0</v>
      </c>
      <c r="B52" s="35" t="str">
        <f t="shared" si="0"/>
        <v/>
      </c>
      <c r="C52" s="36"/>
      <c r="D52" s="36"/>
      <c r="E52" s="36"/>
      <c r="F52" s="36"/>
      <c r="G52" s="227"/>
      <c r="H52" s="241">
        <v>47</v>
      </c>
      <c r="I52" s="242" t="str">
        <f t="shared" si="1"/>
        <v/>
      </c>
      <c r="J52" s="241">
        <f t="shared" si="5"/>
        <v>-2</v>
      </c>
      <c r="K52" s="241">
        <f t="shared" si="2"/>
        <v>-20</v>
      </c>
      <c r="L52" s="241"/>
      <c r="M52" s="243">
        <f t="shared" si="3"/>
        <v>0</v>
      </c>
    </row>
    <row r="53" spans="1:38">
      <c r="A53" s="106">
        <f t="shared" si="4"/>
        <v>0</v>
      </c>
      <c r="B53" s="41" t="str">
        <f t="shared" si="0"/>
        <v/>
      </c>
      <c r="C53" s="42"/>
      <c r="D53" s="42"/>
      <c r="E53" s="42"/>
      <c r="F53" s="42"/>
      <c r="G53" s="227"/>
      <c r="H53" s="244">
        <v>48</v>
      </c>
      <c r="I53" s="245" t="str">
        <f t="shared" si="1"/>
        <v/>
      </c>
      <c r="J53" s="244">
        <f t="shared" si="5"/>
        <v>-2</v>
      </c>
      <c r="K53" s="244">
        <f t="shared" si="2"/>
        <v>-20</v>
      </c>
      <c r="L53" s="244"/>
      <c r="M53" s="246">
        <f t="shared" si="3"/>
        <v>0</v>
      </c>
    </row>
    <row r="54" spans="1:38">
      <c r="A54" s="102">
        <f t="shared" si="4"/>
        <v>0</v>
      </c>
      <c r="B54" s="35" t="str">
        <f t="shared" si="0"/>
        <v/>
      </c>
      <c r="C54" s="36"/>
      <c r="D54" s="36"/>
      <c r="E54" s="36"/>
      <c r="F54" s="36"/>
      <c r="G54" s="227"/>
      <c r="H54" s="241">
        <v>49</v>
      </c>
      <c r="I54" s="242" t="str">
        <f t="shared" si="1"/>
        <v/>
      </c>
      <c r="J54" s="241">
        <f t="shared" si="5"/>
        <v>-2</v>
      </c>
      <c r="K54" s="241">
        <f t="shared" si="2"/>
        <v>-20</v>
      </c>
      <c r="L54" s="241"/>
      <c r="M54" s="243">
        <f t="shared" si="3"/>
        <v>0</v>
      </c>
    </row>
    <row r="55" spans="1:38">
      <c r="A55" s="106">
        <f t="shared" si="4"/>
        <v>0</v>
      </c>
      <c r="B55" s="41" t="str">
        <f t="shared" si="0"/>
        <v/>
      </c>
      <c r="C55" s="42"/>
      <c r="D55" s="42"/>
      <c r="E55" s="42"/>
      <c r="F55" s="42"/>
      <c r="G55" s="227"/>
      <c r="H55" s="244">
        <v>50</v>
      </c>
      <c r="I55" s="245" t="str">
        <f t="shared" si="1"/>
        <v/>
      </c>
      <c r="J55" s="244">
        <f t="shared" si="5"/>
        <v>-2</v>
      </c>
      <c r="K55" s="244">
        <f t="shared" si="2"/>
        <v>-20</v>
      </c>
      <c r="L55" s="244"/>
      <c r="M55" s="246">
        <f t="shared" si="3"/>
        <v>0</v>
      </c>
    </row>
    <row r="56" spans="1:38">
      <c r="A56" s="102">
        <f t="shared" si="4"/>
        <v>0</v>
      </c>
      <c r="B56" s="35" t="str">
        <f t="shared" si="0"/>
        <v/>
      </c>
      <c r="C56" s="36"/>
      <c r="D56" s="36"/>
      <c r="E56" s="36"/>
      <c r="F56" s="36"/>
      <c r="G56" s="227"/>
      <c r="H56" s="241">
        <v>51</v>
      </c>
      <c r="I56" s="242" t="str">
        <f t="shared" si="1"/>
        <v/>
      </c>
      <c r="J56" s="241">
        <f t="shared" si="5"/>
        <v>-2</v>
      </c>
      <c r="K56" s="241">
        <f t="shared" si="2"/>
        <v>-20</v>
      </c>
      <c r="L56" s="241"/>
      <c r="M56" s="243">
        <f t="shared" si="3"/>
        <v>0</v>
      </c>
    </row>
    <row r="57" spans="1:38" s="227" customFormat="1">
      <c r="A57" s="106">
        <f t="shared" si="4"/>
        <v>0</v>
      </c>
      <c r="B57" s="41" t="str">
        <f t="shared" si="0"/>
        <v/>
      </c>
      <c r="C57" s="42"/>
      <c r="D57" s="42"/>
      <c r="E57" s="42"/>
      <c r="F57" s="42"/>
      <c r="H57" s="244">
        <v>52</v>
      </c>
      <c r="I57" s="245" t="str">
        <f t="shared" si="1"/>
        <v/>
      </c>
      <c r="J57" s="244">
        <f t="shared" si="5"/>
        <v>-2</v>
      </c>
      <c r="K57" s="244">
        <f t="shared" si="2"/>
        <v>-20</v>
      </c>
      <c r="L57" s="244"/>
      <c r="M57" s="246">
        <f t="shared" si="3"/>
        <v>0</v>
      </c>
      <c r="S57" s="232"/>
      <c r="T57" s="232"/>
      <c r="U57" s="232"/>
      <c r="V57" s="232"/>
      <c r="W57" s="232"/>
      <c r="X57" s="232"/>
      <c r="Y57" s="232"/>
      <c r="Z57" s="232"/>
      <c r="AA57" s="232"/>
      <c r="AB57" s="232"/>
      <c r="AC57" s="232"/>
      <c r="AD57" s="232"/>
      <c r="AE57" s="232"/>
      <c r="AF57" s="232"/>
      <c r="AG57" s="232"/>
      <c r="AH57" s="232"/>
      <c r="AI57" s="232"/>
      <c r="AJ57" s="232"/>
      <c r="AK57" s="232"/>
      <c r="AL57" s="232"/>
    </row>
    <row r="58" spans="1:38" s="227" customFormat="1">
      <c r="A58" s="102">
        <f t="shared" si="4"/>
        <v>0</v>
      </c>
      <c r="B58" s="35" t="str">
        <f t="shared" si="0"/>
        <v/>
      </c>
      <c r="C58" s="36"/>
      <c r="D58" s="36"/>
      <c r="E58" s="36"/>
      <c r="F58" s="36"/>
      <c r="H58" s="241">
        <v>53</v>
      </c>
      <c r="I58" s="242" t="str">
        <f t="shared" si="1"/>
        <v/>
      </c>
      <c r="J58" s="241">
        <f t="shared" si="5"/>
        <v>-2</v>
      </c>
      <c r="K58" s="241">
        <f t="shared" si="2"/>
        <v>-20</v>
      </c>
      <c r="L58" s="241"/>
      <c r="M58" s="243">
        <f t="shared" si="3"/>
        <v>0</v>
      </c>
      <c r="S58" s="232"/>
      <c r="T58" s="232"/>
      <c r="U58" s="232"/>
      <c r="V58" s="232"/>
      <c r="W58" s="232"/>
      <c r="X58" s="232"/>
      <c r="Y58" s="232"/>
      <c r="Z58" s="232"/>
      <c r="AA58" s="232"/>
      <c r="AB58" s="232"/>
      <c r="AC58" s="232"/>
      <c r="AD58" s="232"/>
      <c r="AE58" s="232"/>
      <c r="AF58" s="232"/>
      <c r="AG58" s="232"/>
      <c r="AH58" s="232"/>
      <c r="AI58" s="232"/>
      <c r="AJ58" s="232"/>
      <c r="AK58" s="232"/>
      <c r="AL58" s="232"/>
    </row>
    <row r="59" spans="1:38" s="227" customFormat="1">
      <c r="A59" s="106">
        <f t="shared" si="4"/>
        <v>0</v>
      </c>
      <c r="B59" s="41" t="str">
        <f t="shared" si="0"/>
        <v/>
      </c>
      <c r="C59" s="42"/>
      <c r="D59" s="42"/>
      <c r="E59" s="42"/>
      <c r="F59" s="42"/>
      <c r="H59" s="244">
        <v>54</v>
      </c>
      <c r="I59" s="245" t="str">
        <f t="shared" si="1"/>
        <v/>
      </c>
      <c r="J59" s="244">
        <f t="shared" si="5"/>
        <v>-2</v>
      </c>
      <c r="K59" s="244">
        <f t="shared" si="2"/>
        <v>-20</v>
      </c>
      <c r="L59" s="244"/>
      <c r="M59" s="246">
        <f t="shared" si="3"/>
        <v>0</v>
      </c>
      <c r="S59" s="232"/>
      <c r="T59" s="232"/>
      <c r="U59" s="232"/>
      <c r="V59" s="232"/>
      <c r="W59" s="232"/>
      <c r="X59" s="232"/>
      <c r="Y59" s="232"/>
      <c r="Z59" s="232"/>
      <c r="AA59" s="232"/>
      <c r="AB59" s="232"/>
      <c r="AC59" s="232"/>
      <c r="AD59" s="232"/>
      <c r="AE59" s="232"/>
      <c r="AF59" s="232"/>
      <c r="AG59" s="232"/>
      <c r="AH59" s="232"/>
      <c r="AI59" s="232"/>
      <c r="AJ59" s="232"/>
      <c r="AK59" s="232"/>
      <c r="AL59" s="232"/>
    </row>
    <row r="60" spans="1:38" s="227" customFormat="1">
      <c r="A60" s="102">
        <f t="shared" si="4"/>
        <v>0</v>
      </c>
      <c r="B60" s="35" t="str">
        <f t="shared" si="0"/>
        <v/>
      </c>
      <c r="C60" s="36"/>
      <c r="D60" s="36"/>
      <c r="E60" s="36"/>
      <c r="F60" s="36"/>
      <c r="H60" s="241">
        <v>55</v>
      </c>
      <c r="I60" s="242" t="str">
        <f t="shared" si="1"/>
        <v/>
      </c>
      <c r="J60" s="241">
        <f t="shared" si="5"/>
        <v>-2</v>
      </c>
      <c r="K60" s="241">
        <f t="shared" si="2"/>
        <v>-20</v>
      </c>
      <c r="L60" s="241"/>
      <c r="M60" s="243">
        <f t="shared" si="3"/>
        <v>0</v>
      </c>
      <c r="S60" s="232"/>
      <c r="T60" s="232"/>
      <c r="U60" s="232"/>
      <c r="V60" s="232"/>
      <c r="W60" s="232"/>
      <c r="X60" s="232"/>
      <c r="Y60" s="232"/>
      <c r="Z60" s="232"/>
      <c r="AA60" s="232"/>
      <c r="AB60" s="232"/>
      <c r="AC60" s="232"/>
      <c r="AD60" s="232"/>
      <c r="AE60" s="232"/>
      <c r="AF60" s="232"/>
      <c r="AG60" s="232"/>
      <c r="AH60" s="232"/>
      <c r="AI60" s="232"/>
      <c r="AJ60" s="232"/>
      <c r="AK60" s="232"/>
      <c r="AL60" s="232"/>
    </row>
    <row r="61" spans="1:38" s="227" customFormat="1">
      <c r="A61" s="106">
        <f t="shared" si="4"/>
        <v>0</v>
      </c>
      <c r="B61" s="41" t="str">
        <f t="shared" si="0"/>
        <v/>
      </c>
      <c r="C61" s="42"/>
      <c r="D61" s="42"/>
      <c r="E61" s="42"/>
      <c r="F61" s="42"/>
      <c r="H61" s="244">
        <v>56</v>
      </c>
      <c r="I61" s="245" t="str">
        <f t="shared" si="1"/>
        <v/>
      </c>
      <c r="J61" s="244">
        <f t="shared" si="5"/>
        <v>-2</v>
      </c>
      <c r="K61" s="244">
        <f t="shared" si="2"/>
        <v>-20</v>
      </c>
      <c r="L61" s="244"/>
      <c r="M61" s="246">
        <f t="shared" si="3"/>
        <v>0</v>
      </c>
      <c r="S61" s="232"/>
      <c r="T61" s="232"/>
      <c r="U61" s="232"/>
      <c r="V61" s="232"/>
      <c r="W61" s="232"/>
      <c r="X61" s="232"/>
      <c r="Y61" s="232"/>
      <c r="Z61" s="232"/>
      <c r="AA61" s="232"/>
      <c r="AB61" s="232"/>
      <c r="AC61" s="232"/>
      <c r="AD61" s="232"/>
      <c r="AE61" s="232"/>
      <c r="AF61" s="232"/>
      <c r="AG61" s="232"/>
      <c r="AH61" s="232"/>
      <c r="AI61" s="232"/>
      <c r="AJ61" s="232"/>
      <c r="AK61" s="232"/>
      <c r="AL61" s="232"/>
    </row>
    <row r="62" spans="1:38" s="227" customFormat="1">
      <c r="A62" s="102">
        <f t="shared" si="4"/>
        <v>0</v>
      </c>
      <c r="B62" s="35" t="str">
        <f t="shared" si="0"/>
        <v/>
      </c>
      <c r="C62" s="36"/>
      <c r="D62" s="36"/>
      <c r="E62" s="36"/>
      <c r="F62" s="36"/>
      <c r="H62" s="241">
        <v>57</v>
      </c>
      <c r="I62" s="242" t="str">
        <f t="shared" si="1"/>
        <v/>
      </c>
      <c r="J62" s="241">
        <f t="shared" si="5"/>
        <v>-2</v>
      </c>
      <c r="K62" s="241">
        <f t="shared" si="2"/>
        <v>-20</v>
      </c>
      <c r="L62" s="241"/>
      <c r="M62" s="243">
        <f t="shared" si="3"/>
        <v>0</v>
      </c>
      <c r="S62" s="232"/>
      <c r="T62" s="232"/>
      <c r="U62" s="232"/>
      <c r="V62" s="232"/>
      <c r="W62" s="232"/>
      <c r="X62" s="232"/>
      <c r="Y62" s="232"/>
      <c r="Z62" s="232"/>
      <c r="AA62" s="232"/>
      <c r="AB62" s="232"/>
      <c r="AC62" s="232"/>
      <c r="AD62" s="232"/>
      <c r="AE62" s="232"/>
      <c r="AF62" s="232"/>
      <c r="AG62" s="232"/>
      <c r="AH62" s="232"/>
      <c r="AI62" s="232"/>
      <c r="AJ62" s="232"/>
      <c r="AK62" s="232"/>
      <c r="AL62" s="232"/>
    </row>
    <row r="63" spans="1:38" s="227" customFormat="1">
      <c r="A63" s="106">
        <f t="shared" si="4"/>
        <v>0</v>
      </c>
      <c r="B63" s="41" t="str">
        <f t="shared" si="0"/>
        <v/>
      </c>
      <c r="C63" s="42"/>
      <c r="D63" s="42"/>
      <c r="E63" s="42"/>
      <c r="F63" s="42"/>
      <c r="H63" s="244">
        <v>58</v>
      </c>
      <c r="I63" s="245" t="str">
        <f t="shared" si="1"/>
        <v/>
      </c>
      <c r="J63" s="244">
        <f t="shared" si="5"/>
        <v>-2</v>
      </c>
      <c r="K63" s="244">
        <f t="shared" si="2"/>
        <v>-20</v>
      </c>
      <c r="L63" s="244"/>
      <c r="M63" s="246">
        <f t="shared" si="3"/>
        <v>0</v>
      </c>
      <c r="S63" s="232"/>
      <c r="T63" s="232"/>
      <c r="U63" s="232"/>
      <c r="V63" s="232"/>
      <c r="W63" s="232"/>
      <c r="X63" s="232"/>
      <c r="Y63" s="232"/>
      <c r="Z63" s="232"/>
      <c r="AA63" s="232"/>
      <c r="AB63" s="232"/>
      <c r="AC63" s="232"/>
      <c r="AD63" s="232"/>
      <c r="AE63" s="232"/>
      <c r="AF63" s="232"/>
      <c r="AG63" s="232"/>
      <c r="AH63" s="232"/>
      <c r="AI63" s="232"/>
      <c r="AJ63" s="232"/>
      <c r="AK63" s="232"/>
      <c r="AL63" s="232"/>
    </row>
    <row r="64" spans="1:38" s="227" customFormat="1">
      <c r="A64" s="102">
        <f t="shared" si="4"/>
        <v>0</v>
      </c>
      <c r="B64" s="35" t="str">
        <f t="shared" si="0"/>
        <v/>
      </c>
      <c r="C64" s="36"/>
      <c r="D64" s="36"/>
      <c r="E64" s="36"/>
      <c r="F64" s="36"/>
      <c r="H64" s="241">
        <v>59</v>
      </c>
      <c r="I64" s="242" t="str">
        <f t="shared" si="1"/>
        <v/>
      </c>
      <c r="J64" s="241">
        <f t="shared" si="5"/>
        <v>-2</v>
      </c>
      <c r="K64" s="241">
        <f t="shared" si="2"/>
        <v>-20</v>
      </c>
      <c r="L64" s="241"/>
      <c r="M64" s="243">
        <f t="shared" si="3"/>
        <v>0</v>
      </c>
      <c r="S64" s="232"/>
      <c r="T64" s="232"/>
      <c r="U64" s="232"/>
      <c r="V64" s="232"/>
      <c r="W64" s="232"/>
      <c r="X64" s="232"/>
      <c r="Y64" s="232"/>
      <c r="Z64" s="232"/>
      <c r="AA64" s="232"/>
      <c r="AB64" s="232"/>
      <c r="AC64" s="232"/>
      <c r="AD64" s="232"/>
      <c r="AE64" s="232"/>
      <c r="AF64" s="232"/>
      <c r="AG64" s="232"/>
      <c r="AH64" s="232"/>
      <c r="AI64" s="232"/>
      <c r="AJ64" s="232"/>
      <c r="AK64" s="232"/>
      <c r="AL64" s="232"/>
    </row>
    <row r="65" spans="1:38" s="227" customFormat="1">
      <c r="A65" s="106">
        <f t="shared" si="4"/>
        <v>0</v>
      </c>
      <c r="B65" s="41" t="str">
        <f t="shared" si="0"/>
        <v/>
      </c>
      <c r="C65" s="42"/>
      <c r="D65" s="42"/>
      <c r="E65" s="42"/>
      <c r="F65" s="42"/>
      <c r="H65" s="244">
        <v>60</v>
      </c>
      <c r="I65" s="245" t="str">
        <f t="shared" si="1"/>
        <v/>
      </c>
      <c r="J65" s="244">
        <f t="shared" si="5"/>
        <v>-2</v>
      </c>
      <c r="K65" s="244">
        <f t="shared" si="2"/>
        <v>-20</v>
      </c>
      <c r="L65" s="244"/>
      <c r="M65" s="246">
        <f t="shared" si="3"/>
        <v>0</v>
      </c>
      <c r="S65" s="232"/>
      <c r="T65" s="232"/>
      <c r="U65" s="232"/>
      <c r="V65" s="232"/>
      <c r="W65" s="232"/>
      <c r="X65" s="232"/>
      <c r="Y65" s="232"/>
      <c r="Z65" s="232"/>
      <c r="AA65" s="232"/>
      <c r="AB65" s="232"/>
      <c r="AC65" s="232"/>
      <c r="AD65" s="232"/>
      <c r="AE65" s="232"/>
      <c r="AF65" s="232"/>
      <c r="AG65" s="232"/>
      <c r="AH65" s="232"/>
      <c r="AI65" s="232"/>
      <c r="AJ65" s="232"/>
      <c r="AK65" s="232"/>
      <c r="AL65" s="232"/>
    </row>
    <row r="66" spans="1:38" s="227" customFormat="1">
      <c r="A66" s="102">
        <f t="shared" si="4"/>
        <v>0</v>
      </c>
      <c r="B66" s="35" t="str">
        <f t="shared" si="0"/>
        <v/>
      </c>
      <c r="C66" s="36"/>
      <c r="D66" s="36"/>
      <c r="E66" s="36"/>
      <c r="F66" s="36"/>
      <c r="H66" s="241">
        <v>61</v>
      </c>
      <c r="I66" s="242" t="str">
        <f t="shared" si="1"/>
        <v/>
      </c>
      <c r="J66" s="241">
        <f t="shared" si="5"/>
        <v>-2</v>
      </c>
      <c r="K66" s="241">
        <f t="shared" si="2"/>
        <v>-20</v>
      </c>
      <c r="L66" s="241"/>
      <c r="M66" s="243">
        <f t="shared" si="3"/>
        <v>0</v>
      </c>
      <c r="S66" s="232"/>
      <c r="T66" s="232"/>
      <c r="U66" s="232"/>
      <c r="V66" s="232"/>
      <c r="W66" s="232"/>
      <c r="X66" s="232"/>
      <c r="Y66" s="232"/>
      <c r="Z66" s="232"/>
      <c r="AA66" s="232"/>
      <c r="AB66" s="232"/>
      <c r="AC66" s="232"/>
      <c r="AD66" s="232"/>
      <c r="AE66" s="232"/>
      <c r="AF66" s="232"/>
      <c r="AG66" s="232"/>
      <c r="AH66" s="232"/>
      <c r="AI66" s="232"/>
      <c r="AJ66" s="232"/>
      <c r="AK66" s="232"/>
      <c r="AL66" s="232"/>
    </row>
    <row r="67" spans="1:38" s="227" customFormat="1">
      <c r="A67" s="106">
        <f t="shared" si="4"/>
        <v>0</v>
      </c>
      <c r="B67" s="41" t="str">
        <f t="shared" si="0"/>
        <v/>
      </c>
      <c r="C67" s="42"/>
      <c r="D67" s="42"/>
      <c r="E67" s="42"/>
      <c r="F67" s="42"/>
      <c r="H67" s="244">
        <v>62</v>
      </c>
      <c r="I67" s="245" t="str">
        <f t="shared" si="1"/>
        <v/>
      </c>
      <c r="J67" s="244">
        <f t="shared" si="5"/>
        <v>-2</v>
      </c>
      <c r="K67" s="244">
        <f t="shared" si="2"/>
        <v>-20</v>
      </c>
      <c r="L67" s="244"/>
      <c r="M67" s="246">
        <f t="shared" si="3"/>
        <v>0</v>
      </c>
      <c r="S67" s="232"/>
      <c r="T67" s="232"/>
      <c r="U67" s="232"/>
      <c r="V67" s="232"/>
      <c r="W67" s="232"/>
      <c r="X67" s="232"/>
      <c r="Y67" s="232"/>
      <c r="Z67" s="232"/>
      <c r="AA67" s="232"/>
      <c r="AB67" s="232"/>
      <c r="AC67" s="232"/>
      <c r="AD67" s="232"/>
      <c r="AE67" s="232"/>
      <c r="AF67" s="232"/>
      <c r="AG67" s="232"/>
      <c r="AH67" s="232"/>
      <c r="AI67" s="232"/>
      <c r="AJ67" s="232"/>
      <c r="AK67" s="232"/>
      <c r="AL67" s="232"/>
    </row>
    <row r="68" spans="1:38" s="227" customFormat="1">
      <c r="A68" s="102">
        <f t="shared" si="4"/>
        <v>0</v>
      </c>
      <c r="B68" s="35" t="str">
        <f t="shared" si="0"/>
        <v/>
      </c>
      <c r="C68" s="36"/>
      <c r="D68" s="36"/>
      <c r="E68" s="36"/>
      <c r="F68" s="36"/>
      <c r="H68" s="241">
        <v>63</v>
      </c>
      <c r="I68" s="242" t="str">
        <f t="shared" si="1"/>
        <v/>
      </c>
      <c r="J68" s="241">
        <f t="shared" si="5"/>
        <v>-2</v>
      </c>
      <c r="K68" s="241">
        <f t="shared" si="2"/>
        <v>-20</v>
      </c>
      <c r="L68" s="241"/>
      <c r="M68" s="243">
        <f t="shared" si="3"/>
        <v>0</v>
      </c>
      <c r="S68" s="232"/>
      <c r="T68" s="232"/>
      <c r="U68" s="232"/>
      <c r="V68" s="232"/>
      <c r="W68" s="232"/>
      <c r="X68" s="232"/>
      <c r="Y68" s="232"/>
      <c r="Z68" s="232"/>
      <c r="AA68" s="232"/>
      <c r="AB68" s="232"/>
      <c r="AC68" s="232"/>
      <c r="AD68" s="232"/>
      <c r="AE68" s="232"/>
      <c r="AF68" s="232"/>
      <c r="AG68" s="232"/>
      <c r="AH68" s="232"/>
      <c r="AI68" s="232"/>
      <c r="AJ68" s="232"/>
      <c r="AK68" s="232"/>
      <c r="AL68" s="232"/>
    </row>
    <row r="69" spans="1:38" s="227" customFormat="1">
      <c r="A69" s="106">
        <f t="shared" si="4"/>
        <v>0</v>
      </c>
      <c r="B69" s="41" t="str">
        <f t="shared" si="0"/>
        <v/>
      </c>
      <c r="C69" s="42"/>
      <c r="D69" s="42"/>
      <c r="E69" s="42"/>
      <c r="F69" s="42"/>
      <c r="H69" s="244">
        <v>64</v>
      </c>
      <c r="I69" s="245" t="str">
        <f t="shared" si="1"/>
        <v/>
      </c>
      <c r="J69" s="244">
        <f t="shared" si="5"/>
        <v>-2</v>
      </c>
      <c r="K69" s="244">
        <f t="shared" si="2"/>
        <v>-20</v>
      </c>
      <c r="L69" s="244"/>
      <c r="M69" s="246">
        <f t="shared" si="3"/>
        <v>0</v>
      </c>
      <c r="S69" s="232"/>
      <c r="T69" s="232"/>
      <c r="U69" s="232"/>
      <c r="V69" s="232"/>
      <c r="W69" s="232"/>
      <c r="X69" s="232"/>
      <c r="Y69" s="232"/>
      <c r="Z69" s="232"/>
      <c r="AA69" s="232"/>
      <c r="AB69" s="232"/>
      <c r="AC69" s="232"/>
      <c r="AD69" s="232"/>
      <c r="AE69" s="232"/>
      <c r="AF69" s="232"/>
      <c r="AG69" s="232"/>
      <c r="AH69" s="232"/>
      <c r="AI69" s="232"/>
      <c r="AJ69" s="232"/>
      <c r="AK69" s="232"/>
      <c r="AL69" s="232"/>
    </row>
    <row r="70" spans="1:38" s="227" customFormat="1">
      <c r="A70" s="102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241">
        <v>65</v>
      </c>
      <c r="I70" s="242" t="str">
        <f t="shared" ref="I70:I133" si="7">IF(H70&lt;$H$2+1,($I$2-($I$2-1)*(LOG(H70)/LOG($H$2))),"")</f>
        <v/>
      </c>
      <c r="J70" s="241">
        <f t="shared" si="5"/>
        <v>-3</v>
      </c>
      <c r="K70" s="241">
        <f t="shared" ref="K70:K133" si="8">J70*$J$2</f>
        <v>-30</v>
      </c>
      <c r="L70" s="241"/>
      <c r="M70" s="243">
        <f t="shared" ref="M70:M133" si="9">IF(I70&lt;&gt;"",K70+I70+L70,0)</f>
        <v>0</v>
      </c>
      <c r="S70" s="232"/>
      <c r="T70" s="232"/>
      <c r="U70" s="232"/>
      <c r="V70" s="232"/>
      <c r="W70" s="232"/>
      <c r="X70" s="232"/>
      <c r="Y70" s="232"/>
      <c r="Z70" s="232"/>
      <c r="AA70" s="232"/>
      <c r="AB70" s="232"/>
      <c r="AC70" s="232"/>
      <c r="AD70" s="232"/>
      <c r="AE70" s="232"/>
      <c r="AF70" s="232"/>
      <c r="AG70" s="232"/>
      <c r="AH70" s="232"/>
      <c r="AI70" s="232"/>
      <c r="AJ70" s="232"/>
      <c r="AK70" s="232"/>
      <c r="AL70" s="232"/>
    </row>
    <row r="71" spans="1:38" s="227" customFormat="1">
      <c r="A71" s="106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244">
        <v>66</v>
      </c>
      <c r="I71" s="245" t="str">
        <f t="shared" si="7"/>
        <v/>
      </c>
      <c r="J71" s="244">
        <f t="shared" ref="J71:J134" si="11">INT(LOG($H$2,2))-ROUNDUP(LOG(H71,2),0)+IF(OR($H$2=1,$H$2=2,$H$2=4,$H$2=8,$H$2=16,$H$2=32,$H$2=64,$H$2=128,$H$2=256),0,1)</f>
        <v>-3</v>
      </c>
      <c r="K71" s="244">
        <f t="shared" si="8"/>
        <v>-30</v>
      </c>
      <c r="L71" s="244"/>
      <c r="M71" s="246">
        <f t="shared" si="9"/>
        <v>0</v>
      </c>
      <c r="S71" s="232"/>
      <c r="T71" s="232"/>
      <c r="U71" s="232"/>
      <c r="V71" s="232"/>
      <c r="W71" s="232"/>
      <c r="X71" s="232"/>
      <c r="Y71" s="232"/>
      <c r="Z71" s="232"/>
      <c r="AA71" s="232"/>
      <c r="AB71" s="232"/>
      <c r="AC71" s="232"/>
      <c r="AD71" s="232"/>
      <c r="AE71" s="232"/>
      <c r="AF71" s="232"/>
      <c r="AG71" s="232"/>
      <c r="AH71" s="232"/>
      <c r="AI71" s="232"/>
      <c r="AJ71" s="232"/>
      <c r="AK71" s="232"/>
      <c r="AL71" s="232"/>
    </row>
    <row r="72" spans="1:38" s="227" customFormat="1">
      <c r="A72" s="102">
        <f t="shared" si="10"/>
        <v>0</v>
      </c>
      <c r="B72" s="35" t="str">
        <f t="shared" si="6"/>
        <v/>
      </c>
      <c r="C72" s="36"/>
      <c r="D72" s="36"/>
      <c r="E72" s="36"/>
      <c r="F72" s="36"/>
      <c r="H72" s="241">
        <v>67</v>
      </c>
      <c r="I72" s="242" t="str">
        <f t="shared" si="7"/>
        <v/>
      </c>
      <c r="J72" s="241">
        <f t="shared" si="11"/>
        <v>-3</v>
      </c>
      <c r="K72" s="241">
        <f t="shared" si="8"/>
        <v>-30</v>
      </c>
      <c r="L72" s="241"/>
      <c r="M72" s="243">
        <f t="shared" si="9"/>
        <v>0</v>
      </c>
      <c r="S72" s="232"/>
      <c r="T72" s="232"/>
      <c r="U72" s="232"/>
      <c r="V72" s="232"/>
      <c r="W72" s="232"/>
      <c r="X72" s="232"/>
      <c r="Y72" s="232"/>
      <c r="Z72" s="232"/>
      <c r="AA72" s="232"/>
      <c r="AB72" s="232"/>
      <c r="AC72" s="232"/>
      <c r="AD72" s="232"/>
      <c r="AE72" s="232"/>
      <c r="AF72" s="232"/>
      <c r="AG72" s="232"/>
      <c r="AH72" s="232"/>
      <c r="AI72" s="232"/>
      <c r="AJ72" s="232"/>
      <c r="AK72" s="232"/>
      <c r="AL72" s="232"/>
    </row>
    <row r="73" spans="1:38" s="227" customFormat="1">
      <c r="A73" s="106">
        <f t="shared" si="10"/>
        <v>0</v>
      </c>
      <c r="B73" s="41" t="str">
        <f t="shared" si="6"/>
        <v/>
      </c>
      <c r="C73" s="42"/>
      <c r="D73" s="42"/>
      <c r="E73" s="42"/>
      <c r="F73" s="42"/>
      <c r="H73" s="244">
        <v>68</v>
      </c>
      <c r="I73" s="245" t="str">
        <f t="shared" si="7"/>
        <v/>
      </c>
      <c r="J73" s="244">
        <f t="shared" si="11"/>
        <v>-3</v>
      </c>
      <c r="K73" s="244">
        <f t="shared" si="8"/>
        <v>-30</v>
      </c>
      <c r="L73" s="244"/>
      <c r="M73" s="246">
        <f t="shared" si="9"/>
        <v>0</v>
      </c>
      <c r="S73" s="232"/>
      <c r="T73" s="232"/>
      <c r="U73" s="232"/>
      <c r="V73" s="232"/>
      <c r="W73" s="232"/>
      <c r="X73" s="232"/>
      <c r="Y73" s="232"/>
      <c r="Z73" s="232"/>
      <c r="AA73" s="232"/>
      <c r="AB73" s="232"/>
      <c r="AC73" s="232"/>
      <c r="AD73" s="232"/>
      <c r="AE73" s="232"/>
      <c r="AF73" s="232"/>
      <c r="AG73" s="232"/>
      <c r="AH73" s="232"/>
      <c r="AI73" s="232"/>
      <c r="AJ73" s="232"/>
      <c r="AK73" s="232"/>
      <c r="AL73" s="232"/>
    </row>
    <row r="74" spans="1:38" s="227" customFormat="1">
      <c r="A74" s="102">
        <f t="shared" si="10"/>
        <v>0</v>
      </c>
      <c r="B74" s="35" t="str">
        <f t="shared" si="6"/>
        <v/>
      </c>
      <c r="C74" s="36"/>
      <c r="D74" s="36"/>
      <c r="E74" s="36"/>
      <c r="F74" s="36"/>
      <c r="H74" s="241">
        <v>69</v>
      </c>
      <c r="I74" s="242" t="str">
        <f t="shared" si="7"/>
        <v/>
      </c>
      <c r="J74" s="241">
        <f t="shared" si="11"/>
        <v>-3</v>
      </c>
      <c r="K74" s="241">
        <f t="shared" si="8"/>
        <v>-30</v>
      </c>
      <c r="L74" s="241"/>
      <c r="M74" s="243">
        <f t="shared" si="9"/>
        <v>0</v>
      </c>
      <c r="S74" s="232"/>
      <c r="T74" s="232"/>
      <c r="U74" s="232"/>
      <c r="V74" s="232"/>
      <c r="W74" s="232"/>
      <c r="X74" s="232"/>
      <c r="Y74" s="232"/>
      <c r="Z74" s="232"/>
      <c r="AA74" s="232"/>
      <c r="AB74" s="232"/>
      <c r="AC74" s="232"/>
      <c r="AD74" s="232"/>
      <c r="AE74" s="232"/>
      <c r="AF74" s="232"/>
      <c r="AG74" s="232"/>
      <c r="AH74" s="232"/>
      <c r="AI74" s="232"/>
      <c r="AJ74" s="232"/>
      <c r="AK74" s="232"/>
      <c r="AL74" s="232"/>
    </row>
    <row r="75" spans="1:38" s="227" customFormat="1">
      <c r="A75" s="106">
        <f t="shared" si="10"/>
        <v>0</v>
      </c>
      <c r="B75" s="41" t="str">
        <f t="shared" si="6"/>
        <v/>
      </c>
      <c r="C75" s="42"/>
      <c r="D75" s="42"/>
      <c r="E75" s="42"/>
      <c r="F75" s="42"/>
      <c r="H75" s="244">
        <v>70</v>
      </c>
      <c r="I75" s="245" t="str">
        <f t="shared" si="7"/>
        <v/>
      </c>
      <c r="J75" s="244">
        <f t="shared" si="11"/>
        <v>-3</v>
      </c>
      <c r="K75" s="244">
        <f t="shared" si="8"/>
        <v>-30</v>
      </c>
      <c r="L75" s="244"/>
      <c r="M75" s="246">
        <f t="shared" si="9"/>
        <v>0</v>
      </c>
      <c r="S75" s="232"/>
      <c r="T75" s="232"/>
      <c r="U75" s="232"/>
      <c r="V75" s="232"/>
      <c r="W75" s="232"/>
      <c r="X75" s="232"/>
      <c r="Y75" s="232"/>
      <c r="Z75" s="232"/>
      <c r="AA75" s="232"/>
      <c r="AB75" s="232"/>
      <c r="AC75" s="232"/>
      <c r="AD75" s="232"/>
      <c r="AE75" s="232"/>
      <c r="AF75" s="232"/>
      <c r="AG75" s="232"/>
      <c r="AH75" s="232"/>
      <c r="AI75" s="232"/>
      <c r="AJ75" s="232"/>
      <c r="AK75" s="232"/>
      <c r="AL75" s="232"/>
    </row>
    <row r="76" spans="1:38" s="227" customFormat="1">
      <c r="A76" s="102">
        <f t="shared" si="10"/>
        <v>0</v>
      </c>
      <c r="B76" s="35" t="str">
        <f t="shared" si="6"/>
        <v/>
      </c>
      <c r="C76" s="36"/>
      <c r="D76" s="36"/>
      <c r="E76" s="36"/>
      <c r="F76" s="36"/>
      <c r="H76" s="241">
        <v>71</v>
      </c>
      <c r="I76" s="242" t="str">
        <f t="shared" si="7"/>
        <v/>
      </c>
      <c r="J76" s="241">
        <f t="shared" si="11"/>
        <v>-3</v>
      </c>
      <c r="K76" s="241">
        <f t="shared" si="8"/>
        <v>-30</v>
      </c>
      <c r="L76" s="241"/>
      <c r="M76" s="243">
        <f t="shared" si="9"/>
        <v>0</v>
      </c>
      <c r="S76" s="232"/>
      <c r="T76" s="232"/>
      <c r="U76" s="232"/>
      <c r="V76" s="232"/>
      <c r="W76" s="232"/>
      <c r="X76" s="232"/>
      <c r="Y76" s="232"/>
      <c r="Z76" s="232"/>
      <c r="AA76" s="232"/>
      <c r="AB76" s="232"/>
      <c r="AC76" s="232"/>
      <c r="AD76" s="232"/>
      <c r="AE76" s="232"/>
      <c r="AF76" s="232"/>
      <c r="AG76" s="232"/>
      <c r="AH76" s="232"/>
      <c r="AI76" s="232"/>
      <c r="AJ76" s="232"/>
      <c r="AK76" s="232"/>
      <c r="AL76" s="232"/>
    </row>
    <row r="77" spans="1:38" s="227" customFormat="1">
      <c r="A77" s="106">
        <f t="shared" si="10"/>
        <v>0</v>
      </c>
      <c r="B77" s="41" t="str">
        <f t="shared" si="6"/>
        <v/>
      </c>
      <c r="C77" s="42"/>
      <c r="D77" s="42"/>
      <c r="E77" s="42"/>
      <c r="F77" s="42"/>
      <c r="H77" s="244">
        <v>72</v>
      </c>
      <c r="I77" s="245" t="str">
        <f t="shared" si="7"/>
        <v/>
      </c>
      <c r="J77" s="244">
        <f t="shared" si="11"/>
        <v>-3</v>
      </c>
      <c r="K77" s="244">
        <f t="shared" si="8"/>
        <v>-30</v>
      </c>
      <c r="L77" s="244"/>
      <c r="M77" s="246">
        <f t="shared" si="9"/>
        <v>0</v>
      </c>
      <c r="S77" s="232"/>
      <c r="T77" s="232"/>
      <c r="U77" s="232"/>
      <c r="V77" s="232"/>
      <c r="W77" s="232"/>
      <c r="X77" s="232"/>
      <c r="Y77" s="232"/>
      <c r="Z77" s="232"/>
      <c r="AA77" s="232"/>
      <c r="AB77" s="232"/>
      <c r="AC77" s="232"/>
      <c r="AD77" s="232"/>
      <c r="AE77" s="232"/>
      <c r="AF77" s="232"/>
      <c r="AG77" s="232"/>
      <c r="AH77" s="232"/>
      <c r="AI77" s="232"/>
      <c r="AJ77" s="232"/>
      <c r="AK77" s="232"/>
      <c r="AL77" s="232"/>
    </row>
    <row r="78" spans="1:38" s="227" customFormat="1">
      <c r="A78" s="102">
        <f t="shared" si="10"/>
        <v>0</v>
      </c>
      <c r="B78" s="35" t="str">
        <f t="shared" si="6"/>
        <v/>
      </c>
      <c r="C78" s="36"/>
      <c r="D78" s="36"/>
      <c r="E78" s="36"/>
      <c r="F78" s="36"/>
      <c r="H78" s="241">
        <v>73</v>
      </c>
      <c r="I78" s="242" t="str">
        <f t="shared" si="7"/>
        <v/>
      </c>
      <c r="J78" s="241">
        <f t="shared" si="11"/>
        <v>-3</v>
      </c>
      <c r="K78" s="241">
        <f t="shared" si="8"/>
        <v>-30</v>
      </c>
      <c r="L78" s="241"/>
      <c r="M78" s="243">
        <f t="shared" si="9"/>
        <v>0</v>
      </c>
      <c r="S78" s="232"/>
      <c r="T78" s="232"/>
      <c r="U78" s="232"/>
      <c r="V78" s="232"/>
      <c r="W78" s="232"/>
      <c r="X78" s="232"/>
      <c r="Y78" s="232"/>
      <c r="Z78" s="232"/>
      <c r="AA78" s="232"/>
      <c r="AB78" s="232"/>
      <c r="AC78" s="232"/>
      <c r="AD78" s="232"/>
      <c r="AE78" s="232"/>
      <c r="AF78" s="232"/>
      <c r="AG78" s="232"/>
      <c r="AH78" s="232"/>
      <c r="AI78" s="232"/>
      <c r="AJ78" s="232"/>
      <c r="AK78" s="232"/>
      <c r="AL78" s="232"/>
    </row>
    <row r="79" spans="1:38" s="227" customFormat="1">
      <c r="A79" s="106">
        <f t="shared" si="10"/>
        <v>0</v>
      </c>
      <c r="B79" s="41" t="str">
        <f t="shared" si="6"/>
        <v/>
      </c>
      <c r="C79" s="42"/>
      <c r="D79" s="42"/>
      <c r="E79" s="42"/>
      <c r="F79" s="42"/>
      <c r="H79" s="244">
        <v>74</v>
      </c>
      <c r="I79" s="245" t="str">
        <f t="shared" si="7"/>
        <v/>
      </c>
      <c r="J79" s="244">
        <f t="shared" si="11"/>
        <v>-3</v>
      </c>
      <c r="K79" s="244">
        <f t="shared" si="8"/>
        <v>-30</v>
      </c>
      <c r="L79" s="244"/>
      <c r="M79" s="246">
        <f t="shared" si="9"/>
        <v>0</v>
      </c>
      <c r="S79" s="232"/>
      <c r="T79" s="232"/>
      <c r="U79" s="232"/>
      <c r="V79" s="232"/>
      <c r="W79" s="232"/>
      <c r="X79" s="232"/>
      <c r="Y79" s="232"/>
      <c r="Z79" s="232"/>
      <c r="AA79" s="232"/>
      <c r="AB79" s="232"/>
      <c r="AC79" s="232"/>
      <c r="AD79" s="232"/>
      <c r="AE79" s="232"/>
      <c r="AF79" s="232"/>
      <c r="AG79" s="232"/>
      <c r="AH79" s="232"/>
      <c r="AI79" s="232"/>
      <c r="AJ79" s="232"/>
      <c r="AK79" s="232"/>
      <c r="AL79" s="232"/>
    </row>
    <row r="80" spans="1:38" s="227" customFormat="1">
      <c r="A80" s="102">
        <f t="shared" si="10"/>
        <v>0</v>
      </c>
      <c r="B80" s="35" t="str">
        <f t="shared" si="6"/>
        <v/>
      </c>
      <c r="C80" s="36"/>
      <c r="D80" s="36"/>
      <c r="E80" s="36"/>
      <c r="F80" s="36"/>
      <c r="H80" s="241">
        <v>75</v>
      </c>
      <c r="I80" s="242" t="str">
        <f t="shared" si="7"/>
        <v/>
      </c>
      <c r="J80" s="241">
        <f t="shared" si="11"/>
        <v>-3</v>
      </c>
      <c r="K80" s="241">
        <f t="shared" si="8"/>
        <v>-30</v>
      </c>
      <c r="L80" s="241"/>
      <c r="M80" s="243">
        <f t="shared" si="9"/>
        <v>0</v>
      </c>
      <c r="S80" s="232"/>
      <c r="T80" s="232"/>
      <c r="U80" s="232"/>
      <c r="V80" s="232"/>
      <c r="W80" s="232"/>
      <c r="X80" s="232"/>
      <c r="Y80" s="232"/>
      <c r="Z80" s="232"/>
      <c r="AA80" s="232"/>
      <c r="AB80" s="232"/>
      <c r="AC80" s="232"/>
      <c r="AD80" s="232"/>
      <c r="AE80" s="232"/>
      <c r="AF80" s="232"/>
      <c r="AG80" s="232"/>
      <c r="AH80" s="232"/>
      <c r="AI80" s="232"/>
      <c r="AJ80" s="232"/>
      <c r="AK80" s="232"/>
      <c r="AL80" s="232"/>
    </row>
    <row r="81" spans="1:38" s="227" customFormat="1">
      <c r="A81" s="106">
        <f t="shared" si="10"/>
        <v>0</v>
      </c>
      <c r="B81" s="41" t="str">
        <f t="shared" si="6"/>
        <v/>
      </c>
      <c r="C81" s="42"/>
      <c r="D81" s="42"/>
      <c r="E81" s="42"/>
      <c r="F81" s="42"/>
      <c r="H81" s="244">
        <v>76</v>
      </c>
      <c r="I81" s="245" t="str">
        <f t="shared" si="7"/>
        <v/>
      </c>
      <c r="J81" s="244">
        <f t="shared" si="11"/>
        <v>-3</v>
      </c>
      <c r="K81" s="244">
        <f t="shared" si="8"/>
        <v>-30</v>
      </c>
      <c r="L81" s="244"/>
      <c r="M81" s="246">
        <f t="shared" si="9"/>
        <v>0</v>
      </c>
      <c r="S81" s="232"/>
      <c r="T81" s="232"/>
      <c r="U81" s="232"/>
      <c r="V81" s="232"/>
      <c r="W81" s="232"/>
      <c r="X81" s="232"/>
      <c r="Y81" s="232"/>
      <c r="Z81" s="232"/>
      <c r="AA81" s="232"/>
      <c r="AB81" s="232"/>
      <c r="AC81" s="232"/>
      <c r="AD81" s="232"/>
      <c r="AE81" s="232"/>
      <c r="AF81" s="232"/>
      <c r="AG81" s="232"/>
      <c r="AH81" s="232"/>
      <c r="AI81" s="232"/>
      <c r="AJ81" s="232"/>
      <c r="AK81" s="232"/>
      <c r="AL81" s="232"/>
    </row>
    <row r="82" spans="1:38" s="227" customFormat="1">
      <c r="A82" s="102">
        <f t="shared" si="10"/>
        <v>0</v>
      </c>
      <c r="B82" s="35" t="str">
        <f t="shared" si="6"/>
        <v/>
      </c>
      <c r="C82" s="36"/>
      <c r="D82" s="36"/>
      <c r="E82" s="36"/>
      <c r="F82" s="36"/>
      <c r="H82" s="241">
        <v>77</v>
      </c>
      <c r="I82" s="242" t="str">
        <f t="shared" si="7"/>
        <v/>
      </c>
      <c r="J82" s="241">
        <f t="shared" si="11"/>
        <v>-3</v>
      </c>
      <c r="K82" s="241">
        <f t="shared" si="8"/>
        <v>-30</v>
      </c>
      <c r="L82" s="241"/>
      <c r="M82" s="243">
        <f t="shared" si="9"/>
        <v>0</v>
      </c>
      <c r="S82" s="232"/>
      <c r="T82" s="232"/>
      <c r="U82" s="232"/>
      <c r="V82" s="232"/>
      <c r="W82" s="232"/>
      <c r="X82" s="232"/>
      <c r="Y82" s="232"/>
      <c r="Z82" s="232"/>
      <c r="AA82" s="232"/>
      <c r="AB82" s="232"/>
      <c r="AC82" s="232"/>
      <c r="AD82" s="232"/>
      <c r="AE82" s="232"/>
      <c r="AF82" s="232"/>
      <c r="AG82" s="232"/>
      <c r="AH82" s="232"/>
      <c r="AI82" s="232"/>
      <c r="AJ82" s="232"/>
      <c r="AK82" s="232"/>
      <c r="AL82" s="232"/>
    </row>
    <row r="83" spans="1:38" s="227" customFormat="1">
      <c r="A83" s="106">
        <f t="shared" si="10"/>
        <v>0</v>
      </c>
      <c r="B83" s="41" t="str">
        <f t="shared" si="6"/>
        <v/>
      </c>
      <c r="C83" s="42"/>
      <c r="D83" s="42"/>
      <c r="E83" s="42"/>
      <c r="F83" s="42"/>
      <c r="H83" s="244">
        <v>78</v>
      </c>
      <c r="I83" s="245" t="str">
        <f t="shared" si="7"/>
        <v/>
      </c>
      <c r="J83" s="244">
        <f t="shared" si="11"/>
        <v>-3</v>
      </c>
      <c r="K83" s="244">
        <f t="shared" si="8"/>
        <v>-30</v>
      </c>
      <c r="L83" s="244"/>
      <c r="M83" s="246">
        <f t="shared" si="9"/>
        <v>0</v>
      </c>
      <c r="S83" s="232"/>
      <c r="T83" s="232"/>
      <c r="U83" s="232"/>
      <c r="V83" s="232"/>
      <c r="W83" s="232"/>
      <c r="X83" s="232"/>
      <c r="Y83" s="232"/>
      <c r="Z83" s="232"/>
      <c r="AA83" s="232"/>
      <c r="AB83" s="232"/>
      <c r="AC83" s="232"/>
      <c r="AD83" s="232"/>
      <c r="AE83" s="232"/>
      <c r="AF83" s="232"/>
      <c r="AG83" s="232"/>
      <c r="AH83" s="232"/>
      <c r="AI83" s="232"/>
      <c r="AJ83" s="232"/>
      <c r="AK83" s="232"/>
      <c r="AL83" s="232"/>
    </row>
    <row r="84" spans="1:38" s="227" customFormat="1">
      <c r="A84" s="102">
        <f t="shared" si="10"/>
        <v>0</v>
      </c>
      <c r="B84" s="35" t="str">
        <f t="shared" si="6"/>
        <v/>
      </c>
      <c r="C84" s="36"/>
      <c r="D84" s="36"/>
      <c r="E84" s="36"/>
      <c r="F84" s="36"/>
      <c r="H84" s="241">
        <v>79</v>
      </c>
      <c r="I84" s="242" t="str">
        <f t="shared" si="7"/>
        <v/>
      </c>
      <c r="J84" s="241">
        <f t="shared" si="11"/>
        <v>-3</v>
      </c>
      <c r="K84" s="241">
        <f t="shared" si="8"/>
        <v>-30</v>
      </c>
      <c r="L84" s="241"/>
      <c r="M84" s="243">
        <f t="shared" si="9"/>
        <v>0</v>
      </c>
      <c r="S84" s="232"/>
      <c r="T84" s="232"/>
      <c r="U84" s="232"/>
      <c r="V84" s="232"/>
      <c r="W84" s="232"/>
      <c r="X84" s="232"/>
      <c r="Y84" s="232"/>
      <c r="Z84" s="232"/>
      <c r="AA84" s="232"/>
      <c r="AB84" s="232"/>
      <c r="AC84" s="232"/>
      <c r="AD84" s="232"/>
      <c r="AE84" s="232"/>
      <c r="AF84" s="232"/>
      <c r="AG84" s="232"/>
      <c r="AH84" s="232"/>
      <c r="AI84" s="232"/>
      <c r="AJ84" s="232"/>
      <c r="AK84" s="232"/>
      <c r="AL84" s="232"/>
    </row>
    <row r="85" spans="1:38" s="227" customFormat="1">
      <c r="A85" s="106">
        <f t="shared" si="10"/>
        <v>0</v>
      </c>
      <c r="B85" s="41" t="str">
        <f t="shared" si="6"/>
        <v/>
      </c>
      <c r="C85" s="42"/>
      <c r="D85" s="42"/>
      <c r="E85" s="42"/>
      <c r="F85" s="42"/>
      <c r="H85" s="244">
        <v>80</v>
      </c>
      <c r="I85" s="245" t="str">
        <f t="shared" si="7"/>
        <v/>
      </c>
      <c r="J85" s="244">
        <f t="shared" si="11"/>
        <v>-3</v>
      </c>
      <c r="K85" s="244">
        <f t="shared" si="8"/>
        <v>-30</v>
      </c>
      <c r="L85" s="244"/>
      <c r="M85" s="246">
        <f t="shared" si="9"/>
        <v>0</v>
      </c>
      <c r="S85" s="232"/>
      <c r="T85" s="232"/>
      <c r="U85" s="232"/>
      <c r="V85" s="232"/>
      <c r="W85" s="232"/>
      <c r="X85" s="232"/>
      <c r="Y85" s="232"/>
      <c r="Z85" s="232"/>
      <c r="AA85" s="232"/>
      <c r="AB85" s="232"/>
      <c r="AC85" s="232"/>
      <c r="AD85" s="232"/>
      <c r="AE85" s="232"/>
      <c r="AF85" s="232"/>
      <c r="AG85" s="232"/>
      <c r="AH85" s="232"/>
      <c r="AI85" s="232"/>
      <c r="AJ85" s="232"/>
      <c r="AK85" s="232"/>
      <c r="AL85" s="232"/>
    </row>
    <row r="86" spans="1:38" s="227" customFormat="1">
      <c r="A86" s="102">
        <f t="shared" si="10"/>
        <v>0</v>
      </c>
      <c r="B86" s="35" t="str">
        <f t="shared" si="6"/>
        <v/>
      </c>
      <c r="C86" s="36"/>
      <c r="D86" s="36"/>
      <c r="E86" s="36"/>
      <c r="F86" s="36"/>
      <c r="H86" s="241">
        <v>81</v>
      </c>
      <c r="I86" s="242" t="str">
        <f t="shared" si="7"/>
        <v/>
      </c>
      <c r="J86" s="241">
        <f t="shared" si="11"/>
        <v>-3</v>
      </c>
      <c r="K86" s="241">
        <f t="shared" si="8"/>
        <v>-30</v>
      </c>
      <c r="L86" s="241"/>
      <c r="M86" s="243">
        <f t="shared" si="9"/>
        <v>0</v>
      </c>
      <c r="S86" s="232"/>
      <c r="T86" s="232"/>
      <c r="U86" s="232"/>
      <c r="V86" s="232"/>
      <c r="W86" s="232"/>
      <c r="X86" s="232"/>
      <c r="Y86" s="232"/>
      <c r="Z86" s="232"/>
      <c r="AA86" s="232"/>
      <c r="AB86" s="232"/>
      <c r="AC86" s="232"/>
      <c r="AD86" s="232"/>
      <c r="AE86" s="232"/>
      <c r="AF86" s="232"/>
      <c r="AG86" s="232"/>
      <c r="AH86" s="232"/>
      <c r="AI86" s="232"/>
      <c r="AJ86" s="232"/>
      <c r="AK86" s="232"/>
      <c r="AL86" s="232"/>
    </row>
    <row r="87" spans="1:38" s="227" customFormat="1">
      <c r="A87" s="106">
        <f t="shared" si="10"/>
        <v>0</v>
      </c>
      <c r="B87" s="41" t="str">
        <f t="shared" si="6"/>
        <v/>
      </c>
      <c r="C87" s="42"/>
      <c r="D87" s="42"/>
      <c r="E87" s="42"/>
      <c r="F87" s="42"/>
      <c r="H87" s="244">
        <v>82</v>
      </c>
      <c r="I87" s="245" t="str">
        <f t="shared" si="7"/>
        <v/>
      </c>
      <c r="J87" s="244">
        <f t="shared" si="11"/>
        <v>-3</v>
      </c>
      <c r="K87" s="244">
        <f t="shared" si="8"/>
        <v>-30</v>
      </c>
      <c r="L87" s="244"/>
      <c r="M87" s="246">
        <f t="shared" si="9"/>
        <v>0</v>
      </c>
      <c r="S87" s="232"/>
      <c r="T87" s="232"/>
      <c r="U87" s="232"/>
      <c r="V87" s="232"/>
      <c r="W87" s="232"/>
      <c r="X87" s="232"/>
      <c r="Y87" s="232"/>
      <c r="Z87" s="232"/>
      <c r="AA87" s="232"/>
      <c r="AB87" s="232"/>
      <c r="AC87" s="232"/>
      <c r="AD87" s="232"/>
      <c r="AE87" s="232"/>
      <c r="AF87" s="232"/>
      <c r="AG87" s="232"/>
      <c r="AH87" s="232"/>
      <c r="AI87" s="232"/>
      <c r="AJ87" s="232"/>
      <c r="AK87" s="232"/>
      <c r="AL87" s="232"/>
    </row>
    <row r="88" spans="1:38" s="227" customFormat="1">
      <c r="A88" s="102">
        <f t="shared" si="10"/>
        <v>0</v>
      </c>
      <c r="B88" s="35" t="str">
        <f t="shared" si="6"/>
        <v/>
      </c>
      <c r="C88" s="36"/>
      <c r="D88" s="36"/>
      <c r="E88" s="36"/>
      <c r="F88" s="36"/>
      <c r="H88" s="241">
        <v>83</v>
      </c>
      <c r="I88" s="242" t="str">
        <f t="shared" si="7"/>
        <v/>
      </c>
      <c r="J88" s="241">
        <f t="shared" si="11"/>
        <v>-3</v>
      </c>
      <c r="K88" s="241">
        <f t="shared" si="8"/>
        <v>-30</v>
      </c>
      <c r="L88" s="241"/>
      <c r="M88" s="243">
        <f t="shared" si="9"/>
        <v>0</v>
      </c>
      <c r="S88" s="232"/>
      <c r="T88" s="232"/>
      <c r="U88" s="232"/>
      <c r="V88" s="232"/>
      <c r="W88" s="232"/>
      <c r="X88" s="232"/>
      <c r="Y88" s="232"/>
      <c r="Z88" s="232"/>
      <c r="AA88" s="232"/>
      <c r="AB88" s="232"/>
      <c r="AC88" s="232"/>
      <c r="AD88" s="232"/>
      <c r="AE88" s="232"/>
      <c r="AF88" s="232"/>
      <c r="AG88" s="232"/>
      <c r="AH88" s="232"/>
      <c r="AI88" s="232"/>
      <c r="AJ88" s="232"/>
      <c r="AK88" s="232"/>
      <c r="AL88" s="232"/>
    </row>
    <row r="89" spans="1:38" s="227" customFormat="1">
      <c r="A89" s="106">
        <f t="shared" si="10"/>
        <v>0</v>
      </c>
      <c r="B89" s="41" t="str">
        <f t="shared" si="6"/>
        <v/>
      </c>
      <c r="C89" s="42"/>
      <c r="D89" s="42"/>
      <c r="E89" s="42"/>
      <c r="F89" s="42"/>
      <c r="H89" s="244">
        <v>84</v>
      </c>
      <c r="I89" s="245" t="str">
        <f t="shared" si="7"/>
        <v/>
      </c>
      <c r="J89" s="244">
        <f t="shared" si="11"/>
        <v>-3</v>
      </c>
      <c r="K89" s="244">
        <f t="shared" si="8"/>
        <v>-30</v>
      </c>
      <c r="L89" s="244"/>
      <c r="M89" s="246">
        <f t="shared" si="9"/>
        <v>0</v>
      </c>
      <c r="S89" s="232"/>
      <c r="T89" s="232"/>
      <c r="U89" s="232"/>
      <c r="V89" s="232"/>
      <c r="W89" s="232"/>
      <c r="X89" s="232"/>
      <c r="Y89" s="232"/>
      <c r="Z89" s="232"/>
      <c r="AA89" s="232"/>
      <c r="AB89" s="232"/>
      <c r="AC89" s="232"/>
      <c r="AD89" s="232"/>
      <c r="AE89" s="232"/>
      <c r="AF89" s="232"/>
      <c r="AG89" s="232"/>
      <c r="AH89" s="232"/>
      <c r="AI89" s="232"/>
      <c r="AJ89" s="232"/>
      <c r="AK89" s="232"/>
      <c r="AL89" s="232"/>
    </row>
    <row r="90" spans="1:38" s="227" customFormat="1">
      <c r="A90" s="102">
        <f t="shared" si="10"/>
        <v>0</v>
      </c>
      <c r="B90" s="35" t="str">
        <f t="shared" si="6"/>
        <v/>
      </c>
      <c r="C90" s="36"/>
      <c r="D90" s="36"/>
      <c r="E90" s="36"/>
      <c r="F90" s="36"/>
      <c r="H90" s="241">
        <v>85</v>
      </c>
      <c r="I90" s="242" t="str">
        <f t="shared" si="7"/>
        <v/>
      </c>
      <c r="J90" s="241">
        <f t="shared" si="11"/>
        <v>-3</v>
      </c>
      <c r="K90" s="241">
        <f t="shared" si="8"/>
        <v>-30</v>
      </c>
      <c r="L90" s="241"/>
      <c r="M90" s="243">
        <f t="shared" si="9"/>
        <v>0</v>
      </c>
      <c r="S90" s="232"/>
      <c r="T90" s="232"/>
      <c r="U90" s="232"/>
      <c r="V90" s="232"/>
      <c r="W90" s="232"/>
      <c r="X90" s="232"/>
      <c r="Y90" s="232"/>
      <c r="Z90" s="232"/>
      <c r="AA90" s="232"/>
      <c r="AB90" s="232"/>
      <c r="AC90" s="232"/>
      <c r="AD90" s="232"/>
      <c r="AE90" s="232"/>
      <c r="AF90" s="232"/>
      <c r="AG90" s="232"/>
      <c r="AH90" s="232"/>
      <c r="AI90" s="232"/>
      <c r="AJ90" s="232"/>
      <c r="AK90" s="232"/>
      <c r="AL90" s="232"/>
    </row>
    <row r="91" spans="1:38" s="227" customFormat="1">
      <c r="A91" s="106">
        <f t="shared" si="10"/>
        <v>0</v>
      </c>
      <c r="B91" s="41" t="str">
        <f t="shared" si="6"/>
        <v/>
      </c>
      <c r="C91" s="42"/>
      <c r="D91" s="42"/>
      <c r="E91" s="42"/>
      <c r="F91" s="42"/>
      <c r="H91" s="244">
        <v>86</v>
      </c>
      <c r="I91" s="245" t="str">
        <f t="shared" si="7"/>
        <v/>
      </c>
      <c r="J91" s="244">
        <f t="shared" si="11"/>
        <v>-3</v>
      </c>
      <c r="K91" s="244">
        <f t="shared" si="8"/>
        <v>-30</v>
      </c>
      <c r="L91" s="244"/>
      <c r="M91" s="246">
        <f t="shared" si="9"/>
        <v>0</v>
      </c>
      <c r="S91" s="232"/>
      <c r="T91" s="232"/>
      <c r="U91" s="232"/>
      <c r="V91" s="232"/>
      <c r="W91" s="232"/>
      <c r="X91" s="232"/>
      <c r="Y91" s="232"/>
      <c r="Z91" s="232"/>
      <c r="AA91" s="232"/>
      <c r="AB91" s="232"/>
      <c r="AC91" s="232"/>
      <c r="AD91" s="232"/>
      <c r="AE91" s="232"/>
      <c r="AF91" s="232"/>
      <c r="AG91" s="232"/>
      <c r="AH91" s="232"/>
      <c r="AI91" s="232"/>
      <c r="AJ91" s="232"/>
      <c r="AK91" s="232"/>
      <c r="AL91" s="232"/>
    </row>
    <row r="92" spans="1:38" s="227" customFormat="1">
      <c r="A92" s="102">
        <f t="shared" si="10"/>
        <v>0</v>
      </c>
      <c r="B92" s="35" t="str">
        <f t="shared" si="6"/>
        <v/>
      </c>
      <c r="C92" s="36"/>
      <c r="D92" s="36"/>
      <c r="E92" s="36"/>
      <c r="F92" s="36"/>
      <c r="H92" s="241">
        <v>87</v>
      </c>
      <c r="I92" s="242" t="str">
        <f t="shared" si="7"/>
        <v/>
      </c>
      <c r="J92" s="241">
        <f t="shared" si="11"/>
        <v>-3</v>
      </c>
      <c r="K92" s="241">
        <f t="shared" si="8"/>
        <v>-30</v>
      </c>
      <c r="L92" s="241"/>
      <c r="M92" s="243">
        <f t="shared" si="9"/>
        <v>0</v>
      </c>
      <c r="S92" s="232"/>
      <c r="T92" s="232"/>
      <c r="U92" s="232"/>
      <c r="V92" s="232"/>
      <c r="W92" s="232"/>
      <c r="X92" s="232"/>
      <c r="Y92" s="232"/>
      <c r="Z92" s="232"/>
      <c r="AA92" s="232"/>
      <c r="AB92" s="232"/>
      <c r="AC92" s="232"/>
      <c r="AD92" s="232"/>
      <c r="AE92" s="232"/>
      <c r="AF92" s="232"/>
      <c r="AG92" s="232"/>
      <c r="AH92" s="232"/>
      <c r="AI92" s="232"/>
      <c r="AJ92" s="232"/>
      <c r="AK92" s="232"/>
      <c r="AL92" s="232"/>
    </row>
    <row r="93" spans="1:38" s="227" customFormat="1">
      <c r="A93" s="106">
        <f t="shared" si="10"/>
        <v>0</v>
      </c>
      <c r="B93" s="41" t="str">
        <f t="shared" si="6"/>
        <v/>
      </c>
      <c r="C93" s="42"/>
      <c r="D93" s="42"/>
      <c r="E93" s="42"/>
      <c r="F93" s="42"/>
      <c r="H93" s="244">
        <v>88</v>
      </c>
      <c r="I93" s="245" t="str">
        <f t="shared" si="7"/>
        <v/>
      </c>
      <c r="J93" s="244">
        <f t="shared" si="11"/>
        <v>-3</v>
      </c>
      <c r="K93" s="244">
        <f t="shared" si="8"/>
        <v>-30</v>
      </c>
      <c r="L93" s="244"/>
      <c r="M93" s="246">
        <f t="shared" si="9"/>
        <v>0</v>
      </c>
      <c r="S93" s="232"/>
      <c r="T93" s="232"/>
      <c r="U93" s="232"/>
      <c r="V93" s="232"/>
      <c r="W93" s="232"/>
      <c r="X93" s="232"/>
      <c r="Y93" s="232"/>
      <c r="Z93" s="232"/>
      <c r="AA93" s="232"/>
      <c r="AB93" s="232"/>
      <c r="AC93" s="232"/>
      <c r="AD93" s="232"/>
      <c r="AE93" s="232"/>
      <c r="AF93" s="232"/>
      <c r="AG93" s="232"/>
      <c r="AH93" s="232"/>
      <c r="AI93" s="232"/>
      <c r="AJ93" s="232"/>
      <c r="AK93" s="232"/>
      <c r="AL93" s="232"/>
    </row>
    <row r="94" spans="1:38" s="227" customFormat="1">
      <c r="A94" s="102">
        <f t="shared" si="10"/>
        <v>0</v>
      </c>
      <c r="B94" s="35" t="str">
        <f t="shared" si="6"/>
        <v/>
      </c>
      <c r="C94" s="36"/>
      <c r="D94" s="36"/>
      <c r="E94" s="36"/>
      <c r="F94" s="36"/>
      <c r="H94" s="241">
        <v>89</v>
      </c>
      <c r="I94" s="242" t="str">
        <f t="shared" si="7"/>
        <v/>
      </c>
      <c r="J94" s="241">
        <f t="shared" si="11"/>
        <v>-3</v>
      </c>
      <c r="K94" s="241">
        <f t="shared" si="8"/>
        <v>-30</v>
      </c>
      <c r="L94" s="241"/>
      <c r="M94" s="243">
        <f t="shared" si="9"/>
        <v>0</v>
      </c>
      <c r="S94" s="232"/>
      <c r="T94" s="232"/>
      <c r="U94" s="232"/>
      <c r="V94" s="232"/>
      <c r="W94" s="232"/>
      <c r="X94" s="232"/>
      <c r="Y94" s="232"/>
      <c r="Z94" s="232"/>
      <c r="AA94" s="232"/>
      <c r="AB94" s="232"/>
      <c r="AC94" s="232"/>
      <c r="AD94" s="232"/>
      <c r="AE94" s="232"/>
      <c r="AF94" s="232"/>
      <c r="AG94" s="232"/>
      <c r="AH94" s="232"/>
      <c r="AI94" s="232"/>
      <c r="AJ94" s="232"/>
      <c r="AK94" s="232"/>
      <c r="AL94" s="232"/>
    </row>
    <row r="95" spans="1:38" s="227" customFormat="1">
      <c r="A95" s="106">
        <f t="shared" si="10"/>
        <v>0</v>
      </c>
      <c r="B95" s="41" t="str">
        <f t="shared" si="6"/>
        <v/>
      </c>
      <c r="C95" s="42"/>
      <c r="D95" s="42"/>
      <c r="E95" s="42"/>
      <c r="F95" s="42"/>
      <c r="H95" s="244">
        <v>90</v>
      </c>
      <c r="I95" s="245" t="str">
        <f t="shared" si="7"/>
        <v/>
      </c>
      <c r="J95" s="244">
        <f t="shared" si="11"/>
        <v>-3</v>
      </c>
      <c r="K95" s="244">
        <f t="shared" si="8"/>
        <v>-30</v>
      </c>
      <c r="L95" s="244"/>
      <c r="M95" s="246">
        <f t="shared" si="9"/>
        <v>0</v>
      </c>
      <c r="S95" s="232"/>
      <c r="T95" s="232"/>
      <c r="U95" s="232"/>
      <c r="V95" s="232"/>
      <c r="W95" s="232"/>
      <c r="X95" s="232"/>
      <c r="Y95" s="232"/>
      <c r="Z95" s="232"/>
      <c r="AA95" s="232"/>
      <c r="AB95" s="232"/>
      <c r="AC95" s="232"/>
      <c r="AD95" s="232"/>
      <c r="AE95" s="232"/>
      <c r="AF95" s="232"/>
      <c r="AG95" s="232"/>
      <c r="AH95" s="232"/>
      <c r="AI95" s="232"/>
      <c r="AJ95" s="232"/>
      <c r="AK95" s="232"/>
      <c r="AL95" s="232"/>
    </row>
    <row r="96" spans="1:38" s="227" customFormat="1">
      <c r="A96" s="102">
        <f t="shared" si="10"/>
        <v>0</v>
      </c>
      <c r="B96" s="35" t="str">
        <f t="shared" si="6"/>
        <v/>
      </c>
      <c r="C96" s="36"/>
      <c r="D96" s="36"/>
      <c r="E96" s="36"/>
      <c r="F96" s="36"/>
      <c r="H96" s="241">
        <v>91</v>
      </c>
      <c r="I96" s="242" t="str">
        <f t="shared" si="7"/>
        <v/>
      </c>
      <c r="J96" s="241">
        <f t="shared" si="11"/>
        <v>-3</v>
      </c>
      <c r="K96" s="241">
        <f t="shared" si="8"/>
        <v>-30</v>
      </c>
      <c r="L96" s="241"/>
      <c r="M96" s="243">
        <f t="shared" si="9"/>
        <v>0</v>
      </c>
      <c r="S96" s="232"/>
      <c r="T96" s="232"/>
      <c r="U96" s="232"/>
      <c r="V96" s="232"/>
      <c r="W96" s="232"/>
      <c r="X96" s="232"/>
      <c r="Y96" s="232"/>
      <c r="Z96" s="232"/>
      <c r="AA96" s="232"/>
      <c r="AB96" s="232"/>
      <c r="AC96" s="232"/>
      <c r="AD96" s="232"/>
      <c r="AE96" s="232"/>
      <c r="AF96" s="232"/>
      <c r="AG96" s="232"/>
      <c r="AH96" s="232"/>
      <c r="AI96" s="232"/>
      <c r="AJ96" s="232"/>
      <c r="AK96" s="232"/>
      <c r="AL96" s="232"/>
    </row>
    <row r="97" spans="1:38" s="227" customFormat="1">
      <c r="A97" s="106">
        <f t="shared" si="10"/>
        <v>0</v>
      </c>
      <c r="B97" s="41" t="str">
        <f t="shared" si="6"/>
        <v/>
      </c>
      <c r="C97" s="42"/>
      <c r="D97" s="42"/>
      <c r="E97" s="42"/>
      <c r="F97" s="42"/>
      <c r="H97" s="244">
        <v>92</v>
      </c>
      <c r="I97" s="245" t="str">
        <f t="shared" si="7"/>
        <v/>
      </c>
      <c r="J97" s="244">
        <f t="shared" si="11"/>
        <v>-3</v>
      </c>
      <c r="K97" s="244">
        <f t="shared" si="8"/>
        <v>-30</v>
      </c>
      <c r="L97" s="244"/>
      <c r="M97" s="246">
        <f t="shared" si="9"/>
        <v>0</v>
      </c>
      <c r="S97" s="232"/>
      <c r="T97" s="232"/>
      <c r="U97" s="232"/>
      <c r="V97" s="232"/>
      <c r="W97" s="232"/>
      <c r="X97" s="232"/>
      <c r="Y97" s="232"/>
      <c r="Z97" s="232"/>
      <c r="AA97" s="232"/>
      <c r="AB97" s="232"/>
      <c r="AC97" s="232"/>
      <c r="AD97" s="232"/>
      <c r="AE97" s="232"/>
      <c r="AF97" s="232"/>
      <c r="AG97" s="232"/>
      <c r="AH97" s="232"/>
      <c r="AI97" s="232"/>
      <c r="AJ97" s="232"/>
      <c r="AK97" s="232"/>
      <c r="AL97" s="232"/>
    </row>
    <row r="98" spans="1:38" s="227" customFormat="1">
      <c r="A98" s="102">
        <f t="shared" si="10"/>
        <v>0</v>
      </c>
      <c r="B98" s="35" t="str">
        <f t="shared" si="6"/>
        <v/>
      </c>
      <c r="C98" s="36"/>
      <c r="D98" s="36"/>
      <c r="E98" s="36"/>
      <c r="F98" s="36"/>
      <c r="H98" s="241">
        <v>93</v>
      </c>
      <c r="I98" s="242" t="str">
        <f t="shared" si="7"/>
        <v/>
      </c>
      <c r="J98" s="241">
        <f t="shared" si="11"/>
        <v>-3</v>
      </c>
      <c r="K98" s="241">
        <f t="shared" si="8"/>
        <v>-30</v>
      </c>
      <c r="L98" s="241"/>
      <c r="M98" s="243">
        <f t="shared" si="9"/>
        <v>0</v>
      </c>
      <c r="S98" s="232"/>
      <c r="T98" s="232"/>
      <c r="U98" s="232"/>
      <c r="V98" s="232"/>
      <c r="W98" s="232"/>
      <c r="X98" s="232"/>
      <c r="Y98" s="232"/>
      <c r="Z98" s="232"/>
      <c r="AA98" s="232"/>
      <c r="AB98" s="232"/>
      <c r="AC98" s="232"/>
      <c r="AD98" s="232"/>
      <c r="AE98" s="232"/>
      <c r="AF98" s="232"/>
      <c r="AG98" s="232"/>
      <c r="AH98" s="232"/>
      <c r="AI98" s="232"/>
      <c r="AJ98" s="232"/>
      <c r="AK98" s="232"/>
      <c r="AL98" s="232"/>
    </row>
    <row r="99" spans="1:38" s="227" customFormat="1">
      <c r="A99" s="106">
        <f t="shared" si="10"/>
        <v>0</v>
      </c>
      <c r="B99" s="41" t="str">
        <f t="shared" si="6"/>
        <v/>
      </c>
      <c r="C99" s="42"/>
      <c r="D99" s="42"/>
      <c r="E99" s="42"/>
      <c r="F99" s="42"/>
      <c r="H99" s="244">
        <v>94</v>
      </c>
      <c r="I99" s="245" t="str">
        <f t="shared" si="7"/>
        <v/>
      </c>
      <c r="J99" s="244">
        <f t="shared" si="11"/>
        <v>-3</v>
      </c>
      <c r="K99" s="244">
        <f t="shared" si="8"/>
        <v>-30</v>
      </c>
      <c r="L99" s="244"/>
      <c r="M99" s="246">
        <f t="shared" si="9"/>
        <v>0</v>
      </c>
      <c r="S99" s="232"/>
      <c r="T99" s="232"/>
      <c r="U99" s="232"/>
      <c r="V99" s="232"/>
      <c r="W99" s="232"/>
      <c r="X99" s="232"/>
      <c r="Y99" s="232"/>
      <c r="Z99" s="232"/>
      <c r="AA99" s="232"/>
      <c r="AB99" s="232"/>
      <c r="AC99" s="232"/>
      <c r="AD99" s="232"/>
      <c r="AE99" s="232"/>
      <c r="AF99" s="232"/>
      <c r="AG99" s="232"/>
      <c r="AH99" s="232"/>
      <c r="AI99" s="232"/>
      <c r="AJ99" s="232"/>
      <c r="AK99" s="232"/>
      <c r="AL99" s="232"/>
    </row>
    <row r="100" spans="1:38" s="227" customFormat="1">
      <c r="A100" s="102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241">
        <v>95</v>
      </c>
      <c r="I100" s="242" t="str">
        <f t="shared" si="7"/>
        <v/>
      </c>
      <c r="J100" s="241">
        <f t="shared" si="11"/>
        <v>-3</v>
      </c>
      <c r="K100" s="241">
        <f t="shared" si="8"/>
        <v>-30</v>
      </c>
      <c r="L100" s="241"/>
      <c r="M100" s="243">
        <f t="shared" si="9"/>
        <v>0</v>
      </c>
      <c r="S100" s="232"/>
      <c r="T100" s="232"/>
      <c r="U100" s="232"/>
      <c r="V100" s="232"/>
      <c r="W100" s="232"/>
      <c r="X100" s="232"/>
      <c r="Y100" s="232"/>
      <c r="Z100" s="232"/>
      <c r="AA100" s="232"/>
      <c r="AB100" s="232"/>
      <c r="AC100" s="232"/>
      <c r="AD100" s="232"/>
      <c r="AE100" s="232"/>
      <c r="AF100" s="232"/>
      <c r="AG100" s="232"/>
      <c r="AH100" s="232"/>
      <c r="AI100" s="232"/>
      <c r="AJ100" s="232"/>
      <c r="AK100" s="232"/>
      <c r="AL100" s="232"/>
    </row>
    <row r="101" spans="1:38" s="227" customFormat="1">
      <c r="A101" s="106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244">
        <v>96</v>
      </c>
      <c r="I101" s="245" t="str">
        <f t="shared" si="7"/>
        <v/>
      </c>
      <c r="J101" s="244">
        <f t="shared" si="11"/>
        <v>-3</v>
      </c>
      <c r="K101" s="244">
        <f t="shared" si="8"/>
        <v>-30</v>
      </c>
      <c r="L101" s="244"/>
      <c r="M101" s="246">
        <f t="shared" si="9"/>
        <v>0</v>
      </c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</row>
    <row r="102" spans="1:38" s="227" customFormat="1">
      <c r="A102" s="102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241">
        <v>97</v>
      </c>
      <c r="I102" s="242" t="str">
        <f t="shared" si="7"/>
        <v/>
      </c>
      <c r="J102" s="241">
        <f t="shared" si="11"/>
        <v>-3</v>
      </c>
      <c r="K102" s="241">
        <f t="shared" si="8"/>
        <v>-30</v>
      </c>
      <c r="L102" s="241"/>
      <c r="M102" s="243">
        <f t="shared" si="9"/>
        <v>0</v>
      </c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</row>
    <row r="103" spans="1:38" s="227" customFormat="1">
      <c r="A103" s="106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244">
        <v>98</v>
      </c>
      <c r="I103" s="245" t="str">
        <f t="shared" si="7"/>
        <v/>
      </c>
      <c r="J103" s="244">
        <f t="shared" si="11"/>
        <v>-3</v>
      </c>
      <c r="K103" s="244">
        <f t="shared" si="8"/>
        <v>-30</v>
      </c>
      <c r="L103" s="244"/>
      <c r="M103" s="246">
        <f t="shared" si="9"/>
        <v>0</v>
      </c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</row>
    <row r="104" spans="1:38" s="227" customFormat="1">
      <c r="A104" s="102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241">
        <v>99</v>
      </c>
      <c r="I104" s="242" t="str">
        <f t="shared" si="7"/>
        <v/>
      </c>
      <c r="J104" s="241">
        <f t="shared" si="11"/>
        <v>-3</v>
      </c>
      <c r="K104" s="241">
        <f t="shared" si="8"/>
        <v>-30</v>
      </c>
      <c r="L104" s="241"/>
      <c r="M104" s="243">
        <f t="shared" si="9"/>
        <v>0</v>
      </c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</row>
    <row r="105" spans="1:38" s="227" customFormat="1">
      <c r="A105" s="106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244">
        <v>100</v>
      </c>
      <c r="I105" s="245" t="str">
        <f t="shared" si="7"/>
        <v/>
      </c>
      <c r="J105" s="244">
        <f t="shared" si="11"/>
        <v>-3</v>
      </c>
      <c r="K105" s="244">
        <f t="shared" si="8"/>
        <v>-30</v>
      </c>
      <c r="L105" s="244"/>
      <c r="M105" s="246">
        <f t="shared" si="9"/>
        <v>0</v>
      </c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</row>
    <row r="106" spans="1:38" s="227" customFormat="1">
      <c r="A106" s="102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241">
        <v>101</v>
      </c>
      <c r="I106" s="242" t="str">
        <f t="shared" si="7"/>
        <v/>
      </c>
      <c r="J106" s="241">
        <f t="shared" si="11"/>
        <v>-3</v>
      </c>
      <c r="K106" s="241">
        <f t="shared" si="8"/>
        <v>-30</v>
      </c>
      <c r="L106" s="241"/>
      <c r="M106" s="243">
        <f t="shared" si="9"/>
        <v>0</v>
      </c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</row>
    <row r="107" spans="1:38" s="227" customFormat="1">
      <c r="A107" s="106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244">
        <v>102</v>
      </c>
      <c r="I107" s="245" t="str">
        <f t="shared" si="7"/>
        <v/>
      </c>
      <c r="J107" s="244">
        <f t="shared" si="11"/>
        <v>-3</v>
      </c>
      <c r="K107" s="244">
        <f t="shared" si="8"/>
        <v>-30</v>
      </c>
      <c r="L107" s="244"/>
      <c r="M107" s="246">
        <f t="shared" si="9"/>
        <v>0</v>
      </c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</row>
    <row r="108" spans="1:38" s="227" customFormat="1">
      <c r="A108" s="102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241">
        <v>103</v>
      </c>
      <c r="I108" s="242" t="str">
        <f t="shared" si="7"/>
        <v/>
      </c>
      <c r="J108" s="241">
        <f t="shared" si="11"/>
        <v>-3</v>
      </c>
      <c r="K108" s="241">
        <f t="shared" si="8"/>
        <v>-30</v>
      </c>
      <c r="L108" s="241"/>
      <c r="M108" s="243">
        <f t="shared" si="9"/>
        <v>0</v>
      </c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</row>
    <row r="109" spans="1:38" s="227" customFormat="1">
      <c r="A109" s="106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244">
        <v>104</v>
      </c>
      <c r="I109" s="245" t="str">
        <f t="shared" si="7"/>
        <v/>
      </c>
      <c r="J109" s="244">
        <f t="shared" si="11"/>
        <v>-3</v>
      </c>
      <c r="K109" s="244">
        <f t="shared" si="8"/>
        <v>-30</v>
      </c>
      <c r="L109" s="244"/>
      <c r="M109" s="246">
        <f t="shared" si="9"/>
        <v>0</v>
      </c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</row>
    <row r="110" spans="1:38" s="227" customFormat="1">
      <c r="A110" s="102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241">
        <v>105</v>
      </c>
      <c r="I110" s="242" t="str">
        <f t="shared" si="7"/>
        <v/>
      </c>
      <c r="J110" s="241">
        <f t="shared" si="11"/>
        <v>-3</v>
      </c>
      <c r="K110" s="241">
        <f t="shared" si="8"/>
        <v>-30</v>
      </c>
      <c r="L110" s="241"/>
      <c r="M110" s="243">
        <f t="shared" si="9"/>
        <v>0</v>
      </c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</row>
    <row r="111" spans="1:38" s="227" customFormat="1">
      <c r="A111" s="106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244">
        <v>106</v>
      </c>
      <c r="I111" s="245" t="str">
        <f t="shared" si="7"/>
        <v/>
      </c>
      <c r="J111" s="244">
        <f t="shared" si="11"/>
        <v>-3</v>
      </c>
      <c r="K111" s="244">
        <f t="shared" si="8"/>
        <v>-30</v>
      </c>
      <c r="L111" s="244"/>
      <c r="M111" s="246">
        <f t="shared" si="9"/>
        <v>0</v>
      </c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</row>
    <row r="112" spans="1:38" s="227" customFormat="1">
      <c r="A112" s="102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241">
        <v>107</v>
      </c>
      <c r="I112" s="242" t="str">
        <f t="shared" si="7"/>
        <v/>
      </c>
      <c r="J112" s="241">
        <f t="shared" si="11"/>
        <v>-3</v>
      </c>
      <c r="K112" s="241">
        <f t="shared" si="8"/>
        <v>-30</v>
      </c>
      <c r="L112" s="241"/>
      <c r="M112" s="243">
        <f t="shared" si="9"/>
        <v>0</v>
      </c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</row>
    <row r="113" spans="1:38" s="227" customFormat="1">
      <c r="A113" s="106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244">
        <v>108</v>
      </c>
      <c r="I113" s="245" t="str">
        <f t="shared" si="7"/>
        <v/>
      </c>
      <c r="J113" s="244">
        <f t="shared" si="11"/>
        <v>-3</v>
      </c>
      <c r="K113" s="244">
        <f t="shared" si="8"/>
        <v>-30</v>
      </c>
      <c r="L113" s="244"/>
      <c r="M113" s="246">
        <f t="shared" si="9"/>
        <v>0</v>
      </c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</row>
    <row r="114" spans="1:38" s="227" customFormat="1">
      <c r="A114" s="102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241">
        <v>109</v>
      </c>
      <c r="I114" s="242" t="str">
        <f t="shared" si="7"/>
        <v/>
      </c>
      <c r="J114" s="241">
        <f t="shared" si="11"/>
        <v>-3</v>
      </c>
      <c r="K114" s="241">
        <f t="shared" si="8"/>
        <v>-30</v>
      </c>
      <c r="L114" s="241"/>
      <c r="M114" s="243">
        <f t="shared" si="9"/>
        <v>0</v>
      </c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</row>
    <row r="115" spans="1:38" s="227" customFormat="1">
      <c r="A115" s="106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244">
        <v>110</v>
      </c>
      <c r="I115" s="245" t="str">
        <f t="shared" si="7"/>
        <v/>
      </c>
      <c r="J115" s="244">
        <f t="shared" si="11"/>
        <v>-3</v>
      </c>
      <c r="K115" s="244">
        <f t="shared" si="8"/>
        <v>-30</v>
      </c>
      <c r="L115" s="244"/>
      <c r="M115" s="246">
        <f t="shared" si="9"/>
        <v>0</v>
      </c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</row>
    <row r="116" spans="1:38" s="227" customFormat="1">
      <c r="A116" s="102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241">
        <v>111</v>
      </c>
      <c r="I116" s="242" t="str">
        <f t="shared" si="7"/>
        <v/>
      </c>
      <c r="J116" s="241">
        <f t="shared" si="11"/>
        <v>-3</v>
      </c>
      <c r="K116" s="241">
        <f t="shared" si="8"/>
        <v>-30</v>
      </c>
      <c r="L116" s="241"/>
      <c r="M116" s="243">
        <f t="shared" si="9"/>
        <v>0</v>
      </c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</row>
    <row r="117" spans="1:38" s="227" customFormat="1">
      <c r="A117" s="106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244">
        <v>112</v>
      </c>
      <c r="I117" s="245" t="str">
        <f t="shared" si="7"/>
        <v/>
      </c>
      <c r="J117" s="244">
        <f t="shared" si="11"/>
        <v>-3</v>
      </c>
      <c r="K117" s="244">
        <f t="shared" si="8"/>
        <v>-30</v>
      </c>
      <c r="L117" s="244"/>
      <c r="M117" s="246">
        <f t="shared" si="9"/>
        <v>0</v>
      </c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</row>
    <row r="118" spans="1:38" s="227" customFormat="1">
      <c r="A118" s="102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241">
        <v>113</v>
      </c>
      <c r="I118" s="242" t="str">
        <f t="shared" si="7"/>
        <v/>
      </c>
      <c r="J118" s="241">
        <f t="shared" si="11"/>
        <v>-3</v>
      </c>
      <c r="K118" s="241">
        <f t="shared" si="8"/>
        <v>-30</v>
      </c>
      <c r="L118" s="241"/>
      <c r="M118" s="243">
        <f t="shared" si="9"/>
        <v>0</v>
      </c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</row>
    <row r="119" spans="1:38" s="227" customFormat="1">
      <c r="A119" s="106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244">
        <v>114</v>
      </c>
      <c r="I119" s="245" t="str">
        <f t="shared" si="7"/>
        <v/>
      </c>
      <c r="J119" s="244">
        <f t="shared" si="11"/>
        <v>-3</v>
      </c>
      <c r="K119" s="244">
        <f t="shared" si="8"/>
        <v>-30</v>
      </c>
      <c r="L119" s="244"/>
      <c r="M119" s="246">
        <f t="shared" si="9"/>
        <v>0</v>
      </c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</row>
    <row r="120" spans="1:38" s="227" customFormat="1">
      <c r="A120" s="102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241">
        <v>115</v>
      </c>
      <c r="I120" s="242" t="str">
        <f t="shared" si="7"/>
        <v/>
      </c>
      <c r="J120" s="241">
        <f t="shared" si="11"/>
        <v>-3</v>
      </c>
      <c r="K120" s="241">
        <f t="shared" si="8"/>
        <v>-30</v>
      </c>
      <c r="L120" s="241"/>
      <c r="M120" s="243">
        <f t="shared" si="9"/>
        <v>0</v>
      </c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</row>
    <row r="121" spans="1:38" s="227" customFormat="1">
      <c r="A121" s="106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244">
        <v>116</v>
      </c>
      <c r="I121" s="245" t="str">
        <f t="shared" si="7"/>
        <v/>
      </c>
      <c r="J121" s="244">
        <f t="shared" si="11"/>
        <v>-3</v>
      </c>
      <c r="K121" s="244">
        <f t="shared" si="8"/>
        <v>-30</v>
      </c>
      <c r="L121" s="244"/>
      <c r="M121" s="246">
        <f t="shared" si="9"/>
        <v>0</v>
      </c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</row>
    <row r="122" spans="1:38" s="227" customFormat="1">
      <c r="A122" s="102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241">
        <v>117</v>
      </c>
      <c r="I122" s="242" t="str">
        <f t="shared" si="7"/>
        <v/>
      </c>
      <c r="J122" s="241">
        <f t="shared" si="11"/>
        <v>-3</v>
      </c>
      <c r="K122" s="241">
        <f t="shared" si="8"/>
        <v>-30</v>
      </c>
      <c r="L122" s="241"/>
      <c r="M122" s="243">
        <f t="shared" si="9"/>
        <v>0</v>
      </c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</row>
    <row r="123" spans="1:38" s="227" customFormat="1">
      <c r="A123" s="106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244">
        <v>118</v>
      </c>
      <c r="I123" s="245" t="str">
        <f t="shared" si="7"/>
        <v/>
      </c>
      <c r="J123" s="244">
        <f t="shared" si="11"/>
        <v>-3</v>
      </c>
      <c r="K123" s="244">
        <f t="shared" si="8"/>
        <v>-30</v>
      </c>
      <c r="L123" s="244"/>
      <c r="M123" s="246">
        <f t="shared" si="9"/>
        <v>0</v>
      </c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</row>
    <row r="124" spans="1:38" s="227" customFormat="1">
      <c r="A124" s="102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241">
        <v>119</v>
      </c>
      <c r="I124" s="242" t="str">
        <f t="shared" si="7"/>
        <v/>
      </c>
      <c r="J124" s="241">
        <f t="shared" si="11"/>
        <v>-3</v>
      </c>
      <c r="K124" s="241">
        <f t="shared" si="8"/>
        <v>-30</v>
      </c>
      <c r="L124" s="241"/>
      <c r="M124" s="243">
        <f t="shared" si="9"/>
        <v>0</v>
      </c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</row>
    <row r="125" spans="1:38" s="227" customFormat="1">
      <c r="A125" s="106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244">
        <v>120</v>
      </c>
      <c r="I125" s="245" t="str">
        <f t="shared" si="7"/>
        <v/>
      </c>
      <c r="J125" s="244">
        <f t="shared" si="11"/>
        <v>-3</v>
      </c>
      <c r="K125" s="244">
        <f t="shared" si="8"/>
        <v>-30</v>
      </c>
      <c r="L125" s="244"/>
      <c r="M125" s="246">
        <f t="shared" si="9"/>
        <v>0</v>
      </c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</row>
    <row r="126" spans="1:38" s="227" customFormat="1">
      <c r="A126" s="102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241">
        <v>121</v>
      </c>
      <c r="I126" s="242" t="str">
        <f t="shared" si="7"/>
        <v/>
      </c>
      <c r="J126" s="241">
        <f t="shared" si="11"/>
        <v>-3</v>
      </c>
      <c r="K126" s="241">
        <f t="shared" si="8"/>
        <v>-30</v>
      </c>
      <c r="L126" s="241"/>
      <c r="M126" s="243">
        <f t="shared" si="9"/>
        <v>0</v>
      </c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</row>
    <row r="127" spans="1:38" s="227" customFormat="1">
      <c r="A127" s="106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244">
        <v>122</v>
      </c>
      <c r="I127" s="245" t="str">
        <f t="shared" si="7"/>
        <v/>
      </c>
      <c r="J127" s="244">
        <f t="shared" si="11"/>
        <v>-3</v>
      </c>
      <c r="K127" s="244">
        <f t="shared" si="8"/>
        <v>-30</v>
      </c>
      <c r="L127" s="244"/>
      <c r="M127" s="246">
        <f t="shared" si="9"/>
        <v>0</v>
      </c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</row>
    <row r="128" spans="1:38" s="227" customFormat="1">
      <c r="A128" s="102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241">
        <v>123</v>
      </c>
      <c r="I128" s="242" t="str">
        <f t="shared" si="7"/>
        <v/>
      </c>
      <c r="J128" s="241">
        <f t="shared" si="11"/>
        <v>-3</v>
      </c>
      <c r="K128" s="241">
        <f t="shared" si="8"/>
        <v>-30</v>
      </c>
      <c r="L128" s="241"/>
      <c r="M128" s="243">
        <f t="shared" si="9"/>
        <v>0</v>
      </c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</row>
    <row r="129" spans="1:38" s="227" customFormat="1">
      <c r="A129" s="106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244">
        <v>124</v>
      </c>
      <c r="I129" s="245" t="str">
        <f t="shared" si="7"/>
        <v/>
      </c>
      <c r="J129" s="244">
        <f t="shared" si="11"/>
        <v>-3</v>
      </c>
      <c r="K129" s="244">
        <f t="shared" si="8"/>
        <v>-30</v>
      </c>
      <c r="L129" s="244"/>
      <c r="M129" s="246">
        <f t="shared" si="9"/>
        <v>0</v>
      </c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</row>
    <row r="130" spans="1:38" s="227" customFormat="1">
      <c r="A130" s="102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241">
        <v>125</v>
      </c>
      <c r="I130" s="242" t="str">
        <f t="shared" si="7"/>
        <v/>
      </c>
      <c r="J130" s="241">
        <f t="shared" si="11"/>
        <v>-3</v>
      </c>
      <c r="K130" s="241">
        <f t="shared" si="8"/>
        <v>-30</v>
      </c>
      <c r="L130" s="241"/>
      <c r="M130" s="243">
        <f t="shared" si="9"/>
        <v>0</v>
      </c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</row>
    <row r="131" spans="1:38" s="227" customFormat="1">
      <c r="A131" s="106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244">
        <v>126</v>
      </c>
      <c r="I131" s="245" t="str">
        <f t="shared" si="7"/>
        <v/>
      </c>
      <c r="J131" s="244">
        <f t="shared" si="11"/>
        <v>-3</v>
      </c>
      <c r="K131" s="244">
        <f t="shared" si="8"/>
        <v>-30</v>
      </c>
      <c r="L131" s="244"/>
      <c r="M131" s="246">
        <f t="shared" si="9"/>
        <v>0</v>
      </c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</row>
    <row r="132" spans="1:38" s="227" customFormat="1">
      <c r="A132" s="102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241">
        <v>127</v>
      </c>
      <c r="I132" s="242" t="str">
        <f t="shared" si="7"/>
        <v/>
      </c>
      <c r="J132" s="241">
        <f t="shared" si="11"/>
        <v>-3</v>
      </c>
      <c r="K132" s="241">
        <f t="shared" si="8"/>
        <v>-30</v>
      </c>
      <c r="L132" s="241"/>
      <c r="M132" s="243">
        <f t="shared" si="9"/>
        <v>0</v>
      </c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</row>
    <row r="133" spans="1:38" s="227" customFormat="1">
      <c r="A133" s="106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244">
        <v>128</v>
      </c>
      <c r="I133" s="245" t="str">
        <f t="shared" si="7"/>
        <v/>
      </c>
      <c r="J133" s="244">
        <f t="shared" si="11"/>
        <v>-3</v>
      </c>
      <c r="K133" s="244">
        <f t="shared" si="8"/>
        <v>-30</v>
      </c>
      <c r="L133" s="244"/>
      <c r="M133" s="246">
        <f t="shared" si="9"/>
        <v>0</v>
      </c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</row>
    <row r="134" spans="1:38" s="227" customFormat="1">
      <c r="A134" s="102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241">
        <v>129</v>
      </c>
      <c r="I134" s="242" t="str">
        <f t="shared" ref="I134:I197" si="13">IF(H134&lt;$H$2+1,($I$2-($I$2-1)*(LOG(H134)/LOG($H$2))),"")</f>
        <v/>
      </c>
      <c r="J134" s="241">
        <f t="shared" si="11"/>
        <v>-4</v>
      </c>
      <c r="K134" s="241">
        <f t="shared" ref="K134:K197" si="14">J134*$J$2</f>
        <v>-40</v>
      </c>
      <c r="L134" s="241"/>
      <c r="M134" s="243">
        <f t="shared" ref="M134:M197" si="15">IF(I134&lt;&gt;"",K134+I134+L134,0)</f>
        <v>0</v>
      </c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</row>
    <row r="135" spans="1:38" s="227" customFormat="1">
      <c r="A135" s="106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244">
        <v>130</v>
      </c>
      <c r="I135" s="245" t="str">
        <f t="shared" si="13"/>
        <v/>
      </c>
      <c r="J135" s="244">
        <f t="shared" ref="J135:J198" si="17">INT(LOG($H$2,2))-ROUNDUP(LOG(H135,2),0)+IF(OR($H$2=1,$H$2=2,$H$2=4,$H$2=8,$H$2=16,$H$2=32,$H$2=64,$H$2=128,$H$2=256),0,1)</f>
        <v>-4</v>
      </c>
      <c r="K135" s="244">
        <f t="shared" si="14"/>
        <v>-40</v>
      </c>
      <c r="L135" s="244"/>
      <c r="M135" s="246">
        <f t="shared" si="15"/>
        <v>0</v>
      </c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</row>
    <row r="136" spans="1:38" s="227" customFormat="1">
      <c r="A136" s="102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241">
        <v>131</v>
      </c>
      <c r="I136" s="242" t="str">
        <f t="shared" si="13"/>
        <v/>
      </c>
      <c r="J136" s="241">
        <f t="shared" si="17"/>
        <v>-4</v>
      </c>
      <c r="K136" s="241">
        <f t="shared" si="14"/>
        <v>-40</v>
      </c>
      <c r="L136" s="241"/>
      <c r="M136" s="243">
        <f t="shared" si="15"/>
        <v>0</v>
      </c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</row>
    <row r="137" spans="1:38" s="227" customFormat="1">
      <c r="A137" s="106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244">
        <v>132</v>
      </c>
      <c r="I137" s="245" t="str">
        <f t="shared" si="13"/>
        <v/>
      </c>
      <c r="J137" s="244">
        <f t="shared" si="17"/>
        <v>-4</v>
      </c>
      <c r="K137" s="244">
        <f t="shared" si="14"/>
        <v>-40</v>
      </c>
      <c r="L137" s="244"/>
      <c r="M137" s="246">
        <f t="shared" si="15"/>
        <v>0</v>
      </c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</row>
    <row r="138" spans="1:38" s="227" customFormat="1">
      <c r="A138" s="102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241">
        <v>133</v>
      </c>
      <c r="I138" s="242" t="str">
        <f t="shared" si="13"/>
        <v/>
      </c>
      <c r="J138" s="241">
        <f t="shared" si="17"/>
        <v>-4</v>
      </c>
      <c r="K138" s="241">
        <f t="shared" si="14"/>
        <v>-40</v>
      </c>
      <c r="L138" s="241"/>
      <c r="M138" s="243">
        <f t="shared" si="15"/>
        <v>0</v>
      </c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</row>
    <row r="139" spans="1:38" s="227" customFormat="1">
      <c r="A139" s="106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244">
        <v>134</v>
      </c>
      <c r="I139" s="245" t="str">
        <f t="shared" si="13"/>
        <v/>
      </c>
      <c r="J139" s="244">
        <f t="shared" si="17"/>
        <v>-4</v>
      </c>
      <c r="K139" s="244">
        <f t="shared" si="14"/>
        <v>-40</v>
      </c>
      <c r="L139" s="244"/>
      <c r="M139" s="246">
        <f t="shared" si="15"/>
        <v>0</v>
      </c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</row>
    <row r="140" spans="1:38" s="227" customFormat="1">
      <c r="A140" s="102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241">
        <v>135</v>
      </c>
      <c r="I140" s="242" t="str">
        <f t="shared" si="13"/>
        <v/>
      </c>
      <c r="J140" s="241">
        <f t="shared" si="17"/>
        <v>-4</v>
      </c>
      <c r="K140" s="241">
        <f t="shared" si="14"/>
        <v>-40</v>
      </c>
      <c r="L140" s="241"/>
      <c r="M140" s="243">
        <f t="shared" si="15"/>
        <v>0</v>
      </c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</row>
    <row r="141" spans="1:38">
      <c r="A141" s="258"/>
      <c r="G141" s="227"/>
      <c r="H141" s="244">
        <v>136</v>
      </c>
      <c r="I141" s="242" t="str">
        <f t="shared" si="13"/>
        <v/>
      </c>
      <c r="J141" s="241">
        <f t="shared" si="17"/>
        <v>-4</v>
      </c>
      <c r="K141" s="241">
        <f t="shared" si="14"/>
        <v>-40</v>
      </c>
      <c r="L141" s="241"/>
      <c r="M141" s="243">
        <f t="shared" si="15"/>
        <v>0</v>
      </c>
    </row>
    <row r="142" spans="1:38">
      <c r="A142" s="258"/>
      <c r="G142" s="227"/>
      <c r="H142" s="241">
        <v>137</v>
      </c>
      <c r="I142" s="242" t="str">
        <f t="shared" si="13"/>
        <v/>
      </c>
      <c r="J142" s="241">
        <f t="shared" si="17"/>
        <v>-4</v>
      </c>
      <c r="K142" s="241">
        <f t="shared" si="14"/>
        <v>-40</v>
      </c>
      <c r="L142" s="241"/>
      <c r="M142" s="243">
        <f t="shared" si="15"/>
        <v>0</v>
      </c>
    </row>
    <row r="143" spans="1:38">
      <c r="A143" s="258"/>
      <c r="G143" s="227"/>
      <c r="H143" s="244">
        <v>138</v>
      </c>
      <c r="I143" s="242" t="str">
        <f t="shared" si="13"/>
        <v/>
      </c>
      <c r="J143" s="241">
        <f t="shared" si="17"/>
        <v>-4</v>
      </c>
      <c r="K143" s="241">
        <f t="shared" si="14"/>
        <v>-40</v>
      </c>
      <c r="L143" s="241"/>
      <c r="M143" s="243">
        <f t="shared" si="15"/>
        <v>0</v>
      </c>
    </row>
    <row r="144" spans="1:38">
      <c r="A144" s="258"/>
      <c r="G144" s="227"/>
      <c r="H144" s="241">
        <v>139</v>
      </c>
      <c r="I144" s="242" t="str">
        <f t="shared" si="13"/>
        <v/>
      </c>
      <c r="J144" s="241">
        <f t="shared" si="17"/>
        <v>-4</v>
      </c>
      <c r="K144" s="241">
        <f t="shared" si="14"/>
        <v>-40</v>
      </c>
      <c r="L144" s="241"/>
      <c r="M144" s="243">
        <f t="shared" si="15"/>
        <v>0</v>
      </c>
    </row>
    <row r="145" spans="1:13">
      <c r="A145" s="258"/>
      <c r="G145" s="227"/>
      <c r="H145" s="244">
        <v>140</v>
      </c>
      <c r="I145" s="242" t="str">
        <f t="shared" si="13"/>
        <v/>
      </c>
      <c r="J145" s="241">
        <f t="shared" si="17"/>
        <v>-4</v>
      </c>
      <c r="K145" s="241">
        <f t="shared" si="14"/>
        <v>-40</v>
      </c>
      <c r="L145" s="241"/>
      <c r="M145" s="243">
        <f t="shared" si="15"/>
        <v>0</v>
      </c>
    </row>
    <row r="146" spans="1:13">
      <c r="A146" s="258"/>
      <c r="G146" s="227"/>
      <c r="H146" s="241">
        <v>141</v>
      </c>
      <c r="I146" s="242" t="str">
        <f t="shared" si="13"/>
        <v/>
      </c>
      <c r="J146" s="241">
        <f t="shared" si="17"/>
        <v>-4</v>
      </c>
      <c r="K146" s="241">
        <f t="shared" si="14"/>
        <v>-40</v>
      </c>
      <c r="L146" s="241"/>
      <c r="M146" s="243">
        <f t="shared" si="15"/>
        <v>0</v>
      </c>
    </row>
    <row r="147" spans="1:13">
      <c r="A147" s="258"/>
      <c r="G147" s="227"/>
      <c r="H147" s="244">
        <v>142</v>
      </c>
      <c r="I147" s="242" t="str">
        <f t="shared" si="13"/>
        <v/>
      </c>
      <c r="J147" s="241">
        <f t="shared" si="17"/>
        <v>-4</v>
      </c>
      <c r="K147" s="241">
        <f t="shared" si="14"/>
        <v>-40</v>
      </c>
      <c r="L147" s="241"/>
      <c r="M147" s="243">
        <f t="shared" si="15"/>
        <v>0</v>
      </c>
    </row>
    <row r="148" spans="1:13">
      <c r="A148" s="258"/>
      <c r="G148" s="227"/>
      <c r="H148" s="241">
        <v>143</v>
      </c>
      <c r="I148" s="242" t="str">
        <f t="shared" si="13"/>
        <v/>
      </c>
      <c r="J148" s="241">
        <f t="shared" si="17"/>
        <v>-4</v>
      </c>
      <c r="K148" s="241">
        <f t="shared" si="14"/>
        <v>-40</v>
      </c>
      <c r="L148" s="241"/>
      <c r="M148" s="243">
        <f t="shared" si="15"/>
        <v>0</v>
      </c>
    </row>
    <row r="149" spans="1:13">
      <c r="A149" s="258"/>
      <c r="G149" s="227"/>
      <c r="H149" s="244">
        <v>144</v>
      </c>
      <c r="I149" s="242" t="str">
        <f t="shared" si="13"/>
        <v/>
      </c>
      <c r="J149" s="241">
        <f t="shared" si="17"/>
        <v>-4</v>
      </c>
      <c r="K149" s="241">
        <f t="shared" si="14"/>
        <v>-40</v>
      </c>
      <c r="L149" s="241"/>
      <c r="M149" s="243">
        <f t="shared" si="15"/>
        <v>0</v>
      </c>
    </row>
    <row r="150" spans="1:13">
      <c r="A150" s="258"/>
      <c r="G150" s="227"/>
      <c r="H150" s="241">
        <v>145</v>
      </c>
      <c r="I150" s="242" t="str">
        <f t="shared" si="13"/>
        <v/>
      </c>
      <c r="J150" s="241">
        <f t="shared" si="17"/>
        <v>-4</v>
      </c>
      <c r="K150" s="241">
        <f t="shared" si="14"/>
        <v>-40</v>
      </c>
      <c r="L150" s="241"/>
      <c r="M150" s="243">
        <f t="shared" si="15"/>
        <v>0</v>
      </c>
    </row>
    <row r="151" spans="1:13">
      <c r="A151" s="258"/>
      <c r="G151" s="227"/>
      <c r="H151" s="244">
        <v>146</v>
      </c>
      <c r="I151" s="242" t="str">
        <f t="shared" si="13"/>
        <v/>
      </c>
      <c r="J151" s="241">
        <f t="shared" si="17"/>
        <v>-4</v>
      </c>
      <c r="K151" s="241">
        <f t="shared" si="14"/>
        <v>-40</v>
      </c>
      <c r="L151" s="241"/>
      <c r="M151" s="243">
        <f t="shared" si="15"/>
        <v>0</v>
      </c>
    </row>
    <row r="152" spans="1:13">
      <c r="A152" s="258"/>
      <c r="G152" s="227"/>
      <c r="H152" s="241">
        <v>147</v>
      </c>
      <c r="I152" s="242" t="str">
        <f t="shared" si="13"/>
        <v/>
      </c>
      <c r="J152" s="241">
        <f t="shared" si="17"/>
        <v>-4</v>
      </c>
      <c r="K152" s="241">
        <f t="shared" si="14"/>
        <v>-40</v>
      </c>
      <c r="L152" s="241"/>
      <c r="M152" s="243">
        <f t="shared" si="15"/>
        <v>0</v>
      </c>
    </row>
    <row r="153" spans="1:13">
      <c r="A153" s="258"/>
      <c r="G153" s="227"/>
      <c r="H153" s="244">
        <v>148</v>
      </c>
      <c r="I153" s="242" t="str">
        <f t="shared" si="13"/>
        <v/>
      </c>
      <c r="J153" s="241">
        <f t="shared" si="17"/>
        <v>-4</v>
      </c>
      <c r="K153" s="241">
        <f t="shared" si="14"/>
        <v>-40</v>
      </c>
      <c r="L153" s="241"/>
      <c r="M153" s="243">
        <f t="shared" si="15"/>
        <v>0</v>
      </c>
    </row>
    <row r="154" spans="1:13">
      <c r="A154" s="258"/>
      <c r="G154" s="227"/>
      <c r="H154" s="241">
        <v>149</v>
      </c>
      <c r="I154" s="242" t="str">
        <f t="shared" si="13"/>
        <v/>
      </c>
      <c r="J154" s="241">
        <f t="shared" si="17"/>
        <v>-4</v>
      </c>
      <c r="K154" s="241">
        <f t="shared" si="14"/>
        <v>-40</v>
      </c>
      <c r="L154" s="241"/>
      <c r="M154" s="243">
        <f t="shared" si="15"/>
        <v>0</v>
      </c>
    </row>
    <row r="155" spans="1:13">
      <c r="A155" s="258"/>
      <c r="G155" s="227"/>
      <c r="H155" s="244">
        <v>150</v>
      </c>
      <c r="I155" s="242" t="str">
        <f t="shared" si="13"/>
        <v/>
      </c>
      <c r="J155" s="241">
        <f t="shared" si="17"/>
        <v>-4</v>
      </c>
      <c r="K155" s="241">
        <f t="shared" si="14"/>
        <v>-40</v>
      </c>
      <c r="L155" s="241"/>
      <c r="M155" s="243">
        <f t="shared" si="15"/>
        <v>0</v>
      </c>
    </row>
    <row r="156" spans="1:13">
      <c r="A156" s="258"/>
      <c r="G156" s="227"/>
      <c r="H156" s="241">
        <v>151</v>
      </c>
      <c r="I156" s="242" t="str">
        <f t="shared" si="13"/>
        <v/>
      </c>
      <c r="J156" s="241">
        <f t="shared" si="17"/>
        <v>-4</v>
      </c>
      <c r="K156" s="241">
        <f t="shared" si="14"/>
        <v>-40</v>
      </c>
      <c r="L156" s="241"/>
      <c r="M156" s="243">
        <f t="shared" si="15"/>
        <v>0</v>
      </c>
    </row>
    <row r="157" spans="1:13">
      <c r="A157" s="258"/>
      <c r="G157" s="227"/>
      <c r="H157" s="244">
        <v>152</v>
      </c>
      <c r="I157" s="242" t="str">
        <f t="shared" si="13"/>
        <v/>
      </c>
      <c r="J157" s="241">
        <f t="shared" si="17"/>
        <v>-4</v>
      </c>
      <c r="K157" s="241">
        <f t="shared" si="14"/>
        <v>-40</v>
      </c>
      <c r="L157" s="241"/>
      <c r="M157" s="243">
        <f t="shared" si="15"/>
        <v>0</v>
      </c>
    </row>
    <row r="158" spans="1:13">
      <c r="A158" s="258"/>
      <c r="G158" s="227"/>
      <c r="H158" s="241">
        <v>153</v>
      </c>
      <c r="I158" s="242" t="str">
        <f t="shared" si="13"/>
        <v/>
      </c>
      <c r="J158" s="241">
        <f t="shared" si="17"/>
        <v>-4</v>
      </c>
      <c r="K158" s="241">
        <f t="shared" si="14"/>
        <v>-40</v>
      </c>
      <c r="L158" s="241"/>
      <c r="M158" s="243">
        <f t="shared" si="15"/>
        <v>0</v>
      </c>
    </row>
    <row r="159" spans="1:13">
      <c r="A159" s="258"/>
      <c r="G159" s="227"/>
      <c r="H159" s="244">
        <v>154</v>
      </c>
      <c r="I159" s="242" t="str">
        <f t="shared" si="13"/>
        <v/>
      </c>
      <c r="J159" s="241">
        <f t="shared" si="17"/>
        <v>-4</v>
      </c>
      <c r="K159" s="241">
        <f t="shared" si="14"/>
        <v>-40</v>
      </c>
      <c r="L159" s="241"/>
      <c r="M159" s="243">
        <f t="shared" si="15"/>
        <v>0</v>
      </c>
    </row>
    <row r="160" spans="1:13">
      <c r="A160" s="258"/>
      <c r="G160" s="227"/>
      <c r="H160" s="241">
        <v>155</v>
      </c>
      <c r="I160" s="242" t="str">
        <f t="shared" si="13"/>
        <v/>
      </c>
      <c r="J160" s="241">
        <f t="shared" si="17"/>
        <v>-4</v>
      </c>
      <c r="K160" s="241">
        <f t="shared" si="14"/>
        <v>-40</v>
      </c>
      <c r="L160" s="241"/>
      <c r="M160" s="243">
        <f t="shared" si="15"/>
        <v>0</v>
      </c>
    </row>
    <row r="161" spans="1:13">
      <c r="A161" s="258"/>
      <c r="G161" s="227"/>
      <c r="H161" s="244">
        <v>156</v>
      </c>
      <c r="I161" s="242" t="str">
        <f t="shared" si="13"/>
        <v/>
      </c>
      <c r="J161" s="241">
        <f t="shared" si="17"/>
        <v>-4</v>
      </c>
      <c r="K161" s="241">
        <f t="shared" si="14"/>
        <v>-40</v>
      </c>
      <c r="L161" s="241"/>
      <c r="M161" s="243">
        <f t="shared" si="15"/>
        <v>0</v>
      </c>
    </row>
    <row r="162" spans="1:13">
      <c r="A162" s="258"/>
      <c r="G162" s="227"/>
      <c r="H162" s="241">
        <v>157</v>
      </c>
      <c r="I162" s="242" t="str">
        <f t="shared" si="13"/>
        <v/>
      </c>
      <c r="J162" s="241">
        <f t="shared" si="17"/>
        <v>-4</v>
      </c>
      <c r="K162" s="241">
        <f t="shared" si="14"/>
        <v>-40</v>
      </c>
      <c r="L162" s="241"/>
      <c r="M162" s="243">
        <f t="shared" si="15"/>
        <v>0</v>
      </c>
    </row>
    <row r="163" spans="1:13">
      <c r="A163" s="258"/>
      <c r="G163" s="227"/>
      <c r="H163" s="244">
        <v>158</v>
      </c>
      <c r="I163" s="242" t="str">
        <f t="shared" si="13"/>
        <v/>
      </c>
      <c r="J163" s="241">
        <f t="shared" si="17"/>
        <v>-4</v>
      </c>
      <c r="K163" s="241">
        <f t="shared" si="14"/>
        <v>-40</v>
      </c>
      <c r="L163" s="241"/>
      <c r="M163" s="243">
        <f t="shared" si="15"/>
        <v>0</v>
      </c>
    </row>
    <row r="164" spans="1:13">
      <c r="A164" s="258"/>
      <c r="G164" s="227"/>
      <c r="H164" s="241">
        <v>159</v>
      </c>
      <c r="I164" s="242" t="str">
        <f t="shared" si="13"/>
        <v/>
      </c>
      <c r="J164" s="241">
        <f t="shared" si="17"/>
        <v>-4</v>
      </c>
      <c r="K164" s="241">
        <f t="shared" si="14"/>
        <v>-40</v>
      </c>
      <c r="L164" s="241"/>
      <c r="M164" s="243">
        <f t="shared" si="15"/>
        <v>0</v>
      </c>
    </row>
    <row r="165" spans="1:13">
      <c r="A165" s="258"/>
      <c r="G165" s="227"/>
      <c r="H165" s="244">
        <v>160</v>
      </c>
      <c r="I165" s="242" t="str">
        <f t="shared" si="13"/>
        <v/>
      </c>
      <c r="J165" s="241">
        <f t="shared" si="17"/>
        <v>-4</v>
      </c>
      <c r="K165" s="241">
        <f t="shared" si="14"/>
        <v>-40</v>
      </c>
      <c r="L165" s="241"/>
      <c r="M165" s="243">
        <f t="shared" si="15"/>
        <v>0</v>
      </c>
    </row>
    <row r="166" spans="1:13">
      <c r="A166" s="258"/>
      <c r="G166" s="227"/>
      <c r="H166" s="241">
        <v>161</v>
      </c>
      <c r="I166" s="242" t="str">
        <f t="shared" si="13"/>
        <v/>
      </c>
      <c r="J166" s="241">
        <f t="shared" si="17"/>
        <v>-4</v>
      </c>
      <c r="K166" s="241">
        <f t="shared" si="14"/>
        <v>-40</v>
      </c>
      <c r="L166" s="241"/>
      <c r="M166" s="243">
        <f t="shared" si="15"/>
        <v>0</v>
      </c>
    </row>
    <row r="167" spans="1:13">
      <c r="A167" s="258"/>
      <c r="G167" s="227"/>
      <c r="H167" s="244">
        <v>162</v>
      </c>
      <c r="I167" s="242" t="str">
        <f t="shared" si="13"/>
        <v/>
      </c>
      <c r="J167" s="241">
        <f t="shared" si="17"/>
        <v>-4</v>
      </c>
      <c r="K167" s="241">
        <f t="shared" si="14"/>
        <v>-40</v>
      </c>
      <c r="L167" s="241"/>
      <c r="M167" s="243">
        <f t="shared" si="15"/>
        <v>0</v>
      </c>
    </row>
    <row r="168" spans="1:13">
      <c r="A168" s="258"/>
      <c r="G168" s="227"/>
      <c r="H168" s="241">
        <v>163</v>
      </c>
      <c r="I168" s="242" t="str">
        <f t="shared" si="13"/>
        <v/>
      </c>
      <c r="J168" s="241">
        <f t="shared" si="17"/>
        <v>-4</v>
      </c>
      <c r="K168" s="241">
        <f t="shared" si="14"/>
        <v>-40</v>
      </c>
      <c r="L168" s="241"/>
      <c r="M168" s="243">
        <f t="shared" si="15"/>
        <v>0</v>
      </c>
    </row>
    <row r="169" spans="1:13">
      <c r="A169" s="258"/>
      <c r="C169" s="257" t="s">
        <v>57</v>
      </c>
      <c r="G169" s="227"/>
      <c r="H169" s="244">
        <v>164</v>
      </c>
      <c r="I169" s="242" t="str">
        <f t="shared" si="13"/>
        <v/>
      </c>
      <c r="J169" s="241">
        <f t="shared" si="17"/>
        <v>-4</v>
      </c>
      <c r="K169" s="241">
        <f t="shared" si="14"/>
        <v>-40</v>
      </c>
      <c r="L169" s="241"/>
      <c r="M169" s="243">
        <f t="shared" si="15"/>
        <v>0</v>
      </c>
    </row>
    <row r="170" spans="1:13">
      <c r="A170" s="258"/>
      <c r="G170" s="227"/>
      <c r="H170" s="241">
        <v>165</v>
      </c>
      <c r="I170" s="242" t="str">
        <f t="shared" si="13"/>
        <v/>
      </c>
      <c r="J170" s="241">
        <f t="shared" si="17"/>
        <v>-4</v>
      </c>
      <c r="K170" s="241">
        <f t="shared" si="14"/>
        <v>-40</v>
      </c>
      <c r="L170" s="241"/>
      <c r="M170" s="243">
        <f t="shared" si="15"/>
        <v>0</v>
      </c>
    </row>
    <row r="171" spans="1:13">
      <c r="A171" s="258"/>
      <c r="G171" s="227"/>
      <c r="H171" s="244">
        <v>166</v>
      </c>
      <c r="I171" s="242" t="str">
        <f t="shared" si="13"/>
        <v/>
      </c>
      <c r="J171" s="241">
        <f t="shared" si="17"/>
        <v>-4</v>
      </c>
      <c r="K171" s="241">
        <f t="shared" si="14"/>
        <v>-40</v>
      </c>
      <c r="L171" s="241"/>
      <c r="M171" s="243">
        <f t="shared" si="15"/>
        <v>0</v>
      </c>
    </row>
    <row r="172" spans="1:13">
      <c r="A172" s="258"/>
      <c r="G172" s="227"/>
      <c r="H172" s="241">
        <v>167</v>
      </c>
      <c r="I172" s="242" t="str">
        <f t="shared" si="13"/>
        <v/>
      </c>
      <c r="J172" s="241">
        <f t="shared" si="17"/>
        <v>-4</v>
      </c>
      <c r="K172" s="241">
        <f t="shared" si="14"/>
        <v>-40</v>
      </c>
      <c r="L172" s="241"/>
      <c r="M172" s="243">
        <f t="shared" si="15"/>
        <v>0</v>
      </c>
    </row>
    <row r="173" spans="1:13">
      <c r="A173" s="258"/>
      <c r="G173" s="227"/>
      <c r="H173" s="244">
        <v>168</v>
      </c>
      <c r="I173" s="242" t="str">
        <f t="shared" si="13"/>
        <v/>
      </c>
      <c r="J173" s="241">
        <f t="shared" si="17"/>
        <v>-4</v>
      </c>
      <c r="K173" s="241">
        <f t="shared" si="14"/>
        <v>-40</v>
      </c>
      <c r="L173" s="241"/>
      <c r="M173" s="243">
        <f t="shared" si="15"/>
        <v>0</v>
      </c>
    </row>
    <row r="174" spans="1:13">
      <c r="A174" s="258"/>
      <c r="G174" s="227"/>
      <c r="H174" s="241">
        <v>169</v>
      </c>
      <c r="I174" s="242" t="str">
        <f t="shared" si="13"/>
        <v/>
      </c>
      <c r="J174" s="241">
        <f t="shared" si="17"/>
        <v>-4</v>
      </c>
      <c r="K174" s="241">
        <f t="shared" si="14"/>
        <v>-40</v>
      </c>
      <c r="L174" s="241"/>
      <c r="M174" s="243">
        <f t="shared" si="15"/>
        <v>0</v>
      </c>
    </row>
    <row r="175" spans="1:13">
      <c r="A175" s="258"/>
      <c r="G175" s="227"/>
      <c r="H175" s="244">
        <v>170</v>
      </c>
      <c r="I175" s="242" t="str">
        <f t="shared" si="13"/>
        <v/>
      </c>
      <c r="J175" s="241">
        <f t="shared" si="17"/>
        <v>-4</v>
      </c>
      <c r="K175" s="241">
        <f t="shared" si="14"/>
        <v>-40</v>
      </c>
      <c r="L175" s="241"/>
      <c r="M175" s="243">
        <f t="shared" si="15"/>
        <v>0</v>
      </c>
    </row>
    <row r="176" spans="1:13">
      <c r="A176" s="258"/>
      <c r="G176" s="227"/>
      <c r="H176" s="241">
        <v>171</v>
      </c>
      <c r="I176" s="242" t="str">
        <f t="shared" si="13"/>
        <v/>
      </c>
      <c r="J176" s="241">
        <f t="shared" si="17"/>
        <v>-4</v>
      </c>
      <c r="K176" s="241">
        <f t="shared" si="14"/>
        <v>-40</v>
      </c>
      <c r="L176" s="241"/>
      <c r="M176" s="243">
        <f t="shared" si="15"/>
        <v>0</v>
      </c>
    </row>
    <row r="177" spans="1:13">
      <c r="A177" s="258"/>
      <c r="G177" s="227"/>
      <c r="H177" s="244">
        <v>172</v>
      </c>
      <c r="I177" s="242" t="str">
        <f t="shared" si="13"/>
        <v/>
      </c>
      <c r="J177" s="241">
        <f t="shared" si="17"/>
        <v>-4</v>
      </c>
      <c r="K177" s="241">
        <f t="shared" si="14"/>
        <v>-40</v>
      </c>
      <c r="L177" s="241"/>
      <c r="M177" s="243">
        <f t="shared" si="15"/>
        <v>0</v>
      </c>
    </row>
    <row r="178" spans="1:13">
      <c r="A178" s="258"/>
      <c r="G178" s="227"/>
      <c r="H178" s="241">
        <v>173</v>
      </c>
      <c r="I178" s="242" t="str">
        <f t="shared" si="13"/>
        <v/>
      </c>
      <c r="J178" s="241">
        <f t="shared" si="17"/>
        <v>-4</v>
      </c>
      <c r="K178" s="241">
        <f t="shared" si="14"/>
        <v>-40</v>
      </c>
      <c r="L178" s="241"/>
      <c r="M178" s="243">
        <f t="shared" si="15"/>
        <v>0</v>
      </c>
    </row>
    <row r="179" spans="1:13">
      <c r="A179" s="258"/>
      <c r="G179" s="227"/>
      <c r="H179" s="244">
        <v>174</v>
      </c>
      <c r="I179" s="242" t="str">
        <f t="shared" si="13"/>
        <v/>
      </c>
      <c r="J179" s="241">
        <f t="shared" si="17"/>
        <v>-4</v>
      </c>
      <c r="K179" s="241">
        <f t="shared" si="14"/>
        <v>-40</v>
      </c>
      <c r="L179" s="241"/>
      <c r="M179" s="243">
        <f t="shared" si="15"/>
        <v>0</v>
      </c>
    </row>
    <row r="180" spans="1:13">
      <c r="A180" s="258"/>
      <c r="G180" s="227"/>
      <c r="H180" s="241">
        <v>175</v>
      </c>
      <c r="I180" s="242" t="str">
        <f t="shared" si="13"/>
        <v/>
      </c>
      <c r="J180" s="241">
        <f t="shared" si="17"/>
        <v>-4</v>
      </c>
      <c r="K180" s="241">
        <f t="shared" si="14"/>
        <v>-40</v>
      </c>
      <c r="L180" s="241"/>
      <c r="M180" s="243">
        <f t="shared" si="15"/>
        <v>0</v>
      </c>
    </row>
    <row r="181" spans="1:13">
      <c r="A181" s="258"/>
      <c r="G181" s="227"/>
      <c r="H181" s="244">
        <v>176</v>
      </c>
      <c r="I181" s="242" t="str">
        <f t="shared" si="13"/>
        <v/>
      </c>
      <c r="J181" s="241">
        <f t="shared" si="17"/>
        <v>-4</v>
      </c>
      <c r="K181" s="241">
        <f t="shared" si="14"/>
        <v>-40</v>
      </c>
      <c r="L181" s="241"/>
      <c r="M181" s="243">
        <f t="shared" si="15"/>
        <v>0</v>
      </c>
    </row>
    <row r="182" spans="1:13">
      <c r="A182" s="258"/>
      <c r="G182" s="227"/>
      <c r="H182" s="241">
        <v>177</v>
      </c>
      <c r="I182" s="242" t="str">
        <f t="shared" si="13"/>
        <v/>
      </c>
      <c r="J182" s="241">
        <f t="shared" si="17"/>
        <v>-4</v>
      </c>
      <c r="K182" s="241">
        <f t="shared" si="14"/>
        <v>-40</v>
      </c>
      <c r="L182" s="241"/>
      <c r="M182" s="243">
        <f t="shared" si="15"/>
        <v>0</v>
      </c>
    </row>
    <row r="183" spans="1:13">
      <c r="A183" s="258"/>
      <c r="G183" s="227"/>
      <c r="H183" s="244">
        <v>178</v>
      </c>
      <c r="I183" s="242" t="str">
        <f t="shared" si="13"/>
        <v/>
      </c>
      <c r="J183" s="241">
        <f t="shared" si="17"/>
        <v>-4</v>
      </c>
      <c r="K183" s="241">
        <f t="shared" si="14"/>
        <v>-40</v>
      </c>
      <c r="L183" s="241"/>
      <c r="M183" s="243">
        <f t="shared" si="15"/>
        <v>0</v>
      </c>
    </row>
    <row r="184" spans="1:13">
      <c r="A184" s="258"/>
      <c r="G184" s="227"/>
      <c r="H184" s="241">
        <v>179</v>
      </c>
      <c r="I184" s="242" t="str">
        <f t="shared" si="13"/>
        <v/>
      </c>
      <c r="J184" s="241">
        <f t="shared" si="17"/>
        <v>-4</v>
      </c>
      <c r="K184" s="241">
        <f t="shared" si="14"/>
        <v>-40</v>
      </c>
      <c r="L184" s="241"/>
      <c r="M184" s="243">
        <f t="shared" si="15"/>
        <v>0</v>
      </c>
    </row>
    <row r="185" spans="1:13">
      <c r="A185" s="258"/>
      <c r="G185" s="227"/>
      <c r="H185" s="244">
        <v>180</v>
      </c>
      <c r="I185" s="242" t="str">
        <f t="shared" si="13"/>
        <v/>
      </c>
      <c r="J185" s="241">
        <f t="shared" si="17"/>
        <v>-4</v>
      </c>
      <c r="K185" s="241">
        <f t="shared" si="14"/>
        <v>-40</v>
      </c>
      <c r="L185" s="241"/>
      <c r="M185" s="243">
        <f t="shared" si="15"/>
        <v>0</v>
      </c>
    </row>
    <row r="186" spans="1:13">
      <c r="A186" s="258"/>
      <c r="G186" s="227"/>
      <c r="H186" s="241">
        <v>181</v>
      </c>
      <c r="I186" s="242" t="str">
        <f t="shared" si="13"/>
        <v/>
      </c>
      <c r="J186" s="241">
        <f t="shared" si="17"/>
        <v>-4</v>
      </c>
      <c r="K186" s="241">
        <f t="shared" si="14"/>
        <v>-40</v>
      </c>
      <c r="L186" s="241"/>
      <c r="M186" s="243">
        <f t="shared" si="15"/>
        <v>0</v>
      </c>
    </row>
    <row r="187" spans="1:13">
      <c r="A187" s="258"/>
      <c r="G187" s="227"/>
      <c r="H187" s="244">
        <v>182</v>
      </c>
      <c r="I187" s="242" t="str">
        <f t="shared" si="13"/>
        <v/>
      </c>
      <c r="J187" s="241">
        <f t="shared" si="17"/>
        <v>-4</v>
      </c>
      <c r="K187" s="241">
        <f t="shared" si="14"/>
        <v>-40</v>
      </c>
      <c r="L187" s="241"/>
      <c r="M187" s="243">
        <f t="shared" si="15"/>
        <v>0</v>
      </c>
    </row>
    <row r="188" spans="1:13">
      <c r="A188" s="258"/>
      <c r="G188" s="227"/>
      <c r="H188" s="241">
        <v>183</v>
      </c>
      <c r="I188" s="242" t="str">
        <f t="shared" si="13"/>
        <v/>
      </c>
      <c r="J188" s="241">
        <f t="shared" si="17"/>
        <v>-4</v>
      </c>
      <c r="K188" s="241">
        <f t="shared" si="14"/>
        <v>-40</v>
      </c>
      <c r="L188" s="241"/>
      <c r="M188" s="243">
        <f t="shared" si="15"/>
        <v>0</v>
      </c>
    </row>
    <row r="189" spans="1:13">
      <c r="A189" s="258"/>
      <c r="G189" s="227"/>
      <c r="H189" s="244">
        <v>184</v>
      </c>
      <c r="I189" s="242" t="str">
        <f t="shared" si="13"/>
        <v/>
      </c>
      <c r="J189" s="241">
        <f t="shared" si="17"/>
        <v>-4</v>
      </c>
      <c r="K189" s="241">
        <f t="shared" si="14"/>
        <v>-40</v>
      </c>
      <c r="L189" s="241"/>
      <c r="M189" s="243">
        <f t="shared" si="15"/>
        <v>0</v>
      </c>
    </row>
    <row r="190" spans="1:13">
      <c r="A190" s="258"/>
      <c r="G190" s="227"/>
      <c r="H190" s="241">
        <v>185</v>
      </c>
      <c r="I190" s="242" t="str">
        <f t="shared" si="13"/>
        <v/>
      </c>
      <c r="J190" s="241">
        <f t="shared" si="17"/>
        <v>-4</v>
      </c>
      <c r="K190" s="241">
        <f t="shared" si="14"/>
        <v>-40</v>
      </c>
      <c r="L190" s="241"/>
      <c r="M190" s="243">
        <f t="shared" si="15"/>
        <v>0</v>
      </c>
    </row>
    <row r="191" spans="1:13">
      <c r="A191" s="258"/>
      <c r="G191" s="227"/>
      <c r="H191" s="244">
        <v>186</v>
      </c>
      <c r="I191" s="242" t="str">
        <f t="shared" si="13"/>
        <v/>
      </c>
      <c r="J191" s="241">
        <f t="shared" si="17"/>
        <v>-4</v>
      </c>
      <c r="K191" s="241">
        <f t="shared" si="14"/>
        <v>-40</v>
      </c>
      <c r="L191" s="241"/>
      <c r="M191" s="243">
        <f t="shared" si="15"/>
        <v>0</v>
      </c>
    </row>
    <row r="192" spans="1:13">
      <c r="A192" s="258"/>
      <c r="G192" s="227"/>
      <c r="H192" s="241">
        <v>187</v>
      </c>
      <c r="I192" s="242" t="str">
        <f t="shared" si="13"/>
        <v/>
      </c>
      <c r="J192" s="241">
        <f t="shared" si="17"/>
        <v>-4</v>
      </c>
      <c r="K192" s="241">
        <f t="shared" si="14"/>
        <v>-40</v>
      </c>
      <c r="L192" s="241"/>
      <c r="M192" s="243">
        <f t="shared" si="15"/>
        <v>0</v>
      </c>
    </row>
    <row r="193" spans="1:13">
      <c r="A193" s="258"/>
      <c r="G193" s="227"/>
      <c r="H193" s="244">
        <v>188</v>
      </c>
      <c r="I193" s="242" t="str">
        <f t="shared" si="13"/>
        <v/>
      </c>
      <c r="J193" s="241">
        <f t="shared" si="17"/>
        <v>-4</v>
      </c>
      <c r="K193" s="241">
        <f t="shared" si="14"/>
        <v>-40</v>
      </c>
      <c r="L193" s="241"/>
      <c r="M193" s="243">
        <f t="shared" si="15"/>
        <v>0</v>
      </c>
    </row>
    <row r="194" spans="1:13">
      <c r="A194" s="258"/>
      <c r="G194" s="227"/>
      <c r="H194" s="241">
        <v>189</v>
      </c>
      <c r="I194" s="242" t="str">
        <f t="shared" si="13"/>
        <v/>
      </c>
      <c r="J194" s="241">
        <f t="shared" si="17"/>
        <v>-4</v>
      </c>
      <c r="K194" s="241">
        <f t="shared" si="14"/>
        <v>-40</v>
      </c>
      <c r="L194" s="241"/>
      <c r="M194" s="243">
        <f t="shared" si="15"/>
        <v>0</v>
      </c>
    </row>
    <row r="195" spans="1:13">
      <c r="A195" s="258"/>
      <c r="G195" s="227"/>
      <c r="H195" s="244">
        <v>190</v>
      </c>
      <c r="I195" s="242" t="str">
        <f t="shared" si="13"/>
        <v/>
      </c>
      <c r="J195" s="241">
        <f t="shared" si="17"/>
        <v>-4</v>
      </c>
      <c r="K195" s="241">
        <f t="shared" si="14"/>
        <v>-40</v>
      </c>
      <c r="L195" s="241"/>
      <c r="M195" s="243">
        <f t="shared" si="15"/>
        <v>0</v>
      </c>
    </row>
    <row r="196" spans="1:13">
      <c r="A196" s="258"/>
      <c r="G196" s="227"/>
      <c r="H196" s="241">
        <v>191</v>
      </c>
      <c r="I196" s="242" t="str">
        <f t="shared" si="13"/>
        <v/>
      </c>
      <c r="J196" s="241">
        <f t="shared" si="17"/>
        <v>-4</v>
      </c>
      <c r="K196" s="241">
        <f t="shared" si="14"/>
        <v>-40</v>
      </c>
      <c r="L196" s="241"/>
      <c r="M196" s="243">
        <f t="shared" si="15"/>
        <v>0</v>
      </c>
    </row>
    <row r="197" spans="1:13">
      <c r="A197" s="258"/>
      <c r="G197" s="227"/>
      <c r="H197" s="244">
        <v>192</v>
      </c>
      <c r="I197" s="242" t="str">
        <f t="shared" si="13"/>
        <v/>
      </c>
      <c r="J197" s="241">
        <f t="shared" si="17"/>
        <v>-4</v>
      </c>
      <c r="K197" s="241">
        <f t="shared" si="14"/>
        <v>-40</v>
      </c>
      <c r="L197" s="241"/>
      <c r="M197" s="243">
        <f t="shared" si="15"/>
        <v>0</v>
      </c>
    </row>
    <row r="198" spans="1:13">
      <c r="A198" s="258"/>
      <c r="G198" s="227"/>
      <c r="H198" s="241">
        <v>193</v>
      </c>
      <c r="I198" s="242" t="str">
        <f t="shared" ref="I198:I261" si="18">IF(H198&lt;$H$2+1,($I$2-($I$2-1)*(LOG(H198)/LOG($H$2))),"")</f>
        <v/>
      </c>
      <c r="J198" s="241">
        <f t="shared" si="17"/>
        <v>-4</v>
      </c>
      <c r="K198" s="241">
        <f t="shared" ref="K198:K261" si="19">J198*$J$2</f>
        <v>-40</v>
      </c>
      <c r="L198" s="241"/>
      <c r="M198" s="243">
        <f t="shared" ref="M198:M261" si="20">IF(I198&lt;&gt;"",K198+I198+L198,0)</f>
        <v>0</v>
      </c>
    </row>
    <row r="199" spans="1:13">
      <c r="A199" s="258"/>
      <c r="G199" s="227"/>
      <c r="H199" s="244">
        <v>194</v>
      </c>
      <c r="I199" s="242" t="str">
        <f t="shared" si="18"/>
        <v/>
      </c>
      <c r="J199" s="241">
        <f t="shared" ref="J199:J262" si="21">INT(LOG($H$2,2))-ROUNDUP(LOG(H199,2),0)+IF(OR($H$2=1,$H$2=2,$H$2=4,$H$2=8,$H$2=16,$H$2=32,$H$2=64,$H$2=128,$H$2=256),0,1)</f>
        <v>-4</v>
      </c>
      <c r="K199" s="241">
        <f t="shared" si="19"/>
        <v>-40</v>
      </c>
      <c r="L199" s="241"/>
      <c r="M199" s="243">
        <f t="shared" si="20"/>
        <v>0</v>
      </c>
    </row>
    <row r="200" spans="1:13">
      <c r="A200" s="258"/>
      <c r="G200" s="227"/>
      <c r="H200" s="241">
        <v>195</v>
      </c>
      <c r="I200" s="242" t="str">
        <f t="shared" si="18"/>
        <v/>
      </c>
      <c r="J200" s="241">
        <f t="shared" si="21"/>
        <v>-4</v>
      </c>
      <c r="K200" s="241">
        <f t="shared" si="19"/>
        <v>-40</v>
      </c>
      <c r="L200" s="241"/>
      <c r="M200" s="243">
        <f t="shared" si="20"/>
        <v>0</v>
      </c>
    </row>
    <row r="201" spans="1:13">
      <c r="A201" s="258"/>
      <c r="G201" s="227"/>
      <c r="H201" s="244">
        <v>196</v>
      </c>
      <c r="I201" s="242" t="str">
        <f t="shared" si="18"/>
        <v/>
      </c>
      <c r="J201" s="241">
        <f t="shared" si="21"/>
        <v>-4</v>
      </c>
      <c r="K201" s="241">
        <f t="shared" si="19"/>
        <v>-40</v>
      </c>
      <c r="L201" s="241"/>
      <c r="M201" s="243">
        <f t="shared" si="20"/>
        <v>0</v>
      </c>
    </row>
    <row r="202" spans="1:13">
      <c r="A202" s="258"/>
      <c r="G202" s="227"/>
      <c r="H202" s="241">
        <v>197</v>
      </c>
      <c r="I202" s="242" t="str">
        <f t="shared" si="18"/>
        <v/>
      </c>
      <c r="J202" s="241">
        <f t="shared" si="21"/>
        <v>-4</v>
      </c>
      <c r="K202" s="241">
        <f t="shared" si="19"/>
        <v>-40</v>
      </c>
      <c r="L202" s="241"/>
      <c r="M202" s="243">
        <f t="shared" si="20"/>
        <v>0</v>
      </c>
    </row>
    <row r="203" spans="1:13">
      <c r="A203" s="258"/>
      <c r="G203" s="227"/>
      <c r="H203" s="244">
        <v>198</v>
      </c>
      <c r="I203" s="242" t="str">
        <f t="shared" si="18"/>
        <v/>
      </c>
      <c r="J203" s="241">
        <f t="shared" si="21"/>
        <v>-4</v>
      </c>
      <c r="K203" s="241">
        <f t="shared" si="19"/>
        <v>-40</v>
      </c>
      <c r="L203" s="241"/>
      <c r="M203" s="243">
        <f t="shared" si="20"/>
        <v>0</v>
      </c>
    </row>
    <row r="204" spans="1:13">
      <c r="A204" s="258"/>
      <c r="G204" s="227"/>
      <c r="H204" s="241">
        <v>199</v>
      </c>
      <c r="I204" s="242" t="str">
        <f t="shared" si="18"/>
        <v/>
      </c>
      <c r="J204" s="241">
        <f t="shared" si="21"/>
        <v>-4</v>
      </c>
      <c r="K204" s="241">
        <f t="shared" si="19"/>
        <v>-40</v>
      </c>
      <c r="L204" s="241"/>
      <c r="M204" s="243">
        <f t="shared" si="20"/>
        <v>0</v>
      </c>
    </row>
    <row r="205" spans="1:13">
      <c r="A205" s="258"/>
      <c r="G205" s="227"/>
      <c r="H205" s="244">
        <v>200</v>
      </c>
      <c r="I205" s="242" t="str">
        <f t="shared" si="18"/>
        <v/>
      </c>
      <c r="J205" s="241">
        <f t="shared" si="21"/>
        <v>-4</v>
      </c>
      <c r="K205" s="241">
        <f t="shared" si="19"/>
        <v>-40</v>
      </c>
      <c r="L205" s="241"/>
      <c r="M205" s="243">
        <f t="shared" si="20"/>
        <v>0</v>
      </c>
    </row>
    <row r="206" spans="1:13">
      <c r="A206" s="258"/>
      <c r="G206" s="227"/>
      <c r="H206" s="241">
        <v>201</v>
      </c>
      <c r="I206" s="242" t="str">
        <f t="shared" si="18"/>
        <v/>
      </c>
      <c r="J206" s="241">
        <f t="shared" si="21"/>
        <v>-4</v>
      </c>
      <c r="K206" s="241">
        <f t="shared" si="19"/>
        <v>-40</v>
      </c>
      <c r="L206" s="241"/>
      <c r="M206" s="243">
        <f t="shared" si="20"/>
        <v>0</v>
      </c>
    </row>
    <row r="207" spans="1:13">
      <c r="A207" s="258"/>
      <c r="G207" s="227"/>
      <c r="H207" s="244">
        <v>202</v>
      </c>
      <c r="I207" s="242" t="str">
        <f t="shared" si="18"/>
        <v/>
      </c>
      <c r="J207" s="241">
        <f t="shared" si="21"/>
        <v>-4</v>
      </c>
      <c r="K207" s="241">
        <f t="shared" si="19"/>
        <v>-40</v>
      </c>
      <c r="L207" s="241"/>
      <c r="M207" s="243">
        <f t="shared" si="20"/>
        <v>0</v>
      </c>
    </row>
    <row r="208" spans="1:13">
      <c r="A208" s="258"/>
      <c r="G208" s="227"/>
      <c r="H208" s="241">
        <v>203</v>
      </c>
      <c r="I208" s="242" t="str">
        <f t="shared" si="18"/>
        <v/>
      </c>
      <c r="J208" s="241">
        <f t="shared" si="21"/>
        <v>-4</v>
      </c>
      <c r="K208" s="241">
        <f t="shared" si="19"/>
        <v>-40</v>
      </c>
      <c r="L208" s="241"/>
      <c r="M208" s="243">
        <f t="shared" si="20"/>
        <v>0</v>
      </c>
    </row>
    <row r="209" spans="1:13">
      <c r="A209" s="258"/>
      <c r="G209" s="227"/>
      <c r="H209" s="244">
        <v>204</v>
      </c>
      <c r="I209" s="242" t="str">
        <f t="shared" si="18"/>
        <v/>
      </c>
      <c r="J209" s="241">
        <f t="shared" si="21"/>
        <v>-4</v>
      </c>
      <c r="K209" s="241">
        <f t="shared" si="19"/>
        <v>-40</v>
      </c>
      <c r="L209" s="241"/>
      <c r="M209" s="243">
        <f t="shared" si="20"/>
        <v>0</v>
      </c>
    </row>
    <row r="210" spans="1:13">
      <c r="A210" s="258"/>
      <c r="G210" s="227"/>
      <c r="H210" s="241">
        <v>205</v>
      </c>
      <c r="I210" s="242" t="str">
        <f t="shared" si="18"/>
        <v/>
      </c>
      <c r="J210" s="241">
        <f t="shared" si="21"/>
        <v>-4</v>
      </c>
      <c r="K210" s="241">
        <f t="shared" si="19"/>
        <v>-40</v>
      </c>
      <c r="L210" s="241"/>
      <c r="M210" s="243">
        <f t="shared" si="20"/>
        <v>0</v>
      </c>
    </row>
    <row r="211" spans="1:13">
      <c r="A211" s="258"/>
      <c r="G211" s="227"/>
      <c r="H211" s="244">
        <v>206</v>
      </c>
      <c r="I211" s="242" t="str">
        <f t="shared" si="18"/>
        <v/>
      </c>
      <c r="J211" s="241">
        <f t="shared" si="21"/>
        <v>-4</v>
      </c>
      <c r="K211" s="241">
        <f t="shared" si="19"/>
        <v>-40</v>
      </c>
      <c r="L211" s="241"/>
      <c r="M211" s="243">
        <f t="shared" si="20"/>
        <v>0</v>
      </c>
    </row>
    <row r="212" spans="1:13">
      <c r="A212" s="258"/>
      <c r="G212" s="227"/>
      <c r="H212" s="241">
        <v>207</v>
      </c>
      <c r="I212" s="242" t="str">
        <f t="shared" si="18"/>
        <v/>
      </c>
      <c r="J212" s="241">
        <f t="shared" si="21"/>
        <v>-4</v>
      </c>
      <c r="K212" s="241">
        <f t="shared" si="19"/>
        <v>-40</v>
      </c>
      <c r="L212" s="241"/>
      <c r="M212" s="243">
        <f t="shared" si="20"/>
        <v>0</v>
      </c>
    </row>
    <row r="213" spans="1:13">
      <c r="A213" s="258"/>
      <c r="G213" s="227"/>
      <c r="H213" s="244">
        <v>208</v>
      </c>
      <c r="I213" s="242" t="str">
        <f t="shared" si="18"/>
        <v/>
      </c>
      <c r="J213" s="241">
        <f t="shared" si="21"/>
        <v>-4</v>
      </c>
      <c r="K213" s="241">
        <f t="shared" si="19"/>
        <v>-40</v>
      </c>
      <c r="L213" s="241"/>
      <c r="M213" s="243">
        <f t="shared" si="20"/>
        <v>0</v>
      </c>
    </row>
    <row r="214" spans="1:13">
      <c r="A214" s="258"/>
      <c r="G214" s="227"/>
      <c r="H214" s="241">
        <v>209</v>
      </c>
      <c r="I214" s="242" t="str">
        <f t="shared" si="18"/>
        <v/>
      </c>
      <c r="J214" s="241">
        <f t="shared" si="21"/>
        <v>-4</v>
      </c>
      <c r="K214" s="241">
        <f t="shared" si="19"/>
        <v>-40</v>
      </c>
      <c r="L214" s="241"/>
      <c r="M214" s="243">
        <f t="shared" si="20"/>
        <v>0</v>
      </c>
    </row>
    <row r="215" spans="1:13">
      <c r="A215" s="258"/>
      <c r="G215" s="227"/>
      <c r="H215" s="244">
        <v>210</v>
      </c>
      <c r="I215" s="242" t="str">
        <f t="shared" si="18"/>
        <v/>
      </c>
      <c r="J215" s="241">
        <f t="shared" si="21"/>
        <v>-4</v>
      </c>
      <c r="K215" s="241">
        <f t="shared" si="19"/>
        <v>-40</v>
      </c>
      <c r="L215" s="241"/>
      <c r="M215" s="243">
        <f t="shared" si="20"/>
        <v>0</v>
      </c>
    </row>
    <row r="216" spans="1:13">
      <c r="A216" s="258"/>
      <c r="G216" s="227"/>
      <c r="H216" s="241">
        <v>211</v>
      </c>
      <c r="I216" s="242" t="str">
        <f t="shared" si="18"/>
        <v/>
      </c>
      <c r="J216" s="241">
        <f t="shared" si="21"/>
        <v>-4</v>
      </c>
      <c r="K216" s="241">
        <f t="shared" si="19"/>
        <v>-40</v>
      </c>
      <c r="L216" s="241"/>
      <c r="M216" s="243">
        <f t="shared" si="20"/>
        <v>0</v>
      </c>
    </row>
    <row r="217" spans="1:13">
      <c r="A217" s="258"/>
      <c r="G217" s="227"/>
      <c r="H217" s="244">
        <v>212</v>
      </c>
      <c r="I217" s="242" t="str">
        <f t="shared" si="18"/>
        <v/>
      </c>
      <c r="J217" s="241">
        <f t="shared" si="21"/>
        <v>-4</v>
      </c>
      <c r="K217" s="241">
        <f t="shared" si="19"/>
        <v>-40</v>
      </c>
      <c r="L217" s="241"/>
      <c r="M217" s="243">
        <f t="shared" si="20"/>
        <v>0</v>
      </c>
    </row>
    <row r="218" spans="1:13">
      <c r="A218" s="258"/>
      <c r="G218" s="227"/>
      <c r="H218" s="241">
        <v>213</v>
      </c>
      <c r="I218" s="242" t="str">
        <f t="shared" si="18"/>
        <v/>
      </c>
      <c r="J218" s="241">
        <f t="shared" si="21"/>
        <v>-4</v>
      </c>
      <c r="K218" s="241">
        <f t="shared" si="19"/>
        <v>-40</v>
      </c>
      <c r="L218" s="241"/>
      <c r="M218" s="243">
        <f t="shared" si="20"/>
        <v>0</v>
      </c>
    </row>
    <row r="219" spans="1:13">
      <c r="A219" s="258"/>
      <c r="G219" s="227"/>
      <c r="H219" s="244">
        <v>214</v>
      </c>
      <c r="I219" s="242" t="str">
        <f t="shared" si="18"/>
        <v/>
      </c>
      <c r="J219" s="241">
        <f t="shared" si="21"/>
        <v>-4</v>
      </c>
      <c r="K219" s="241">
        <f t="shared" si="19"/>
        <v>-40</v>
      </c>
      <c r="L219" s="241"/>
      <c r="M219" s="243">
        <f t="shared" si="20"/>
        <v>0</v>
      </c>
    </row>
    <row r="220" spans="1:13">
      <c r="A220" s="258"/>
      <c r="G220" s="227"/>
      <c r="H220" s="241">
        <v>215</v>
      </c>
      <c r="I220" s="242" t="str">
        <f t="shared" si="18"/>
        <v/>
      </c>
      <c r="J220" s="241">
        <f t="shared" si="21"/>
        <v>-4</v>
      </c>
      <c r="K220" s="241">
        <f t="shared" si="19"/>
        <v>-40</v>
      </c>
      <c r="L220" s="241"/>
      <c r="M220" s="243">
        <f t="shared" si="20"/>
        <v>0</v>
      </c>
    </row>
    <row r="221" spans="1:13">
      <c r="A221" s="258"/>
      <c r="G221" s="227"/>
      <c r="H221" s="244">
        <v>216</v>
      </c>
      <c r="I221" s="242" t="str">
        <f t="shared" si="18"/>
        <v/>
      </c>
      <c r="J221" s="241">
        <f t="shared" si="21"/>
        <v>-4</v>
      </c>
      <c r="K221" s="241">
        <f t="shared" si="19"/>
        <v>-40</v>
      </c>
      <c r="L221" s="241"/>
      <c r="M221" s="243">
        <f t="shared" si="20"/>
        <v>0</v>
      </c>
    </row>
    <row r="222" spans="1:13">
      <c r="A222" s="258"/>
      <c r="G222" s="227"/>
      <c r="H222" s="241">
        <v>217</v>
      </c>
      <c r="I222" s="242" t="str">
        <f t="shared" si="18"/>
        <v/>
      </c>
      <c r="J222" s="241">
        <f t="shared" si="21"/>
        <v>-4</v>
      </c>
      <c r="K222" s="241">
        <f t="shared" si="19"/>
        <v>-40</v>
      </c>
      <c r="L222" s="241"/>
      <c r="M222" s="243">
        <f t="shared" si="20"/>
        <v>0</v>
      </c>
    </row>
    <row r="223" spans="1:13">
      <c r="A223" s="258"/>
      <c r="G223" s="227"/>
      <c r="H223" s="244">
        <v>218</v>
      </c>
      <c r="I223" s="242" t="str">
        <f t="shared" si="18"/>
        <v/>
      </c>
      <c r="J223" s="241">
        <f t="shared" si="21"/>
        <v>-4</v>
      </c>
      <c r="K223" s="241">
        <f t="shared" si="19"/>
        <v>-40</v>
      </c>
      <c r="L223" s="241"/>
      <c r="M223" s="243">
        <f t="shared" si="20"/>
        <v>0</v>
      </c>
    </row>
    <row r="224" spans="1:13">
      <c r="A224" s="258"/>
      <c r="G224" s="227"/>
      <c r="H224" s="241">
        <v>219</v>
      </c>
      <c r="I224" s="242" t="str">
        <f t="shared" si="18"/>
        <v/>
      </c>
      <c r="J224" s="241">
        <f t="shared" si="21"/>
        <v>-4</v>
      </c>
      <c r="K224" s="241">
        <f t="shared" si="19"/>
        <v>-40</v>
      </c>
      <c r="L224" s="241"/>
      <c r="M224" s="243">
        <f t="shared" si="20"/>
        <v>0</v>
      </c>
    </row>
    <row r="225" spans="1:13">
      <c r="A225" s="258"/>
      <c r="G225" s="227"/>
      <c r="H225" s="244">
        <v>220</v>
      </c>
      <c r="I225" s="242" t="str">
        <f t="shared" si="18"/>
        <v/>
      </c>
      <c r="J225" s="241">
        <f t="shared" si="21"/>
        <v>-4</v>
      </c>
      <c r="K225" s="241">
        <f t="shared" si="19"/>
        <v>-40</v>
      </c>
      <c r="L225" s="241"/>
      <c r="M225" s="243">
        <f t="shared" si="20"/>
        <v>0</v>
      </c>
    </row>
    <row r="226" spans="1:13">
      <c r="A226" s="258"/>
      <c r="G226" s="227"/>
      <c r="H226" s="241">
        <v>221</v>
      </c>
      <c r="I226" s="242" t="str">
        <f t="shared" si="18"/>
        <v/>
      </c>
      <c r="J226" s="241">
        <f t="shared" si="21"/>
        <v>-4</v>
      </c>
      <c r="K226" s="241">
        <f t="shared" si="19"/>
        <v>-40</v>
      </c>
      <c r="L226" s="241"/>
      <c r="M226" s="243">
        <f t="shared" si="20"/>
        <v>0</v>
      </c>
    </row>
    <row r="227" spans="1:13">
      <c r="A227" s="258"/>
      <c r="G227" s="227"/>
      <c r="H227" s="244">
        <v>222</v>
      </c>
      <c r="I227" s="242" t="str">
        <f t="shared" si="18"/>
        <v/>
      </c>
      <c r="J227" s="241">
        <f t="shared" si="21"/>
        <v>-4</v>
      </c>
      <c r="K227" s="241">
        <f t="shared" si="19"/>
        <v>-40</v>
      </c>
      <c r="L227" s="241"/>
      <c r="M227" s="243">
        <f t="shared" si="20"/>
        <v>0</v>
      </c>
    </row>
    <row r="228" spans="1:13">
      <c r="A228" s="258"/>
      <c r="G228" s="227"/>
      <c r="H228" s="241">
        <v>223</v>
      </c>
      <c r="I228" s="242" t="str">
        <f t="shared" si="18"/>
        <v/>
      </c>
      <c r="J228" s="241">
        <f t="shared" si="21"/>
        <v>-4</v>
      </c>
      <c r="K228" s="241">
        <f t="shared" si="19"/>
        <v>-40</v>
      </c>
      <c r="L228" s="241"/>
      <c r="M228" s="243">
        <f t="shared" si="20"/>
        <v>0</v>
      </c>
    </row>
    <row r="229" spans="1:13">
      <c r="A229" s="258"/>
      <c r="G229" s="227"/>
      <c r="H229" s="244">
        <v>224</v>
      </c>
      <c r="I229" s="242" t="str">
        <f t="shared" si="18"/>
        <v/>
      </c>
      <c r="J229" s="241">
        <f t="shared" si="21"/>
        <v>-4</v>
      </c>
      <c r="K229" s="241">
        <f t="shared" si="19"/>
        <v>-40</v>
      </c>
      <c r="L229" s="241"/>
      <c r="M229" s="243">
        <f t="shared" si="20"/>
        <v>0</v>
      </c>
    </row>
    <row r="230" spans="1:13">
      <c r="A230" s="258"/>
      <c r="G230" s="227"/>
      <c r="H230" s="241">
        <v>225</v>
      </c>
      <c r="I230" s="242" t="str">
        <f t="shared" si="18"/>
        <v/>
      </c>
      <c r="J230" s="241">
        <f t="shared" si="21"/>
        <v>-4</v>
      </c>
      <c r="K230" s="241">
        <f t="shared" si="19"/>
        <v>-40</v>
      </c>
      <c r="L230" s="241"/>
      <c r="M230" s="243">
        <f t="shared" si="20"/>
        <v>0</v>
      </c>
    </row>
    <row r="231" spans="1:13">
      <c r="A231" s="258"/>
      <c r="G231" s="227"/>
      <c r="H231" s="244">
        <v>226</v>
      </c>
      <c r="I231" s="242" t="str">
        <f t="shared" si="18"/>
        <v/>
      </c>
      <c r="J231" s="241">
        <f t="shared" si="21"/>
        <v>-4</v>
      </c>
      <c r="K231" s="241">
        <f t="shared" si="19"/>
        <v>-40</v>
      </c>
      <c r="L231" s="241"/>
      <c r="M231" s="243">
        <f t="shared" si="20"/>
        <v>0</v>
      </c>
    </row>
    <row r="232" spans="1:13">
      <c r="A232" s="258"/>
      <c r="G232" s="227"/>
      <c r="H232" s="241">
        <v>227</v>
      </c>
      <c r="I232" s="242" t="str">
        <f t="shared" si="18"/>
        <v/>
      </c>
      <c r="J232" s="241">
        <f t="shared" si="21"/>
        <v>-4</v>
      </c>
      <c r="K232" s="241">
        <f t="shared" si="19"/>
        <v>-40</v>
      </c>
      <c r="L232" s="241"/>
      <c r="M232" s="243">
        <f t="shared" si="20"/>
        <v>0</v>
      </c>
    </row>
    <row r="233" spans="1:13">
      <c r="A233" s="258"/>
      <c r="G233" s="227"/>
      <c r="H233" s="244">
        <v>228</v>
      </c>
      <c r="I233" s="242" t="str">
        <f t="shared" si="18"/>
        <v/>
      </c>
      <c r="J233" s="241">
        <f t="shared" si="21"/>
        <v>-4</v>
      </c>
      <c r="K233" s="241">
        <f t="shared" si="19"/>
        <v>-40</v>
      </c>
      <c r="L233" s="241"/>
      <c r="M233" s="243">
        <f t="shared" si="20"/>
        <v>0</v>
      </c>
    </row>
    <row r="234" spans="1:13">
      <c r="A234" s="258"/>
      <c r="G234" s="227"/>
      <c r="H234" s="241">
        <v>229</v>
      </c>
      <c r="I234" s="242" t="str">
        <f t="shared" si="18"/>
        <v/>
      </c>
      <c r="J234" s="241">
        <f t="shared" si="21"/>
        <v>-4</v>
      </c>
      <c r="K234" s="241">
        <f t="shared" si="19"/>
        <v>-40</v>
      </c>
      <c r="L234" s="241"/>
      <c r="M234" s="243">
        <f t="shared" si="20"/>
        <v>0</v>
      </c>
    </row>
    <row r="235" spans="1:13">
      <c r="A235" s="258"/>
      <c r="G235" s="227"/>
      <c r="H235" s="244">
        <v>230</v>
      </c>
      <c r="I235" s="242" t="str">
        <f t="shared" si="18"/>
        <v/>
      </c>
      <c r="J235" s="241">
        <f t="shared" si="21"/>
        <v>-4</v>
      </c>
      <c r="K235" s="241">
        <f t="shared" si="19"/>
        <v>-40</v>
      </c>
      <c r="L235" s="241"/>
      <c r="M235" s="243">
        <f t="shared" si="20"/>
        <v>0</v>
      </c>
    </row>
    <row r="236" spans="1:13">
      <c r="A236" s="258"/>
      <c r="G236" s="227"/>
      <c r="H236" s="241">
        <v>231</v>
      </c>
      <c r="I236" s="242" t="str">
        <f t="shared" si="18"/>
        <v/>
      </c>
      <c r="J236" s="241">
        <f t="shared" si="21"/>
        <v>-4</v>
      </c>
      <c r="K236" s="241">
        <f t="shared" si="19"/>
        <v>-40</v>
      </c>
      <c r="L236" s="241"/>
      <c r="M236" s="243">
        <f t="shared" si="20"/>
        <v>0</v>
      </c>
    </row>
    <row r="237" spans="1:13">
      <c r="A237" s="258"/>
      <c r="G237" s="227"/>
      <c r="H237" s="244">
        <v>232</v>
      </c>
      <c r="I237" s="242" t="str">
        <f t="shared" si="18"/>
        <v/>
      </c>
      <c r="J237" s="241">
        <f t="shared" si="21"/>
        <v>-4</v>
      </c>
      <c r="K237" s="241">
        <f t="shared" si="19"/>
        <v>-40</v>
      </c>
      <c r="L237" s="241"/>
      <c r="M237" s="243">
        <f t="shared" si="20"/>
        <v>0</v>
      </c>
    </row>
    <row r="238" spans="1:13">
      <c r="A238" s="258"/>
      <c r="G238" s="227"/>
      <c r="H238" s="241">
        <v>233</v>
      </c>
      <c r="I238" s="242" t="str">
        <f t="shared" si="18"/>
        <v/>
      </c>
      <c r="J238" s="241">
        <f t="shared" si="21"/>
        <v>-4</v>
      </c>
      <c r="K238" s="241">
        <f t="shared" si="19"/>
        <v>-40</v>
      </c>
      <c r="L238" s="241"/>
      <c r="M238" s="243">
        <f t="shared" si="20"/>
        <v>0</v>
      </c>
    </row>
    <row r="239" spans="1:13">
      <c r="A239" s="258"/>
      <c r="G239" s="227"/>
      <c r="H239" s="244">
        <v>234</v>
      </c>
      <c r="I239" s="242" t="str">
        <f t="shared" si="18"/>
        <v/>
      </c>
      <c r="J239" s="241">
        <f t="shared" si="21"/>
        <v>-4</v>
      </c>
      <c r="K239" s="241">
        <f t="shared" si="19"/>
        <v>-40</v>
      </c>
      <c r="L239" s="241"/>
      <c r="M239" s="243">
        <f t="shared" si="20"/>
        <v>0</v>
      </c>
    </row>
    <row r="240" spans="1:13">
      <c r="A240" s="258"/>
      <c r="G240" s="227"/>
      <c r="H240" s="241">
        <v>235</v>
      </c>
      <c r="I240" s="242" t="str">
        <f t="shared" si="18"/>
        <v/>
      </c>
      <c r="J240" s="241">
        <f t="shared" si="21"/>
        <v>-4</v>
      </c>
      <c r="K240" s="241">
        <f t="shared" si="19"/>
        <v>-40</v>
      </c>
      <c r="L240" s="241"/>
      <c r="M240" s="243">
        <f t="shared" si="20"/>
        <v>0</v>
      </c>
    </row>
    <row r="241" spans="1:13">
      <c r="A241" s="258"/>
      <c r="G241" s="227"/>
      <c r="H241" s="244">
        <v>236</v>
      </c>
      <c r="I241" s="242" t="str">
        <f t="shared" si="18"/>
        <v/>
      </c>
      <c r="J241" s="241">
        <f t="shared" si="21"/>
        <v>-4</v>
      </c>
      <c r="K241" s="241">
        <f t="shared" si="19"/>
        <v>-40</v>
      </c>
      <c r="L241" s="241"/>
      <c r="M241" s="243">
        <f t="shared" si="20"/>
        <v>0</v>
      </c>
    </row>
    <row r="242" spans="1:13">
      <c r="A242" s="258"/>
      <c r="G242" s="227"/>
      <c r="H242" s="241">
        <v>237</v>
      </c>
      <c r="I242" s="242" t="str">
        <f t="shared" si="18"/>
        <v/>
      </c>
      <c r="J242" s="241">
        <f t="shared" si="21"/>
        <v>-4</v>
      </c>
      <c r="K242" s="241">
        <f t="shared" si="19"/>
        <v>-40</v>
      </c>
      <c r="L242" s="241"/>
      <c r="M242" s="243">
        <f t="shared" si="20"/>
        <v>0</v>
      </c>
    </row>
    <row r="243" spans="1:13">
      <c r="A243" s="258"/>
      <c r="G243" s="227"/>
      <c r="H243" s="244">
        <v>238</v>
      </c>
      <c r="I243" s="242" t="str">
        <f t="shared" si="18"/>
        <v/>
      </c>
      <c r="J243" s="241">
        <f t="shared" si="21"/>
        <v>-4</v>
      </c>
      <c r="K243" s="241">
        <f t="shared" si="19"/>
        <v>-40</v>
      </c>
      <c r="L243" s="241"/>
      <c r="M243" s="243">
        <f t="shared" si="20"/>
        <v>0</v>
      </c>
    </row>
    <row r="244" spans="1:13">
      <c r="A244" s="258"/>
      <c r="G244" s="227"/>
      <c r="H244" s="241">
        <v>239</v>
      </c>
      <c r="I244" s="242" t="str">
        <f t="shared" si="18"/>
        <v/>
      </c>
      <c r="J244" s="241">
        <f t="shared" si="21"/>
        <v>-4</v>
      </c>
      <c r="K244" s="241">
        <f t="shared" si="19"/>
        <v>-40</v>
      </c>
      <c r="L244" s="241"/>
      <c r="M244" s="243">
        <f t="shared" si="20"/>
        <v>0</v>
      </c>
    </row>
    <row r="245" spans="1:13">
      <c r="A245" s="258"/>
      <c r="G245" s="227"/>
      <c r="H245" s="244">
        <v>240</v>
      </c>
      <c r="I245" s="242" t="str">
        <f t="shared" si="18"/>
        <v/>
      </c>
      <c r="J245" s="241">
        <f t="shared" si="21"/>
        <v>-4</v>
      </c>
      <c r="K245" s="241">
        <f t="shared" si="19"/>
        <v>-40</v>
      </c>
      <c r="L245" s="241"/>
      <c r="M245" s="243">
        <f t="shared" si="20"/>
        <v>0</v>
      </c>
    </row>
    <row r="246" spans="1:13">
      <c r="A246" s="258"/>
      <c r="G246" s="227"/>
      <c r="H246" s="241">
        <v>241</v>
      </c>
      <c r="I246" s="242" t="str">
        <f t="shared" si="18"/>
        <v/>
      </c>
      <c r="J246" s="241">
        <f t="shared" si="21"/>
        <v>-4</v>
      </c>
      <c r="K246" s="241">
        <f t="shared" si="19"/>
        <v>-40</v>
      </c>
      <c r="L246" s="241"/>
      <c r="M246" s="243">
        <f t="shared" si="20"/>
        <v>0</v>
      </c>
    </row>
    <row r="247" spans="1:13">
      <c r="A247" s="258"/>
      <c r="G247" s="227"/>
      <c r="H247" s="244">
        <v>242</v>
      </c>
      <c r="I247" s="242" t="str">
        <f t="shared" si="18"/>
        <v/>
      </c>
      <c r="J247" s="241">
        <f t="shared" si="21"/>
        <v>-4</v>
      </c>
      <c r="K247" s="241">
        <f t="shared" si="19"/>
        <v>-40</v>
      </c>
      <c r="L247" s="241"/>
      <c r="M247" s="243">
        <f t="shared" si="20"/>
        <v>0</v>
      </c>
    </row>
    <row r="248" spans="1:13">
      <c r="A248" s="258"/>
      <c r="G248" s="227"/>
      <c r="H248" s="241">
        <v>243</v>
      </c>
      <c r="I248" s="242" t="str">
        <f t="shared" si="18"/>
        <v/>
      </c>
      <c r="J248" s="241">
        <f t="shared" si="21"/>
        <v>-4</v>
      </c>
      <c r="K248" s="241">
        <f t="shared" si="19"/>
        <v>-40</v>
      </c>
      <c r="L248" s="241"/>
      <c r="M248" s="243">
        <f t="shared" si="20"/>
        <v>0</v>
      </c>
    </row>
    <row r="249" spans="1:13">
      <c r="A249" s="258"/>
      <c r="G249" s="227"/>
      <c r="H249" s="244">
        <v>244</v>
      </c>
      <c r="I249" s="242" t="str">
        <f t="shared" si="18"/>
        <v/>
      </c>
      <c r="J249" s="241">
        <f t="shared" si="21"/>
        <v>-4</v>
      </c>
      <c r="K249" s="241">
        <f t="shared" si="19"/>
        <v>-40</v>
      </c>
      <c r="L249" s="241"/>
      <c r="M249" s="243">
        <f t="shared" si="20"/>
        <v>0</v>
      </c>
    </row>
    <row r="250" spans="1:13">
      <c r="A250" s="258"/>
      <c r="G250" s="227"/>
      <c r="H250" s="241">
        <v>245</v>
      </c>
      <c r="I250" s="242" t="str">
        <f t="shared" si="18"/>
        <v/>
      </c>
      <c r="J250" s="241">
        <f t="shared" si="21"/>
        <v>-4</v>
      </c>
      <c r="K250" s="241">
        <f t="shared" si="19"/>
        <v>-40</v>
      </c>
      <c r="L250" s="241"/>
      <c r="M250" s="243">
        <f t="shared" si="20"/>
        <v>0</v>
      </c>
    </row>
    <row r="251" spans="1:13">
      <c r="A251" s="258"/>
      <c r="G251" s="227"/>
      <c r="H251" s="244">
        <v>246</v>
      </c>
      <c r="I251" s="242" t="str">
        <f t="shared" si="18"/>
        <v/>
      </c>
      <c r="J251" s="241">
        <f t="shared" si="21"/>
        <v>-4</v>
      </c>
      <c r="K251" s="241">
        <f t="shared" si="19"/>
        <v>-40</v>
      </c>
      <c r="L251" s="241"/>
      <c r="M251" s="243">
        <f t="shared" si="20"/>
        <v>0</v>
      </c>
    </row>
    <row r="252" spans="1:13">
      <c r="A252" s="258"/>
      <c r="G252" s="227"/>
      <c r="H252" s="241">
        <v>247</v>
      </c>
      <c r="I252" s="242" t="str">
        <f t="shared" si="18"/>
        <v/>
      </c>
      <c r="J252" s="241">
        <f t="shared" si="21"/>
        <v>-4</v>
      </c>
      <c r="K252" s="241">
        <f t="shared" si="19"/>
        <v>-40</v>
      </c>
      <c r="L252" s="241"/>
      <c r="M252" s="243">
        <f t="shared" si="20"/>
        <v>0</v>
      </c>
    </row>
    <row r="253" spans="1:13">
      <c r="A253" s="258"/>
      <c r="G253" s="227"/>
      <c r="H253" s="244">
        <v>248</v>
      </c>
      <c r="I253" s="242" t="str">
        <f t="shared" si="18"/>
        <v/>
      </c>
      <c r="J253" s="241">
        <f t="shared" si="21"/>
        <v>-4</v>
      </c>
      <c r="K253" s="241">
        <f t="shared" si="19"/>
        <v>-40</v>
      </c>
      <c r="L253" s="241"/>
      <c r="M253" s="243">
        <f t="shared" si="20"/>
        <v>0</v>
      </c>
    </row>
    <row r="254" spans="1:13">
      <c r="A254" s="258"/>
      <c r="G254" s="227"/>
      <c r="H254" s="241">
        <v>249</v>
      </c>
      <c r="I254" s="242" t="str">
        <f t="shared" si="18"/>
        <v/>
      </c>
      <c r="J254" s="241">
        <f t="shared" si="21"/>
        <v>-4</v>
      </c>
      <c r="K254" s="241">
        <f t="shared" si="19"/>
        <v>-40</v>
      </c>
      <c r="L254" s="241"/>
      <c r="M254" s="243">
        <f t="shared" si="20"/>
        <v>0</v>
      </c>
    </row>
    <row r="255" spans="1:13">
      <c r="A255" s="258"/>
      <c r="G255" s="227"/>
      <c r="H255" s="244">
        <v>250</v>
      </c>
      <c r="I255" s="242" t="str">
        <f t="shared" si="18"/>
        <v/>
      </c>
      <c r="J255" s="241">
        <f t="shared" si="21"/>
        <v>-4</v>
      </c>
      <c r="K255" s="241">
        <f t="shared" si="19"/>
        <v>-40</v>
      </c>
      <c r="L255" s="241"/>
      <c r="M255" s="243">
        <f t="shared" si="20"/>
        <v>0</v>
      </c>
    </row>
    <row r="256" spans="1:13">
      <c r="A256" s="258"/>
      <c r="G256" s="227"/>
      <c r="H256" s="241">
        <v>251</v>
      </c>
      <c r="I256" s="242" t="str">
        <f t="shared" si="18"/>
        <v/>
      </c>
      <c r="J256" s="241">
        <f t="shared" si="21"/>
        <v>-4</v>
      </c>
      <c r="K256" s="241">
        <f t="shared" si="19"/>
        <v>-40</v>
      </c>
      <c r="L256" s="241"/>
      <c r="M256" s="243">
        <f t="shared" si="20"/>
        <v>0</v>
      </c>
    </row>
    <row r="257" spans="1:13">
      <c r="A257" s="258"/>
      <c r="G257" s="227"/>
      <c r="H257" s="244">
        <v>252</v>
      </c>
      <c r="I257" s="242" t="str">
        <f t="shared" si="18"/>
        <v/>
      </c>
      <c r="J257" s="241">
        <f t="shared" si="21"/>
        <v>-4</v>
      </c>
      <c r="K257" s="241">
        <f t="shared" si="19"/>
        <v>-40</v>
      </c>
      <c r="L257" s="241"/>
      <c r="M257" s="243">
        <f t="shared" si="20"/>
        <v>0</v>
      </c>
    </row>
    <row r="258" spans="1:13">
      <c r="A258" s="258"/>
      <c r="G258" s="227"/>
      <c r="H258" s="241">
        <v>253</v>
      </c>
      <c r="I258" s="242" t="str">
        <f t="shared" si="18"/>
        <v/>
      </c>
      <c r="J258" s="241">
        <f t="shared" si="21"/>
        <v>-4</v>
      </c>
      <c r="K258" s="241">
        <f t="shared" si="19"/>
        <v>-40</v>
      </c>
      <c r="L258" s="241"/>
      <c r="M258" s="243">
        <f t="shared" si="20"/>
        <v>0</v>
      </c>
    </row>
    <row r="259" spans="1:13">
      <c r="A259" s="258"/>
      <c r="G259" s="227"/>
      <c r="H259" s="244">
        <v>254</v>
      </c>
      <c r="I259" s="242" t="str">
        <f t="shared" si="18"/>
        <v/>
      </c>
      <c r="J259" s="241">
        <f t="shared" si="21"/>
        <v>-4</v>
      </c>
      <c r="K259" s="241">
        <f t="shared" si="19"/>
        <v>-40</v>
      </c>
      <c r="L259" s="241"/>
      <c r="M259" s="243">
        <f t="shared" si="20"/>
        <v>0</v>
      </c>
    </row>
    <row r="260" spans="1:13">
      <c r="A260" s="258"/>
      <c r="G260" s="227"/>
      <c r="H260" s="241">
        <v>255</v>
      </c>
      <c r="I260" s="242" t="str">
        <f t="shared" si="18"/>
        <v/>
      </c>
      <c r="J260" s="241">
        <f t="shared" si="21"/>
        <v>-4</v>
      </c>
      <c r="K260" s="241">
        <f t="shared" si="19"/>
        <v>-40</v>
      </c>
      <c r="L260" s="241"/>
      <c r="M260" s="243">
        <f t="shared" si="20"/>
        <v>0</v>
      </c>
    </row>
    <row r="261" spans="1:13">
      <c r="A261" s="258"/>
      <c r="G261" s="227"/>
      <c r="H261" s="244">
        <v>256</v>
      </c>
      <c r="I261" s="242" t="str">
        <f t="shared" si="18"/>
        <v/>
      </c>
      <c r="J261" s="241">
        <f t="shared" si="21"/>
        <v>-4</v>
      </c>
      <c r="K261" s="241">
        <f t="shared" si="19"/>
        <v>-40</v>
      </c>
      <c r="L261" s="241"/>
      <c r="M261" s="243">
        <f t="shared" si="20"/>
        <v>0</v>
      </c>
    </row>
    <row r="262" spans="1:13">
      <c r="A262" s="258"/>
      <c r="G262" s="227"/>
      <c r="H262" s="241">
        <v>257</v>
      </c>
      <c r="I262" s="242" t="str">
        <f t="shared" ref="I262:I305" si="22">IF(H262&lt;$H$2+1,($I$2-($I$2-1)*(LOG(H262)/LOG($H$2))),"")</f>
        <v/>
      </c>
      <c r="J262" s="241">
        <f t="shared" si="21"/>
        <v>-5</v>
      </c>
      <c r="K262" s="241">
        <f t="shared" ref="K262:K305" si="23">J262*$J$2</f>
        <v>-50</v>
      </c>
      <c r="L262" s="241"/>
      <c r="M262" s="243">
        <f t="shared" ref="M262:M305" si="24">IF(I262&lt;&gt;"",K262+I262+L262,0)</f>
        <v>0</v>
      </c>
    </row>
    <row r="263" spans="1:13">
      <c r="A263" s="258"/>
      <c r="G263" s="227"/>
      <c r="H263" s="244">
        <v>258</v>
      </c>
      <c r="I263" s="242" t="str">
        <f t="shared" si="22"/>
        <v/>
      </c>
      <c r="J263" s="241">
        <f t="shared" ref="J263:J305" si="25">INT(LOG($H$2,2))-ROUNDUP(LOG(H263,2),0)+IF(OR($H$2=1,$H$2=2,$H$2=4,$H$2=8,$H$2=16,$H$2=32,$H$2=64,$H$2=128,$H$2=256),0,1)</f>
        <v>-5</v>
      </c>
      <c r="K263" s="241">
        <f t="shared" si="23"/>
        <v>-50</v>
      </c>
      <c r="L263" s="241"/>
      <c r="M263" s="243">
        <f t="shared" si="24"/>
        <v>0</v>
      </c>
    </row>
    <row r="264" spans="1:13">
      <c r="A264" s="258"/>
      <c r="G264" s="227"/>
      <c r="H264" s="241">
        <v>259</v>
      </c>
      <c r="I264" s="242" t="str">
        <f t="shared" si="22"/>
        <v/>
      </c>
      <c r="J264" s="241">
        <f t="shared" si="25"/>
        <v>-5</v>
      </c>
      <c r="K264" s="241">
        <f t="shared" si="23"/>
        <v>-50</v>
      </c>
      <c r="L264" s="241"/>
      <c r="M264" s="243">
        <f t="shared" si="24"/>
        <v>0</v>
      </c>
    </row>
    <row r="265" spans="1:13">
      <c r="A265" s="258"/>
      <c r="G265" s="227"/>
      <c r="H265" s="244">
        <v>260</v>
      </c>
      <c r="I265" s="242" t="str">
        <f t="shared" si="22"/>
        <v/>
      </c>
      <c r="J265" s="241">
        <f t="shared" si="25"/>
        <v>-5</v>
      </c>
      <c r="K265" s="241">
        <f t="shared" si="23"/>
        <v>-50</v>
      </c>
      <c r="L265" s="241"/>
      <c r="M265" s="243">
        <f t="shared" si="24"/>
        <v>0</v>
      </c>
    </row>
    <row r="266" spans="1:13">
      <c r="A266" s="258"/>
      <c r="G266" s="227"/>
      <c r="H266" s="241">
        <v>261</v>
      </c>
      <c r="I266" s="242" t="str">
        <f t="shared" si="22"/>
        <v/>
      </c>
      <c r="J266" s="241">
        <f t="shared" si="25"/>
        <v>-5</v>
      </c>
      <c r="K266" s="241">
        <f t="shared" si="23"/>
        <v>-50</v>
      </c>
      <c r="L266" s="241"/>
      <c r="M266" s="243">
        <f t="shared" si="24"/>
        <v>0</v>
      </c>
    </row>
    <row r="267" spans="1:13">
      <c r="A267" s="258"/>
      <c r="G267" s="227"/>
      <c r="H267" s="244">
        <v>262</v>
      </c>
      <c r="I267" s="242" t="str">
        <f t="shared" si="22"/>
        <v/>
      </c>
      <c r="J267" s="241">
        <f t="shared" si="25"/>
        <v>-5</v>
      </c>
      <c r="K267" s="241">
        <f t="shared" si="23"/>
        <v>-50</v>
      </c>
      <c r="L267" s="241"/>
      <c r="M267" s="243">
        <f t="shared" si="24"/>
        <v>0</v>
      </c>
    </row>
    <row r="268" spans="1:13">
      <c r="A268" s="258"/>
      <c r="G268" s="227"/>
      <c r="H268" s="241">
        <v>263</v>
      </c>
      <c r="I268" s="242" t="str">
        <f t="shared" si="22"/>
        <v/>
      </c>
      <c r="J268" s="241">
        <f t="shared" si="25"/>
        <v>-5</v>
      </c>
      <c r="K268" s="241">
        <f t="shared" si="23"/>
        <v>-50</v>
      </c>
      <c r="L268" s="241"/>
      <c r="M268" s="243">
        <f t="shared" si="24"/>
        <v>0</v>
      </c>
    </row>
    <row r="269" spans="1:13">
      <c r="A269" s="258"/>
      <c r="G269" s="227"/>
      <c r="H269" s="244">
        <v>264</v>
      </c>
      <c r="I269" s="242" t="str">
        <f t="shared" si="22"/>
        <v/>
      </c>
      <c r="J269" s="241">
        <f t="shared" si="25"/>
        <v>-5</v>
      </c>
      <c r="K269" s="241">
        <f t="shared" si="23"/>
        <v>-50</v>
      </c>
      <c r="L269" s="241"/>
      <c r="M269" s="243">
        <f t="shared" si="24"/>
        <v>0</v>
      </c>
    </row>
    <row r="270" spans="1:13">
      <c r="A270" s="258"/>
      <c r="G270" s="227"/>
      <c r="H270" s="241">
        <v>265</v>
      </c>
      <c r="I270" s="242" t="str">
        <f t="shared" si="22"/>
        <v/>
      </c>
      <c r="J270" s="241">
        <f t="shared" si="25"/>
        <v>-5</v>
      </c>
      <c r="K270" s="241">
        <f t="shared" si="23"/>
        <v>-50</v>
      </c>
      <c r="L270" s="241"/>
      <c r="M270" s="243">
        <f t="shared" si="24"/>
        <v>0</v>
      </c>
    </row>
    <row r="271" spans="1:13">
      <c r="A271" s="258"/>
      <c r="G271" s="227"/>
      <c r="H271" s="244">
        <v>266</v>
      </c>
      <c r="I271" s="242" t="str">
        <f t="shared" si="22"/>
        <v/>
      </c>
      <c r="J271" s="241">
        <f t="shared" si="25"/>
        <v>-5</v>
      </c>
      <c r="K271" s="241">
        <f t="shared" si="23"/>
        <v>-50</v>
      </c>
      <c r="L271" s="241"/>
      <c r="M271" s="243">
        <f t="shared" si="24"/>
        <v>0</v>
      </c>
    </row>
    <row r="272" spans="1:13">
      <c r="A272" s="258"/>
      <c r="G272" s="227"/>
      <c r="H272" s="241">
        <v>267</v>
      </c>
      <c r="I272" s="242" t="str">
        <f t="shared" si="22"/>
        <v/>
      </c>
      <c r="J272" s="241">
        <f t="shared" si="25"/>
        <v>-5</v>
      </c>
      <c r="K272" s="241">
        <f t="shared" si="23"/>
        <v>-50</v>
      </c>
      <c r="L272" s="241"/>
      <c r="M272" s="243">
        <f t="shared" si="24"/>
        <v>0</v>
      </c>
    </row>
    <row r="273" spans="1:13">
      <c r="A273" s="258"/>
      <c r="G273" s="227"/>
      <c r="H273" s="244">
        <v>268</v>
      </c>
      <c r="I273" s="242" t="str">
        <f t="shared" si="22"/>
        <v/>
      </c>
      <c r="J273" s="241">
        <f t="shared" si="25"/>
        <v>-5</v>
      </c>
      <c r="K273" s="241">
        <f t="shared" si="23"/>
        <v>-50</v>
      </c>
      <c r="L273" s="241"/>
      <c r="M273" s="243">
        <f t="shared" si="24"/>
        <v>0</v>
      </c>
    </row>
    <row r="274" spans="1:13">
      <c r="A274" s="258"/>
      <c r="G274" s="227"/>
      <c r="H274" s="241">
        <v>269</v>
      </c>
      <c r="I274" s="242" t="str">
        <f t="shared" si="22"/>
        <v/>
      </c>
      <c r="J274" s="241">
        <f t="shared" si="25"/>
        <v>-5</v>
      </c>
      <c r="K274" s="241">
        <f t="shared" si="23"/>
        <v>-50</v>
      </c>
      <c r="L274" s="241"/>
      <c r="M274" s="243">
        <f t="shared" si="24"/>
        <v>0</v>
      </c>
    </row>
    <row r="275" spans="1:13">
      <c r="A275" s="258"/>
      <c r="G275" s="227"/>
      <c r="H275" s="244">
        <v>270</v>
      </c>
      <c r="I275" s="242" t="str">
        <f t="shared" si="22"/>
        <v/>
      </c>
      <c r="J275" s="241">
        <f t="shared" si="25"/>
        <v>-5</v>
      </c>
      <c r="K275" s="241">
        <f t="shared" si="23"/>
        <v>-50</v>
      </c>
      <c r="L275" s="241"/>
      <c r="M275" s="243">
        <f t="shared" si="24"/>
        <v>0</v>
      </c>
    </row>
    <row r="276" spans="1:13">
      <c r="A276" s="258"/>
      <c r="G276" s="227"/>
      <c r="H276" s="241">
        <v>271</v>
      </c>
      <c r="I276" s="242" t="str">
        <f t="shared" si="22"/>
        <v/>
      </c>
      <c r="J276" s="241">
        <f t="shared" si="25"/>
        <v>-5</v>
      </c>
      <c r="K276" s="241">
        <f t="shared" si="23"/>
        <v>-50</v>
      </c>
      <c r="L276" s="241"/>
      <c r="M276" s="243">
        <f t="shared" si="24"/>
        <v>0</v>
      </c>
    </row>
    <row r="277" spans="1:13">
      <c r="A277" s="258"/>
      <c r="G277" s="227"/>
      <c r="H277" s="244">
        <v>272</v>
      </c>
      <c r="I277" s="242" t="str">
        <f t="shared" si="22"/>
        <v/>
      </c>
      <c r="J277" s="241">
        <f t="shared" si="25"/>
        <v>-5</v>
      </c>
      <c r="K277" s="241">
        <f t="shared" si="23"/>
        <v>-50</v>
      </c>
      <c r="L277" s="241"/>
      <c r="M277" s="243">
        <f t="shared" si="24"/>
        <v>0</v>
      </c>
    </row>
    <row r="278" spans="1:13">
      <c r="A278" s="258"/>
      <c r="G278" s="227"/>
      <c r="H278" s="241">
        <v>273</v>
      </c>
      <c r="I278" s="242" t="str">
        <f t="shared" si="22"/>
        <v/>
      </c>
      <c r="J278" s="241">
        <f t="shared" si="25"/>
        <v>-5</v>
      </c>
      <c r="K278" s="241">
        <f t="shared" si="23"/>
        <v>-50</v>
      </c>
      <c r="L278" s="241"/>
      <c r="M278" s="243">
        <f t="shared" si="24"/>
        <v>0</v>
      </c>
    </row>
    <row r="279" spans="1:13">
      <c r="A279" s="258"/>
      <c r="G279" s="227"/>
      <c r="H279" s="244">
        <v>274</v>
      </c>
      <c r="I279" s="242" t="str">
        <f t="shared" si="22"/>
        <v/>
      </c>
      <c r="J279" s="241">
        <f t="shared" si="25"/>
        <v>-5</v>
      </c>
      <c r="K279" s="241">
        <f t="shared" si="23"/>
        <v>-50</v>
      </c>
      <c r="L279" s="241"/>
      <c r="M279" s="243">
        <f t="shared" si="24"/>
        <v>0</v>
      </c>
    </row>
    <row r="280" spans="1:13">
      <c r="A280" s="258"/>
      <c r="G280" s="227"/>
      <c r="H280" s="241">
        <v>275</v>
      </c>
      <c r="I280" s="242" t="str">
        <f t="shared" si="22"/>
        <v/>
      </c>
      <c r="J280" s="241">
        <f t="shared" si="25"/>
        <v>-5</v>
      </c>
      <c r="K280" s="241">
        <f t="shared" si="23"/>
        <v>-50</v>
      </c>
      <c r="L280" s="241"/>
      <c r="M280" s="243">
        <f t="shared" si="24"/>
        <v>0</v>
      </c>
    </row>
    <row r="281" spans="1:13">
      <c r="A281" s="258"/>
      <c r="G281" s="227"/>
      <c r="H281" s="244">
        <v>276</v>
      </c>
      <c r="I281" s="242" t="str">
        <f t="shared" si="22"/>
        <v/>
      </c>
      <c r="J281" s="241">
        <f t="shared" si="25"/>
        <v>-5</v>
      </c>
      <c r="K281" s="241">
        <f t="shared" si="23"/>
        <v>-50</v>
      </c>
      <c r="L281" s="241"/>
      <c r="M281" s="243">
        <f t="shared" si="24"/>
        <v>0</v>
      </c>
    </row>
    <row r="282" spans="1:13">
      <c r="A282" s="258"/>
      <c r="G282" s="227"/>
      <c r="H282" s="241">
        <v>277</v>
      </c>
      <c r="I282" s="242" t="str">
        <f t="shared" si="22"/>
        <v/>
      </c>
      <c r="J282" s="241">
        <f t="shared" si="25"/>
        <v>-5</v>
      </c>
      <c r="K282" s="241">
        <f t="shared" si="23"/>
        <v>-50</v>
      </c>
      <c r="L282" s="241"/>
      <c r="M282" s="243">
        <f t="shared" si="24"/>
        <v>0</v>
      </c>
    </row>
    <row r="283" spans="1:13">
      <c r="A283" s="258"/>
      <c r="G283" s="227"/>
      <c r="H283" s="244">
        <v>278</v>
      </c>
      <c r="I283" s="242" t="str">
        <f t="shared" si="22"/>
        <v/>
      </c>
      <c r="J283" s="241">
        <f t="shared" si="25"/>
        <v>-5</v>
      </c>
      <c r="K283" s="241">
        <f t="shared" si="23"/>
        <v>-50</v>
      </c>
      <c r="L283" s="241"/>
      <c r="M283" s="243">
        <f t="shared" si="24"/>
        <v>0</v>
      </c>
    </row>
    <row r="284" spans="1:13">
      <c r="A284" s="258"/>
      <c r="G284" s="227"/>
      <c r="H284" s="241">
        <v>279</v>
      </c>
      <c r="I284" s="242" t="str">
        <f t="shared" si="22"/>
        <v/>
      </c>
      <c r="J284" s="241">
        <f t="shared" si="25"/>
        <v>-5</v>
      </c>
      <c r="K284" s="241">
        <f t="shared" si="23"/>
        <v>-50</v>
      </c>
      <c r="L284" s="241"/>
      <c r="M284" s="243">
        <f t="shared" si="24"/>
        <v>0</v>
      </c>
    </row>
    <row r="285" spans="1:13">
      <c r="A285" s="258"/>
      <c r="G285" s="227"/>
      <c r="H285" s="244">
        <v>280</v>
      </c>
      <c r="I285" s="242" t="str">
        <f t="shared" si="22"/>
        <v/>
      </c>
      <c r="J285" s="241">
        <f t="shared" si="25"/>
        <v>-5</v>
      </c>
      <c r="K285" s="241">
        <f t="shared" si="23"/>
        <v>-50</v>
      </c>
      <c r="L285" s="241"/>
      <c r="M285" s="243">
        <f t="shared" si="24"/>
        <v>0</v>
      </c>
    </row>
    <row r="286" spans="1:13">
      <c r="A286" s="258"/>
      <c r="G286" s="227"/>
      <c r="H286" s="241">
        <v>281</v>
      </c>
      <c r="I286" s="242" t="str">
        <f t="shared" si="22"/>
        <v/>
      </c>
      <c r="J286" s="241">
        <f t="shared" si="25"/>
        <v>-5</v>
      </c>
      <c r="K286" s="241">
        <f t="shared" si="23"/>
        <v>-50</v>
      </c>
      <c r="L286" s="241"/>
      <c r="M286" s="243">
        <f t="shared" si="24"/>
        <v>0</v>
      </c>
    </row>
    <row r="287" spans="1:13">
      <c r="A287" s="258"/>
      <c r="G287" s="227"/>
      <c r="H287" s="244">
        <v>282</v>
      </c>
      <c r="I287" s="242" t="str">
        <f t="shared" si="22"/>
        <v/>
      </c>
      <c r="J287" s="241">
        <f t="shared" si="25"/>
        <v>-5</v>
      </c>
      <c r="K287" s="241">
        <f t="shared" si="23"/>
        <v>-50</v>
      </c>
      <c r="L287" s="241"/>
      <c r="M287" s="243">
        <f t="shared" si="24"/>
        <v>0</v>
      </c>
    </row>
    <row r="288" spans="1:13">
      <c r="A288" s="258"/>
      <c r="G288" s="227"/>
      <c r="H288" s="241">
        <v>283</v>
      </c>
      <c r="I288" s="242" t="str">
        <f t="shared" si="22"/>
        <v/>
      </c>
      <c r="J288" s="241">
        <f t="shared" si="25"/>
        <v>-5</v>
      </c>
      <c r="K288" s="241">
        <f t="shared" si="23"/>
        <v>-50</v>
      </c>
      <c r="L288" s="241"/>
      <c r="M288" s="243">
        <f t="shared" si="24"/>
        <v>0</v>
      </c>
    </row>
    <row r="289" spans="1:13">
      <c r="A289" s="258"/>
      <c r="G289" s="227"/>
      <c r="H289" s="244">
        <v>284</v>
      </c>
      <c r="I289" s="242" t="str">
        <f t="shared" si="22"/>
        <v/>
      </c>
      <c r="J289" s="241">
        <f t="shared" si="25"/>
        <v>-5</v>
      </c>
      <c r="K289" s="241">
        <f t="shared" si="23"/>
        <v>-50</v>
      </c>
      <c r="L289" s="241"/>
      <c r="M289" s="243">
        <f t="shared" si="24"/>
        <v>0</v>
      </c>
    </row>
    <row r="290" spans="1:13">
      <c r="A290" s="258"/>
      <c r="G290" s="227"/>
      <c r="H290" s="241">
        <v>285</v>
      </c>
      <c r="I290" s="242" t="str">
        <f t="shared" si="22"/>
        <v/>
      </c>
      <c r="J290" s="241">
        <f t="shared" si="25"/>
        <v>-5</v>
      </c>
      <c r="K290" s="241">
        <f t="shared" si="23"/>
        <v>-50</v>
      </c>
      <c r="L290" s="241"/>
      <c r="M290" s="243">
        <f t="shared" si="24"/>
        <v>0</v>
      </c>
    </row>
    <row r="291" spans="1:13">
      <c r="A291" s="258"/>
      <c r="G291" s="227"/>
      <c r="H291" s="244">
        <v>286</v>
      </c>
      <c r="I291" s="242" t="str">
        <f t="shared" si="22"/>
        <v/>
      </c>
      <c r="J291" s="241">
        <f t="shared" si="25"/>
        <v>-5</v>
      </c>
      <c r="K291" s="241">
        <f t="shared" si="23"/>
        <v>-50</v>
      </c>
      <c r="L291" s="241"/>
      <c r="M291" s="243">
        <f t="shared" si="24"/>
        <v>0</v>
      </c>
    </row>
    <row r="292" spans="1:13">
      <c r="A292" s="258"/>
      <c r="G292" s="227"/>
      <c r="H292" s="241">
        <v>287</v>
      </c>
      <c r="I292" s="242" t="str">
        <f t="shared" si="22"/>
        <v/>
      </c>
      <c r="J292" s="241">
        <f t="shared" si="25"/>
        <v>-5</v>
      </c>
      <c r="K292" s="241">
        <f t="shared" si="23"/>
        <v>-50</v>
      </c>
      <c r="L292" s="241"/>
      <c r="M292" s="243">
        <f t="shared" si="24"/>
        <v>0</v>
      </c>
    </row>
    <row r="293" spans="1:13">
      <c r="A293" s="258"/>
      <c r="G293" s="227"/>
      <c r="H293" s="241">
        <v>288</v>
      </c>
      <c r="I293" s="242" t="str">
        <f t="shared" si="22"/>
        <v/>
      </c>
      <c r="J293" s="241">
        <f t="shared" si="25"/>
        <v>-5</v>
      </c>
      <c r="K293" s="241">
        <f t="shared" si="23"/>
        <v>-50</v>
      </c>
      <c r="L293" s="241"/>
      <c r="M293" s="243">
        <f t="shared" si="24"/>
        <v>0</v>
      </c>
    </row>
    <row r="294" spans="1:13">
      <c r="A294" s="258"/>
      <c r="G294" s="227"/>
      <c r="H294" s="241">
        <v>289</v>
      </c>
      <c r="I294" s="242" t="str">
        <f t="shared" si="22"/>
        <v/>
      </c>
      <c r="J294" s="241">
        <f t="shared" si="25"/>
        <v>-5</v>
      </c>
      <c r="K294" s="241">
        <f t="shared" si="23"/>
        <v>-50</v>
      </c>
      <c r="L294" s="241"/>
      <c r="M294" s="243">
        <f t="shared" si="24"/>
        <v>0</v>
      </c>
    </row>
    <row r="295" spans="1:13">
      <c r="A295" s="258"/>
      <c r="G295" s="227"/>
      <c r="H295" s="241">
        <v>290</v>
      </c>
      <c r="I295" s="242" t="str">
        <f t="shared" si="22"/>
        <v/>
      </c>
      <c r="J295" s="241">
        <f t="shared" si="25"/>
        <v>-5</v>
      </c>
      <c r="K295" s="241">
        <f t="shared" si="23"/>
        <v>-50</v>
      </c>
      <c r="L295" s="241"/>
      <c r="M295" s="243">
        <f t="shared" si="24"/>
        <v>0</v>
      </c>
    </row>
    <row r="296" spans="1:13">
      <c r="A296" s="258"/>
      <c r="G296" s="227"/>
      <c r="H296" s="241">
        <v>291</v>
      </c>
      <c r="I296" s="242" t="str">
        <f t="shared" si="22"/>
        <v/>
      </c>
      <c r="J296" s="241">
        <f t="shared" si="25"/>
        <v>-5</v>
      </c>
      <c r="K296" s="241">
        <f t="shared" si="23"/>
        <v>-50</v>
      </c>
      <c r="L296" s="241"/>
      <c r="M296" s="243">
        <f t="shared" si="24"/>
        <v>0</v>
      </c>
    </row>
    <row r="297" spans="1:13">
      <c r="A297" s="258"/>
      <c r="G297" s="227"/>
      <c r="H297" s="241">
        <v>292</v>
      </c>
      <c r="I297" s="242" t="str">
        <f t="shared" si="22"/>
        <v/>
      </c>
      <c r="J297" s="241">
        <f t="shared" si="25"/>
        <v>-5</v>
      </c>
      <c r="K297" s="241">
        <f t="shared" si="23"/>
        <v>-50</v>
      </c>
      <c r="L297" s="241"/>
      <c r="M297" s="243">
        <f t="shared" si="24"/>
        <v>0</v>
      </c>
    </row>
    <row r="298" spans="1:13">
      <c r="A298" s="258"/>
      <c r="G298" s="227"/>
      <c r="H298" s="241">
        <v>293</v>
      </c>
      <c r="I298" s="242" t="str">
        <f t="shared" si="22"/>
        <v/>
      </c>
      <c r="J298" s="241">
        <f t="shared" si="25"/>
        <v>-5</v>
      </c>
      <c r="K298" s="241">
        <f t="shared" si="23"/>
        <v>-50</v>
      </c>
      <c r="L298" s="241"/>
      <c r="M298" s="243">
        <f t="shared" si="24"/>
        <v>0</v>
      </c>
    </row>
    <row r="299" spans="1:13">
      <c r="A299" s="258"/>
      <c r="G299" s="227"/>
      <c r="H299" s="241">
        <v>294</v>
      </c>
      <c r="I299" s="242" t="str">
        <f t="shared" si="22"/>
        <v/>
      </c>
      <c r="J299" s="241">
        <f t="shared" si="25"/>
        <v>-5</v>
      </c>
      <c r="K299" s="241">
        <f t="shared" si="23"/>
        <v>-50</v>
      </c>
      <c r="L299" s="241"/>
      <c r="M299" s="243">
        <f t="shared" si="24"/>
        <v>0</v>
      </c>
    </row>
    <row r="300" spans="1:13">
      <c r="A300" s="258"/>
      <c r="G300" s="227"/>
      <c r="H300" s="241">
        <v>295</v>
      </c>
      <c r="I300" s="242" t="str">
        <f t="shared" si="22"/>
        <v/>
      </c>
      <c r="J300" s="241">
        <f t="shared" si="25"/>
        <v>-5</v>
      </c>
      <c r="K300" s="241">
        <f t="shared" si="23"/>
        <v>-50</v>
      </c>
      <c r="L300" s="241"/>
      <c r="M300" s="243">
        <f t="shared" si="24"/>
        <v>0</v>
      </c>
    </row>
    <row r="301" spans="1:13">
      <c r="A301" s="258"/>
      <c r="G301" s="227"/>
      <c r="H301" s="241">
        <v>296</v>
      </c>
      <c r="I301" s="242" t="str">
        <f t="shared" si="22"/>
        <v/>
      </c>
      <c r="J301" s="241">
        <f t="shared" si="25"/>
        <v>-5</v>
      </c>
      <c r="K301" s="241">
        <f t="shared" si="23"/>
        <v>-50</v>
      </c>
      <c r="L301" s="241"/>
      <c r="M301" s="243">
        <f t="shared" si="24"/>
        <v>0</v>
      </c>
    </row>
    <row r="302" spans="1:13">
      <c r="A302" s="258"/>
      <c r="G302" s="227"/>
      <c r="H302" s="241">
        <v>297</v>
      </c>
      <c r="I302" s="242" t="str">
        <f t="shared" si="22"/>
        <v/>
      </c>
      <c r="J302" s="241">
        <f t="shared" si="25"/>
        <v>-5</v>
      </c>
      <c r="K302" s="241">
        <f t="shared" si="23"/>
        <v>-50</v>
      </c>
      <c r="L302" s="241"/>
      <c r="M302" s="243">
        <f t="shared" si="24"/>
        <v>0</v>
      </c>
    </row>
    <row r="303" spans="1:13">
      <c r="A303" s="258"/>
      <c r="G303" s="227"/>
      <c r="H303" s="241">
        <v>298</v>
      </c>
      <c r="I303" s="242" t="str">
        <f t="shared" si="22"/>
        <v/>
      </c>
      <c r="J303" s="241">
        <f t="shared" si="25"/>
        <v>-5</v>
      </c>
      <c r="K303" s="241">
        <f t="shared" si="23"/>
        <v>-50</v>
      </c>
      <c r="L303" s="241"/>
      <c r="M303" s="243">
        <f t="shared" si="24"/>
        <v>0</v>
      </c>
    </row>
    <row r="304" spans="1:13">
      <c r="A304" s="258"/>
      <c r="G304" s="227"/>
      <c r="H304" s="241">
        <v>299</v>
      </c>
      <c r="I304" s="242" t="str">
        <f t="shared" si="22"/>
        <v/>
      </c>
      <c r="J304" s="241">
        <f t="shared" si="25"/>
        <v>-5</v>
      </c>
      <c r="K304" s="241">
        <f t="shared" si="23"/>
        <v>-50</v>
      </c>
      <c r="L304" s="241"/>
      <c r="M304" s="243">
        <f t="shared" si="24"/>
        <v>0</v>
      </c>
    </row>
    <row r="305" spans="1:16">
      <c r="A305" s="258"/>
      <c r="G305" s="227"/>
      <c r="H305" s="241">
        <v>300</v>
      </c>
      <c r="I305" s="242" t="str">
        <f t="shared" si="22"/>
        <v/>
      </c>
      <c r="J305" s="241">
        <f t="shared" si="25"/>
        <v>-5</v>
      </c>
      <c r="K305" s="241">
        <f t="shared" si="23"/>
        <v>-50</v>
      </c>
      <c r="L305" s="241"/>
      <c r="M305" s="243">
        <f t="shared" si="24"/>
        <v>0</v>
      </c>
    </row>
    <row r="306" spans="1:16">
      <c r="A306" s="259"/>
    </row>
    <row r="314" spans="1:16">
      <c r="L314" s="262"/>
      <c r="P314" s="252"/>
    </row>
    <row r="315" spans="1:16">
      <c r="L315" s="262"/>
      <c r="P315" s="252"/>
    </row>
    <row r="316" spans="1:16">
      <c r="L316" s="262"/>
      <c r="P316" s="252"/>
    </row>
    <row r="317" spans="1:16">
      <c r="L317" s="262"/>
      <c r="P317" s="252"/>
    </row>
  </sheetData>
  <conditionalFormatting sqref="J6:K305">
    <cfRule type="cellIs" dxfId="16" priority="1" operator="lessThanOrEqual">
      <formula>0</formula>
    </cfRule>
  </conditionalFormatting>
  <hyperlinks>
    <hyperlink ref="C2" r:id="rId1" xr:uid="{0459E109-3450-451B-B1A1-EEDDD2B91170}"/>
  </hyperlink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8C1C-914E-4A4B-9D04-5EDC8A5970C1}">
  <sheetPr>
    <tabColor rgb="FF92D050"/>
  </sheetPr>
  <dimension ref="A1:AL317"/>
  <sheetViews>
    <sheetView workbookViewId="0">
      <selection activeCell="C3" sqref="C3"/>
    </sheetView>
  </sheetViews>
  <sheetFormatPr defaultColWidth="8.85546875" defaultRowHeight="14.25"/>
  <cols>
    <col min="1" max="1" width="8" style="123" customWidth="1"/>
    <col min="2" max="2" width="8.28515625" style="123" customWidth="1"/>
    <col min="3" max="3" width="34.7109375" style="123" customWidth="1"/>
    <col min="4" max="4" width="11.28515625" style="123" customWidth="1"/>
    <col min="5" max="6" width="8.85546875" style="123"/>
    <col min="7" max="7" width="0.85546875" style="123" customWidth="1"/>
    <col min="8" max="8" width="8.85546875" style="126"/>
    <col min="9" max="9" width="11" style="126" customWidth="1"/>
    <col min="10" max="10" width="15.28515625" style="126" customWidth="1"/>
    <col min="11" max="11" width="8.7109375" style="126" customWidth="1"/>
    <col min="12" max="12" width="11" style="126" customWidth="1"/>
    <col min="13" max="13" width="12.28515625" style="127" customWidth="1"/>
    <col min="14" max="15" width="13.85546875" style="88" customWidth="1"/>
    <col min="16" max="18" width="8.85546875" style="88"/>
    <col min="19" max="20" width="8.85546875" style="93"/>
    <col min="21" max="21" width="12.140625" style="93" customWidth="1"/>
    <col min="22" max="22" width="27.42578125" style="93" customWidth="1"/>
    <col min="23" max="38" width="8.85546875" style="93"/>
    <col min="39" max="16384" width="8.85546875" style="123"/>
  </cols>
  <sheetData>
    <row r="1" spans="1:36" s="93" customFormat="1">
      <c r="A1" s="88"/>
      <c r="B1" s="88"/>
      <c r="C1" s="88"/>
      <c r="D1" s="88"/>
      <c r="E1" s="88"/>
      <c r="F1" s="88"/>
      <c r="G1" s="88"/>
      <c r="H1" s="89" t="s">
        <v>34</v>
      </c>
      <c r="I1" s="90" t="s">
        <v>35</v>
      </c>
      <c r="J1" s="90" t="s">
        <v>36</v>
      </c>
      <c r="K1" s="91" t="s">
        <v>131</v>
      </c>
      <c r="L1" s="92"/>
      <c r="M1" s="92"/>
      <c r="N1" s="88"/>
      <c r="O1" s="88"/>
      <c r="P1" s="88"/>
      <c r="Q1" s="88"/>
      <c r="R1" s="88"/>
    </row>
    <row r="2" spans="1:36" s="93" customFormat="1">
      <c r="A2" s="88"/>
      <c r="B2" s="21" t="s">
        <v>38</v>
      </c>
      <c r="C2" s="74" t="s">
        <v>139</v>
      </c>
      <c r="D2" s="73"/>
      <c r="E2" s="22"/>
      <c r="F2" s="22"/>
      <c r="G2" s="22"/>
      <c r="H2" s="94">
        <v>13</v>
      </c>
      <c r="I2" s="95">
        <v>50</v>
      </c>
      <c r="J2" s="95">
        <v>10</v>
      </c>
      <c r="K2" s="129">
        <f>3*H2^(1/3)</f>
        <v>7.0540040631622718</v>
      </c>
      <c r="L2" s="92"/>
      <c r="M2" s="92"/>
      <c r="N2" s="88"/>
      <c r="O2" s="88"/>
      <c r="P2" s="88"/>
      <c r="Q2" s="88"/>
      <c r="R2" s="88"/>
    </row>
    <row r="3" spans="1:36" s="93" customFormat="1">
      <c r="A3" s="88"/>
      <c r="B3" s="97" t="s">
        <v>40</v>
      </c>
      <c r="C3" s="74" t="s">
        <v>140</v>
      </c>
      <c r="D3" s="74"/>
      <c r="E3" s="27"/>
      <c r="F3" s="27"/>
      <c r="G3" s="27"/>
      <c r="H3" s="92"/>
      <c r="I3" s="92"/>
      <c r="J3" s="98"/>
      <c r="K3" s="92"/>
      <c r="L3" s="92"/>
      <c r="M3" s="92"/>
      <c r="N3" s="88"/>
      <c r="O3" s="88"/>
      <c r="P3" s="88"/>
      <c r="Q3" s="88"/>
      <c r="R3" s="88"/>
    </row>
    <row r="4" spans="1:36" s="93" customFormat="1" ht="10.15" customHeight="1">
      <c r="A4" s="29"/>
      <c r="B4" s="27"/>
      <c r="C4" s="29"/>
      <c r="D4" s="29"/>
      <c r="E4" s="29"/>
      <c r="F4" s="29"/>
      <c r="G4" s="29"/>
      <c r="H4" s="92"/>
      <c r="I4" s="92"/>
      <c r="J4" s="98"/>
      <c r="K4" s="92"/>
      <c r="L4" s="92"/>
      <c r="M4" s="92"/>
      <c r="N4" s="88"/>
      <c r="O4" s="88"/>
      <c r="P4" s="88"/>
      <c r="Q4" s="88"/>
      <c r="R4" s="88"/>
    </row>
    <row r="5" spans="1:36" s="93" customFormat="1" ht="34.700000000000003">
      <c r="A5" s="1" t="s">
        <v>42</v>
      </c>
      <c r="B5" s="30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9"/>
      <c r="H5" s="99" t="s">
        <v>48</v>
      </c>
      <c r="I5" s="100" t="s">
        <v>49</v>
      </c>
      <c r="J5" s="101" t="s">
        <v>50</v>
      </c>
      <c r="K5" s="100" t="s">
        <v>51</v>
      </c>
      <c r="L5" s="100" t="s">
        <v>52</v>
      </c>
      <c r="M5" s="99" t="s">
        <v>53</v>
      </c>
      <c r="N5" s="88"/>
      <c r="O5" s="88"/>
      <c r="P5" s="88"/>
      <c r="Q5" s="88"/>
      <c r="R5" s="88"/>
    </row>
    <row r="6" spans="1:36" s="93" customFormat="1" ht="14.45" customHeight="1">
      <c r="A6" s="102">
        <f t="shared" ref="A6:A69" si="0">M6</f>
        <v>111.16201218948682</v>
      </c>
      <c r="B6" s="35">
        <f>IF(H6&gt;$H$2,"",(ROW()-5))</f>
        <v>1</v>
      </c>
      <c r="C6" s="36" t="s">
        <v>57</v>
      </c>
      <c r="D6" s="36"/>
      <c r="E6" s="36"/>
      <c r="F6" s="36"/>
      <c r="G6" s="29"/>
      <c r="H6" s="103">
        <v>1</v>
      </c>
      <c r="I6" s="104">
        <f t="shared" ref="I6:I69" si="1">IF(H6&lt;$H$2+1,($I$2-($I$2-1)*(LOG(H6)/LOG($H$2))),"")</f>
        <v>50</v>
      </c>
      <c r="J6" s="103">
        <f t="shared" ref="J6:J69" si="2">INT(LOG($H$2,2))-ROUNDUP(LOG(H6,2),0)+IF(OR($H$2=1,$H$2=2,$H$2=4,$H$2=8,$H$2=16,$H$2=32,$H$2=64,$H$2=128,$H$2=256),0,1)</f>
        <v>4</v>
      </c>
      <c r="K6" s="103">
        <f t="shared" ref="K6:K69" si="3">J6*$J$2</f>
        <v>40</v>
      </c>
      <c r="L6" s="105">
        <f>3*K2</f>
        <v>21.162012189486816</v>
      </c>
      <c r="M6" s="105">
        <f t="shared" ref="M6:M69" si="4">IF(I6&lt;&gt;"",K6+I6+L6,0)</f>
        <v>111.16201218948682</v>
      </c>
      <c r="N6" s="88"/>
      <c r="O6" s="88"/>
      <c r="P6" s="88"/>
      <c r="Q6" s="88"/>
      <c r="R6" s="88"/>
    </row>
    <row r="7" spans="1:36" s="93" customFormat="1" ht="14.45" customHeight="1">
      <c r="A7" s="106">
        <f t="shared" si="0"/>
        <v>80.866338559385881</v>
      </c>
      <c r="B7" s="41">
        <f>IF(H7&gt;$H$2,"",(ROW()-5))</f>
        <v>2</v>
      </c>
      <c r="C7" s="42" t="s">
        <v>57</v>
      </c>
      <c r="D7" s="42"/>
      <c r="E7" s="42"/>
      <c r="F7" s="42"/>
      <c r="G7" s="29"/>
      <c r="H7" s="107">
        <v>2</v>
      </c>
      <c r="I7" s="108">
        <f t="shared" si="1"/>
        <v>36.758330433061332</v>
      </c>
      <c r="J7" s="107">
        <f t="shared" si="2"/>
        <v>3</v>
      </c>
      <c r="K7" s="107">
        <f t="shared" si="3"/>
        <v>30</v>
      </c>
      <c r="L7" s="109">
        <f>2*K2</f>
        <v>14.108008126324544</v>
      </c>
      <c r="M7" s="109">
        <f t="shared" si="4"/>
        <v>80.866338559385881</v>
      </c>
      <c r="N7" s="88"/>
      <c r="O7" s="88"/>
      <c r="P7" s="88"/>
      <c r="Q7" s="88"/>
      <c r="R7" s="88"/>
    </row>
    <row r="8" spans="1:36" s="93" customFormat="1" ht="14.45" customHeight="1">
      <c r="A8" s="102">
        <f t="shared" si="0"/>
        <v>56.066454352623936</v>
      </c>
      <c r="B8" s="35">
        <f>IF(H8&gt;$H$2,"",(ROW()-5))</f>
        <v>3</v>
      </c>
      <c r="C8" s="36" t="s">
        <v>57</v>
      </c>
      <c r="D8" s="36"/>
      <c r="E8" s="36"/>
      <c r="F8" s="36"/>
      <c r="G8" s="29"/>
      <c r="H8" s="103">
        <v>3</v>
      </c>
      <c r="I8" s="104">
        <f t="shared" si="1"/>
        <v>29.012450289461661</v>
      </c>
      <c r="J8" s="103">
        <f t="shared" si="2"/>
        <v>2</v>
      </c>
      <c r="K8" s="103">
        <f t="shared" si="3"/>
        <v>20</v>
      </c>
      <c r="L8" s="105">
        <f>K2</f>
        <v>7.0540040631622718</v>
      </c>
      <c r="M8" s="105">
        <f t="shared" si="4"/>
        <v>56.066454352623936</v>
      </c>
      <c r="N8" s="88"/>
      <c r="O8" s="88"/>
      <c r="P8" s="88"/>
      <c r="Q8" s="88"/>
      <c r="R8" s="88"/>
    </row>
    <row r="9" spans="1:36" s="93" customFormat="1" ht="14.45" customHeight="1">
      <c r="A9" s="106">
        <f t="shared" si="0"/>
        <v>56.066454352623936</v>
      </c>
      <c r="B9" s="41">
        <f>IF(H9&gt;$H$2,"",3)</f>
        <v>3</v>
      </c>
      <c r="C9" s="42" t="s">
        <v>57</v>
      </c>
      <c r="D9" s="42"/>
      <c r="E9" s="42"/>
      <c r="F9" s="42"/>
      <c r="G9" s="29"/>
      <c r="H9" s="107">
        <v>3</v>
      </c>
      <c r="I9" s="108">
        <f t="shared" si="1"/>
        <v>29.012450289461661</v>
      </c>
      <c r="J9" s="107">
        <f t="shared" si="2"/>
        <v>2</v>
      </c>
      <c r="K9" s="107">
        <f t="shared" si="3"/>
        <v>20</v>
      </c>
      <c r="L9" s="109">
        <f>K2</f>
        <v>7.0540040631622718</v>
      </c>
      <c r="M9" s="109">
        <f t="shared" si="4"/>
        <v>56.066454352623936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57</v>
      </c>
      <c r="AI9" s="93">
        <v>23</v>
      </c>
    </row>
    <row r="10" spans="1:36" s="93" customFormat="1" ht="14.45" customHeight="1">
      <c r="A10" s="102">
        <f t="shared" si="0"/>
        <v>39.253795409310129</v>
      </c>
      <c r="B10" s="35">
        <f t="shared" ref="B10:B73" si="5">IF(H10&gt;$H$2,"",(ROW()-5))</f>
        <v>5</v>
      </c>
      <c r="C10" s="36" t="s">
        <v>57</v>
      </c>
      <c r="D10" s="36"/>
      <c r="E10" s="36"/>
      <c r="F10" s="36"/>
      <c r="G10" s="29"/>
      <c r="H10" s="103">
        <v>5</v>
      </c>
      <c r="I10" s="104">
        <f t="shared" si="1"/>
        <v>19.253795409310133</v>
      </c>
      <c r="J10" s="103">
        <v>2</v>
      </c>
      <c r="K10" s="103">
        <f t="shared" si="3"/>
        <v>20</v>
      </c>
      <c r="L10" s="103"/>
      <c r="M10" s="105">
        <f t="shared" si="4"/>
        <v>39.253795409310129</v>
      </c>
      <c r="N10" s="88"/>
      <c r="O10" s="88"/>
      <c r="P10" s="88"/>
      <c r="Q10" s="88"/>
      <c r="R10" s="88"/>
      <c r="V10" s="110"/>
      <c r="Z10" s="111"/>
      <c r="AA10" s="111"/>
      <c r="AG10" s="112"/>
      <c r="AH10" s="93" t="s">
        <v>58</v>
      </c>
      <c r="AI10" s="93">
        <v>45</v>
      </c>
    </row>
    <row r="11" spans="1:36" s="93" customFormat="1" ht="14.45" customHeight="1">
      <c r="A11" s="106">
        <f t="shared" si="0"/>
        <v>25.770780722522993</v>
      </c>
      <c r="B11" s="41">
        <f t="shared" si="5"/>
        <v>6</v>
      </c>
      <c r="C11" s="42" t="s">
        <v>26</v>
      </c>
      <c r="D11" s="42"/>
      <c r="E11" s="42"/>
      <c r="F11" s="42"/>
      <c r="G11" s="29"/>
      <c r="H11" s="107">
        <v>6</v>
      </c>
      <c r="I11" s="108">
        <f t="shared" si="1"/>
        <v>15.770780722522993</v>
      </c>
      <c r="J11" s="107">
        <f t="shared" si="2"/>
        <v>1</v>
      </c>
      <c r="K11" s="107">
        <f t="shared" si="3"/>
        <v>10</v>
      </c>
      <c r="L11" s="107"/>
      <c r="M11" s="109">
        <f t="shared" si="4"/>
        <v>25.770780722522993</v>
      </c>
      <c r="N11" s="88"/>
      <c r="O11" s="88"/>
      <c r="P11" s="88"/>
      <c r="Q11" s="88"/>
      <c r="R11" s="88"/>
      <c r="V11" s="113"/>
      <c r="Z11" s="111"/>
      <c r="AA11" s="111"/>
      <c r="AG11" s="112"/>
      <c r="AH11" s="93" t="s">
        <v>60</v>
      </c>
      <c r="AI11" s="93">
        <v>50</v>
      </c>
    </row>
    <row r="12" spans="1:36" s="93" customFormat="1" ht="14.45" customHeight="1">
      <c r="A12" s="102">
        <f t="shared" si="0"/>
        <v>22.825933764994346</v>
      </c>
      <c r="B12" s="35">
        <f t="shared" si="5"/>
        <v>7</v>
      </c>
      <c r="C12" s="36" t="s">
        <v>57</v>
      </c>
      <c r="D12" s="36"/>
      <c r="E12" s="36"/>
      <c r="F12" s="36"/>
      <c r="G12" s="29"/>
      <c r="H12" s="103">
        <v>7</v>
      </c>
      <c r="I12" s="104">
        <f t="shared" si="1"/>
        <v>12.825933764994346</v>
      </c>
      <c r="J12" s="103">
        <f t="shared" si="2"/>
        <v>1</v>
      </c>
      <c r="K12" s="103">
        <f t="shared" si="3"/>
        <v>10</v>
      </c>
      <c r="L12" s="103"/>
      <c r="M12" s="105">
        <f t="shared" si="4"/>
        <v>22.825933764994346</v>
      </c>
      <c r="N12" s="88"/>
      <c r="O12" s="88"/>
      <c r="P12" s="88"/>
      <c r="Q12" s="88"/>
      <c r="R12" s="88"/>
      <c r="Z12" s="111"/>
      <c r="AA12" s="111"/>
      <c r="AG12" s="112"/>
      <c r="AH12" s="93" t="s">
        <v>61</v>
      </c>
      <c r="AI12" s="93">
        <f>AI11-1</f>
        <v>49</v>
      </c>
    </row>
    <row r="13" spans="1:36" s="93" customFormat="1" ht="14.45" customHeight="1">
      <c r="A13" s="106">
        <f t="shared" si="0"/>
        <v>20.274991299184002</v>
      </c>
      <c r="B13" s="41">
        <f t="shared" si="5"/>
        <v>8</v>
      </c>
      <c r="C13" s="42" t="s">
        <v>57</v>
      </c>
      <c r="D13" s="42"/>
      <c r="E13" s="42"/>
      <c r="F13" s="42"/>
      <c r="G13" s="29"/>
      <c r="H13" s="107">
        <v>8</v>
      </c>
      <c r="I13" s="108">
        <f t="shared" si="1"/>
        <v>10.274991299184002</v>
      </c>
      <c r="J13" s="107">
        <f t="shared" si="2"/>
        <v>1</v>
      </c>
      <c r="K13" s="107">
        <f t="shared" si="3"/>
        <v>10</v>
      </c>
      <c r="L13" s="107"/>
      <c r="M13" s="109">
        <f t="shared" si="4"/>
        <v>20.274991299184002</v>
      </c>
      <c r="N13" s="88"/>
      <c r="O13" s="88"/>
      <c r="P13" s="88"/>
      <c r="Q13" s="88"/>
      <c r="R13" s="88"/>
      <c r="X13" s="110"/>
      <c r="AG13" s="112"/>
      <c r="AH13" s="93" t="s">
        <v>62</v>
      </c>
      <c r="AI13" s="93">
        <f>LOG(AI9)</f>
        <v>1.3617278360175928</v>
      </c>
    </row>
    <row r="14" spans="1:36" s="93" customFormat="1">
      <c r="A14" s="102">
        <f t="shared" si="0"/>
        <v>8.0249005789233223</v>
      </c>
      <c r="B14" s="35">
        <f t="shared" si="5"/>
        <v>9</v>
      </c>
      <c r="C14" s="36" t="s">
        <v>57</v>
      </c>
      <c r="D14" s="36"/>
      <c r="E14" s="36"/>
      <c r="F14" s="36"/>
      <c r="G14" s="29"/>
      <c r="H14" s="103">
        <v>9</v>
      </c>
      <c r="I14" s="104">
        <f t="shared" si="1"/>
        <v>8.0249005789233223</v>
      </c>
      <c r="J14" s="103">
        <f t="shared" si="2"/>
        <v>0</v>
      </c>
      <c r="K14" s="103">
        <f t="shared" si="3"/>
        <v>0</v>
      </c>
      <c r="L14" s="103"/>
      <c r="M14" s="105">
        <f t="shared" si="4"/>
        <v>8.0249005789233223</v>
      </c>
      <c r="N14" s="88"/>
      <c r="O14" s="88"/>
      <c r="P14" s="88"/>
      <c r="Q14" s="88"/>
      <c r="R14" s="88"/>
      <c r="X14" s="114"/>
      <c r="Z14" s="111"/>
      <c r="AA14" s="111"/>
      <c r="AG14" s="112"/>
      <c r="AH14" s="93" t="s">
        <v>64</v>
      </c>
      <c r="AI14" s="93">
        <f>LOG(AI10)</f>
        <v>1.6532125137753437</v>
      </c>
    </row>
    <row r="15" spans="1:36" s="93" customFormat="1">
      <c r="A15" s="106">
        <f t="shared" si="0"/>
        <v>6.0121258423714679</v>
      </c>
      <c r="B15" s="41">
        <f t="shared" si="5"/>
        <v>10</v>
      </c>
      <c r="C15" s="42" t="s">
        <v>57</v>
      </c>
      <c r="D15" s="42"/>
      <c r="E15" s="42"/>
      <c r="F15" s="42"/>
      <c r="G15" s="29"/>
      <c r="H15" s="107">
        <v>10</v>
      </c>
      <c r="I15" s="108">
        <f t="shared" si="1"/>
        <v>6.0121258423714679</v>
      </c>
      <c r="J15" s="107">
        <f t="shared" si="2"/>
        <v>0</v>
      </c>
      <c r="K15" s="107">
        <f t="shared" si="3"/>
        <v>0</v>
      </c>
      <c r="L15" s="107"/>
      <c r="M15" s="109">
        <f t="shared" si="4"/>
        <v>6.0121258423714679</v>
      </c>
      <c r="N15" s="88"/>
      <c r="O15" s="88"/>
      <c r="P15" s="88"/>
      <c r="Q15" s="88"/>
      <c r="R15" s="88"/>
      <c r="X15" s="110"/>
      <c r="Z15" s="111"/>
      <c r="AA15" s="111"/>
    </row>
    <row r="16" spans="1:36" s="93" customFormat="1">
      <c r="A16" s="102">
        <f t="shared" si="0"/>
        <v>4.1913496165851214</v>
      </c>
      <c r="B16" s="35">
        <f t="shared" si="5"/>
        <v>11</v>
      </c>
      <c r="C16" s="36" t="s">
        <v>57</v>
      </c>
      <c r="D16" s="36"/>
      <c r="E16" s="36"/>
      <c r="F16" s="36"/>
      <c r="G16" s="29"/>
      <c r="H16" s="103">
        <v>11</v>
      </c>
      <c r="I16" s="104">
        <f t="shared" si="1"/>
        <v>4.1913496165851214</v>
      </c>
      <c r="J16" s="103">
        <f t="shared" si="2"/>
        <v>0</v>
      </c>
      <c r="K16" s="103">
        <f t="shared" si="3"/>
        <v>0</v>
      </c>
      <c r="L16" s="103"/>
      <c r="M16" s="105">
        <f t="shared" si="4"/>
        <v>4.1913496165851214</v>
      </c>
      <c r="N16" s="88"/>
      <c r="O16" s="88"/>
      <c r="P16" s="88"/>
      <c r="Q16" s="88"/>
      <c r="R16" s="115"/>
      <c r="Z16" s="111"/>
      <c r="AA16" s="111"/>
      <c r="AH16" s="116" t="s">
        <v>66</v>
      </c>
      <c r="AI16" s="93">
        <f>AI11-AI12*AI13/AI14</f>
        <v>9.6393909380186855</v>
      </c>
      <c r="AJ16" s="93" t="s">
        <v>67</v>
      </c>
    </row>
    <row r="17" spans="1:19" s="93" customFormat="1">
      <c r="A17" s="106">
        <f t="shared" si="0"/>
        <v>2.5291111555843244</v>
      </c>
      <c r="B17" s="41">
        <f t="shared" si="5"/>
        <v>12</v>
      </c>
      <c r="C17" s="42" t="s">
        <v>57</v>
      </c>
      <c r="D17" s="42"/>
      <c r="E17" s="42"/>
      <c r="F17" s="42"/>
      <c r="G17" s="29"/>
      <c r="H17" s="107">
        <v>12</v>
      </c>
      <c r="I17" s="108">
        <f t="shared" si="1"/>
        <v>2.5291111555843244</v>
      </c>
      <c r="J17" s="107">
        <f t="shared" si="2"/>
        <v>0</v>
      </c>
      <c r="K17" s="107">
        <f t="shared" si="3"/>
        <v>0</v>
      </c>
      <c r="L17" s="107"/>
      <c r="M17" s="109">
        <f t="shared" si="4"/>
        <v>2.5291111555843244</v>
      </c>
      <c r="N17" s="88"/>
      <c r="O17" s="88"/>
      <c r="P17" s="88"/>
      <c r="Q17" s="88"/>
      <c r="R17" s="88"/>
    </row>
    <row r="18" spans="1:19" s="93" customFormat="1">
      <c r="A18" s="102">
        <f t="shared" si="0"/>
        <v>1</v>
      </c>
      <c r="B18" s="35">
        <f t="shared" si="5"/>
        <v>13</v>
      </c>
      <c r="C18" s="36" t="s">
        <v>57</v>
      </c>
      <c r="D18" s="36"/>
      <c r="E18" s="36"/>
      <c r="F18" s="36"/>
      <c r="G18" s="29"/>
      <c r="H18" s="103">
        <v>13</v>
      </c>
      <c r="I18" s="104">
        <f t="shared" si="1"/>
        <v>1</v>
      </c>
      <c r="J18" s="103">
        <f t="shared" si="2"/>
        <v>0</v>
      </c>
      <c r="K18" s="103">
        <f t="shared" si="3"/>
        <v>0</v>
      </c>
      <c r="L18" s="103"/>
      <c r="M18" s="105">
        <f t="shared" si="4"/>
        <v>1</v>
      </c>
      <c r="N18" s="88"/>
      <c r="O18" s="88"/>
      <c r="P18" s="88"/>
      <c r="Q18" s="88"/>
      <c r="R18" s="88"/>
    </row>
    <row r="19" spans="1:19" s="93" customFormat="1">
      <c r="A19" s="106">
        <f t="shared" si="0"/>
        <v>0</v>
      </c>
      <c r="B19" s="41" t="str">
        <f t="shared" si="5"/>
        <v/>
      </c>
      <c r="C19" s="42"/>
      <c r="D19" s="42"/>
      <c r="E19" s="42"/>
      <c r="F19" s="42"/>
      <c r="G19" s="29"/>
      <c r="H19" s="107">
        <v>14</v>
      </c>
      <c r="I19" s="108" t="str">
        <f t="shared" si="1"/>
        <v/>
      </c>
      <c r="J19" s="107">
        <f t="shared" si="2"/>
        <v>0</v>
      </c>
      <c r="K19" s="107">
        <f t="shared" si="3"/>
        <v>0</v>
      </c>
      <c r="L19" s="107"/>
      <c r="M19" s="109">
        <f t="shared" si="4"/>
        <v>0</v>
      </c>
      <c r="N19" s="88"/>
      <c r="O19" s="88"/>
      <c r="P19" s="88"/>
      <c r="Q19" s="88"/>
      <c r="R19" s="88"/>
    </row>
    <row r="20" spans="1:19" s="93" customFormat="1">
      <c r="A20" s="102">
        <f t="shared" si="0"/>
        <v>0</v>
      </c>
      <c r="B20" s="35" t="str">
        <f t="shared" si="5"/>
        <v/>
      </c>
      <c r="C20" s="36"/>
      <c r="D20" s="36"/>
      <c r="E20" s="36"/>
      <c r="F20" s="36"/>
      <c r="G20" s="29"/>
      <c r="H20" s="103">
        <v>15</v>
      </c>
      <c r="I20" s="104" t="str">
        <f t="shared" si="1"/>
        <v/>
      </c>
      <c r="J20" s="103">
        <f t="shared" si="2"/>
        <v>0</v>
      </c>
      <c r="K20" s="103">
        <f t="shared" si="3"/>
        <v>0</v>
      </c>
      <c r="L20" s="103"/>
      <c r="M20" s="105">
        <f t="shared" si="4"/>
        <v>0</v>
      </c>
      <c r="N20" s="88"/>
      <c r="O20" s="88"/>
      <c r="P20" s="88"/>
      <c r="Q20" s="88"/>
      <c r="R20" s="117"/>
      <c r="S20" s="118"/>
    </row>
    <row r="21" spans="1:19" s="93" customFormat="1">
      <c r="A21" s="214">
        <v>45.02</v>
      </c>
      <c r="B21" s="215" t="s">
        <v>141</v>
      </c>
      <c r="C21" s="216" t="s">
        <v>19</v>
      </c>
      <c r="D21" s="42"/>
      <c r="E21" s="42"/>
      <c r="F21" s="42"/>
      <c r="G21" s="29"/>
      <c r="H21" s="107">
        <v>16</v>
      </c>
      <c r="I21" s="108" t="str">
        <f t="shared" si="1"/>
        <v/>
      </c>
      <c r="J21" s="107">
        <f t="shared" si="2"/>
        <v>0</v>
      </c>
      <c r="K21" s="107">
        <f t="shared" si="3"/>
        <v>0</v>
      </c>
      <c r="L21" s="107"/>
      <c r="M21" s="109">
        <f t="shared" si="4"/>
        <v>0</v>
      </c>
      <c r="N21" s="88"/>
      <c r="O21" s="88"/>
      <c r="P21" s="88"/>
      <c r="Q21" s="88"/>
      <c r="R21" s="88"/>
    </row>
    <row r="22" spans="1:19" s="93" customFormat="1">
      <c r="A22" s="102">
        <f t="shared" si="0"/>
        <v>0</v>
      </c>
      <c r="B22" s="35" t="str">
        <f t="shared" si="5"/>
        <v/>
      </c>
      <c r="C22" s="36"/>
      <c r="D22" s="36"/>
      <c r="E22" s="36"/>
      <c r="F22" s="36"/>
      <c r="G22" s="29"/>
      <c r="H22" s="103">
        <v>17</v>
      </c>
      <c r="I22" s="104" t="str">
        <f t="shared" si="1"/>
        <v/>
      </c>
      <c r="J22" s="103">
        <f t="shared" si="2"/>
        <v>-1</v>
      </c>
      <c r="K22" s="103">
        <f t="shared" si="3"/>
        <v>-10</v>
      </c>
      <c r="L22" s="103"/>
      <c r="M22" s="105">
        <f t="shared" si="4"/>
        <v>0</v>
      </c>
      <c r="N22" s="88"/>
      <c r="O22" s="88"/>
      <c r="P22" s="88"/>
      <c r="Q22" s="88"/>
      <c r="R22" s="88"/>
    </row>
    <row r="23" spans="1:19" s="93" customFormat="1">
      <c r="A23" s="106">
        <f t="shared" si="0"/>
        <v>0</v>
      </c>
      <c r="B23" s="41" t="str">
        <f t="shared" si="5"/>
        <v/>
      </c>
      <c r="C23" s="42"/>
      <c r="D23" s="42"/>
      <c r="E23" s="42"/>
      <c r="F23" s="42"/>
      <c r="G23" s="29"/>
      <c r="H23" s="107">
        <v>18</v>
      </c>
      <c r="I23" s="108" t="str">
        <f t="shared" si="1"/>
        <v/>
      </c>
      <c r="J23" s="107">
        <f t="shared" si="2"/>
        <v>-1</v>
      </c>
      <c r="K23" s="107">
        <f t="shared" si="3"/>
        <v>-10</v>
      </c>
      <c r="L23" s="107"/>
      <c r="M23" s="109">
        <f t="shared" si="4"/>
        <v>0</v>
      </c>
      <c r="N23" s="88"/>
      <c r="O23" s="88"/>
      <c r="P23" s="88"/>
      <c r="Q23" s="88"/>
      <c r="R23" s="88"/>
    </row>
    <row r="24" spans="1:19" s="93" customFormat="1">
      <c r="A24" s="102">
        <f t="shared" si="0"/>
        <v>0</v>
      </c>
      <c r="B24" s="35" t="str">
        <f t="shared" si="5"/>
        <v/>
      </c>
      <c r="C24" s="36"/>
      <c r="D24" s="36"/>
      <c r="E24" s="36"/>
      <c r="F24" s="36"/>
      <c r="G24" s="29"/>
      <c r="H24" s="103">
        <v>19</v>
      </c>
      <c r="I24" s="104" t="str">
        <f t="shared" si="1"/>
        <v/>
      </c>
      <c r="J24" s="103">
        <f t="shared" si="2"/>
        <v>-1</v>
      </c>
      <c r="K24" s="103">
        <f t="shared" si="3"/>
        <v>-10</v>
      </c>
      <c r="L24" s="103"/>
      <c r="M24" s="105">
        <f t="shared" si="4"/>
        <v>0</v>
      </c>
      <c r="N24" s="88"/>
      <c r="O24" s="88"/>
      <c r="P24" s="88"/>
      <c r="Q24" s="88"/>
      <c r="R24" s="117"/>
      <c r="S24" s="118"/>
    </row>
    <row r="25" spans="1:19" s="93" customFormat="1">
      <c r="A25" s="106">
        <f t="shared" si="0"/>
        <v>0</v>
      </c>
      <c r="B25" s="41" t="str">
        <f t="shared" si="5"/>
        <v/>
      </c>
      <c r="C25" s="42"/>
      <c r="D25" s="42"/>
      <c r="E25" s="42"/>
      <c r="F25" s="42"/>
      <c r="G25" s="29"/>
      <c r="H25" s="107">
        <v>20</v>
      </c>
      <c r="I25" s="108" t="str">
        <f t="shared" si="1"/>
        <v/>
      </c>
      <c r="J25" s="107">
        <f t="shared" si="2"/>
        <v>-1</v>
      </c>
      <c r="K25" s="107">
        <f t="shared" si="3"/>
        <v>-10</v>
      </c>
      <c r="L25" s="107"/>
      <c r="M25" s="109">
        <f t="shared" si="4"/>
        <v>0</v>
      </c>
      <c r="N25" s="88"/>
      <c r="O25" s="88"/>
      <c r="P25" s="88"/>
      <c r="Q25" s="88"/>
      <c r="R25" s="88"/>
    </row>
    <row r="26" spans="1:19" s="93" customFormat="1">
      <c r="A26" s="102">
        <f t="shared" si="0"/>
        <v>0</v>
      </c>
      <c r="B26" s="35" t="str">
        <f t="shared" si="5"/>
        <v/>
      </c>
      <c r="C26" s="36"/>
      <c r="D26" s="36"/>
      <c r="E26" s="36"/>
      <c r="F26" s="36"/>
      <c r="G26" s="29"/>
      <c r="H26" s="103">
        <v>21</v>
      </c>
      <c r="I26" s="104" t="str">
        <f t="shared" si="1"/>
        <v/>
      </c>
      <c r="J26" s="103">
        <f t="shared" si="2"/>
        <v>-1</v>
      </c>
      <c r="K26" s="103">
        <f t="shared" si="3"/>
        <v>-10</v>
      </c>
      <c r="L26" s="103"/>
      <c r="M26" s="105">
        <f t="shared" si="4"/>
        <v>0</v>
      </c>
      <c r="N26" s="88"/>
      <c r="O26" s="88"/>
      <c r="P26" s="88"/>
      <c r="Q26" s="88"/>
      <c r="R26" s="88"/>
    </row>
    <row r="27" spans="1:19" s="93" customFormat="1">
      <c r="A27" s="106">
        <f t="shared" si="0"/>
        <v>0</v>
      </c>
      <c r="B27" s="41" t="str">
        <f t="shared" si="5"/>
        <v/>
      </c>
      <c r="C27" s="42"/>
      <c r="D27" s="42"/>
      <c r="E27" s="42"/>
      <c r="F27" s="42"/>
      <c r="G27" s="29"/>
      <c r="H27" s="107">
        <v>22</v>
      </c>
      <c r="I27" s="108" t="str">
        <f t="shared" si="1"/>
        <v/>
      </c>
      <c r="J27" s="107">
        <f t="shared" si="2"/>
        <v>-1</v>
      </c>
      <c r="K27" s="107">
        <f t="shared" si="3"/>
        <v>-10</v>
      </c>
      <c r="L27" s="107"/>
      <c r="M27" s="109">
        <f t="shared" si="4"/>
        <v>0</v>
      </c>
      <c r="N27" s="88"/>
      <c r="O27" s="88"/>
      <c r="P27" s="88"/>
      <c r="Q27" s="88"/>
      <c r="R27" s="88"/>
    </row>
    <row r="28" spans="1:19" s="93" customFormat="1">
      <c r="A28" s="102">
        <f t="shared" si="0"/>
        <v>0</v>
      </c>
      <c r="B28" s="35" t="str">
        <f t="shared" si="5"/>
        <v/>
      </c>
      <c r="C28" s="36"/>
      <c r="D28" s="36"/>
      <c r="E28" s="36"/>
      <c r="F28" s="36"/>
      <c r="G28" s="29"/>
      <c r="H28" s="103">
        <v>23</v>
      </c>
      <c r="I28" s="104" t="str">
        <f t="shared" si="1"/>
        <v/>
      </c>
      <c r="J28" s="103">
        <f t="shared" si="2"/>
        <v>-1</v>
      </c>
      <c r="K28" s="103">
        <f t="shared" si="3"/>
        <v>-10</v>
      </c>
      <c r="L28" s="103"/>
      <c r="M28" s="105">
        <f t="shared" si="4"/>
        <v>0</v>
      </c>
      <c r="N28" s="88"/>
      <c r="O28" s="88"/>
      <c r="P28" s="88"/>
      <c r="Q28" s="88"/>
      <c r="R28" s="117"/>
      <c r="S28" s="118"/>
    </row>
    <row r="29" spans="1:19" s="93" customFormat="1">
      <c r="A29" s="106">
        <f t="shared" si="0"/>
        <v>0</v>
      </c>
      <c r="B29" s="41" t="str">
        <f t="shared" si="5"/>
        <v/>
      </c>
      <c r="C29" s="42"/>
      <c r="D29" s="42"/>
      <c r="E29" s="42"/>
      <c r="F29" s="42"/>
      <c r="G29" s="88"/>
      <c r="H29" s="107">
        <v>24</v>
      </c>
      <c r="I29" s="108" t="str">
        <f t="shared" si="1"/>
        <v/>
      </c>
      <c r="J29" s="107">
        <f t="shared" si="2"/>
        <v>-1</v>
      </c>
      <c r="K29" s="107">
        <f t="shared" si="3"/>
        <v>-10</v>
      </c>
      <c r="L29" s="107"/>
      <c r="M29" s="109">
        <f t="shared" si="4"/>
        <v>0</v>
      </c>
      <c r="N29" s="88"/>
      <c r="O29" s="88"/>
      <c r="P29" s="88"/>
      <c r="Q29" s="88"/>
      <c r="R29" s="88"/>
    </row>
    <row r="30" spans="1:19" s="93" customFormat="1">
      <c r="A30" s="102">
        <f t="shared" si="0"/>
        <v>0</v>
      </c>
      <c r="B30" s="35" t="str">
        <f t="shared" si="5"/>
        <v/>
      </c>
      <c r="C30" s="36"/>
      <c r="D30" s="36"/>
      <c r="E30" s="36"/>
      <c r="F30" s="36"/>
      <c r="G30" s="88"/>
      <c r="H30" s="103">
        <v>25</v>
      </c>
      <c r="I30" s="104" t="str">
        <f t="shared" si="1"/>
        <v/>
      </c>
      <c r="J30" s="103">
        <f t="shared" si="2"/>
        <v>-1</v>
      </c>
      <c r="K30" s="103">
        <f t="shared" si="3"/>
        <v>-10</v>
      </c>
      <c r="L30" s="103"/>
      <c r="M30" s="105">
        <f t="shared" si="4"/>
        <v>0</v>
      </c>
      <c r="N30" s="88"/>
      <c r="O30" s="88"/>
      <c r="P30" s="88"/>
      <c r="Q30" s="88"/>
      <c r="R30" s="88"/>
    </row>
    <row r="31" spans="1:19" s="93" customFormat="1">
      <c r="A31" s="106">
        <f t="shared" si="0"/>
        <v>0</v>
      </c>
      <c r="B31" s="41" t="str">
        <f t="shared" si="5"/>
        <v/>
      </c>
      <c r="C31" s="42"/>
      <c r="D31" s="42"/>
      <c r="E31" s="42"/>
      <c r="F31" s="42"/>
      <c r="G31" s="88"/>
      <c r="H31" s="107">
        <v>26</v>
      </c>
      <c r="I31" s="108" t="str">
        <f t="shared" si="1"/>
        <v/>
      </c>
      <c r="J31" s="107">
        <f t="shared" si="2"/>
        <v>-1</v>
      </c>
      <c r="K31" s="107">
        <f t="shared" si="3"/>
        <v>-10</v>
      </c>
      <c r="L31" s="107"/>
      <c r="M31" s="109">
        <f t="shared" si="4"/>
        <v>0</v>
      </c>
      <c r="N31" s="88"/>
      <c r="O31" s="88"/>
      <c r="P31" s="88"/>
      <c r="Q31" s="88"/>
      <c r="R31" s="88"/>
    </row>
    <row r="32" spans="1:19" s="93" customFormat="1">
      <c r="A32" s="102">
        <f t="shared" si="0"/>
        <v>0</v>
      </c>
      <c r="B32" s="35" t="str">
        <f t="shared" si="5"/>
        <v/>
      </c>
      <c r="C32" s="36"/>
      <c r="D32" s="36"/>
      <c r="E32" s="36"/>
      <c r="F32" s="36"/>
      <c r="G32" s="88"/>
      <c r="H32" s="103">
        <v>27</v>
      </c>
      <c r="I32" s="104" t="str">
        <f t="shared" si="1"/>
        <v/>
      </c>
      <c r="J32" s="103">
        <f t="shared" si="2"/>
        <v>-1</v>
      </c>
      <c r="K32" s="103">
        <f t="shared" si="3"/>
        <v>-10</v>
      </c>
      <c r="L32" s="103"/>
      <c r="M32" s="105">
        <f t="shared" si="4"/>
        <v>0</v>
      </c>
      <c r="N32" s="88"/>
      <c r="O32" s="88"/>
      <c r="P32" s="88"/>
      <c r="Q32" s="88"/>
      <c r="R32" s="117"/>
      <c r="S32" s="118"/>
    </row>
    <row r="33" spans="1:19" s="93" customFormat="1">
      <c r="A33" s="106">
        <f t="shared" si="0"/>
        <v>0</v>
      </c>
      <c r="B33" s="41" t="str">
        <f t="shared" si="5"/>
        <v/>
      </c>
      <c r="C33" s="42"/>
      <c r="D33" s="42"/>
      <c r="E33" s="42"/>
      <c r="F33" s="42"/>
      <c r="G33" s="88"/>
      <c r="H33" s="107">
        <v>28</v>
      </c>
      <c r="I33" s="108" t="str">
        <f t="shared" si="1"/>
        <v/>
      </c>
      <c r="J33" s="107">
        <f t="shared" si="2"/>
        <v>-1</v>
      </c>
      <c r="K33" s="107">
        <f t="shared" si="3"/>
        <v>-10</v>
      </c>
      <c r="L33" s="107"/>
      <c r="M33" s="109">
        <f t="shared" si="4"/>
        <v>0</v>
      </c>
      <c r="N33" s="88"/>
      <c r="O33" s="88"/>
      <c r="P33" s="88"/>
      <c r="Q33" s="88"/>
      <c r="R33" s="88"/>
    </row>
    <row r="34" spans="1:19" s="93" customFormat="1">
      <c r="A34" s="102">
        <f t="shared" si="0"/>
        <v>0</v>
      </c>
      <c r="B34" s="35" t="str">
        <f t="shared" si="5"/>
        <v/>
      </c>
      <c r="C34" s="36"/>
      <c r="D34" s="36"/>
      <c r="E34" s="36"/>
      <c r="F34" s="36"/>
      <c r="G34" s="88"/>
      <c r="H34" s="103">
        <v>29</v>
      </c>
      <c r="I34" s="104" t="str">
        <f t="shared" si="1"/>
        <v/>
      </c>
      <c r="J34" s="103">
        <f t="shared" si="2"/>
        <v>-1</v>
      </c>
      <c r="K34" s="103">
        <f t="shared" si="3"/>
        <v>-10</v>
      </c>
      <c r="L34" s="103"/>
      <c r="M34" s="105">
        <f t="shared" si="4"/>
        <v>0</v>
      </c>
      <c r="N34" s="88"/>
      <c r="O34" s="88"/>
      <c r="P34" s="88"/>
      <c r="Q34" s="88"/>
      <c r="R34" s="88"/>
    </row>
    <row r="35" spans="1:19" s="93" customFormat="1">
      <c r="A35" s="106">
        <f t="shared" si="0"/>
        <v>0</v>
      </c>
      <c r="B35" s="41" t="str">
        <f t="shared" si="5"/>
        <v/>
      </c>
      <c r="C35" s="42"/>
      <c r="D35" s="42"/>
      <c r="E35" s="42"/>
      <c r="F35" s="42"/>
      <c r="G35" s="88"/>
      <c r="H35" s="107">
        <v>30</v>
      </c>
      <c r="I35" s="108" t="str">
        <f t="shared" si="1"/>
        <v/>
      </c>
      <c r="J35" s="107">
        <f t="shared" si="2"/>
        <v>-1</v>
      </c>
      <c r="K35" s="107">
        <f t="shared" si="3"/>
        <v>-10</v>
      </c>
      <c r="L35" s="107"/>
      <c r="M35" s="109">
        <f t="shared" si="4"/>
        <v>0</v>
      </c>
      <c r="N35" s="88"/>
      <c r="O35" s="88"/>
      <c r="P35" s="88"/>
      <c r="Q35" s="88"/>
      <c r="R35" s="88"/>
    </row>
    <row r="36" spans="1:19" s="93" customFormat="1">
      <c r="A36" s="102">
        <f t="shared" si="0"/>
        <v>0</v>
      </c>
      <c r="B36" s="35" t="str">
        <f t="shared" si="5"/>
        <v/>
      </c>
      <c r="C36" s="36"/>
      <c r="D36" s="36"/>
      <c r="E36" s="36"/>
      <c r="F36" s="36"/>
      <c r="G36" s="88"/>
      <c r="H36" s="103">
        <v>31</v>
      </c>
      <c r="I36" s="104" t="str">
        <f t="shared" si="1"/>
        <v/>
      </c>
      <c r="J36" s="103">
        <f t="shared" si="2"/>
        <v>-1</v>
      </c>
      <c r="K36" s="103">
        <f t="shared" si="3"/>
        <v>-10</v>
      </c>
      <c r="L36" s="103"/>
      <c r="M36" s="105">
        <f t="shared" si="4"/>
        <v>0</v>
      </c>
      <c r="N36" s="88"/>
      <c r="O36" s="88"/>
      <c r="P36" s="88"/>
      <c r="Q36" s="88"/>
      <c r="R36" s="117"/>
      <c r="S36" s="118"/>
    </row>
    <row r="37" spans="1:19" s="93" customFormat="1">
      <c r="A37" s="106">
        <f t="shared" si="0"/>
        <v>0</v>
      </c>
      <c r="B37" s="41" t="str">
        <f t="shared" si="5"/>
        <v/>
      </c>
      <c r="C37" s="42"/>
      <c r="D37" s="42"/>
      <c r="E37" s="42"/>
      <c r="F37" s="42"/>
      <c r="G37" s="88"/>
      <c r="H37" s="107">
        <v>32</v>
      </c>
      <c r="I37" s="108" t="str">
        <f t="shared" si="1"/>
        <v/>
      </c>
      <c r="J37" s="107">
        <f t="shared" si="2"/>
        <v>-1</v>
      </c>
      <c r="K37" s="107">
        <f t="shared" si="3"/>
        <v>-10</v>
      </c>
      <c r="L37" s="107"/>
      <c r="M37" s="109">
        <f t="shared" si="4"/>
        <v>0</v>
      </c>
      <c r="N37" s="88"/>
      <c r="O37" s="88"/>
      <c r="P37" s="88"/>
      <c r="Q37" s="88"/>
      <c r="R37" s="88"/>
    </row>
    <row r="38" spans="1:19" s="93" customFormat="1">
      <c r="A38" s="102">
        <f t="shared" si="0"/>
        <v>0</v>
      </c>
      <c r="B38" s="35" t="str">
        <f t="shared" si="5"/>
        <v/>
      </c>
      <c r="C38" s="36"/>
      <c r="D38" s="36"/>
      <c r="E38" s="36"/>
      <c r="F38" s="36"/>
      <c r="G38" s="88"/>
      <c r="H38" s="103">
        <v>33</v>
      </c>
      <c r="I38" s="104" t="str">
        <f t="shared" si="1"/>
        <v/>
      </c>
      <c r="J38" s="103">
        <f t="shared" si="2"/>
        <v>-2</v>
      </c>
      <c r="K38" s="103">
        <f t="shared" si="3"/>
        <v>-20</v>
      </c>
      <c r="L38" s="103"/>
      <c r="M38" s="105">
        <f t="shared" si="4"/>
        <v>0</v>
      </c>
      <c r="N38" s="88"/>
      <c r="O38" s="88"/>
      <c r="P38" s="88"/>
      <c r="Q38" s="88"/>
      <c r="R38" s="88"/>
    </row>
    <row r="39" spans="1:19" s="93" customFormat="1">
      <c r="A39" s="106">
        <f t="shared" si="0"/>
        <v>0</v>
      </c>
      <c r="B39" s="41" t="str">
        <f t="shared" si="5"/>
        <v/>
      </c>
      <c r="C39" s="42"/>
      <c r="D39" s="42"/>
      <c r="E39" s="42"/>
      <c r="F39" s="42"/>
      <c r="G39" s="88"/>
      <c r="H39" s="107">
        <v>34</v>
      </c>
      <c r="I39" s="108" t="str">
        <f t="shared" si="1"/>
        <v/>
      </c>
      <c r="J39" s="107">
        <f t="shared" si="2"/>
        <v>-2</v>
      </c>
      <c r="K39" s="107">
        <f t="shared" si="3"/>
        <v>-20</v>
      </c>
      <c r="L39" s="107"/>
      <c r="M39" s="109">
        <f t="shared" si="4"/>
        <v>0</v>
      </c>
      <c r="N39" s="88"/>
      <c r="O39" s="88"/>
      <c r="P39" s="88"/>
      <c r="Q39" s="88"/>
      <c r="R39" s="88"/>
    </row>
    <row r="40" spans="1:19" s="93" customFormat="1">
      <c r="A40" s="102">
        <f t="shared" si="0"/>
        <v>0</v>
      </c>
      <c r="B40" s="35" t="str">
        <f t="shared" si="5"/>
        <v/>
      </c>
      <c r="C40" s="36"/>
      <c r="D40" s="36"/>
      <c r="E40" s="36"/>
      <c r="F40" s="36"/>
      <c r="G40" s="88"/>
      <c r="H40" s="103">
        <v>35</v>
      </c>
      <c r="I40" s="104" t="str">
        <f t="shared" si="1"/>
        <v/>
      </c>
      <c r="J40" s="103">
        <f t="shared" si="2"/>
        <v>-2</v>
      </c>
      <c r="K40" s="103">
        <f t="shared" si="3"/>
        <v>-20</v>
      </c>
      <c r="L40" s="103"/>
      <c r="M40" s="105">
        <f t="shared" si="4"/>
        <v>0</v>
      </c>
      <c r="N40" s="88"/>
      <c r="O40" s="88"/>
      <c r="P40" s="88"/>
      <c r="Q40" s="88"/>
      <c r="R40" s="88"/>
    </row>
    <row r="41" spans="1:19" s="93" customFormat="1">
      <c r="A41" s="106">
        <f t="shared" si="0"/>
        <v>0</v>
      </c>
      <c r="B41" s="41" t="str">
        <f t="shared" si="5"/>
        <v/>
      </c>
      <c r="C41" s="42"/>
      <c r="D41" s="42"/>
      <c r="E41" s="42"/>
      <c r="F41" s="42"/>
      <c r="G41" s="88"/>
      <c r="H41" s="107">
        <v>36</v>
      </c>
      <c r="I41" s="108" t="str">
        <f t="shared" si="1"/>
        <v/>
      </c>
      <c r="J41" s="107">
        <f t="shared" si="2"/>
        <v>-2</v>
      </c>
      <c r="K41" s="107">
        <f t="shared" si="3"/>
        <v>-20</v>
      </c>
      <c r="L41" s="107"/>
      <c r="M41" s="109">
        <f t="shared" si="4"/>
        <v>0</v>
      </c>
      <c r="N41" s="88"/>
      <c r="O41" s="88"/>
      <c r="P41" s="88"/>
      <c r="Q41" s="88"/>
      <c r="R41" s="88"/>
      <c r="S41" s="119"/>
    </row>
    <row r="42" spans="1:19" s="93" customFormat="1">
      <c r="A42" s="102">
        <f t="shared" si="0"/>
        <v>0</v>
      </c>
      <c r="B42" s="35" t="str">
        <f t="shared" si="5"/>
        <v/>
      </c>
      <c r="C42" s="36"/>
      <c r="D42" s="36"/>
      <c r="E42" s="36"/>
      <c r="F42" s="36"/>
      <c r="G42" s="88"/>
      <c r="H42" s="103">
        <v>37</v>
      </c>
      <c r="I42" s="104" t="str">
        <f t="shared" si="1"/>
        <v/>
      </c>
      <c r="J42" s="103">
        <f t="shared" si="2"/>
        <v>-2</v>
      </c>
      <c r="K42" s="103">
        <f t="shared" si="3"/>
        <v>-20</v>
      </c>
      <c r="L42" s="103"/>
      <c r="M42" s="105">
        <f t="shared" si="4"/>
        <v>0</v>
      </c>
      <c r="N42" s="88"/>
      <c r="O42" s="88"/>
      <c r="P42" s="88"/>
      <c r="Q42" s="88"/>
      <c r="R42" s="88"/>
    </row>
    <row r="43" spans="1:19" s="93" customFormat="1">
      <c r="A43" s="106">
        <f t="shared" si="0"/>
        <v>0</v>
      </c>
      <c r="B43" s="41" t="str">
        <f t="shared" si="5"/>
        <v/>
      </c>
      <c r="C43" s="42"/>
      <c r="D43" s="42"/>
      <c r="E43" s="42"/>
      <c r="F43" s="42"/>
      <c r="G43" s="88"/>
      <c r="H43" s="107">
        <v>38</v>
      </c>
      <c r="I43" s="108" t="str">
        <f t="shared" si="1"/>
        <v/>
      </c>
      <c r="J43" s="107">
        <f t="shared" si="2"/>
        <v>-2</v>
      </c>
      <c r="K43" s="107">
        <f t="shared" si="3"/>
        <v>-20</v>
      </c>
      <c r="L43" s="107"/>
      <c r="M43" s="109">
        <f t="shared" si="4"/>
        <v>0</v>
      </c>
      <c r="N43" s="88"/>
      <c r="O43" s="88"/>
      <c r="P43" s="88"/>
      <c r="Q43" s="88"/>
      <c r="R43" s="88"/>
    </row>
    <row r="44" spans="1:19" s="93" customFormat="1">
      <c r="A44" s="102">
        <f t="shared" si="0"/>
        <v>0</v>
      </c>
      <c r="B44" s="35" t="str">
        <f t="shared" si="5"/>
        <v/>
      </c>
      <c r="C44" s="36"/>
      <c r="D44" s="36"/>
      <c r="E44" s="36"/>
      <c r="F44" s="36"/>
      <c r="G44" s="88"/>
      <c r="H44" s="103">
        <v>39</v>
      </c>
      <c r="I44" s="104" t="str">
        <f t="shared" si="1"/>
        <v/>
      </c>
      <c r="J44" s="103">
        <f t="shared" si="2"/>
        <v>-2</v>
      </c>
      <c r="K44" s="103">
        <f t="shared" si="3"/>
        <v>-20</v>
      </c>
      <c r="L44" s="103"/>
      <c r="M44" s="105">
        <f t="shared" si="4"/>
        <v>0</v>
      </c>
      <c r="N44" s="88"/>
      <c r="O44" s="88"/>
      <c r="P44" s="88"/>
      <c r="Q44" s="88"/>
      <c r="R44" s="88"/>
    </row>
    <row r="45" spans="1:19" s="93" customFormat="1">
      <c r="A45" s="106">
        <f t="shared" si="0"/>
        <v>0</v>
      </c>
      <c r="B45" s="41" t="str">
        <f t="shared" si="5"/>
        <v/>
      </c>
      <c r="C45" s="42"/>
      <c r="D45" s="42"/>
      <c r="E45" s="42"/>
      <c r="F45" s="42"/>
      <c r="G45" s="88"/>
      <c r="H45" s="107">
        <v>40</v>
      </c>
      <c r="I45" s="108" t="str">
        <f t="shared" si="1"/>
        <v/>
      </c>
      <c r="J45" s="107">
        <f t="shared" si="2"/>
        <v>-2</v>
      </c>
      <c r="K45" s="107">
        <f t="shared" si="3"/>
        <v>-20</v>
      </c>
      <c r="L45" s="107"/>
      <c r="M45" s="109">
        <f t="shared" si="4"/>
        <v>0</v>
      </c>
      <c r="N45" s="88"/>
      <c r="O45" s="88"/>
      <c r="P45" s="88"/>
      <c r="Q45" s="88"/>
      <c r="R45" s="88"/>
    </row>
    <row r="46" spans="1:19" s="93" customFormat="1">
      <c r="A46" s="102">
        <f t="shared" si="0"/>
        <v>0</v>
      </c>
      <c r="B46" s="35" t="str">
        <f t="shared" si="5"/>
        <v/>
      </c>
      <c r="C46" s="36"/>
      <c r="D46" s="36"/>
      <c r="E46" s="36"/>
      <c r="F46" s="36"/>
      <c r="G46" s="88"/>
      <c r="H46" s="103">
        <v>41</v>
      </c>
      <c r="I46" s="104" t="str">
        <f t="shared" si="1"/>
        <v/>
      </c>
      <c r="J46" s="103">
        <f t="shared" si="2"/>
        <v>-2</v>
      </c>
      <c r="K46" s="103">
        <f t="shared" si="3"/>
        <v>-20</v>
      </c>
      <c r="L46" s="103"/>
      <c r="M46" s="105">
        <f t="shared" si="4"/>
        <v>0</v>
      </c>
      <c r="N46" s="88"/>
      <c r="O46" s="88"/>
      <c r="P46" s="88"/>
      <c r="Q46" s="88"/>
      <c r="R46" s="88"/>
    </row>
    <row r="47" spans="1:19" s="93" customFormat="1">
      <c r="A47" s="106">
        <f t="shared" si="0"/>
        <v>0</v>
      </c>
      <c r="B47" s="41" t="str">
        <f t="shared" si="5"/>
        <v/>
      </c>
      <c r="C47" s="42"/>
      <c r="D47" s="42"/>
      <c r="E47" s="42"/>
      <c r="F47" s="42"/>
      <c r="G47" s="88"/>
      <c r="H47" s="107">
        <v>42</v>
      </c>
      <c r="I47" s="108" t="str">
        <f t="shared" si="1"/>
        <v/>
      </c>
      <c r="J47" s="107">
        <f t="shared" si="2"/>
        <v>-2</v>
      </c>
      <c r="K47" s="107">
        <f t="shared" si="3"/>
        <v>-20</v>
      </c>
      <c r="L47" s="107"/>
      <c r="M47" s="109">
        <f t="shared" si="4"/>
        <v>0</v>
      </c>
      <c r="N47" s="88"/>
      <c r="O47" s="88"/>
      <c r="P47" s="88"/>
      <c r="Q47" s="88"/>
      <c r="R47" s="88"/>
    </row>
    <row r="48" spans="1:19" s="93" customFormat="1">
      <c r="A48" s="102">
        <f t="shared" si="0"/>
        <v>0</v>
      </c>
      <c r="B48" s="35" t="str">
        <f t="shared" si="5"/>
        <v/>
      </c>
      <c r="C48" s="36"/>
      <c r="D48" s="36"/>
      <c r="E48" s="36"/>
      <c r="F48" s="36"/>
      <c r="G48" s="88"/>
      <c r="H48" s="103">
        <v>43</v>
      </c>
      <c r="I48" s="104" t="str">
        <f t="shared" si="1"/>
        <v/>
      </c>
      <c r="J48" s="103">
        <f t="shared" si="2"/>
        <v>-2</v>
      </c>
      <c r="K48" s="103">
        <f t="shared" si="3"/>
        <v>-20</v>
      </c>
      <c r="L48" s="103"/>
      <c r="M48" s="105">
        <f t="shared" si="4"/>
        <v>0</v>
      </c>
      <c r="N48" s="88"/>
      <c r="O48" s="88"/>
      <c r="P48" s="88"/>
      <c r="Q48" s="88"/>
      <c r="R48" s="88"/>
    </row>
    <row r="49" spans="1:38">
      <c r="A49" s="106">
        <f t="shared" si="0"/>
        <v>0</v>
      </c>
      <c r="B49" s="41" t="str">
        <f t="shared" si="5"/>
        <v/>
      </c>
      <c r="C49" s="42"/>
      <c r="D49" s="42"/>
      <c r="E49" s="42"/>
      <c r="F49" s="42"/>
      <c r="G49" s="88"/>
      <c r="H49" s="107">
        <v>44</v>
      </c>
      <c r="I49" s="108" t="str">
        <f t="shared" si="1"/>
        <v/>
      </c>
      <c r="J49" s="107">
        <f t="shared" si="2"/>
        <v>-2</v>
      </c>
      <c r="K49" s="107">
        <f t="shared" si="3"/>
        <v>-20</v>
      </c>
      <c r="L49" s="107"/>
      <c r="M49" s="109">
        <f t="shared" si="4"/>
        <v>0</v>
      </c>
    </row>
    <row r="50" spans="1:38">
      <c r="A50" s="102">
        <f t="shared" si="0"/>
        <v>0</v>
      </c>
      <c r="B50" s="35" t="str">
        <f t="shared" si="5"/>
        <v/>
      </c>
      <c r="C50" s="36"/>
      <c r="D50" s="36"/>
      <c r="E50" s="36"/>
      <c r="F50" s="36"/>
      <c r="G50" s="88"/>
      <c r="H50" s="103">
        <v>45</v>
      </c>
      <c r="I50" s="104" t="str">
        <f t="shared" si="1"/>
        <v/>
      </c>
      <c r="J50" s="103">
        <f t="shared" si="2"/>
        <v>-2</v>
      </c>
      <c r="K50" s="103">
        <f t="shared" si="3"/>
        <v>-20</v>
      </c>
      <c r="L50" s="103"/>
      <c r="M50" s="105">
        <f t="shared" si="4"/>
        <v>0</v>
      </c>
    </row>
    <row r="51" spans="1:38">
      <c r="A51" s="106">
        <f t="shared" si="0"/>
        <v>0</v>
      </c>
      <c r="B51" s="41" t="str">
        <f t="shared" si="5"/>
        <v/>
      </c>
      <c r="C51" s="42"/>
      <c r="D51" s="42"/>
      <c r="E51" s="42"/>
      <c r="F51" s="42"/>
      <c r="G51" s="88"/>
      <c r="H51" s="107">
        <v>46</v>
      </c>
      <c r="I51" s="108" t="str">
        <f t="shared" si="1"/>
        <v/>
      </c>
      <c r="J51" s="107">
        <f t="shared" si="2"/>
        <v>-2</v>
      </c>
      <c r="K51" s="107">
        <f t="shared" si="3"/>
        <v>-20</v>
      </c>
      <c r="L51" s="107"/>
      <c r="M51" s="109">
        <f t="shared" si="4"/>
        <v>0</v>
      </c>
    </row>
    <row r="52" spans="1:38">
      <c r="A52" s="102">
        <f t="shared" si="0"/>
        <v>0</v>
      </c>
      <c r="B52" s="35" t="str">
        <f t="shared" si="5"/>
        <v/>
      </c>
      <c r="C52" s="36"/>
      <c r="D52" s="36"/>
      <c r="E52" s="36"/>
      <c r="F52" s="36"/>
      <c r="G52" s="88"/>
      <c r="H52" s="103">
        <v>47</v>
      </c>
      <c r="I52" s="104" t="str">
        <f t="shared" si="1"/>
        <v/>
      </c>
      <c r="J52" s="103">
        <f t="shared" si="2"/>
        <v>-2</v>
      </c>
      <c r="K52" s="103">
        <f t="shared" si="3"/>
        <v>-20</v>
      </c>
      <c r="L52" s="103"/>
      <c r="M52" s="105">
        <f t="shared" si="4"/>
        <v>0</v>
      </c>
    </row>
    <row r="53" spans="1:38">
      <c r="A53" s="106">
        <f t="shared" si="0"/>
        <v>0</v>
      </c>
      <c r="B53" s="41" t="str">
        <f t="shared" si="5"/>
        <v/>
      </c>
      <c r="C53" s="42"/>
      <c r="D53" s="42"/>
      <c r="E53" s="42"/>
      <c r="F53" s="42"/>
      <c r="G53" s="88"/>
      <c r="H53" s="107">
        <v>48</v>
      </c>
      <c r="I53" s="108" t="str">
        <f t="shared" si="1"/>
        <v/>
      </c>
      <c r="J53" s="107">
        <f t="shared" si="2"/>
        <v>-2</v>
      </c>
      <c r="K53" s="107">
        <f t="shared" si="3"/>
        <v>-20</v>
      </c>
      <c r="L53" s="107"/>
      <c r="M53" s="109">
        <f t="shared" si="4"/>
        <v>0</v>
      </c>
    </row>
    <row r="54" spans="1:38">
      <c r="A54" s="102">
        <f t="shared" si="0"/>
        <v>0</v>
      </c>
      <c r="B54" s="35" t="str">
        <f t="shared" si="5"/>
        <v/>
      </c>
      <c r="C54" s="36"/>
      <c r="D54" s="36"/>
      <c r="E54" s="36"/>
      <c r="F54" s="36"/>
      <c r="G54" s="88"/>
      <c r="H54" s="103">
        <v>49</v>
      </c>
      <c r="I54" s="104" t="str">
        <f t="shared" si="1"/>
        <v/>
      </c>
      <c r="J54" s="103">
        <f t="shared" si="2"/>
        <v>-2</v>
      </c>
      <c r="K54" s="103">
        <f t="shared" si="3"/>
        <v>-20</v>
      </c>
      <c r="L54" s="103"/>
      <c r="M54" s="105">
        <f t="shared" si="4"/>
        <v>0</v>
      </c>
    </row>
    <row r="55" spans="1:38">
      <c r="A55" s="106">
        <f t="shared" si="0"/>
        <v>0</v>
      </c>
      <c r="B55" s="41" t="str">
        <f t="shared" si="5"/>
        <v/>
      </c>
      <c r="C55" s="42"/>
      <c r="D55" s="42"/>
      <c r="E55" s="42"/>
      <c r="F55" s="42"/>
      <c r="G55" s="88"/>
      <c r="H55" s="107">
        <v>50</v>
      </c>
      <c r="I55" s="108" t="str">
        <f t="shared" si="1"/>
        <v/>
      </c>
      <c r="J55" s="107">
        <f t="shared" si="2"/>
        <v>-2</v>
      </c>
      <c r="K55" s="107">
        <f t="shared" si="3"/>
        <v>-20</v>
      </c>
      <c r="L55" s="107"/>
      <c r="M55" s="109">
        <f t="shared" si="4"/>
        <v>0</v>
      </c>
    </row>
    <row r="56" spans="1:38">
      <c r="A56" s="102">
        <f t="shared" si="0"/>
        <v>0</v>
      </c>
      <c r="B56" s="35" t="str">
        <f t="shared" si="5"/>
        <v/>
      </c>
      <c r="C56" s="36"/>
      <c r="D56" s="36"/>
      <c r="E56" s="36"/>
      <c r="F56" s="36"/>
      <c r="G56" s="88"/>
      <c r="H56" s="103">
        <v>51</v>
      </c>
      <c r="I56" s="104" t="str">
        <f t="shared" si="1"/>
        <v/>
      </c>
      <c r="J56" s="103">
        <f t="shared" si="2"/>
        <v>-2</v>
      </c>
      <c r="K56" s="103">
        <f t="shared" si="3"/>
        <v>-20</v>
      </c>
      <c r="L56" s="103"/>
      <c r="M56" s="105">
        <f t="shared" si="4"/>
        <v>0</v>
      </c>
    </row>
    <row r="57" spans="1:38" s="88" customFormat="1">
      <c r="A57" s="106">
        <f t="shared" si="0"/>
        <v>0</v>
      </c>
      <c r="B57" s="41" t="str">
        <f t="shared" si="5"/>
        <v/>
      </c>
      <c r="C57" s="42"/>
      <c r="D57" s="42"/>
      <c r="E57" s="42"/>
      <c r="F57" s="42"/>
      <c r="H57" s="107">
        <v>52</v>
      </c>
      <c r="I57" s="108" t="str">
        <f t="shared" si="1"/>
        <v/>
      </c>
      <c r="J57" s="107">
        <f t="shared" si="2"/>
        <v>-2</v>
      </c>
      <c r="K57" s="107">
        <f t="shared" si="3"/>
        <v>-20</v>
      </c>
      <c r="L57" s="107"/>
      <c r="M57" s="109">
        <f t="shared" si="4"/>
        <v>0</v>
      </c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</row>
    <row r="58" spans="1:38" s="88" customFormat="1">
      <c r="A58" s="102">
        <f t="shared" si="0"/>
        <v>0</v>
      </c>
      <c r="B58" s="35" t="str">
        <f t="shared" si="5"/>
        <v/>
      </c>
      <c r="C58" s="36"/>
      <c r="D58" s="36"/>
      <c r="E58" s="36"/>
      <c r="F58" s="36"/>
      <c r="H58" s="103">
        <v>53</v>
      </c>
      <c r="I58" s="104" t="str">
        <f t="shared" si="1"/>
        <v/>
      </c>
      <c r="J58" s="103">
        <f t="shared" si="2"/>
        <v>-2</v>
      </c>
      <c r="K58" s="103">
        <f t="shared" si="3"/>
        <v>-20</v>
      </c>
      <c r="L58" s="103"/>
      <c r="M58" s="105">
        <f t="shared" si="4"/>
        <v>0</v>
      </c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</row>
    <row r="59" spans="1:38" s="88" customFormat="1">
      <c r="A59" s="106">
        <f t="shared" si="0"/>
        <v>0</v>
      </c>
      <c r="B59" s="41" t="str">
        <f t="shared" si="5"/>
        <v/>
      </c>
      <c r="C59" s="42"/>
      <c r="D59" s="42"/>
      <c r="E59" s="42"/>
      <c r="F59" s="42"/>
      <c r="H59" s="107">
        <v>54</v>
      </c>
      <c r="I59" s="108" t="str">
        <f t="shared" si="1"/>
        <v/>
      </c>
      <c r="J59" s="107">
        <f t="shared" si="2"/>
        <v>-2</v>
      </c>
      <c r="K59" s="107">
        <f t="shared" si="3"/>
        <v>-20</v>
      </c>
      <c r="L59" s="107"/>
      <c r="M59" s="109">
        <f t="shared" si="4"/>
        <v>0</v>
      </c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</row>
    <row r="60" spans="1:38" s="88" customFormat="1">
      <c r="A60" s="102">
        <f t="shared" si="0"/>
        <v>0</v>
      </c>
      <c r="B60" s="35" t="str">
        <f t="shared" si="5"/>
        <v/>
      </c>
      <c r="C60" s="36"/>
      <c r="D60" s="36"/>
      <c r="E60" s="36"/>
      <c r="F60" s="36"/>
      <c r="H60" s="103">
        <v>55</v>
      </c>
      <c r="I60" s="104" t="str">
        <f t="shared" si="1"/>
        <v/>
      </c>
      <c r="J60" s="103">
        <f t="shared" si="2"/>
        <v>-2</v>
      </c>
      <c r="K60" s="103">
        <f t="shared" si="3"/>
        <v>-20</v>
      </c>
      <c r="L60" s="103"/>
      <c r="M60" s="105">
        <f t="shared" si="4"/>
        <v>0</v>
      </c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</row>
    <row r="61" spans="1:38" s="88" customFormat="1">
      <c r="A61" s="106">
        <f t="shared" si="0"/>
        <v>0</v>
      </c>
      <c r="B61" s="41" t="str">
        <f t="shared" si="5"/>
        <v/>
      </c>
      <c r="C61" s="42"/>
      <c r="D61" s="42"/>
      <c r="E61" s="42"/>
      <c r="F61" s="42"/>
      <c r="H61" s="107">
        <v>56</v>
      </c>
      <c r="I61" s="108" t="str">
        <f t="shared" si="1"/>
        <v/>
      </c>
      <c r="J61" s="107">
        <f t="shared" si="2"/>
        <v>-2</v>
      </c>
      <c r="K61" s="107">
        <f t="shared" si="3"/>
        <v>-20</v>
      </c>
      <c r="L61" s="107"/>
      <c r="M61" s="109">
        <f t="shared" si="4"/>
        <v>0</v>
      </c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</row>
    <row r="62" spans="1:38" s="88" customFormat="1">
      <c r="A62" s="102">
        <f t="shared" si="0"/>
        <v>0</v>
      </c>
      <c r="B62" s="35" t="str">
        <f t="shared" si="5"/>
        <v/>
      </c>
      <c r="C62" s="36"/>
      <c r="D62" s="36"/>
      <c r="E62" s="36"/>
      <c r="F62" s="36"/>
      <c r="H62" s="103">
        <v>57</v>
      </c>
      <c r="I62" s="104" t="str">
        <f t="shared" si="1"/>
        <v/>
      </c>
      <c r="J62" s="103">
        <f t="shared" si="2"/>
        <v>-2</v>
      </c>
      <c r="K62" s="103">
        <f t="shared" si="3"/>
        <v>-20</v>
      </c>
      <c r="L62" s="103"/>
      <c r="M62" s="105">
        <f t="shared" si="4"/>
        <v>0</v>
      </c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</row>
    <row r="63" spans="1:38" s="88" customFormat="1">
      <c r="A63" s="106">
        <f t="shared" si="0"/>
        <v>0</v>
      </c>
      <c r="B63" s="41" t="str">
        <f t="shared" si="5"/>
        <v/>
      </c>
      <c r="C63" s="42"/>
      <c r="D63" s="42"/>
      <c r="E63" s="42"/>
      <c r="F63" s="42"/>
      <c r="H63" s="107">
        <v>58</v>
      </c>
      <c r="I63" s="108" t="str">
        <f t="shared" si="1"/>
        <v/>
      </c>
      <c r="J63" s="107">
        <f t="shared" si="2"/>
        <v>-2</v>
      </c>
      <c r="K63" s="107">
        <f t="shared" si="3"/>
        <v>-20</v>
      </c>
      <c r="L63" s="107"/>
      <c r="M63" s="109">
        <f t="shared" si="4"/>
        <v>0</v>
      </c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</row>
    <row r="64" spans="1:38" s="88" customFormat="1">
      <c r="A64" s="102">
        <f t="shared" si="0"/>
        <v>0</v>
      </c>
      <c r="B64" s="35" t="str">
        <f t="shared" si="5"/>
        <v/>
      </c>
      <c r="C64" s="36"/>
      <c r="D64" s="36"/>
      <c r="E64" s="36"/>
      <c r="F64" s="36"/>
      <c r="H64" s="103">
        <v>59</v>
      </c>
      <c r="I64" s="104" t="str">
        <f t="shared" si="1"/>
        <v/>
      </c>
      <c r="J64" s="103">
        <f t="shared" si="2"/>
        <v>-2</v>
      </c>
      <c r="K64" s="103">
        <f t="shared" si="3"/>
        <v>-20</v>
      </c>
      <c r="L64" s="103"/>
      <c r="M64" s="105">
        <f t="shared" si="4"/>
        <v>0</v>
      </c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</row>
    <row r="65" spans="1:38" s="88" customFormat="1">
      <c r="A65" s="106">
        <f t="shared" si="0"/>
        <v>0</v>
      </c>
      <c r="B65" s="41" t="str">
        <f t="shared" si="5"/>
        <v/>
      </c>
      <c r="C65" s="42"/>
      <c r="D65" s="42"/>
      <c r="E65" s="42"/>
      <c r="F65" s="42"/>
      <c r="H65" s="107">
        <v>60</v>
      </c>
      <c r="I65" s="108" t="str">
        <f t="shared" si="1"/>
        <v/>
      </c>
      <c r="J65" s="107">
        <f t="shared" si="2"/>
        <v>-2</v>
      </c>
      <c r="K65" s="107">
        <f t="shared" si="3"/>
        <v>-20</v>
      </c>
      <c r="L65" s="107"/>
      <c r="M65" s="109">
        <f t="shared" si="4"/>
        <v>0</v>
      </c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</row>
    <row r="66" spans="1:38" s="88" customFormat="1">
      <c r="A66" s="102">
        <f t="shared" si="0"/>
        <v>0</v>
      </c>
      <c r="B66" s="35" t="str">
        <f t="shared" si="5"/>
        <v/>
      </c>
      <c r="C66" s="36"/>
      <c r="D66" s="36"/>
      <c r="E66" s="36"/>
      <c r="F66" s="36"/>
      <c r="H66" s="103">
        <v>61</v>
      </c>
      <c r="I66" s="104" t="str">
        <f t="shared" si="1"/>
        <v/>
      </c>
      <c r="J66" s="103">
        <f t="shared" si="2"/>
        <v>-2</v>
      </c>
      <c r="K66" s="103">
        <f t="shared" si="3"/>
        <v>-20</v>
      </c>
      <c r="L66" s="103"/>
      <c r="M66" s="105">
        <f t="shared" si="4"/>
        <v>0</v>
      </c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</row>
    <row r="67" spans="1:38" s="88" customFormat="1">
      <c r="A67" s="106">
        <f t="shared" si="0"/>
        <v>0</v>
      </c>
      <c r="B67" s="41" t="str">
        <f t="shared" si="5"/>
        <v/>
      </c>
      <c r="C67" s="42"/>
      <c r="D67" s="42"/>
      <c r="E67" s="42"/>
      <c r="F67" s="42"/>
      <c r="H67" s="107">
        <v>62</v>
      </c>
      <c r="I67" s="108" t="str">
        <f t="shared" si="1"/>
        <v/>
      </c>
      <c r="J67" s="107">
        <f t="shared" si="2"/>
        <v>-2</v>
      </c>
      <c r="K67" s="107">
        <f t="shared" si="3"/>
        <v>-20</v>
      </c>
      <c r="L67" s="107"/>
      <c r="M67" s="109">
        <f t="shared" si="4"/>
        <v>0</v>
      </c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</row>
    <row r="68" spans="1:38" s="88" customFormat="1">
      <c r="A68" s="102">
        <f t="shared" si="0"/>
        <v>0</v>
      </c>
      <c r="B68" s="35" t="str">
        <f t="shared" si="5"/>
        <v/>
      </c>
      <c r="C68" s="36"/>
      <c r="D68" s="36"/>
      <c r="E68" s="36"/>
      <c r="F68" s="36"/>
      <c r="H68" s="103">
        <v>63</v>
      </c>
      <c r="I68" s="104" t="str">
        <f t="shared" si="1"/>
        <v/>
      </c>
      <c r="J68" s="103">
        <f t="shared" si="2"/>
        <v>-2</v>
      </c>
      <c r="K68" s="103">
        <f t="shared" si="3"/>
        <v>-20</v>
      </c>
      <c r="L68" s="103"/>
      <c r="M68" s="105">
        <f t="shared" si="4"/>
        <v>0</v>
      </c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</row>
    <row r="69" spans="1:38" s="88" customFormat="1">
      <c r="A69" s="106">
        <f t="shared" si="0"/>
        <v>0</v>
      </c>
      <c r="B69" s="41" t="str">
        <f t="shared" si="5"/>
        <v/>
      </c>
      <c r="C69" s="42"/>
      <c r="D69" s="42"/>
      <c r="E69" s="42"/>
      <c r="F69" s="42"/>
      <c r="H69" s="107">
        <v>64</v>
      </c>
      <c r="I69" s="108" t="str">
        <f t="shared" si="1"/>
        <v/>
      </c>
      <c r="J69" s="107">
        <f t="shared" si="2"/>
        <v>-2</v>
      </c>
      <c r="K69" s="107">
        <f t="shared" si="3"/>
        <v>-20</v>
      </c>
      <c r="L69" s="107"/>
      <c r="M69" s="109">
        <f t="shared" si="4"/>
        <v>0</v>
      </c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</row>
    <row r="70" spans="1:38" s="88" customFormat="1">
      <c r="A70" s="102">
        <f t="shared" ref="A70:A133" si="6">M70</f>
        <v>0</v>
      </c>
      <c r="B70" s="35" t="str">
        <f t="shared" si="5"/>
        <v/>
      </c>
      <c r="C70" s="36"/>
      <c r="D70" s="36"/>
      <c r="E70" s="36"/>
      <c r="F70" s="36"/>
      <c r="H70" s="103">
        <v>65</v>
      </c>
      <c r="I70" s="104" t="str">
        <f t="shared" ref="I70:I133" si="7">IF(H70&lt;$H$2+1,($I$2-($I$2-1)*(LOG(H70)/LOG($H$2))),"")</f>
        <v/>
      </c>
      <c r="J70" s="103">
        <f t="shared" ref="J70:J133" si="8">INT(LOG($H$2,2))-ROUNDUP(LOG(H70,2),0)+IF(OR($H$2=1,$H$2=2,$H$2=4,$H$2=8,$H$2=16,$H$2=32,$H$2=64,$H$2=128,$H$2=256),0,1)</f>
        <v>-3</v>
      </c>
      <c r="K70" s="103">
        <f t="shared" ref="K70:K133" si="9">J70*$J$2</f>
        <v>-30</v>
      </c>
      <c r="L70" s="103"/>
      <c r="M70" s="105">
        <f t="shared" ref="M70:M133" si="10">IF(I70&lt;&gt;"",K70+I70+L70,0)</f>
        <v>0</v>
      </c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</row>
    <row r="71" spans="1:38" s="88" customFormat="1">
      <c r="A71" s="106">
        <f t="shared" si="6"/>
        <v>0</v>
      </c>
      <c r="B71" s="41" t="str">
        <f t="shared" si="5"/>
        <v/>
      </c>
      <c r="C71" s="42"/>
      <c r="D71" s="42"/>
      <c r="E71" s="42"/>
      <c r="F71" s="42"/>
      <c r="H71" s="107">
        <v>66</v>
      </c>
      <c r="I71" s="108" t="str">
        <f t="shared" si="7"/>
        <v/>
      </c>
      <c r="J71" s="107">
        <f t="shared" si="8"/>
        <v>-3</v>
      </c>
      <c r="K71" s="107">
        <f t="shared" si="9"/>
        <v>-30</v>
      </c>
      <c r="L71" s="107"/>
      <c r="M71" s="109">
        <f t="shared" si="10"/>
        <v>0</v>
      </c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</row>
    <row r="72" spans="1:38" s="88" customFormat="1">
      <c r="A72" s="102">
        <f t="shared" si="6"/>
        <v>0</v>
      </c>
      <c r="B72" s="35" t="str">
        <f t="shared" si="5"/>
        <v/>
      </c>
      <c r="C72" s="36"/>
      <c r="D72" s="36"/>
      <c r="E72" s="36"/>
      <c r="F72" s="36"/>
      <c r="H72" s="103">
        <v>67</v>
      </c>
      <c r="I72" s="104" t="str">
        <f t="shared" si="7"/>
        <v/>
      </c>
      <c r="J72" s="103">
        <f t="shared" si="8"/>
        <v>-3</v>
      </c>
      <c r="K72" s="103">
        <f t="shared" si="9"/>
        <v>-30</v>
      </c>
      <c r="L72" s="103"/>
      <c r="M72" s="105">
        <f t="shared" si="10"/>
        <v>0</v>
      </c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</row>
    <row r="73" spans="1:38" s="88" customFormat="1">
      <c r="A73" s="106">
        <f t="shared" si="6"/>
        <v>0</v>
      </c>
      <c r="B73" s="41" t="str">
        <f t="shared" si="5"/>
        <v/>
      </c>
      <c r="C73" s="42"/>
      <c r="D73" s="42"/>
      <c r="E73" s="42"/>
      <c r="F73" s="42"/>
      <c r="H73" s="107">
        <v>68</v>
      </c>
      <c r="I73" s="108" t="str">
        <f t="shared" si="7"/>
        <v/>
      </c>
      <c r="J73" s="107">
        <f t="shared" si="8"/>
        <v>-3</v>
      </c>
      <c r="K73" s="107">
        <f t="shared" si="9"/>
        <v>-30</v>
      </c>
      <c r="L73" s="107"/>
      <c r="M73" s="109">
        <f t="shared" si="10"/>
        <v>0</v>
      </c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</row>
    <row r="74" spans="1:38" s="88" customFormat="1">
      <c r="A74" s="102">
        <f t="shared" si="6"/>
        <v>0</v>
      </c>
      <c r="B74" s="35" t="str">
        <f t="shared" ref="B74:B137" si="11">IF(H74&gt;$H$2,"",(ROW()-5))</f>
        <v/>
      </c>
      <c r="C74" s="36"/>
      <c r="D74" s="36"/>
      <c r="E74" s="36"/>
      <c r="F74" s="36"/>
      <c r="H74" s="103">
        <v>69</v>
      </c>
      <c r="I74" s="104" t="str">
        <f t="shared" si="7"/>
        <v/>
      </c>
      <c r="J74" s="103">
        <f t="shared" si="8"/>
        <v>-3</v>
      </c>
      <c r="K74" s="103">
        <f t="shared" si="9"/>
        <v>-30</v>
      </c>
      <c r="L74" s="103"/>
      <c r="M74" s="105">
        <f t="shared" si="10"/>
        <v>0</v>
      </c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</row>
    <row r="75" spans="1:38" s="88" customFormat="1">
      <c r="A75" s="106">
        <f t="shared" si="6"/>
        <v>0</v>
      </c>
      <c r="B75" s="41" t="str">
        <f t="shared" si="11"/>
        <v/>
      </c>
      <c r="C75" s="42"/>
      <c r="D75" s="42"/>
      <c r="E75" s="42"/>
      <c r="F75" s="42"/>
      <c r="H75" s="107">
        <v>70</v>
      </c>
      <c r="I75" s="108" t="str">
        <f t="shared" si="7"/>
        <v/>
      </c>
      <c r="J75" s="107">
        <f t="shared" si="8"/>
        <v>-3</v>
      </c>
      <c r="K75" s="107">
        <f t="shared" si="9"/>
        <v>-30</v>
      </c>
      <c r="L75" s="107"/>
      <c r="M75" s="109">
        <f t="shared" si="10"/>
        <v>0</v>
      </c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</row>
    <row r="76" spans="1:38" s="88" customFormat="1">
      <c r="A76" s="102">
        <f t="shared" si="6"/>
        <v>0</v>
      </c>
      <c r="B76" s="35" t="str">
        <f t="shared" si="11"/>
        <v/>
      </c>
      <c r="C76" s="36"/>
      <c r="D76" s="36"/>
      <c r="E76" s="36"/>
      <c r="F76" s="36"/>
      <c r="H76" s="103">
        <v>71</v>
      </c>
      <c r="I76" s="104" t="str">
        <f t="shared" si="7"/>
        <v/>
      </c>
      <c r="J76" s="103">
        <f t="shared" si="8"/>
        <v>-3</v>
      </c>
      <c r="K76" s="103">
        <f t="shared" si="9"/>
        <v>-30</v>
      </c>
      <c r="L76" s="103"/>
      <c r="M76" s="105">
        <f t="shared" si="10"/>
        <v>0</v>
      </c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</row>
    <row r="77" spans="1:38" s="88" customFormat="1">
      <c r="A77" s="106">
        <f t="shared" si="6"/>
        <v>0</v>
      </c>
      <c r="B77" s="41" t="str">
        <f t="shared" si="11"/>
        <v/>
      </c>
      <c r="C77" s="42"/>
      <c r="D77" s="42"/>
      <c r="E77" s="42"/>
      <c r="F77" s="42"/>
      <c r="H77" s="107">
        <v>72</v>
      </c>
      <c r="I77" s="108" t="str">
        <f t="shared" si="7"/>
        <v/>
      </c>
      <c r="J77" s="107">
        <f t="shared" si="8"/>
        <v>-3</v>
      </c>
      <c r="K77" s="107">
        <f t="shared" si="9"/>
        <v>-30</v>
      </c>
      <c r="L77" s="107"/>
      <c r="M77" s="109">
        <f t="shared" si="10"/>
        <v>0</v>
      </c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</row>
    <row r="78" spans="1:38" s="88" customFormat="1">
      <c r="A78" s="102">
        <f t="shared" si="6"/>
        <v>0</v>
      </c>
      <c r="B78" s="35" t="str">
        <f t="shared" si="11"/>
        <v/>
      </c>
      <c r="C78" s="36"/>
      <c r="D78" s="36"/>
      <c r="E78" s="36"/>
      <c r="F78" s="36"/>
      <c r="H78" s="103">
        <v>73</v>
      </c>
      <c r="I78" s="104" t="str">
        <f t="shared" si="7"/>
        <v/>
      </c>
      <c r="J78" s="103">
        <f t="shared" si="8"/>
        <v>-3</v>
      </c>
      <c r="K78" s="103">
        <f t="shared" si="9"/>
        <v>-30</v>
      </c>
      <c r="L78" s="103"/>
      <c r="M78" s="105">
        <f t="shared" si="10"/>
        <v>0</v>
      </c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</row>
    <row r="79" spans="1:38" s="88" customFormat="1">
      <c r="A79" s="106">
        <f t="shared" si="6"/>
        <v>0</v>
      </c>
      <c r="B79" s="41" t="str">
        <f t="shared" si="11"/>
        <v/>
      </c>
      <c r="C79" s="42"/>
      <c r="D79" s="42"/>
      <c r="E79" s="42"/>
      <c r="F79" s="42"/>
      <c r="H79" s="107">
        <v>74</v>
      </c>
      <c r="I79" s="108" t="str">
        <f t="shared" si="7"/>
        <v/>
      </c>
      <c r="J79" s="107">
        <f t="shared" si="8"/>
        <v>-3</v>
      </c>
      <c r="K79" s="107">
        <f t="shared" si="9"/>
        <v>-30</v>
      </c>
      <c r="L79" s="107"/>
      <c r="M79" s="109">
        <f t="shared" si="10"/>
        <v>0</v>
      </c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</row>
    <row r="80" spans="1:38" s="88" customFormat="1">
      <c r="A80" s="102">
        <f t="shared" si="6"/>
        <v>0</v>
      </c>
      <c r="B80" s="35" t="str">
        <f t="shared" si="11"/>
        <v/>
      </c>
      <c r="C80" s="36"/>
      <c r="D80" s="36"/>
      <c r="E80" s="36"/>
      <c r="F80" s="36"/>
      <c r="H80" s="103">
        <v>75</v>
      </c>
      <c r="I80" s="104" t="str">
        <f t="shared" si="7"/>
        <v/>
      </c>
      <c r="J80" s="103">
        <f t="shared" si="8"/>
        <v>-3</v>
      </c>
      <c r="K80" s="103">
        <f t="shared" si="9"/>
        <v>-30</v>
      </c>
      <c r="L80" s="103"/>
      <c r="M80" s="105">
        <f t="shared" si="10"/>
        <v>0</v>
      </c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</row>
    <row r="81" spans="1:38" s="88" customFormat="1">
      <c r="A81" s="106">
        <f t="shared" si="6"/>
        <v>0</v>
      </c>
      <c r="B81" s="41" t="str">
        <f t="shared" si="11"/>
        <v/>
      </c>
      <c r="C81" s="42"/>
      <c r="D81" s="42"/>
      <c r="E81" s="42"/>
      <c r="F81" s="42"/>
      <c r="H81" s="107">
        <v>76</v>
      </c>
      <c r="I81" s="108" t="str">
        <f t="shared" si="7"/>
        <v/>
      </c>
      <c r="J81" s="107">
        <f t="shared" si="8"/>
        <v>-3</v>
      </c>
      <c r="K81" s="107">
        <f t="shared" si="9"/>
        <v>-30</v>
      </c>
      <c r="L81" s="107"/>
      <c r="M81" s="109">
        <f t="shared" si="10"/>
        <v>0</v>
      </c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</row>
    <row r="82" spans="1:38" s="88" customFormat="1">
      <c r="A82" s="102">
        <f t="shared" si="6"/>
        <v>0</v>
      </c>
      <c r="B82" s="35" t="str">
        <f t="shared" si="11"/>
        <v/>
      </c>
      <c r="C82" s="36"/>
      <c r="D82" s="36"/>
      <c r="E82" s="36"/>
      <c r="F82" s="36"/>
      <c r="H82" s="103">
        <v>77</v>
      </c>
      <c r="I82" s="104" t="str">
        <f t="shared" si="7"/>
        <v/>
      </c>
      <c r="J82" s="103">
        <f t="shared" si="8"/>
        <v>-3</v>
      </c>
      <c r="K82" s="103">
        <f t="shared" si="9"/>
        <v>-30</v>
      </c>
      <c r="L82" s="103"/>
      <c r="M82" s="105">
        <f t="shared" si="10"/>
        <v>0</v>
      </c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</row>
    <row r="83" spans="1:38" s="88" customFormat="1">
      <c r="A83" s="106">
        <f t="shared" si="6"/>
        <v>0</v>
      </c>
      <c r="B83" s="41" t="str">
        <f t="shared" si="11"/>
        <v/>
      </c>
      <c r="C83" s="42"/>
      <c r="D83" s="42"/>
      <c r="E83" s="42"/>
      <c r="F83" s="42"/>
      <c r="H83" s="107">
        <v>78</v>
      </c>
      <c r="I83" s="108" t="str">
        <f t="shared" si="7"/>
        <v/>
      </c>
      <c r="J83" s="107">
        <f t="shared" si="8"/>
        <v>-3</v>
      </c>
      <c r="K83" s="107">
        <f t="shared" si="9"/>
        <v>-30</v>
      </c>
      <c r="L83" s="107"/>
      <c r="M83" s="109">
        <f t="shared" si="10"/>
        <v>0</v>
      </c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</row>
    <row r="84" spans="1:38" s="88" customFormat="1">
      <c r="A84" s="102">
        <f t="shared" si="6"/>
        <v>0</v>
      </c>
      <c r="B84" s="35" t="str">
        <f t="shared" si="11"/>
        <v/>
      </c>
      <c r="C84" s="36"/>
      <c r="D84" s="36"/>
      <c r="E84" s="36"/>
      <c r="F84" s="36"/>
      <c r="H84" s="103">
        <v>79</v>
      </c>
      <c r="I84" s="104" t="str">
        <f t="shared" si="7"/>
        <v/>
      </c>
      <c r="J84" s="103">
        <f t="shared" si="8"/>
        <v>-3</v>
      </c>
      <c r="K84" s="103">
        <f t="shared" si="9"/>
        <v>-30</v>
      </c>
      <c r="L84" s="103"/>
      <c r="M84" s="105">
        <f t="shared" si="10"/>
        <v>0</v>
      </c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</row>
    <row r="85" spans="1:38" s="88" customFormat="1">
      <c r="A85" s="106">
        <f t="shared" si="6"/>
        <v>0</v>
      </c>
      <c r="B85" s="41" t="str">
        <f t="shared" si="11"/>
        <v/>
      </c>
      <c r="C85" s="42"/>
      <c r="D85" s="42"/>
      <c r="E85" s="42"/>
      <c r="F85" s="42"/>
      <c r="H85" s="107">
        <v>80</v>
      </c>
      <c r="I85" s="108" t="str">
        <f t="shared" si="7"/>
        <v/>
      </c>
      <c r="J85" s="107">
        <f t="shared" si="8"/>
        <v>-3</v>
      </c>
      <c r="K85" s="107">
        <f t="shared" si="9"/>
        <v>-30</v>
      </c>
      <c r="L85" s="107"/>
      <c r="M85" s="109">
        <f t="shared" si="10"/>
        <v>0</v>
      </c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</row>
    <row r="86" spans="1:38" s="88" customFormat="1">
      <c r="A86" s="102">
        <f t="shared" si="6"/>
        <v>0</v>
      </c>
      <c r="B86" s="35" t="str">
        <f t="shared" si="11"/>
        <v/>
      </c>
      <c r="C86" s="36"/>
      <c r="D86" s="36"/>
      <c r="E86" s="36"/>
      <c r="F86" s="36"/>
      <c r="H86" s="103">
        <v>81</v>
      </c>
      <c r="I86" s="104" t="str">
        <f t="shared" si="7"/>
        <v/>
      </c>
      <c r="J86" s="103">
        <f t="shared" si="8"/>
        <v>-3</v>
      </c>
      <c r="K86" s="103">
        <f t="shared" si="9"/>
        <v>-30</v>
      </c>
      <c r="L86" s="103"/>
      <c r="M86" s="105">
        <f t="shared" si="10"/>
        <v>0</v>
      </c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</row>
    <row r="87" spans="1:38" s="88" customFormat="1">
      <c r="A87" s="106">
        <f t="shared" si="6"/>
        <v>0</v>
      </c>
      <c r="B87" s="41" t="str">
        <f t="shared" si="11"/>
        <v/>
      </c>
      <c r="C87" s="42"/>
      <c r="D87" s="42"/>
      <c r="E87" s="42"/>
      <c r="F87" s="42"/>
      <c r="H87" s="107">
        <v>82</v>
      </c>
      <c r="I87" s="108" t="str">
        <f t="shared" si="7"/>
        <v/>
      </c>
      <c r="J87" s="107">
        <f t="shared" si="8"/>
        <v>-3</v>
      </c>
      <c r="K87" s="107">
        <f t="shared" si="9"/>
        <v>-30</v>
      </c>
      <c r="L87" s="107"/>
      <c r="M87" s="109">
        <f t="shared" si="10"/>
        <v>0</v>
      </c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</row>
    <row r="88" spans="1:38" s="88" customFormat="1">
      <c r="A88" s="102">
        <f t="shared" si="6"/>
        <v>0</v>
      </c>
      <c r="B88" s="35" t="str">
        <f t="shared" si="11"/>
        <v/>
      </c>
      <c r="C88" s="36"/>
      <c r="D88" s="36"/>
      <c r="E88" s="36"/>
      <c r="F88" s="36"/>
      <c r="H88" s="103">
        <v>83</v>
      </c>
      <c r="I88" s="104" t="str">
        <f t="shared" si="7"/>
        <v/>
      </c>
      <c r="J88" s="103">
        <f t="shared" si="8"/>
        <v>-3</v>
      </c>
      <c r="K88" s="103">
        <f t="shared" si="9"/>
        <v>-30</v>
      </c>
      <c r="L88" s="103"/>
      <c r="M88" s="105">
        <f t="shared" si="10"/>
        <v>0</v>
      </c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</row>
    <row r="89" spans="1:38" s="88" customFormat="1">
      <c r="A89" s="106">
        <f t="shared" si="6"/>
        <v>0</v>
      </c>
      <c r="B89" s="41" t="str">
        <f t="shared" si="11"/>
        <v/>
      </c>
      <c r="C89" s="42"/>
      <c r="D89" s="42"/>
      <c r="E89" s="42"/>
      <c r="F89" s="42"/>
      <c r="H89" s="107">
        <v>84</v>
      </c>
      <c r="I89" s="108" t="str">
        <f t="shared" si="7"/>
        <v/>
      </c>
      <c r="J89" s="107">
        <f t="shared" si="8"/>
        <v>-3</v>
      </c>
      <c r="K89" s="107">
        <f t="shared" si="9"/>
        <v>-30</v>
      </c>
      <c r="L89" s="107"/>
      <c r="M89" s="109">
        <f t="shared" si="10"/>
        <v>0</v>
      </c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</row>
    <row r="90" spans="1:38" s="88" customFormat="1">
      <c r="A90" s="102">
        <f t="shared" si="6"/>
        <v>0</v>
      </c>
      <c r="B90" s="35" t="str">
        <f t="shared" si="11"/>
        <v/>
      </c>
      <c r="C90" s="36"/>
      <c r="D90" s="36"/>
      <c r="E90" s="36"/>
      <c r="F90" s="36"/>
      <c r="H90" s="103">
        <v>85</v>
      </c>
      <c r="I90" s="104" t="str">
        <f t="shared" si="7"/>
        <v/>
      </c>
      <c r="J90" s="103">
        <f t="shared" si="8"/>
        <v>-3</v>
      </c>
      <c r="K90" s="103">
        <f t="shared" si="9"/>
        <v>-30</v>
      </c>
      <c r="L90" s="103"/>
      <c r="M90" s="105">
        <f t="shared" si="10"/>
        <v>0</v>
      </c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</row>
    <row r="91" spans="1:38" s="88" customFormat="1">
      <c r="A91" s="106">
        <f t="shared" si="6"/>
        <v>0</v>
      </c>
      <c r="B91" s="41" t="str">
        <f t="shared" si="11"/>
        <v/>
      </c>
      <c r="C91" s="42"/>
      <c r="D91" s="42"/>
      <c r="E91" s="42"/>
      <c r="F91" s="42"/>
      <c r="H91" s="107">
        <v>86</v>
      </c>
      <c r="I91" s="108" t="str">
        <f t="shared" si="7"/>
        <v/>
      </c>
      <c r="J91" s="107">
        <f t="shared" si="8"/>
        <v>-3</v>
      </c>
      <c r="K91" s="107">
        <f t="shared" si="9"/>
        <v>-30</v>
      </c>
      <c r="L91" s="107"/>
      <c r="M91" s="109">
        <f t="shared" si="10"/>
        <v>0</v>
      </c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</row>
    <row r="92" spans="1:38" s="88" customFormat="1">
      <c r="A92" s="102">
        <f t="shared" si="6"/>
        <v>0</v>
      </c>
      <c r="B92" s="35" t="str">
        <f t="shared" si="11"/>
        <v/>
      </c>
      <c r="C92" s="36"/>
      <c r="D92" s="36"/>
      <c r="E92" s="36"/>
      <c r="F92" s="36"/>
      <c r="H92" s="103">
        <v>87</v>
      </c>
      <c r="I92" s="104" t="str">
        <f t="shared" si="7"/>
        <v/>
      </c>
      <c r="J92" s="103">
        <f t="shared" si="8"/>
        <v>-3</v>
      </c>
      <c r="K92" s="103">
        <f t="shared" si="9"/>
        <v>-30</v>
      </c>
      <c r="L92" s="103"/>
      <c r="M92" s="105">
        <f t="shared" si="10"/>
        <v>0</v>
      </c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</row>
    <row r="93" spans="1:38" s="88" customFormat="1">
      <c r="A93" s="106">
        <f t="shared" si="6"/>
        <v>0</v>
      </c>
      <c r="B93" s="41" t="str">
        <f t="shared" si="11"/>
        <v/>
      </c>
      <c r="C93" s="42"/>
      <c r="D93" s="42"/>
      <c r="E93" s="42"/>
      <c r="F93" s="42"/>
      <c r="H93" s="107">
        <v>88</v>
      </c>
      <c r="I93" s="108" t="str">
        <f t="shared" si="7"/>
        <v/>
      </c>
      <c r="J93" s="107">
        <f t="shared" si="8"/>
        <v>-3</v>
      </c>
      <c r="K93" s="107">
        <f t="shared" si="9"/>
        <v>-30</v>
      </c>
      <c r="L93" s="107"/>
      <c r="M93" s="109">
        <f t="shared" si="10"/>
        <v>0</v>
      </c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</row>
    <row r="94" spans="1:38" s="88" customFormat="1">
      <c r="A94" s="102">
        <f t="shared" si="6"/>
        <v>0</v>
      </c>
      <c r="B94" s="35" t="str">
        <f t="shared" si="11"/>
        <v/>
      </c>
      <c r="C94" s="36"/>
      <c r="D94" s="36"/>
      <c r="E94" s="36"/>
      <c r="F94" s="36"/>
      <c r="H94" s="103">
        <v>89</v>
      </c>
      <c r="I94" s="104" t="str">
        <f t="shared" si="7"/>
        <v/>
      </c>
      <c r="J94" s="103">
        <f t="shared" si="8"/>
        <v>-3</v>
      </c>
      <c r="K94" s="103">
        <f t="shared" si="9"/>
        <v>-30</v>
      </c>
      <c r="L94" s="103"/>
      <c r="M94" s="105">
        <f t="shared" si="10"/>
        <v>0</v>
      </c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</row>
    <row r="95" spans="1:38" s="88" customFormat="1">
      <c r="A95" s="106">
        <f t="shared" si="6"/>
        <v>0</v>
      </c>
      <c r="B95" s="41" t="str">
        <f t="shared" si="11"/>
        <v/>
      </c>
      <c r="C95" s="42"/>
      <c r="D95" s="42"/>
      <c r="E95" s="42"/>
      <c r="F95" s="42"/>
      <c r="H95" s="107">
        <v>90</v>
      </c>
      <c r="I95" s="108" t="str">
        <f t="shared" si="7"/>
        <v/>
      </c>
      <c r="J95" s="107">
        <f t="shared" si="8"/>
        <v>-3</v>
      </c>
      <c r="K95" s="107">
        <f t="shared" si="9"/>
        <v>-30</v>
      </c>
      <c r="L95" s="107"/>
      <c r="M95" s="109">
        <f t="shared" si="10"/>
        <v>0</v>
      </c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</row>
    <row r="96" spans="1:38" s="88" customFormat="1">
      <c r="A96" s="102">
        <f t="shared" si="6"/>
        <v>0</v>
      </c>
      <c r="B96" s="35" t="str">
        <f t="shared" si="11"/>
        <v/>
      </c>
      <c r="C96" s="36"/>
      <c r="D96" s="36"/>
      <c r="E96" s="36"/>
      <c r="F96" s="36"/>
      <c r="H96" s="103">
        <v>91</v>
      </c>
      <c r="I96" s="104" t="str">
        <f t="shared" si="7"/>
        <v/>
      </c>
      <c r="J96" s="103">
        <f t="shared" si="8"/>
        <v>-3</v>
      </c>
      <c r="K96" s="103">
        <f t="shared" si="9"/>
        <v>-30</v>
      </c>
      <c r="L96" s="103"/>
      <c r="M96" s="105">
        <f t="shared" si="10"/>
        <v>0</v>
      </c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</row>
    <row r="97" spans="1:38" s="88" customFormat="1">
      <c r="A97" s="106">
        <f t="shared" si="6"/>
        <v>0</v>
      </c>
      <c r="B97" s="41" t="str">
        <f t="shared" si="11"/>
        <v/>
      </c>
      <c r="C97" s="42"/>
      <c r="D97" s="42"/>
      <c r="E97" s="42"/>
      <c r="F97" s="42"/>
      <c r="H97" s="107">
        <v>92</v>
      </c>
      <c r="I97" s="108" t="str">
        <f t="shared" si="7"/>
        <v/>
      </c>
      <c r="J97" s="107">
        <f t="shared" si="8"/>
        <v>-3</v>
      </c>
      <c r="K97" s="107">
        <f t="shared" si="9"/>
        <v>-30</v>
      </c>
      <c r="L97" s="107"/>
      <c r="M97" s="109">
        <f t="shared" si="10"/>
        <v>0</v>
      </c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</row>
    <row r="98" spans="1:38" s="88" customFormat="1">
      <c r="A98" s="102">
        <f t="shared" si="6"/>
        <v>0</v>
      </c>
      <c r="B98" s="35" t="str">
        <f t="shared" si="11"/>
        <v/>
      </c>
      <c r="C98" s="36"/>
      <c r="D98" s="36"/>
      <c r="E98" s="36"/>
      <c r="F98" s="36"/>
      <c r="H98" s="103">
        <v>93</v>
      </c>
      <c r="I98" s="104" t="str">
        <f t="shared" si="7"/>
        <v/>
      </c>
      <c r="J98" s="103">
        <f t="shared" si="8"/>
        <v>-3</v>
      </c>
      <c r="K98" s="103">
        <f t="shared" si="9"/>
        <v>-30</v>
      </c>
      <c r="L98" s="103"/>
      <c r="M98" s="105">
        <f t="shared" si="10"/>
        <v>0</v>
      </c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</row>
    <row r="99" spans="1:38" s="88" customFormat="1">
      <c r="A99" s="106">
        <f t="shared" si="6"/>
        <v>0</v>
      </c>
      <c r="B99" s="41" t="str">
        <f t="shared" si="11"/>
        <v/>
      </c>
      <c r="C99" s="42"/>
      <c r="D99" s="42"/>
      <c r="E99" s="42"/>
      <c r="F99" s="42"/>
      <c r="H99" s="107">
        <v>94</v>
      </c>
      <c r="I99" s="108" t="str">
        <f t="shared" si="7"/>
        <v/>
      </c>
      <c r="J99" s="107">
        <f t="shared" si="8"/>
        <v>-3</v>
      </c>
      <c r="K99" s="107">
        <f t="shared" si="9"/>
        <v>-30</v>
      </c>
      <c r="L99" s="107"/>
      <c r="M99" s="109">
        <f t="shared" si="10"/>
        <v>0</v>
      </c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</row>
    <row r="100" spans="1:38" s="88" customFormat="1">
      <c r="A100" s="102">
        <f t="shared" si="6"/>
        <v>0</v>
      </c>
      <c r="B100" s="35" t="str">
        <f t="shared" si="11"/>
        <v/>
      </c>
      <c r="C100" s="36"/>
      <c r="D100" s="36"/>
      <c r="E100" s="36"/>
      <c r="F100" s="36"/>
      <c r="H100" s="103">
        <v>95</v>
      </c>
      <c r="I100" s="104" t="str">
        <f t="shared" si="7"/>
        <v/>
      </c>
      <c r="J100" s="103">
        <f t="shared" si="8"/>
        <v>-3</v>
      </c>
      <c r="K100" s="103">
        <f t="shared" si="9"/>
        <v>-30</v>
      </c>
      <c r="L100" s="103"/>
      <c r="M100" s="105">
        <f t="shared" si="10"/>
        <v>0</v>
      </c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</row>
    <row r="101" spans="1:38" s="88" customFormat="1">
      <c r="A101" s="106">
        <f t="shared" si="6"/>
        <v>0</v>
      </c>
      <c r="B101" s="41" t="str">
        <f t="shared" si="11"/>
        <v/>
      </c>
      <c r="C101" s="42"/>
      <c r="D101" s="42"/>
      <c r="E101" s="42"/>
      <c r="F101" s="42"/>
      <c r="H101" s="107">
        <v>96</v>
      </c>
      <c r="I101" s="108" t="str">
        <f t="shared" si="7"/>
        <v/>
      </c>
      <c r="J101" s="107">
        <f t="shared" si="8"/>
        <v>-3</v>
      </c>
      <c r="K101" s="107">
        <f t="shared" si="9"/>
        <v>-30</v>
      </c>
      <c r="L101" s="107"/>
      <c r="M101" s="109">
        <f t="shared" si="10"/>
        <v>0</v>
      </c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</row>
    <row r="102" spans="1:38" s="88" customFormat="1">
      <c r="A102" s="102">
        <f t="shared" si="6"/>
        <v>0</v>
      </c>
      <c r="B102" s="35" t="str">
        <f t="shared" si="11"/>
        <v/>
      </c>
      <c r="C102" s="36"/>
      <c r="D102" s="36"/>
      <c r="E102" s="36"/>
      <c r="F102" s="36"/>
      <c r="H102" s="103">
        <v>97</v>
      </c>
      <c r="I102" s="104" t="str">
        <f t="shared" si="7"/>
        <v/>
      </c>
      <c r="J102" s="103">
        <f t="shared" si="8"/>
        <v>-3</v>
      </c>
      <c r="K102" s="103">
        <f t="shared" si="9"/>
        <v>-30</v>
      </c>
      <c r="L102" s="103"/>
      <c r="M102" s="105">
        <f t="shared" si="10"/>
        <v>0</v>
      </c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</row>
    <row r="103" spans="1:38" s="88" customFormat="1">
      <c r="A103" s="106">
        <f t="shared" si="6"/>
        <v>0</v>
      </c>
      <c r="B103" s="41" t="str">
        <f t="shared" si="11"/>
        <v/>
      </c>
      <c r="C103" s="42"/>
      <c r="D103" s="42"/>
      <c r="E103" s="42"/>
      <c r="F103" s="42"/>
      <c r="H103" s="107">
        <v>98</v>
      </c>
      <c r="I103" s="108" t="str">
        <f t="shared" si="7"/>
        <v/>
      </c>
      <c r="J103" s="107">
        <f t="shared" si="8"/>
        <v>-3</v>
      </c>
      <c r="K103" s="107">
        <f t="shared" si="9"/>
        <v>-30</v>
      </c>
      <c r="L103" s="107"/>
      <c r="M103" s="109">
        <f t="shared" si="10"/>
        <v>0</v>
      </c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</row>
    <row r="104" spans="1:38" s="88" customFormat="1">
      <c r="A104" s="102">
        <f t="shared" si="6"/>
        <v>0</v>
      </c>
      <c r="B104" s="35" t="str">
        <f t="shared" si="11"/>
        <v/>
      </c>
      <c r="C104" s="36"/>
      <c r="D104" s="36"/>
      <c r="E104" s="36"/>
      <c r="F104" s="36"/>
      <c r="H104" s="103">
        <v>99</v>
      </c>
      <c r="I104" s="104" t="str">
        <f t="shared" si="7"/>
        <v/>
      </c>
      <c r="J104" s="103">
        <f t="shared" si="8"/>
        <v>-3</v>
      </c>
      <c r="K104" s="103">
        <f t="shared" si="9"/>
        <v>-30</v>
      </c>
      <c r="L104" s="103"/>
      <c r="M104" s="105">
        <f t="shared" si="10"/>
        <v>0</v>
      </c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</row>
    <row r="105" spans="1:38" s="88" customFormat="1">
      <c r="A105" s="106">
        <f t="shared" si="6"/>
        <v>0</v>
      </c>
      <c r="B105" s="41" t="str">
        <f t="shared" si="11"/>
        <v/>
      </c>
      <c r="C105" s="42"/>
      <c r="D105" s="42"/>
      <c r="E105" s="42"/>
      <c r="F105" s="42"/>
      <c r="H105" s="107">
        <v>100</v>
      </c>
      <c r="I105" s="108" t="str">
        <f t="shared" si="7"/>
        <v/>
      </c>
      <c r="J105" s="107">
        <f t="shared" si="8"/>
        <v>-3</v>
      </c>
      <c r="K105" s="107">
        <f t="shared" si="9"/>
        <v>-30</v>
      </c>
      <c r="L105" s="107"/>
      <c r="M105" s="109">
        <f t="shared" si="10"/>
        <v>0</v>
      </c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</row>
    <row r="106" spans="1:38" s="88" customFormat="1">
      <c r="A106" s="102">
        <f t="shared" si="6"/>
        <v>0</v>
      </c>
      <c r="B106" s="35" t="str">
        <f t="shared" si="11"/>
        <v/>
      </c>
      <c r="C106" s="36"/>
      <c r="D106" s="36"/>
      <c r="E106" s="36"/>
      <c r="F106" s="36"/>
      <c r="H106" s="103">
        <v>101</v>
      </c>
      <c r="I106" s="104" t="str">
        <f t="shared" si="7"/>
        <v/>
      </c>
      <c r="J106" s="103">
        <f t="shared" si="8"/>
        <v>-3</v>
      </c>
      <c r="K106" s="103">
        <f t="shared" si="9"/>
        <v>-30</v>
      </c>
      <c r="L106" s="103"/>
      <c r="M106" s="105">
        <f t="shared" si="10"/>
        <v>0</v>
      </c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</row>
    <row r="107" spans="1:38" s="88" customFormat="1">
      <c r="A107" s="106">
        <f t="shared" si="6"/>
        <v>0</v>
      </c>
      <c r="B107" s="41" t="str">
        <f t="shared" si="11"/>
        <v/>
      </c>
      <c r="C107" s="42"/>
      <c r="D107" s="42"/>
      <c r="E107" s="42"/>
      <c r="F107" s="42"/>
      <c r="H107" s="107">
        <v>102</v>
      </c>
      <c r="I107" s="108" t="str">
        <f t="shared" si="7"/>
        <v/>
      </c>
      <c r="J107" s="107">
        <f t="shared" si="8"/>
        <v>-3</v>
      </c>
      <c r="K107" s="107">
        <f t="shared" si="9"/>
        <v>-30</v>
      </c>
      <c r="L107" s="107"/>
      <c r="M107" s="109">
        <f t="shared" si="10"/>
        <v>0</v>
      </c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</row>
    <row r="108" spans="1:38" s="88" customFormat="1">
      <c r="A108" s="102">
        <f t="shared" si="6"/>
        <v>0</v>
      </c>
      <c r="B108" s="35" t="str">
        <f t="shared" si="11"/>
        <v/>
      </c>
      <c r="C108" s="36"/>
      <c r="D108" s="36"/>
      <c r="E108" s="36"/>
      <c r="F108" s="36"/>
      <c r="H108" s="103">
        <v>103</v>
      </c>
      <c r="I108" s="104" t="str">
        <f t="shared" si="7"/>
        <v/>
      </c>
      <c r="J108" s="103">
        <f t="shared" si="8"/>
        <v>-3</v>
      </c>
      <c r="K108" s="103">
        <f t="shared" si="9"/>
        <v>-30</v>
      </c>
      <c r="L108" s="103"/>
      <c r="M108" s="105">
        <f t="shared" si="10"/>
        <v>0</v>
      </c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</row>
    <row r="109" spans="1:38" s="88" customFormat="1">
      <c r="A109" s="106">
        <f t="shared" si="6"/>
        <v>0</v>
      </c>
      <c r="B109" s="41" t="str">
        <f t="shared" si="11"/>
        <v/>
      </c>
      <c r="C109" s="42"/>
      <c r="D109" s="42"/>
      <c r="E109" s="42"/>
      <c r="F109" s="42"/>
      <c r="H109" s="107">
        <v>104</v>
      </c>
      <c r="I109" s="108" t="str">
        <f t="shared" si="7"/>
        <v/>
      </c>
      <c r="J109" s="107">
        <f t="shared" si="8"/>
        <v>-3</v>
      </c>
      <c r="K109" s="107">
        <f t="shared" si="9"/>
        <v>-30</v>
      </c>
      <c r="L109" s="107"/>
      <c r="M109" s="109">
        <f t="shared" si="10"/>
        <v>0</v>
      </c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</row>
    <row r="110" spans="1:38" s="88" customFormat="1">
      <c r="A110" s="102">
        <f t="shared" si="6"/>
        <v>0</v>
      </c>
      <c r="B110" s="35" t="str">
        <f t="shared" si="11"/>
        <v/>
      </c>
      <c r="C110" s="36"/>
      <c r="D110" s="36"/>
      <c r="E110" s="36"/>
      <c r="F110" s="36"/>
      <c r="H110" s="103">
        <v>105</v>
      </c>
      <c r="I110" s="104" t="str">
        <f t="shared" si="7"/>
        <v/>
      </c>
      <c r="J110" s="103">
        <f t="shared" si="8"/>
        <v>-3</v>
      </c>
      <c r="K110" s="103">
        <f t="shared" si="9"/>
        <v>-30</v>
      </c>
      <c r="L110" s="103"/>
      <c r="M110" s="105">
        <f t="shared" si="10"/>
        <v>0</v>
      </c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</row>
    <row r="111" spans="1:38" s="88" customFormat="1">
      <c r="A111" s="106">
        <f t="shared" si="6"/>
        <v>0</v>
      </c>
      <c r="B111" s="41" t="str">
        <f t="shared" si="11"/>
        <v/>
      </c>
      <c r="C111" s="42"/>
      <c r="D111" s="42"/>
      <c r="E111" s="42"/>
      <c r="F111" s="42"/>
      <c r="H111" s="107">
        <v>106</v>
      </c>
      <c r="I111" s="108" t="str">
        <f t="shared" si="7"/>
        <v/>
      </c>
      <c r="J111" s="107">
        <f t="shared" si="8"/>
        <v>-3</v>
      </c>
      <c r="K111" s="107">
        <f t="shared" si="9"/>
        <v>-30</v>
      </c>
      <c r="L111" s="107"/>
      <c r="M111" s="109">
        <f t="shared" si="10"/>
        <v>0</v>
      </c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</row>
    <row r="112" spans="1:38" s="88" customFormat="1">
      <c r="A112" s="102">
        <f t="shared" si="6"/>
        <v>0</v>
      </c>
      <c r="B112" s="35" t="str">
        <f t="shared" si="11"/>
        <v/>
      </c>
      <c r="C112" s="36"/>
      <c r="D112" s="36"/>
      <c r="E112" s="36"/>
      <c r="F112" s="36"/>
      <c r="H112" s="103">
        <v>107</v>
      </c>
      <c r="I112" s="104" t="str">
        <f t="shared" si="7"/>
        <v/>
      </c>
      <c r="J112" s="103">
        <f t="shared" si="8"/>
        <v>-3</v>
      </c>
      <c r="K112" s="103">
        <f t="shared" si="9"/>
        <v>-30</v>
      </c>
      <c r="L112" s="103"/>
      <c r="M112" s="105">
        <f t="shared" si="10"/>
        <v>0</v>
      </c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</row>
    <row r="113" spans="1:38" s="88" customFormat="1">
      <c r="A113" s="106">
        <f t="shared" si="6"/>
        <v>0</v>
      </c>
      <c r="B113" s="41" t="str">
        <f t="shared" si="11"/>
        <v/>
      </c>
      <c r="C113" s="42"/>
      <c r="D113" s="42"/>
      <c r="E113" s="42"/>
      <c r="F113" s="42"/>
      <c r="H113" s="107">
        <v>108</v>
      </c>
      <c r="I113" s="108" t="str">
        <f t="shared" si="7"/>
        <v/>
      </c>
      <c r="J113" s="107">
        <f t="shared" si="8"/>
        <v>-3</v>
      </c>
      <c r="K113" s="107">
        <f t="shared" si="9"/>
        <v>-30</v>
      </c>
      <c r="L113" s="107"/>
      <c r="M113" s="109">
        <f t="shared" si="10"/>
        <v>0</v>
      </c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</row>
    <row r="114" spans="1:38" s="88" customFormat="1">
      <c r="A114" s="102">
        <f t="shared" si="6"/>
        <v>0</v>
      </c>
      <c r="B114" s="35" t="str">
        <f t="shared" si="11"/>
        <v/>
      </c>
      <c r="C114" s="36"/>
      <c r="D114" s="36"/>
      <c r="E114" s="36"/>
      <c r="F114" s="36"/>
      <c r="H114" s="103">
        <v>109</v>
      </c>
      <c r="I114" s="104" t="str">
        <f t="shared" si="7"/>
        <v/>
      </c>
      <c r="J114" s="103">
        <f t="shared" si="8"/>
        <v>-3</v>
      </c>
      <c r="K114" s="103">
        <f t="shared" si="9"/>
        <v>-30</v>
      </c>
      <c r="L114" s="103"/>
      <c r="M114" s="105">
        <f t="shared" si="10"/>
        <v>0</v>
      </c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</row>
    <row r="115" spans="1:38" s="88" customFormat="1">
      <c r="A115" s="106">
        <f t="shared" si="6"/>
        <v>0</v>
      </c>
      <c r="B115" s="41" t="str">
        <f t="shared" si="11"/>
        <v/>
      </c>
      <c r="C115" s="42"/>
      <c r="D115" s="42"/>
      <c r="E115" s="42"/>
      <c r="F115" s="42"/>
      <c r="H115" s="107">
        <v>110</v>
      </c>
      <c r="I115" s="108" t="str">
        <f t="shared" si="7"/>
        <v/>
      </c>
      <c r="J115" s="107">
        <f t="shared" si="8"/>
        <v>-3</v>
      </c>
      <c r="K115" s="107">
        <f t="shared" si="9"/>
        <v>-30</v>
      </c>
      <c r="L115" s="107"/>
      <c r="M115" s="109">
        <f t="shared" si="10"/>
        <v>0</v>
      </c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</row>
    <row r="116" spans="1:38" s="88" customFormat="1">
      <c r="A116" s="102">
        <f t="shared" si="6"/>
        <v>0</v>
      </c>
      <c r="B116" s="35" t="str">
        <f t="shared" si="11"/>
        <v/>
      </c>
      <c r="C116" s="36"/>
      <c r="D116" s="36"/>
      <c r="E116" s="36"/>
      <c r="F116" s="36"/>
      <c r="H116" s="103">
        <v>111</v>
      </c>
      <c r="I116" s="104" t="str">
        <f t="shared" si="7"/>
        <v/>
      </c>
      <c r="J116" s="103">
        <f t="shared" si="8"/>
        <v>-3</v>
      </c>
      <c r="K116" s="103">
        <f t="shared" si="9"/>
        <v>-30</v>
      </c>
      <c r="L116" s="103"/>
      <c r="M116" s="105">
        <f t="shared" si="10"/>
        <v>0</v>
      </c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</row>
    <row r="117" spans="1:38" s="88" customFormat="1">
      <c r="A117" s="106">
        <f t="shared" si="6"/>
        <v>0</v>
      </c>
      <c r="B117" s="41" t="str">
        <f t="shared" si="11"/>
        <v/>
      </c>
      <c r="C117" s="42"/>
      <c r="D117" s="42"/>
      <c r="E117" s="42"/>
      <c r="F117" s="42"/>
      <c r="H117" s="107">
        <v>112</v>
      </c>
      <c r="I117" s="108" t="str">
        <f t="shared" si="7"/>
        <v/>
      </c>
      <c r="J117" s="107">
        <f t="shared" si="8"/>
        <v>-3</v>
      </c>
      <c r="K117" s="107">
        <f t="shared" si="9"/>
        <v>-30</v>
      </c>
      <c r="L117" s="107"/>
      <c r="M117" s="109">
        <f t="shared" si="10"/>
        <v>0</v>
      </c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</row>
    <row r="118" spans="1:38" s="88" customFormat="1">
      <c r="A118" s="102">
        <f t="shared" si="6"/>
        <v>0</v>
      </c>
      <c r="B118" s="35" t="str">
        <f t="shared" si="11"/>
        <v/>
      </c>
      <c r="C118" s="36"/>
      <c r="D118" s="36"/>
      <c r="E118" s="36"/>
      <c r="F118" s="36"/>
      <c r="H118" s="103">
        <v>113</v>
      </c>
      <c r="I118" s="104" t="str">
        <f t="shared" si="7"/>
        <v/>
      </c>
      <c r="J118" s="103">
        <f t="shared" si="8"/>
        <v>-3</v>
      </c>
      <c r="K118" s="103">
        <f t="shared" si="9"/>
        <v>-30</v>
      </c>
      <c r="L118" s="103"/>
      <c r="M118" s="105">
        <f t="shared" si="10"/>
        <v>0</v>
      </c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</row>
    <row r="119" spans="1:38" s="88" customFormat="1">
      <c r="A119" s="106">
        <f t="shared" si="6"/>
        <v>0</v>
      </c>
      <c r="B119" s="41" t="str">
        <f t="shared" si="11"/>
        <v/>
      </c>
      <c r="C119" s="42"/>
      <c r="D119" s="42"/>
      <c r="E119" s="42"/>
      <c r="F119" s="42"/>
      <c r="H119" s="107">
        <v>114</v>
      </c>
      <c r="I119" s="108" t="str">
        <f t="shared" si="7"/>
        <v/>
      </c>
      <c r="J119" s="107">
        <f t="shared" si="8"/>
        <v>-3</v>
      </c>
      <c r="K119" s="107">
        <f t="shared" si="9"/>
        <v>-30</v>
      </c>
      <c r="L119" s="107"/>
      <c r="M119" s="109">
        <f t="shared" si="10"/>
        <v>0</v>
      </c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</row>
    <row r="120" spans="1:38" s="88" customFormat="1">
      <c r="A120" s="102">
        <f t="shared" si="6"/>
        <v>0</v>
      </c>
      <c r="B120" s="35" t="str">
        <f t="shared" si="11"/>
        <v/>
      </c>
      <c r="C120" s="36"/>
      <c r="D120" s="36"/>
      <c r="E120" s="36"/>
      <c r="F120" s="36"/>
      <c r="H120" s="103">
        <v>115</v>
      </c>
      <c r="I120" s="104" t="str">
        <f t="shared" si="7"/>
        <v/>
      </c>
      <c r="J120" s="103">
        <f t="shared" si="8"/>
        <v>-3</v>
      </c>
      <c r="K120" s="103">
        <f t="shared" si="9"/>
        <v>-30</v>
      </c>
      <c r="L120" s="103"/>
      <c r="M120" s="105">
        <f t="shared" si="10"/>
        <v>0</v>
      </c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</row>
    <row r="121" spans="1:38" s="88" customFormat="1">
      <c r="A121" s="106">
        <f t="shared" si="6"/>
        <v>0</v>
      </c>
      <c r="B121" s="41" t="str">
        <f t="shared" si="11"/>
        <v/>
      </c>
      <c r="C121" s="42"/>
      <c r="D121" s="42"/>
      <c r="E121" s="42"/>
      <c r="F121" s="42"/>
      <c r="H121" s="107">
        <v>116</v>
      </c>
      <c r="I121" s="108" t="str">
        <f t="shared" si="7"/>
        <v/>
      </c>
      <c r="J121" s="107">
        <f t="shared" si="8"/>
        <v>-3</v>
      </c>
      <c r="K121" s="107">
        <f t="shared" si="9"/>
        <v>-30</v>
      </c>
      <c r="L121" s="107"/>
      <c r="M121" s="109">
        <f t="shared" si="10"/>
        <v>0</v>
      </c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</row>
    <row r="122" spans="1:38" s="88" customFormat="1">
      <c r="A122" s="102">
        <f t="shared" si="6"/>
        <v>0</v>
      </c>
      <c r="B122" s="35" t="str">
        <f t="shared" si="11"/>
        <v/>
      </c>
      <c r="C122" s="36"/>
      <c r="D122" s="36"/>
      <c r="E122" s="36"/>
      <c r="F122" s="36"/>
      <c r="H122" s="103">
        <v>117</v>
      </c>
      <c r="I122" s="104" t="str">
        <f t="shared" si="7"/>
        <v/>
      </c>
      <c r="J122" s="103">
        <f t="shared" si="8"/>
        <v>-3</v>
      </c>
      <c r="K122" s="103">
        <f t="shared" si="9"/>
        <v>-30</v>
      </c>
      <c r="L122" s="103"/>
      <c r="M122" s="105">
        <f t="shared" si="10"/>
        <v>0</v>
      </c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</row>
    <row r="123" spans="1:38" s="88" customFormat="1">
      <c r="A123" s="106">
        <f t="shared" si="6"/>
        <v>0</v>
      </c>
      <c r="B123" s="41" t="str">
        <f t="shared" si="11"/>
        <v/>
      </c>
      <c r="C123" s="42"/>
      <c r="D123" s="42"/>
      <c r="E123" s="42"/>
      <c r="F123" s="42"/>
      <c r="H123" s="107">
        <v>118</v>
      </c>
      <c r="I123" s="108" t="str">
        <f t="shared" si="7"/>
        <v/>
      </c>
      <c r="J123" s="107">
        <f t="shared" si="8"/>
        <v>-3</v>
      </c>
      <c r="K123" s="107">
        <f t="shared" si="9"/>
        <v>-30</v>
      </c>
      <c r="L123" s="107"/>
      <c r="M123" s="109">
        <f t="shared" si="10"/>
        <v>0</v>
      </c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</row>
    <row r="124" spans="1:38" s="88" customFormat="1">
      <c r="A124" s="102">
        <f t="shared" si="6"/>
        <v>0</v>
      </c>
      <c r="B124" s="35" t="str">
        <f t="shared" si="11"/>
        <v/>
      </c>
      <c r="C124" s="36"/>
      <c r="D124" s="36"/>
      <c r="E124" s="36"/>
      <c r="F124" s="36"/>
      <c r="H124" s="103">
        <v>119</v>
      </c>
      <c r="I124" s="104" t="str">
        <f t="shared" si="7"/>
        <v/>
      </c>
      <c r="J124" s="103">
        <f t="shared" si="8"/>
        <v>-3</v>
      </c>
      <c r="K124" s="103">
        <f t="shared" si="9"/>
        <v>-30</v>
      </c>
      <c r="L124" s="103"/>
      <c r="M124" s="105">
        <f t="shared" si="10"/>
        <v>0</v>
      </c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</row>
    <row r="125" spans="1:38" s="88" customFormat="1">
      <c r="A125" s="106">
        <f t="shared" si="6"/>
        <v>0</v>
      </c>
      <c r="B125" s="41" t="str">
        <f t="shared" si="11"/>
        <v/>
      </c>
      <c r="C125" s="42"/>
      <c r="D125" s="42"/>
      <c r="E125" s="42"/>
      <c r="F125" s="42"/>
      <c r="H125" s="107">
        <v>120</v>
      </c>
      <c r="I125" s="108" t="str">
        <f t="shared" si="7"/>
        <v/>
      </c>
      <c r="J125" s="107">
        <f t="shared" si="8"/>
        <v>-3</v>
      </c>
      <c r="K125" s="107">
        <f t="shared" si="9"/>
        <v>-30</v>
      </c>
      <c r="L125" s="107"/>
      <c r="M125" s="109">
        <f t="shared" si="10"/>
        <v>0</v>
      </c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</row>
    <row r="126" spans="1:38" s="88" customFormat="1">
      <c r="A126" s="102">
        <f t="shared" si="6"/>
        <v>0</v>
      </c>
      <c r="B126" s="35" t="str">
        <f t="shared" si="11"/>
        <v/>
      </c>
      <c r="C126" s="36"/>
      <c r="D126" s="36"/>
      <c r="E126" s="36"/>
      <c r="F126" s="36"/>
      <c r="H126" s="103">
        <v>121</v>
      </c>
      <c r="I126" s="104" t="str">
        <f t="shared" si="7"/>
        <v/>
      </c>
      <c r="J126" s="103">
        <f t="shared" si="8"/>
        <v>-3</v>
      </c>
      <c r="K126" s="103">
        <f t="shared" si="9"/>
        <v>-30</v>
      </c>
      <c r="L126" s="103"/>
      <c r="M126" s="105">
        <f t="shared" si="10"/>
        <v>0</v>
      </c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</row>
    <row r="127" spans="1:38" s="88" customFormat="1">
      <c r="A127" s="106">
        <f t="shared" si="6"/>
        <v>0</v>
      </c>
      <c r="B127" s="41" t="str">
        <f t="shared" si="11"/>
        <v/>
      </c>
      <c r="C127" s="42"/>
      <c r="D127" s="42"/>
      <c r="E127" s="42"/>
      <c r="F127" s="42"/>
      <c r="H127" s="107">
        <v>122</v>
      </c>
      <c r="I127" s="108" t="str">
        <f t="shared" si="7"/>
        <v/>
      </c>
      <c r="J127" s="107">
        <f t="shared" si="8"/>
        <v>-3</v>
      </c>
      <c r="K127" s="107">
        <f t="shared" si="9"/>
        <v>-30</v>
      </c>
      <c r="L127" s="107"/>
      <c r="M127" s="109">
        <f t="shared" si="10"/>
        <v>0</v>
      </c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</row>
    <row r="128" spans="1:38" s="88" customFormat="1">
      <c r="A128" s="102">
        <f t="shared" si="6"/>
        <v>0</v>
      </c>
      <c r="B128" s="35" t="str">
        <f t="shared" si="11"/>
        <v/>
      </c>
      <c r="C128" s="36"/>
      <c r="D128" s="36"/>
      <c r="E128" s="36"/>
      <c r="F128" s="36"/>
      <c r="H128" s="103">
        <v>123</v>
      </c>
      <c r="I128" s="104" t="str">
        <f t="shared" si="7"/>
        <v/>
      </c>
      <c r="J128" s="103">
        <f t="shared" si="8"/>
        <v>-3</v>
      </c>
      <c r="K128" s="103">
        <f t="shared" si="9"/>
        <v>-30</v>
      </c>
      <c r="L128" s="103"/>
      <c r="M128" s="105">
        <f t="shared" si="10"/>
        <v>0</v>
      </c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</row>
    <row r="129" spans="1:38" s="88" customFormat="1">
      <c r="A129" s="106">
        <f t="shared" si="6"/>
        <v>0</v>
      </c>
      <c r="B129" s="41" t="str">
        <f t="shared" si="11"/>
        <v/>
      </c>
      <c r="C129" s="42"/>
      <c r="D129" s="42"/>
      <c r="E129" s="42"/>
      <c r="F129" s="42"/>
      <c r="H129" s="107">
        <v>124</v>
      </c>
      <c r="I129" s="108" t="str">
        <f t="shared" si="7"/>
        <v/>
      </c>
      <c r="J129" s="107">
        <f t="shared" si="8"/>
        <v>-3</v>
      </c>
      <c r="K129" s="107">
        <f t="shared" si="9"/>
        <v>-30</v>
      </c>
      <c r="L129" s="107"/>
      <c r="M129" s="109">
        <f t="shared" si="10"/>
        <v>0</v>
      </c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</row>
    <row r="130" spans="1:38" s="88" customFormat="1">
      <c r="A130" s="102">
        <f t="shared" si="6"/>
        <v>0</v>
      </c>
      <c r="B130" s="35" t="str">
        <f t="shared" si="11"/>
        <v/>
      </c>
      <c r="C130" s="36"/>
      <c r="D130" s="36"/>
      <c r="E130" s="36"/>
      <c r="F130" s="36"/>
      <c r="H130" s="103">
        <v>125</v>
      </c>
      <c r="I130" s="104" t="str">
        <f t="shared" si="7"/>
        <v/>
      </c>
      <c r="J130" s="103">
        <f t="shared" si="8"/>
        <v>-3</v>
      </c>
      <c r="K130" s="103">
        <f t="shared" si="9"/>
        <v>-30</v>
      </c>
      <c r="L130" s="103"/>
      <c r="M130" s="105">
        <f t="shared" si="10"/>
        <v>0</v>
      </c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</row>
    <row r="131" spans="1:38" s="88" customFormat="1">
      <c r="A131" s="106">
        <f t="shared" si="6"/>
        <v>0</v>
      </c>
      <c r="B131" s="41" t="str">
        <f t="shared" si="11"/>
        <v/>
      </c>
      <c r="C131" s="42"/>
      <c r="D131" s="42"/>
      <c r="E131" s="42"/>
      <c r="F131" s="42"/>
      <c r="H131" s="107">
        <v>126</v>
      </c>
      <c r="I131" s="108" t="str">
        <f t="shared" si="7"/>
        <v/>
      </c>
      <c r="J131" s="107">
        <f t="shared" si="8"/>
        <v>-3</v>
      </c>
      <c r="K131" s="107">
        <f t="shared" si="9"/>
        <v>-30</v>
      </c>
      <c r="L131" s="107"/>
      <c r="M131" s="109">
        <f t="shared" si="10"/>
        <v>0</v>
      </c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</row>
    <row r="132" spans="1:38" s="88" customFormat="1">
      <c r="A132" s="102">
        <f t="shared" si="6"/>
        <v>0</v>
      </c>
      <c r="B132" s="35" t="str">
        <f t="shared" si="11"/>
        <v/>
      </c>
      <c r="C132" s="36"/>
      <c r="D132" s="36"/>
      <c r="E132" s="36"/>
      <c r="F132" s="36"/>
      <c r="H132" s="103">
        <v>127</v>
      </c>
      <c r="I132" s="104" t="str">
        <f t="shared" si="7"/>
        <v/>
      </c>
      <c r="J132" s="103">
        <f t="shared" si="8"/>
        <v>-3</v>
      </c>
      <c r="K132" s="103">
        <f t="shared" si="9"/>
        <v>-30</v>
      </c>
      <c r="L132" s="103"/>
      <c r="M132" s="105">
        <f t="shared" si="10"/>
        <v>0</v>
      </c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</row>
    <row r="133" spans="1:38" s="88" customFormat="1">
      <c r="A133" s="106">
        <f t="shared" si="6"/>
        <v>0</v>
      </c>
      <c r="B133" s="41" t="str">
        <f t="shared" si="11"/>
        <v/>
      </c>
      <c r="C133" s="42"/>
      <c r="D133" s="42"/>
      <c r="E133" s="42"/>
      <c r="F133" s="42"/>
      <c r="H133" s="107">
        <v>128</v>
      </c>
      <c r="I133" s="108" t="str">
        <f t="shared" si="7"/>
        <v/>
      </c>
      <c r="J133" s="107">
        <f t="shared" si="8"/>
        <v>-3</v>
      </c>
      <c r="K133" s="107">
        <f t="shared" si="9"/>
        <v>-30</v>
      </c>
      <c r="L133" s="107"/>
      <c r="M133" s="109">
        <f t="shared" si="10"/>
        <v>0</v>
      </c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</row>
    <row r="134" spans="1:38" s="88" customFormat="1">
      <c r="A134" s="102">
        <f t="shared" ref="A134:A140" si="12">M134</f>
        <v>0</v>
      </c>
      <c r="B134" s="35" t="str">
        <f t="shared" si="11"/>
        <v/>
      </c>
      <c r="C134" s="36"/>
      <c r="D134" s="36"/>
      <c r="E134" s="36"/>
      <c r="F134" s="36"/>
      <c r="H134" s="103">
        <v>129</v>
      </c>
      <c r="I134" s="104" t="str">
        <f t="shared" ref="I134:I197" si="13">IF(H134&lt;$H$2+1,($I$2-($I$2-1)*(LOG(H134)/LOG($H$2))),"")</f>
        <v/>
      </c>
      <c r="J134" s="103">
        <f t="shared" ref="J134:J197" si="14">INT(LOG($H$2,2))-ROUNDUP(LOG(H134,2),0)+IF(OR($H$2=1,$H$2=2,$H$2=4,$H$2=8,$H$2=16,$H$2=32,$H$2=64,$H$2=128,$H$2=256),0,1)</f>
        <v>-4</v>
      </c>
      <c r="K134" s="103">
        <f t="shared" ref="K134:K197" si="15">J134*$J$2</f>
        <v>-40</v>
      </c>
      <c r="L134" s="103"/>
      <c r="M134" s="105">
        <f t="shared" ref="M134:M197" si="16">IF(I134&lt;&gt;"",K134+I134+L134,0)</f>
        <v>0</v>
      </c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</row>
    <row r="135" spans="1:38" s="88" customFormat="1">
      <c r="A135" s="106">
        <f t="shared" si="12"/>
        <v>0</v>
      </c>
      <c r="B135" s="41" t="str">
        <f t="shared" si="11"/>
        <v/>
      </c>
      <c r="C135" s="42"/>
      <c r="D135" s="42"/>
      <c r="E135" s="42"/>
      <c r="F135" s="42"/>
      <c r="H135" s="107">
        <v>130</v>
      </c>
      <c r="I135" s="108" t="str">
        <f t="shared" si="13"/>
        <v/>
      </c>
      <c r="J135" s="107">
        <f t="shared" si="14"/>
        <v>-4</v>
      </c>
      <c r="K135" s="107">
        <f t="shared" si="15"/>
        <v>-40</v>
      </c>
      <c r="L135" s="107"/>
      <c r="M135" s="109">
        <f t="shared" si="16"/>
        <v>0</v>
      </c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</row>
    <row r="136" spans="1:38" s="88" customFormat="1">
      <c r="A136" s="102">
        <f t="shared" si="12"/>
        <v>0</v>
      </c>
      <c r="B136" s="35" t="str">
        <f t="shared" si="11"/>
        <v/>
      </c>
      <c r="C136" s="36"/>
      <c r="D136" s="36"/>
      <c r="E136" s="36"/>
      <c r="F136" s="36"/>
      <c r="H136" s="103">
        <v>131</v>
      </c>
      <c r="I136" s="104" t="str">
        <f t="shared" si="13"/>
        <v/>
      </c>
      <c r="J136" s="103">
        <f t="shared" si="14"/>
        <v>-4</v>
      </c>
      <c r="K136" s="103">
        <f t="shared" si="15"/>
        <v>-40</v>
      </c>
      <c r="L136" s="103"/>
      <c r="M136" s="105">
        <f t="shared" si="16"/>
        <v>0</v>
      </c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</row>
    <row r="137" spans="1:38" s="88" customFormat="1">
      <c r="A137" s="106">
        <f t="shared" si="12"/>
        <v>0</v>
      </c>
      <c r="B137" s="41" t="str">
        <f t="shared" si="11"/>
        <v/>
      </c>
      <c r="C137" s="42"/>
      <c r="D137" s="42"/>
      <c r="E137" s="42"/>
      <c r="F137" s="42"/>
      <c r="H137" s="107">
        <v>132</v>
      </c>
      <c r="I137" s="108" t="str">
        <f t="shared" si="13"/>
        <v/>
      </c>
      <c r="J137" s="107">
        <f t="shared" si="14"/>
        <v>-4</v>
      </c>
      <c r="K137" s="107">
        <f t="shared" si="15"/>
        <v>-40</v>
      </c>
      <c r="L137" s="107"/>
      <c r="M137" s="109">
        <f t="shared" si="16"/>
        <v>0</v>
      </c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</row>
    <row r="138" spans="1:38" s="88" customFormat="1">
      <c r="A138" s="102">
        <f t="shared" si="12"/>
        <v>0</v>
      </c>
      <c r="B138" s="35" t="str">
        <f t="shared" ref="B138:B140" si="17">IF(H138&gt;$H$2,"",(ROW()-5))</f>
        <v/>
      </c>
      <c r="C138" s="36"/>
      <c r="D138" s="36"/>
      <c r="E138" s="36"/>
      <c r="F138" s="36"/>
      <c r="H138" s="103">
        <v>133</v>
      </c>
      <c r="I138" s="104" t="str">
        <f t="shared" si="13"/>
        <v/>
      </c>
      <c r="J138" s="103">
        <f t="shared" si="14"/>
        <v>-4</v>
      </c>
      <c r="K138" s="103">
        <f t="shared" si="15"/>
        <v>-40</v>
      </c>
      <c r="L138" s="103"/>
      <c r="M138" s="105">
        <f t="shared" si="16"/>
        <v>0</v>
      </c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</row>
    <row r="139" spans="1:38" s="88" customFormat="1">
      <c r="A139" s="106">
        <f t="shared" si="12"/>
        <v>0</v>
      </c>
      <c r="B139" s="41" t="str">
        <f t="shared" si="17"/>
        <v/>
      </c>
      <c r="C139" s="42"/>
      <c r="D139" s="42"/>
      <c r="E139" s="42"/>
      <c r="F139" s="42"/>
      <c r="H139" s="107">
        <v>134</v>
      </c>
      <c r="I139" s="108" t="str">
        <f t="shared" si="13"/>
        <v/>
      </c>
      <c r="J139" s="107">
        <f t="shared" si="14"/>
        <v>-4</v>
      </c>
      <c r="K139" s="107">
        <f t="shared" si="15"/>
        <v>-40</v>
      </c>
      <c r="L139" s="107"/>
      <c r="M139" s="109">
        <f t="shared" si="16"/>
        <v>0</v>
      </c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</row>
    <row r="140" spans="1:38" s="88" customFormat="1">
      <c r="A140" s="102">
        <f t="shared" si="12"/>
        <v>0</v>
      </c>
      <c r="B140" s="35" t="str">
        <f t="shared" si="17"/>
        <v/>
      </c>
      <c r="C140" s="36"/>
      <c r="D140" s="36"/>
      <c r="E140" s="36"/>
      <c r="F140" s="36"/>
      <c r="H140" s="103">
        <v>135</v>
      </c>
      <c r="I140" s="104" t="str">
        <f t="shared" si="13"/>
        <v/>
      </c>
      <c r="J140" s="103">
        <f t="shared" si="14"/>
        <v>-4</v>
      </c>
      <c r="K140" s="103">
        <f t="shared" si="15"/>
        <v>-40</v>
      </c>
      <c r="L140" s="103"/>
      <c r="M140" s="105">
        <f t="shared" si="16"/>
        <v>0</v>
      </c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</row>
    <row r="141" spans="1:38">
      <c r="A141" s="124"/>
      <c r="G141" s="88"/>
      <c r="H141" s="107">
        <v>136</v>
      </c>
      <c r="I141" s="104" t="str">
        <f t="shared" si="13"/>
        <v/>
      </c>
      <c r="J141" s="103">
        <f t="shared" si="14"/>
        <v>-4</v>
      </c>
      <c r="K141" s="103">
        <f t="shared" si="15"/>
        <v>-40</v>
      </c>
      <c r="L141" s="103"/>
      <c r="M141" s="105">
        <f t="shared" si="16"/>
        <v>0</v>
      </c>
    </row>
    <row r="142" spans="1:38">
      <c r="A142" s="124"/>
      <c r="G142" s="88"/>
      <c r="H142" s="103">
        <v>137</v>
      </c>
      <c r="I142" s="104" t="str">
        <f t="shared" si="13"/>
        <v/>
      </c>
      <c r="J142" s="103">
        <f t="shared" si="14"/>
        <v>-4</v>
      </c>
      <c r="K142" s="103">
        <f t="shared" si="15"/>
        <v>-40</v>
      </c>
      <c r="L142" s="103"/>
      <c r="M142" s="105">
        <f t="shared" si="16"/>
        <v>0</v>
      </c>
    </row>
    <row r="143" spans="1:38">
      <c r="A143" s="124"/>
      <c r="G143" s="88"/>
      <c r="H143" s="107">
        <v>138</v>
      </c>
      <c r="I143" s="104" t="str">
        <f t="shared" si="13"/>
        <v/>
      </c>
      <c r="J143" s="103">
        <f t="shared" si="14"/>
        <v>-4</v>
      </c>
      <c r="K143" s="103">
        <f t="shared" si="15"/>
        <v>-40</v>
      </c>
      <c r="L143" s="103"/>
      <c r="M143" s="105">
        <f t="shared" si="16"/>
        <v>0</v>
      </c>
    </row>
    <row r="144" spans="1:38">
      <c r="A144" s="124"/>
      <c r="G144" s="88"/>
      <c r="H144" s="103">
        <v>139</v>
      </c>
      <c r="I144" s="104" t="str">
        <f t="shared" si="13"/>
        <v/>
      </c>
      <c r="J144" s="103">
        <f t="shared" si="14"/>
        <v>-4</v>
      </c>
      <c r="K144" s="103">
        <f t="shared" si="15"/>
        <v>-40</v>
      </c>
      <c r="L144" s="103"/>
      <c r="M144" s="105">
        <f t="shared" si="16"/>
        <v>0</v>
      </c>
    </row>
    <row r="145" spans="1:38" s="88" customFormat="1">
      <c r="A145" s="124"/>
      <c r="B145" s="123"/>
      <c r="C145" s="123"/>
      <c r="D145" s="123"/>
      <c r="E145" s="123"/>
      <c r="F145" s="123"/>
      <c r="H145" s="107">
        <v>140</v>
      </c>
      <c r="I145" s="104" t="str">
        <f t="shared" si="13"/>
        <v/>
      </c>
      <c r="J145" s="103">
        <f t="shared" si="14"/>
        <v>-4</v>
      </c>
      <c r="K145" s="103">
        <f t="shared" si="15"/>
        <v>-40</v>
      </c>
      <c r="L145" s="103"/>
      <c r="M145" s="105">
        <f t="shared" si="16"/>
        <v>0</v>
      </c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</row>
    <row r="146" spans="1:38" s="88" customFormat="1">
      <c r="A146" s="124"/>
      <c r="B146" s="123"/>
      <c r="C146" s="123"/>
      <c r="D146" s="123"/>
      <c r="E146" s="123"/>
      <c r="F146" s="123"/>
      <c r="H146" s="103">
        <v>141</v>
      </c>
      <c r="I146" s="104" t="str">
        <f t="shared" si="13"/>
        <v/>
      </c>
      <c r="J146" s="103">
        <f t="shared" si="14"/>
        <v>-4</v>
      </c>
      <c r="K146" s="103">
        <f t="shared" si="15"/>
        <v>-40</v>
      </c>
      <c r="L146" s="103"/>
      <c r="M146" s="105">
        <f t="shared" si="16"/>
        <v>0</v>
      </c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</row>
    <row r="147" spans="1:38" s="88" customFormat="1">
      <c r="A147" s="124"/>
      <c r="B147" s="123"/>
      <c r="C147" s="123"/>
      <c r="D147" s="123"/>
      <c r="E147" s="123"/>
      <c r="F147" s="123"/>
      <c r="H147" s="107">
        <v>142</v>
      </c>
      <c r="I147" s="104" t="str">
        <f t="shared" si="13"/>
        <v/>
      </c>
      <c r="J147" s="103">
        <f t="shared" si="14"/>
        <v>-4</v>
      </c>
      <c r="K147" s="103">
        <f t="shared" si="15"/>
        <v>-40</v>
      </c>
      <c r="L147" s="103"/>
      <c r="M147" s="105">
        <f t="shared" si="16"/>
        <v>0</v>
      </c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</row>
    <row r="148" spans="1:38" s="88" customFormat="1">
      <c r="A148" s="124"/>
      <c r="B148" s="123"/>
      <c r="C148" s="123"/>
      <c r="D148" s="123"/>
      <c r="E148" s="123"/>
      <c r="F148" s="123"/>
      <c r="H148" s="103">
        <v>143</v>
      </c>
      <c r="I148" s="104" t="str">
        <f t="shared" si="13"/>
        <v/>
      </c>
      <c r="J148" s="103">
        <f t="shared" si="14"/>
        <v>-4</v>
      </c>
      <c r="K148" s="103">
        <f t="shared" si="15"/>
        <v>-40</v>
      </c>
      <c r="L148" s="103"/>
      <c r="M148" s="105">
        <f t="shared" si="16"/>
        <v>0</v>
      </c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</row>
    <row r="149" spans="1:38" s="88" customFormat="1">
      <c r="A149" s="124"/>
      <c r="B149" s="123"/>
      <c r="C149" s="123"/>
      <c r="D149" s="123"/>
      <c r="E149" s="123"/>
      <c r="F149" s="123"/>
      <c r="H149" s="107">
        <v>144</v>
      </c>
      <c r="I149" s="104" t="str">
        <f t="shared" si="13"/>
        <v/>
      </c>
      <c r="J149" s="103">
        <f t="shared" si="14"/>
        <v>-4</v>
      </c>
      <c r="K149" s="103">
        <f t="shared" si="15"/>
        <v>-40</v>
      </c>
      <c r="L149" s="103"/>
      <c r="M149" s="105">
        <f t="shared" si="16"/>
        <v>0</v>
      </c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</row>
    <row r="150" spans="1:38" s="88" customFormat="1">
      <c r="A150" s="124"/>
      <c r="B150" s="123"/>
      <c r="C150" s="123"/>
      <c r="D150" s="123"/>
      <c r="E150" s="123"/>
      <c r="F150" s="123"/>
      <c r="H150" s="103">
        <v>145</v>
      </c>
      <c r="I150" s="104" t="str">
        <f t="shared" si="13"/>
        <v/>
      </c>
      <c r="J150" s="103">
        <f t="shared" si="14"/>
        <v>-4</v>
      </c>
      <c r="K150" s="103">
        <f t="shared" si="15"/>
        <v>-40</v>
      </c>
      <c r="L150" s="103"/>
      <c r="M150" s="105">
        <f t="shared" si="16"/>
        <v>0</v>
      </c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</row>
    <row r="151" spans="1:38" s="88" customFormat="1">
      <c r="A151" s="124"/>
      <c r="B151" s="123"/>
      <c r="C151" s="123"/>
      <c r="D151" s="123"/>
      <c r="E151" s="123"/>
      <c r="F151" s="123"/>
      <c r="H151" s="107">
        <v>146</v>
      </c>
      <c r="I151" s="104" t="str">
        <f t="shared" si="13"/>
        <v/>
      </c>
      <c r="J151" s="103">
        <f t="shared" si="14"/>
        <v>-4</v>
      </c>
      <c r="K151" s="103">
        <f t="shared" si="15"/>
        <v>-40</v>
      </c>
      <c r="L151" s="103"/>
      <c r="M151" s="105">
        <f t="shared" si="16"/>
        <v>0</v>
      </c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</row>
    <row r="152" spans="1:38" s="88" customFormat="1">
      <c r="A152" s="124"/>
      <c r="B152" s="123"/>
      <c r="C152" s="123"/>
      <c r="D152" s="123"/>
      <c r="E152" s="123"/>
      <c r="F152" s="123"/>
      <c r="H152" s="103">
        <v>147</v>
      </c>
      <c r="I152" s="104" t="str">
        <f t="shared" si="13"/>
        <v/>
      </c>
      <c r="J152" s="103">
        <f t="shared" si="14"/>
        <v>-4</v>
      </c>
      <c r="K152" s="103">
        <f t="shared" si="15"/>
        <v>-40</v>
      </c>
      <c r="L152" s="103"/>
      <c r="M152" s="105">
        <f t="shared" si="16"/>
        <v>0</v>
      </c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</row>
    <row r="153" spans="1:38" s="88" customFormat="1">
      <c r="A153" s="124"/>
      <c r="B153" s="123"/>
      <c r="C153" s="123"/>
      <c r="D153" s="123"/>
      <c r="E153" s="123"/>
      <c r="F153" s="123"/>
      <c r="H153" s="107">
        <v>148</v>
      </c>
      <c r="I153" s="104" t="str">
        <f t="shared" si="13"/>
        <v/>
      </c>
      <c r="J153" s="103">
        <f t="shared" si="14"/>
        <v>-4</v>
      </c>
      <c r="K153" s="103">
        <f t="shared" si="15"/>
        <v>-40</v>
      </c>
      <c r="L153" s="103"/>
      <c r="M153" s="105">
        <f t="shared" si="16"/>
        <v>0</v>
      </c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</row>
    <row r="154" spans="1:38" s="88" customFormat="1">
      <c r="A154" s="124"/>
      <c r="B154" s="123"/>
      <c r="C154" s="123"/>
      <c r="D154" s="123"/>
      <c r="E154" s="123"/>
      <c r="F154" s="123"/>
      <c r="H154" s="103">
        <v>149</v>
      </c>
      <c r="I154" s="104" t="str">
        <f t="shared" si="13"/>
        <v/>
      </c>
      <c r="J154" s="103">
        <f t="shared" si="14"/>
        <v>-4</v>
      </c>
      <c r="K154" s="103">
        <f t="shared" si="15"/>
        <v>-40</v>
      </c>
      <c r="L154" s="103"/>
      <c r="M154" s="105">
        <f t="shared" si="16"/>
        <v>0</v>
      </c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</row>
    <row r="155" spans="1:38" s="88" customFormat="1">
      <c r="A155" s="124"/>
      <c r="B155" s="123"/>
      <c r="C155" s="123"/>
      <c r="D155" s="123"/>
      <c r="E155" s="123"/>
      <c r="F155" s="123"/>
      <c r="H155" s="107">
        <v>150</v>
      </c>
      <c r="I155" s="104" t="str">
        <f t="shared" si="13"/>
        <v/>
      </c>
      <c r="J155" s="103">
        <f t="shared" si="14"/>
        <v>-4</v>
      </c>
      <c r="K155" s="103">
        <f t="shared" si="15"/>
        <v>-40</v>
      </c>
      <c r="L155" s="103"/>
      <c r="M155" s="105">
        <f t="shared" si="16"/>
        <v>0</v>
      </c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</row>
    <row r="156" spans="1:38" s="88" customFormat="1">
      <c r="A156" s="124"/>
      <c r="B156" s="123"/>
      <c r="C156" s="123"/>
      <c r="D156" s="123"/>
      <c r="E156" s="123"/>
      <c r="F156" s="123"/>
      <c r="H156" s="103">
        <v>151</v>
      </c>
      <c r="I156" s="104" t="str">
        <f t="shared" si="13"/>
        <v/>
      </c>
      <c r="J156" s="103">
        <f t="shared" si="14"/>
        <v>-4</v>
      </c>
      <c r="K156" s="103">
        <f t="shared" si="15"/>
        <v>-40</v>
      </c>
      <c r="L156" s="103"/>
      <c r="M156" s="105">
        <f t="shared" si="16"/>
        <v>0</v>
      </c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</row>
    <row r="157" spans="1:38" s="88" customFormat="1">
      <c r="A157" s="124"/>
      <c r="B157" s="123"/>
      <c r="C157" s="123"/>
      <c r="D157" s="123"/>
      <c r="E157" s="123"/>
      <c r="F157" s="123"/>
      <c r="H157" s="107">
        <v>152</v>
      </c>
      <c r="I157" s="104" t="str">
        <f t="shared" si="13"/>
        <v/>
      </c>
      <c r="J157" s="103">
        <f t="shared" si="14"/>
        <v>-4</v>
      </c>
      <c r="K157" s="103">
        <f t="shared" si="15"/>
        <v>-40</v>
      </c>
      <c r="L157" s="103"/>
      <c r="M157" s="105">
        <f t="shared" si="16"/>
        <v>0</v>
      </c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</row>
    <row r="158" spans="1:38" s="88" customFormat="1">
      <c r="A158" s="124"/>
      <c r="B158" s="123"/>
      <c r="C158" s="123"/>
      <c r="D158" s="123"/>
      <c r="E158" s="123"/>
      <c r="F158" s="123"/>
      <c r="H158" s="103">
        <v>153</v>
      </c>
      <c r="I158" s="104" t="str">
        <f t="shared" si="13"/>
        <v/>
      </c>
      <c r="J158" s="103">
        <f t="shared" si="14"/>
        <v>-4</v>
      </c>
      <c r="K158" s="103">
        <f t="shared" si="15"/>
        <v>-40</v>
      </c>
      <c r="L158" s="103"/>
      <c r="M158" s="105">
        <f t="shared" si="16"/>
        <v>0</v>
      </c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</row>
    <row r="159" spans="1:38" s="88" customFormat="1">
      <c r="A159" s="124"/>
      <c r="B159" s="123"/>
      <c r="C159" s="123"/>
      <c r="D159" s="123"/>
      <c r="E159" s="123"/>
      <c r="F159" s="123"/>
      <c r="H159" s="107">
        <v>154</v>
      </c>
      <c r="I159" s="104" t="str">
        <f t="shared" si="13"/>
        <v/>
      </c>
      <c r="J159" s="103">
        <f t="shared" si="14"/>
        <v>-4</v>
      </c>
      <c r="K159" s="103">
        <f t="shared" si="15"/>
        <v>-40</v>
      </c>
      <c r="L159" s="103"/>
      <c r="M159" s="105">
        <f t="shared" si="16"/>
        <v>0</v>
      </c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</row>
    <row r="160" spans="1:38" s="88" customFormat="1">
      <c r="A160" s="124"/>
      <c r="B160" s="123"/>
      <c r="C160" s="123"/>
      <c r="D160" s="123"/>
      <c r="E160" s="123"/>
      <c r="F160" s="123"/>
      <c r="H160" s="103">
        <v>155</v>
      </c>
      <c r="I160" s="104" t="str">
        <f t="shared" si="13"/>
        <v/>
      </c>
      <c r="J160" s="103">
        <f t="shared" si="14"/>
        <v>-4</v>
      </c>
      <c r="K160" s="103">
        <f t="shared" si="15"/>
        <v>-40</v>
      </c>
      <c r="L160" s="103"/>
      <c r="M160" s="105">
        <f t="shared" si="16"/>
        <v>0</v>
      </c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</row>
    <row r="161" spans="1:38" s="88" customFormat="1">
      <c r="A161" s="124"/>
      <c r="B161" s="123"/>
      <c r="C161" s="123"/>
      <c r="D161" s="123"/>
      <c r="E161" s="123"/>
      <c r="F161" s="123"/>
      <c r="H161" s="107">
        <v>156</v>
      </c>
      <c r="I161" s="104" t="str">
        <f t="shared" si="13"/>
        <v/>
      </c>
      <c r="J161" s="103">
        <f t="shared" si="14"/>
        <v>-4</v>
      </c>
      <c r="K161" s="103">
        <f t="shared" si="15"/>
        <v>-40</v>
      </c>
      <c r="L161" s="103"/>
      <c r="M161" s="105">
        <f t="shared" si="16"/>
        <v>0</v>
      </c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</row>
    <row r="162" spans="1:38" s="88" customFormat="1">
      <c r="A162" s="124"/>
      <c r="B162" s="123"/>
      <c r="C162" s="123"/>
      <c r="D162" s="123"/>
      <c r="E162" s="123"/>
      <c r="F162" s="123"/>
      <c r="H162" s="103">
        <v>157</v>
      </c>
      <c r="I162" s="104" t="str">
        <f t="shared" si="13"/>
        <v/>
      </c>
      <c r="J162" s="103">
        <f t="shared" si="14"/>
        <v>-4</v>
      </c>
      <c r="K162" s="103">
        <f t="shared" si="15"/>
        <v>-40</v>
      </c>
      <c r="L162" s="103"/>
      <c r="M162" s="105">
        <f t="shared" si="16"/>
        <v>0</v>
      </c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</row>
    <row r="163" spans="1:38" s="88" customFormat="1">
      <c r="A163" s="124"/>
      <c r="B163" s="123"/>
      <c r="C163" s="123"/>
      <c r="D163" s="123"/>
      <c r="E163" s="123"/>
      <c r="F163" s="123"/>
      <c r="H163" s="107">
        <v>158</v>
      </c>
      <c r="I163" s="104" t="str">
        <f t="shared" si="13"/>
        <v/>
      </c>
      <c r="J163" s="103">
        <f t="shared" si="14"/>
        <v>-4</v>
      </c>
      <c r="K163" s="103">
        <f t="shared" si="15"/>
        <v>-40</v>
      </c>
      <c r="L163" s="103"/>
      <c r="M163" s="105">
        <f t="shared" si="16"/>
        <v>0</v>
      </c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</row>
    <row r="164" spans="1:38" s="88" customFormat="1">
      <c r="A164" s="124"/>
      <c r="B164" s="123"/>
      <c r="C164" s="123"/>
      <c r="D164" s="123"/>
      <c r="E164" s="123"/>
      <c r="F164" s="123"/>
      <c r="H164" s="103">
        <v>159</v>
      </c>
      <c r="I164" s="104" t="str">
        <f t="shared" si="13"/>
        <v/>
      </c>
      <c r="J164" s="103">
        <f t="shared" si="14"/>
        <v>-4</v>
      </c>
      <c r="K164" s="103">
        <f t="shared" si="15"/>
        <v>-40</v>
      </c>
      <c r="L164" s="103"/>
      <c r="M164" s="105">
        <f t="shared" si="16"/>
        <v>0</v>
      </c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</row>
    <row r="165" spans="1:38" s="88" customFormat="1">
      <c r="A165" s="124"/>
      <c r="B165" s="123"/>
      <c r="C165" s="123"/>
      <c r="D165" s="123"/>
      <c r="E165" s="123"/>
      <c r="F165" s="123"/>
      <c r="H165" s="107">
        <v>160</v>
      </c>
      <c r="I165" s="104" t="str">
        <f t="shared" si="13"/>
        <v/>
      </c>
      <c r="J165" s="103">
        <f t="shared" si="14"/>
        <v>-4</v>
      </c>
      <c r="K165" s="103">
        <f t="shared" si="15"/>
        <v>-40</v>
      </c>
      <c r="L165" s="103"/>
      <c r="M165" s="105">
        <f t="shared" si="16"/>
        <v>0</v>
      </c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</row>
    <row r="166" spans="1:38" s="88" customFormat="1">
      <c r="A166" s="124"/>
      <c r="B166" s="123"/>
      <c r="C166" s="123"/>
      <c r="D166" s="123"/>
      <c r="E166" s="123"/>
      <c r="F166" s="123"/>
      <c r="H166" s="103">
        <v>161</v>
      </c>
      <c r="I166" s="104" t="str">
        <f t="shared" si="13"/>
        <v/>
      </c>
      <c r="J166" s="103">
        <f t="shared" si="14"/>
        <v>-4</v>
      </c>
      <c r="K166" s="103">
        <f t="shared" si="15"/>
        <v>-40</v>
      </c>
      <c r="L166" s="103"/>
      <c r="M166" s="105">
        <f t="shared" si="16"/>
        <v>0</v>
      </c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</row>
    <row r="167" spans="1:38" s="88" customFormat="1">
      <c r="A167" s="124"/>
      <c r="B167" s="123"/>
      <c r="C167" s="123"/>
      <c r="D167" s="123"/>
      <c r="E167" s="123"/>
      <c r="F167" s="123"/>
      <c r="H167" s="107">
        <v>162</v>
      </c>
      <c r="I167" s="104" t="str">
        <f t="shared" si="13"/>
        <v/>
      </c>
      <c r="J167" s="103">
        <f t="shared" si="14"/>
        <v>-4</v>
      </c>
      <c r="K167" s="103">
        <f t="shared" si="15"/>
        <v>-40</v>
      </c>
      <c r="L167" s="103"/>
      <c r="M167" s="105">
        <f t="shared" si="16"/>
        <v>0</v>
      </c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</row>
    <row r="168" spans="1:38" s="88" customFormat="1">
      <c r="A168" s="124"/>
      <c r="B168" s="123"/>
      <c r="C168" s="123"/>
      <c r="D168" s="123"/>
      <c r="E168" s="123"/>
      <c r="F168" s="123"/>
      <c r="H168" s="103">
        <v>163</v>
      </c>
      <c r="I168" s="104" t="str">
        <f t="shared" si="13"/>
        <v/>
      </c>
      <c r="J168" s="103">
        <f t="shared" si="14"/>
        <v>-4</v>
      </c>
      <c r="K168" s="103">
        <f t="shared" si="15"/>
        <v>-40</v>
      </c>
      <c r="L168" s="103"/>
      <c r="M168" s="105">
        <f t="shared" si="16"/>
        <v>0</v>
      </c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</row>
    <row r="169" spans="1:38" s="88" customFormat="1">
      <c r="A169" s="124"/>
      <c r="B169" s="123"/>
      <c r="C169" s="123" t="s">
        <v>57</v>
      </c>
      <c r="D169" s="123"/>
      <c r="E169" s="123"/>
      <c r="F169" s="123"/>
      <c r="H169" s="107">
        <v>164</v>
      </c>
      <c r="I169" s="104" t="str">
        <f t="shared" si="13"/>
        <v/>
      </c>
      <c r="J169" s="103">
        <f t="shared" si="14"/>
        <v>-4</v>
      </c>
      <c r="K169" s="103">
        <f t="shared" si="15"/>
        <v>-40</v>
      </c>
      <c r="L169" s="103"/>
      <c r="M169" s="105">
        <f t="shared" si="16"/>
        <v>0</v>
      </c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</row>
    <row r="170" spans="1:38" s="88" customFormat="1">
      <c r="A170" s="124"/>
      <c r="B170" s="123"/>
      <c r="C170" s="123"/>
      <c r="D170" s="123"/>
      <c r="E170" s="123"/>
      <c r="F170" s="123"/>
      <c r="H170" s="103">
        <v>165</v>
      </c>
      <c r="I170" s="104" t="str">
        <f t="shared" si="13"/>
        <v/>
      </c>
      <c r="J170" s="103">
        <f t="shared" si="14"/>
        <v>-4</v>
      </c>
      <c r="K170" s="103">
        <f t="shared" si="15"/>
        <v>-40</v>
      </c>
      <c r="L170" s="103"/>
      <c r="M170" s="105">
        <f t="shared" si="16"/>
        <v>0</v>
      </c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</row>
    <row r="171" spans="1:38" s="88" customFormat="1">
      <c r="A171" s="124"/>
      <c r="B171" s="123"/>
      <c r="C171" s="123"/>
      <c r="D171" s="123"/>
      <c r="E171" s="123"/>
      <c r="F171" s="123"/>
      <c r="H171" s="107">
        <v>166</v>
      </c>
      <c r="I171" s="104" t="str">
        <f t="shared" si="13"/>
        <v/>
      </c>
      <c r="J171" s="103">
        <f t="shared" si="14"/>
        <v>-4</v>
      </c>
      <c r="K171" s="103">
        <f t="shared" si="15"/>
        <v>-40</v>
      </c>
      <c r="L171" s="103"/>
      <c r="M171" s="105">
        <f t="shared" si="16"/>
        <v>0</v>
      </c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</row>
    <row r="172" spans="1:38" s="88" customFormat="1">
      <c r="A172" s="124"/>
      <c r="B172" s="123"/>
      <c r="C172" s="123"/>
      <c r="D172" s="123"/>
      <c r="E172" s="123"/>
      <c r="F172" s="123"/>
      <c r="H172" s="103">
        <v>167</v>
      </c>
      <c r="I172" s="104" t="str">
        <f t="shared" si="13"/>
        <v/>
      </c>
      <c r="J172" s="103">
        <f t="shared" si="14"/>
        <v>-4</v>
      </c>
      <c r="K172" s="103">
        <f t="shared" si="15"/>
        <v>-40</v>
      </c>
      <c r="L172" s="103"/>
      <c r="M172" s="105">
        <f t="shared" si="16"/>
        <v>0</v>
      </c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</row>
    <row r="173" spans="1:38" s="88" customFormat="1">
      <c r="A173" s="124"/>
      <c r="B173" s="123"/>
      <c r="C173" s="123"/>
      <c r="D173" s="123"/>
      <c r="E173" s="123"/>
      <c r="F173" s="123"/>
      <c r="H173" s="107">
        <v>168</v>
      </c>
      <c r="I173" s="104" t="str">
        <f t="shared" si="13"/>
        <v/>
      </c>
      <c r="J173" s="103">
        <f t="shared" si="14"/>
        <v>-4</v>
      </c>
      <c r="K173" s="103">
        <f t="shared" si="15"/>
        <v>-40</v>
      </c>
      <c r="L173" s="103"/>
      <c r="M173" s="105">
        <f t="shared" si="16"/>
        <v>0</v>
      </c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</row>
    <row r="174" spans="1:38" s="88" customFormat="1">
      <c r="A174" s="124"/>
      <c r="B174" s="123"/>
      <c r="C174" s="123"/>
      <c r="D174" s="123"/>
      <c r="E174" s="123"/>
      <c r="F174" s="123"/>
      <c r="H174" s="103">
        <v>169</v>
      </c>
      <c r="I174" s="104" t="str">
        <f t="shared" si="13"/>
        <v/>
      </c>
      <c r="J174" s="103">
        <f t="shared" si="14"/>
        <v>-4</v>
      </c>
      <c r="K174" s="103">
        <f t="shared" si="15"/>
        <v>-40</v>
      </c>
      <c r="L174" s="103"/>
      <c r="M174" s="105">
        <f t="shared" si="16"/>
        <v>0</v>
      </c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</row>
    <row r="175" spans="1:38" s="88" customFormat="1">
      <c r="A175" s="124"/>
      <c r="B175" s="123"/>
      <c r="C175" s="123"/>
      <c r="D175" s="123"/>
      <c r="E175" s="123"/>
      <c r="F175" s="123"/>
      <c r="H175" s="107">
        <v>170</v>
      </c>
      <c r="I175" s="104" t="str">
        <f t="shared" si="13"/>
        <v/>
      </c>
      <c r="J175" s="103">
        <f t="shared" si="14"/>
        <v>-4</v>
      </c>
      <c r="K175" s="103">
        <f t="shared" si="15"/>
        <v>-40</v>
      </c>
      <c r="L175" s="103"/>
      <c r="M175" s="105">
        <f t="shared" si="16"/>
        <v>0</v>
      </c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</row>
    <row r="176" spans="1:38" s="88" customFormat="1">
      <c r="A176" s="124"/>
      <c r="B176" s="123"/>
      <c r="C176" s="123"/>
      <c r="D176" s="123"/>
      <c r="E176" s="123"/>
      <c r="F176" s="123"/>
      <c r="H176" s="103">
        <v>171</v>
      </c>
      <c r="I176" s="104" t="str">
        <f t="shared" si="13"/>
        <v/>
      </c>
      <c r="J176" s="103">
        <f t="shared" si="14"/>
        <v>-4</v>
      </c>
      <c r="K176" s="103">
        <f t="shared" si="15"/>
        <v>-40</v>
      </c>
      <c r="L176" s="103"/>
      <c r="M176" s="105">
        <f t="shared" si="16"/>
        <v>0</v>
      </c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</row>
    <row r="177" spans="1:38" s="88" customFormat="1">
      <c r="A177" s="124"/>
      <c r="B177" s="123"/>
      <c r="C177" s="123"/>
      <c r="D177" s="123"/>
      <c r="E177" s="123"/>
      <c r="F177" s="123"/>
      <c r="H177" s="107">
        <v>172</v>
      </c>
      <c r="I177" s="104" t="str">
        <f t="shared" si="13"/>
        <v/>
      </c>
      <c r="J177" s="103">
        <f t="shared" si="14"/>
        <v>-4</v>
      </c>
      <c r="K177" s="103">
        <f t="shared" si="15"/>
        <v>-40</v>
      </c>
      <c r="L177" s="103"/>
      <c r="M177" s="105">
        <f t="shared" si="16"/>
        <v>0</v>
      </c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</row>
    <row r="178" spans="1:38" s="88" customFormat="1">
      <c r="A178" s="124"/>
      <c r="B178" s="123"/>
      <c r="C178" s="123"/>
      <c r="D178" s="123"/>
      <c r="E178" s="123"/>
      <c r="F178" s="123"/>
      <c r="H178" s="103">
        <v>173</v>
      </c>
      <c r="I178" s="104" t="str">
        <f t="shared" si="13"/>
        <v/>
      </c>
      <c r="J178" s="103">
        <f t="shared" si="14"/>
        <v>-4</v>
      </c>
      <c r="K178" s="103">
        <f t="shared" si="15"/>
        <v>-40</v>
      </c>
      <c r="L178" s="103"/>
      <c r="M178" s="105">
        <f t="shared" si="16"/>
        <v>0</v>
      </c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</row>
    <row r="179" spans="1:38" s="88" customFormat="1">
      <c r="A179" s="124"/>
      <c r="B179" s="123"/>
      <c r="C179" s="123"/>
      <c r="D179" s="123"/>
      <c r="E179" s="123"/>
      <c r="F179" s="123"/>
      <c r="H179" s="107">
        <v>174</v>
      </c>
      <c r="I179" s="104" t="str">
        <f t="shared" si="13"/>
        <v/>
      </c>
      <c r="J179" s="103">
        <f t="shared" si="14"/>
        <v>-4</v>
      </c>
      <c r="K179" s="103">
        <f t="shared" si="15"/>
        <v>-40</v>
      </c>
      <c r="L179" s="103"/>
      <c r="M179" s="105">
        <f t="shared" si="16"/>
        <v>0</v>
      </c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</row>
    <row r="180" spans="1:38" s="88" customFormat="1">
      <c r="A180" s="124"/>
      <c r="B180" s="123"/>
      <c r="C180" s="123"/>
      <c r="D180" s="123"/>
      <c r="E180" s="123"/>
      <c r="F180" s="123"/>
      <c r="H180" s="103">
        <v>175</v>
      </c>
      <c r="I180" s="104" t="str">
        <f t="shared" si="13"/>
        <v/>
      </c>
      <c r="J180" s="103">
        <f t="shared" si="14"/>
        <v>-4</v>
      </c>
      <c r="K180" s="103">
        <f t="shared" si="15"/>
        <v>-40</v>
      </c>
      <c r="L180" s="103"/>
      <c r="M180" s="105">
        <f t="shared" si="16"/>
        <v>0</v>
      </c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</row>
    <row r="181" spans="1:38" s="88" customFormat="1">
      <c r="A181" s="124"/>
      <c r="B181" s="123"/>
      <c r="C181" s="123"/>
      <c r="D181" s="123"/>
      <c r="E181" s="123"/>
      <c r="F181" s="123"/>
      <c r="H181" s="107">
        <v>176</v>
      </c>
      <c r="I181" s="104" t="str">
        <f t="shared" si="13"/>
        <v/>
      </c>
      <c r="J181" s="103">
        <f t="shared" si="14"/>
        <v>-4</v>
      </c>
      <c r="K181" s="103">
        <f t="shared" si="15"/>
        <v>-40</v>
      </c>
      <c r="L181" s="103"/>
      <c r="M181" s="105">
        <f t="shared" si="16"/>
        <v>0</v>
      </c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</row>
    <row r="182" spans="1:38" s="88" customFormat="1">
      <c r="A182" s="124"/>
      <c r="B182" s="123"/>
      <c r="C182" s="123"/>
      <c r="D182" s="123"/>
      <c r="E182" s="123"/>
      <c r="F182" s="123"/>
      <c r="H182" s="103">
        <v>177</v>
      </c>
      <c r="I182" s="104" t="str">
        <f t="shared" si="13"/>
        <v/>
      </c>
      <c r="J182" s="103">
        <f t="shared" si="14"/>
        <v>-4</v>
      </c>
      <c r="K182" s="103">
        <f t="shared" si="15"/>
        <v>-40</v>
      </c>
      <c r="L182" s="103"/>
      <c r="M182" s="105">
        <f t="shared" si="16"/>
        <v>0</v>
      </c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</row>
    <row r="183" spans="1:38" s="88" customFormat="1">
      <c r="A183" s="124"/>
      <c r="B183" s="123"/>
      <c r="C183" s="123"/>
      <c r="D183" s="123"/>
      <c r="E183" s="123"/>
      <c r="F183" s="123"/>
      <c r="H183" s="107">
        <v>178</v>
      </c>
      <c r="I183" s="104" t="str">
        <f t="shared" si="13"/>
        <v/>
      </c>
      <c r="J183" s="103">
        <f t="shared" si="14"/>
        <v>-4</v>
      </c>
      <c r="K183" s="103">
        <f t="shared" si="15"/>
        <v>-40</v>
      </c>
      <c r="L183" s="103"/>
      <c r="M183" s="105">
        <f t="shared" si="16"/>
        <v>0</v>
      </c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</row>
    <row r="184" spans="1:38" s="88" customFormat="1">
      <c r="A184" s="124"/>
      <c r="B184" s="123"/>
      <c r="C184" s="123"/>
      <c r="D184" s="123"/>
      <c r="E184" s="123"/>
      <c r="F184" s="123"/>
      <c r="H184" s="103">
        <v>179</v>
      </c>
      <c r="I184" s="104" t="str">
        <f t="shared" si="13"/>
        <v/>
      </c>
      <c r="J184" s="103">
        <f t="shared" si="14"/>
        <v>-4</v>
      </c>
      <c r="K184" s="103">
        <f t="shared" si="15"/>
        <v>-40</v>
      </c>
      <c r="L184" s="103"/>
      <c r="M184" s="105">
        <f t="shared" si="16"/>
        <v>0</v>
      </c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</row>
    <row r="185" spans="1:38" s="88" customFormat="1">
      <c r="A185" s="124"/>
      <c r="B185" s="123"/>
      <c r="C185" s="123"/>
      <c r="D185" s="123"/>
      <c r="E185" s="123"/>
      <c r="F185" s="123"/>
      <c r="H185" s="107">
        <v>180</v>
      </c>
      <c r="I185" s="104" t="str">
        <f t="shared" si="13"/>
        <v/>
      </c>
      <c r="J185" s="103">
        <f t="shared" si="14"/>
        <v>-4</v>
      </c>
      <c r="K185" s="103">
        <f t="shared" si="15"/>
        <v>-40</v>
      </c>
      <c r="L185" s="103"/>
      <c r="M185" s="105">
        <f t="shared" si="16"/>
        <v>0</v>
      </c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</row>
    <row r="186" spans="1:38" s="88" customFormat="1">
      <c r="A186" s="124"/>
      <c r="B186" s="123"/>
      <c r="C186" s="123"/>
      <c r="D186" s="123"/>
      <c r="E186" s="123"/>
      <c r="F186" s="123"/>
      <c r="H186" s="103">
        <v>181</v>
      </c>
      <c r="I186" s="104" t="str">
        <f t="shared" si="13"/>
        <v/>
      </c>
      <c r="J186" s="103">
        <f t="shared" si="14"/>
        <v>-4</v>
      </c>
      <c r="K186" s="103">
        <f t="shared" si="15"/>
        <v>-40</v>
      </c>
      <c r="L186" s="103"/>
      <c r="M186" s="105">
        <f t="shared" si="16"/>
        <v>0</v>
      </c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</row>
    <row r="187" spans="1:38" s="88" customFormat="1">
      <c r="A187" s="124"/>
      <c r="B187" s="123"/>
      <c r="C187" s="123"/>
      <c r="D187" s="123"/>
      <c r="E187" s="123"/>
      <c r="F187" s="123"/>
      <c r="H187" s="107">
        <v>182</v>
      </c>
      <c r="I187" s="104" t="str">
        <f t="shared" si="13"/>
        <v/>
      </c>
      <c r="J187" s="103">
        <f t="shared" si="14"/>
        <v>-4</v>
      </c>
      <c r="K187" s="103">
        <f t="shared" si="15"/>
        <v>-40</v>
      </c>
      <c r="L187" s="103"/>
      <c r="M187" s="105">
        <f t="shared" si="16"/>
        <v>0</v>
      </c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</row>
    <row r="188" spans="1:38" s="88" customFormat="1">
      <c r="A188" s="124"/>
      <c r="B188" s="123"/>
      <c r="C188" s="123"/>
      <c r="D188" s="123"/>
      <c r="E188" s="123"/>
      <c r="F188" s="123"/>
      <c r="H188" s="103">
        <v>183</v>
      </c>
      <c r="I188" s="104" t="str">
        <f t="shared" si="13"/>
        <v/>
      </c>
      <c r="J188" s="103">
        <f t="shared" si="14"/>
        <v>-4</v>
      </c>
      <c r="K188" s="103">
        <f t="shared" si="15"/>
        <v>-40</v>
      </c>
      <c r="L188" s="103"/>
      <c r="M188" s="105">
        <f t="shared" si="16"/>
        <v>0</v>
      </c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</row>
    <row r="189" spans="1:38" s="88" customFormat="1">
      <c r="A189" s="124"/>
      <c r="B189" s="123"/>
      <c r="C189" s="123"/>
      <c r="D189" s="123"/>
      <c r="E189" s="123"/>
      <c r="F189" s="123"/>
      <c r="H189" s="107">
        <v>184</v>
      </c>
      <c r="I189" s="104" t="str">
        <f t="shared" si="13"/>
        <v/>
      </c>
      <c r="J189" s="103">
        <f t="shared" si="14"/>
        <v>-4</v>
      </c>
      <c r="K189" s="103">
        <f t="shared" si="15"/>
        <v>-40</v>
      </c>
      <c r="L189" s="103"/>
      <c r="M189" s="105">
        <f t="shared" si="16"/>
        <v>0</v>
      </c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</row>
    <row r="190" spans="1:38" s="88" customFormat="1">
      <c r="A190" s="124"/>
      <c r="B190" s="123"/>
      <c r="C190" s="123"/>
      <c r="D190" s="123"/>
      <c r="E190" s="123"/>
      <c r="F190" s="123"/>
      <c r="H190" s="103">
        <v>185</v>
      </c>
      <c r="I190" s="104" t="str">
        <f t="shared" si="13"/>
        <v/>
      </c>
      <c r="J190" s="103">
        <f t="shared" si="14"/>
        <v>-4</v>
      </c>
      <c r="K190" s="103">
        <f t="shared" si="15"/>
        <v>-40</v>
      </c>
      <c r="L190" s="103"/>
      <c r="M190" s="105">
        <f t="shared" si="16"/>
        <v>0</v>
      </c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</row>
    <row r="191" spans="1:38" s="88" customFormat="1">
      <c r="A191" s="124"/>
      <c r="B191" s="123"/>
      <c r="C191" s="123"/>
      <c r="D191" s="123"/>
      <c r="E191" s="123"/>
      <c r="F191" s="123"/>
      <c r="H191" s="107">
        <v>186</v>
      </c>
      <c r="I191" s="104" t="str">
        <f t="shared" si="13"/>
        <v/>
      </c>
      <c r="J191" s="103">
        <f t="shared" si="14"/>
        <v>-4</v>
      </c>
      <c r="K191" s="103">
        <f t="shared" si="15"/>
        <v>-40</v>
      </c>
      <c r="L191" s="103"/>
      <c r="M191" s="105">
        <f t="shared" si="16"/>
        <v>0</v>
      </c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</row>
    <row r="192" spans="1:38" s="88" customFormat="1">
      <c r="A192" s="124"/>
      <c r="B192" s="123"/>
      <c r="C192" s="123"/>
      <c r="D192" s="123"/>
      <c r="E192" s="123"/>
      <c r="F192" s="123"/>
      <c r="H192" s="103">
        <v>187</v>
      </c>
      <c r="I192" s="104" t="str">
        <f t="shared" si="13"/>
        <v/>
      </c>
      <c r="J192" s="103">
        <f t="shared" si="14"/>
        <v>-4</v>
      </c>
      <c r="K192" s="103">
        <f t="shared" si="15"/>
        <v>-40</v>
      </c>
      <c r="L192" s="103"/>
      <c r="M192" s="105">
        <f t="shared" si="16"/>
        <v>0</v>
      </c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</row>
    <row r="193" spans="1:38" s="88" customFormat="1">
      <c r="A193" s="124"/>
      <c r="B193" s="123"/>
      <c r="C193" s="123"/>
      <c r="D193" s="123"/>
      <c r="E193" s="123"/>
      <c r="F193" s="123"/>
      <c r="H193" s="107">
        <v>188</v>
      </c>
      <c r="I193" s="104" t="str">
        <f t="shared" si="13"/>
        <v/>
      </c>
      <c r="J193" s="103">
        <f t="shared" si="14"/>
        <v>-4</v>
      </c>
      <c r="K193" s="103">
        <f t="shared" si="15"/>
        <v>-40</v>
      </c>
      <c r="L193" s="103"/>
      <c r="M193" s="105">
        <f t="shared" si="16"/>
        <v>0</v>
      </c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</row>
    <row r="194" spans="1:38" s="88" customFormat="1">
      <c r="A194" s="124"/>
      <c r="B194" s="123"/>
      <c r="C194" s="123"/>
      <c r="D194" s="123"/>
      <c r="E194" s="123"/>
      <c r="F194" s="123"/>
      <c r="H194" s="103">
        <v>189</v>
      </c>
      <c r="I194" s="104" t="str">
        <f t="shared" si="13"/>
        <v/>
      </c>
      <c r="J194" s="103">
        <f t="shared" si="14"/>
        <v>-4</v>
      </c>
      <c r="K194" s="103">
        <f t="shared" si="15"/>
        <v>-40</v>
      </c>
      <c r="L194" s="103"/>
      <c r="M194" s="105">
        <f t="shared" si="16"/>
        <v>0</v>
      </c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</row>
    <row r="195" spans="1:38" s="88" customFormat="1">
      <c r="A195" s="124"/>
      <c r="B195" s="123"/>
      <c r="C195" s="123"/>
      <c r="D195" s="123"/>
      <c r="E195" s="123"/>
      <c r="F195" s="123"/>
      <c r="H195" s="107">
        <v>190</v>
      </c>
      <c r="I195" s="104" t="str">
        <f t="shared" si="13"/>
        <v/>
      </c>
      <c r="J195" s="103">
        <f t="shared" si="14"/>
        <v>-4</v>
      </c>
      <c r="K195" s="103">
        <f t="shared" si="15"/>
        <v>-40</v>
      </c>
      <c r="L195" s="103"/>
      <c r="M195" s="105">
        <f t="shared" si="16"/>
        <v>0</v>
      </c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</row>
    <row r="196" spans="1:38" s="88" customFormat="1">
      <c r="A196" s="124"/>
      <c r="B196" s="123"/>
      <c r="C196" s="123"/>
      <c r="D196" s="123"/>
      <c r="E196" s="123"/>
      <c r="F196" s="123"/>
      <c r="H196" s="103">
        <v>191</v>
      </c>
      <c r="I196" s="104" t="str">
        <f t="shared" si="13"/>
        <v/>
      </c>
      <c r="J196" s="103">
        <f t="shared" si="14"/>
        <v>-4</v>
      </c>
      <c r="K196" s="103">
        <f t="shared" si="15"/>
        <v>-40</v>
      </c>
      <c r="L196" s="103"/>
      <c r="M196" s="105">
        <f t="shared" si="16"/>
        <v>0</v>
      </c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</row>
    <row r="197" spans="1:38" s="88" customFormat="1">
      <c r="A197" s="124"/>
      <c r="B197" s="123"/>
      <c r="C197" s="123"/>
      <c r="D197" s="123"/>
      <c r="E197" s="123"/>
      <c r="F197" s="123"/>
      <c r="H197" s="107">
        <v>192</v>
      </c>
      <c r="I197" s="104" t="str">
        <f t="shared" si="13"/>
        <v/>
      </c>
      <c r="J197" s="103">
        <f t="shared" si="14"/>
        <v>-4</v>
      </c>
      <c r="K197" s="103">
        <f t="shared" si="15"/>
        <v>-40</v>
      </c>
      <c r="L197" s="103"/>
      <c r="M197" s="105">
        <f t="shared" si="16"/>
        <v>0</v>
      </c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</row>
    <row r="198" spans="1:38" s="88" customFormat="1">
      <c r="A198" s="124"/>
      <c r="B198" s="123"/>
      <c r="C198" s="123"/>
      <c r="D198" s="123"/>
      <c r="E198" s="123"/>
      <c r="F198" s="123"/>
      <c r="H198" s="103">
        <v>193</v>
      </c>
      <c r="I198" s="104" t="str">
        <f t="shared" ref="I198:I261" si="18">IF(H198&lt;$H$2+1,($I$2-($I$2-1)*(LOG(H198)/LOG($H$2))),"")</f>
        <v/>
      </c>
      <c r="J198" s="103">
        <f t="shared" ref="J198:J261" si="19">INT(LOG($H$2,2))-ROUNDUP(LOG(H198,2),0)+IF(OR($H$2=1,$H$2=2,$H$2=4,$H$2=8,$H$2=16,$H$2=32,$H$2=64,$H$2=128,$H$2=256),0,1)</f>
        <v>-4</v>
      </c>
      <c r="K198" s="103">
        <f t="shared" ref="K198:K261" si="20">J198*$J$2</f>
        <v>-40</v>
      </c>
      <c r="L198" s="103"/>
      <c r="M198" s="105">
        <f t="shared" ref="M198:M261" si="21">IF(I198&lt;&gt;"",K198+I198+L198,0)</f>
        <v>0</v>
      </c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</row>
    <row r="199" spans="1:38" s="88" customFormat="1">
      <c r="A199" s="124"/>
      <c r="B199" s="123"/>
      <c r="C199" s="123"/>
      <c r="D199" s="123"/>
      <c r="E199" s="123"/>
      <c r="F199" s="123"/>
      <c r="H199" s="107">
        <v>194</v>
      </c>
      <c r="I199" s="104" t="str">
        <f t="shared" si="18"/>
        <v/>
      </c>
      <c r="J199" s="103">
        <f t="shared" si="19"/>
        <v>-4</v>
      </c>
      <c r="K199" s="103">
        <f t="shared" si="20"/>
        <v>-40</v>
      </c>
      <c r="L199" s="103"/>
      <c r="M199" s="105">
        <f t="shared" si="21"/>
        <v>0</v>
      </c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</row>
    <row r="200" spans="1:38" s="88" customFormat="1">
      <c r="A200" s="124"/>
      <c r="B200" s="123"/>
      <c r="C200" s="123"/>
      <c r="D200" s="123"/>
      <c r="E200" s="123"/>
      <c r="F200" s="123"/>
      <c r="H200" s="103">
        <v>195</v>
      </c>
      <c r="I200" s="104" t="str">
        <f t="shared" si="18"/>
        <v/>
      </c>
      <c r="J200" s="103">
        <f t="shared" si="19"/>
        <v>-4</v>
      </c>
      <c r="K200" s="103">
        <f t="shared" si="20"/>
        <v>-40</v>
      </c>
      <c r="L200" s="103"/>
      <c r="M200" s="105">
        <f t="shared" si="21"/>
        <v>0</v>
      </c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</row>
    <row r="201" spans="1:38" s="88" customFormat="1">
      <c r="A201" s="124"/>
      <c r="B201" s="123"/>
      <c r="C201" s="123"/>
      <c r="D201" s="123"/>
      <c r="E201" s="123"/>
      <c r="F201" s="123"/>
      <c r="H201" s="107">
        <v>196</v>
      </c>
      <c r="I201" s="104" t="str">
        <f t="shared" si="18"/>
        <v/>
      </c>
      <c r="J201" s="103">
        <f t="shared" si="19"/>
        <v>-4</v>
      </c>
      <c r="K201" s="103">
        <f t="shared" si="20"/>
        <v>-40</v>
      </c>
      <c r="L201" s="103"/>
      <c r="M201" s="105">
        <f t="shared" si="21"/>
        <v>0</v>
      </c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</row>
    <row r="202" spans="1:38" s="88" customFormat="1">
      <c r="A202" s="124"/>
      <c r="B202" s="123"/>
      <c r="C202" s="123"/>
      <c r="D202" s="123"/>
      <c r="E202" s="123"/>
      <c r="F202" s="123"/>
      <c r="H202" s="103">
        <v>197</v>
      </c>
      <c r="I202" s="104" t="str">
        <f t="shared" si="18"/>
        <v/>
      </c>
      <c r="J202" s="103">
        <f t="shared" si="19"/>
        <v>-4</v>
      </c>
      <c r="K202" s="103">
        <f t="shared" si="20"/>
        <v>-40</v>
      </c>
      <c r="L202" s="103"/>
      <c r="M202" s="105">
        <f t="shared" si="21"/>
        <v>0</v>
      </c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</row>
    <row r="203" spans="1:38" s="88" customFormat="1">
      <c r="A203" s="124"/>
      <c r="B203" s="123"/>
      <c r="C203" s="123"/>
      <c r="D203" s="123"/>
      <c r="E203" s="123"/>
      <c r="F203" s="123"/>
      <c r="H203" s="107">
        <v>198</v>
      </c>
      <c r="I203" s="104" t="str">
        <f t="shared" si="18"/>
        <v/>
      </c>
      <c r="J203" s="103">
        <f t="shared" si="19"/>
        <v>-4</v>
      </c>
      <c r="K203" s="103">
        <f t="shared" si="20"/>
        <v>-40</v>
      </c>
      <c r="L203" s="103"/>
      <c r="M203" s="105">
        <f t="shared" si="21"/>
        <v>0</v>
      </c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</row>
    <row r="204" spans="1:38" s="88" customFormat="1">
      <c r="A204" s="124"/>
      <c r="B204" s="123"/>
      <c r="C204" s="123"/>
      <c r="D204" s="123"/>
      <c r="E204" s="123"/>
      <c r="F204" s="123"/>
      <c r="H204" s="103">
        <v>199</v>
      </c>
      <c r="I204" s="104" t="str">
        <f t="shared" si="18"/>
        <v/>
      </c>
      <c r="J204" s="103">
        <f t="shared" si="19"/>
        <v>-4</v>
      </c>
      <c r="K204" s="103">
        <f t="shared" si="20"/>
        <v>-40</v>
      </c>
      <c r="L204" s="103"/>
      <c r="M204" s="105">
        <f t="shared" si="21"/>
        <v>0</v>
      </c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</row>
    <row r="205" spans="1:38" s="88" customFormat="1">
      <c r="A205" s="124"/>
      <c r="B205" s="123"/>
      <c r="C205" s="123"/>
      <c r="D205" s="123"/>
      <c r="E205" s="123"/>
      <c r="F205" s="123"/>
      <c r="H205" s="107">
        <v>200</v>
      </c>
      <c r="I205" s="104" t="str">
        <f t="shared" si="18"/>
        <v/>
      </c>
      <c r="J205" s="103">
        <f t="shared" si="19"/>
        <v>-4</v>
      </c>
      <c r="K205" s="103">
        <f t="shared" si="20"/>
        <v>-40</v>
      </c>
      <c r="L205" s="103"/>
      <c r="M205" s="105">
        <f t="shared" si="21"/>
        <v>0</v>
      </c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</row>
    <row r="206" spans="1:38" s="88" customFormat="1">
      <c r="A206" s="124"/>
      <c r="B206" s="123"/>
      <c r="C206" s="123"/>
      <c r="D206" s="123"/>
      <c r="E206" s="123"/>
      <c r="F206" s="123"/>
      <c r="H206" s="103">
        <v>201</v>
      </c>
      <c r="I206" s="104" t="str">
        <f t="shared" si="18"/>
        <v/>
      </c>
      <c r="J206" s="103">
        <f t="shared" si="19"/>
        <v>-4</v>
      </c>
      <c r="K206" s="103">
        <f t="shared" si="20"/>
        <v>-40</v>
      </c>
      <c r="L206" s="103"/>
      <c r="M206" s="105">
        <f t="shared" si="21"/>
        <v>0</v>
      </c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</row>
    <row r="207" spans="1:38" s="88" customFormat="1">
      <c r="A207" s="124"/>
      <c r="B207" s="123"/>
      <c r="C207" s="123"/>
      <c r="D207" s="123"/>
      <c r="E207" s="123"/>
      <c r="F207" s="123"/>
      <c r="H207" s="107">
        <v>202</v>
      </c>
      <c r="I207" s="104" t="str">
        <f t="shared" si="18"/>
        <v/>
      </c>
      <c r="J207" s="103">
        <f t="shared" si="19"/>
        <v>-4</v>
      </c>
      <c r="K207" s="103">
        <f t="shared" si="20"/>
        <v>-40</v>
      </c>
      <c r="L207" s="103"/>
      <c r="M207" s="105">
        <f t="shared" si="21"/>
        <v>0</v>
      </c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</row>
    <row r="208" spans="1:38" s="88" customFormat="1">
      <c r="A208" s="124"/>
      <c r="B208" s="123"/>
      <c r="C208" s="123"/>
      <c r="D208" s="123"/>
      <c r="E208" s="123"/>
      <c r="F208" s="123"/>
      <c r="H208" s="103">
        <v>203</v>
      </c>
      <c r="I208" s="104" t="str">
        <f t="shared" si="18"/>
        <v/>
      </c>
      <c r="J208" s="103">
        <f t="shared" si="19"/>
        <v>-4</v>
      </c>
      <c r="K208" s="103">
        <f t="shared" si="20"/>
        <v>-40</v>
      </c>
      <c r="L208" s="103"/>
      <c r="M208" s="105">
        <f t="shared" si="21"/>
        <v>0</v>
      </c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</row>
    <row r="209" spans="1:38" s="88" customFormat="1">
      <c r="A209" s="124"/>
      <c r="B209" s="123"/>
      <c r="C209" s="123"/>
      <c r="D209" s="123"/>
      <c r="E209" s="123"/>
      <c r="F209" s="123"/>
      <c r="H209" s="107">
        <v>204</v>
      </c>
      <c r="I209" s="104" t="str">
        <f t="shared" si="18"/>
        <v/>
      </c>
      <c r="J209" s="103">
        <f t="shared" si="19"/>
        <v>-4</v>
      </c>
      <c r="K209" s="103">
        <f t="shared" si="20"/>
        <v>-40</v>
      </c>
      <c r="L209" s="103"/>
      <c r="M209" s="105">
        <f t="shared" si="21"/>
        <v>0</v>
      </c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</row>
    <row r="210" spans="1:38" s="88" customFormat="1">
      <c r="A210" s="124"/>
      <c r="B210" s="123"/>
      <c r="C210" s="123"/>
      <c r="D210" s="123"/>
      <c r="E210" s="123"/>
      <c r="F210" s="123"/>
      <c r="H210" s="103">
        <v>205</v>
      </c>
      <c r="I210" s="104" t="str">
        <f t="shared" si="18"/>
        <v/>
      </c>
      <c r="J210" s="103">
        <f t="shared" si="19"/>
        <v>-4</v>
      </c>
      <c r="K210" s="103">
        <f t="shared" si="20"/>
        <v>-40</v>
      </c>
      <c r="L210" s="103"/>
      <c r="M210" s="105">
        <f t="shared" si="21"/>
        <v>0</v>
      </c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</row>
    <row r="211" spans="1:38" s="88" customFormat="1">
      <c r="A211" s="124"/>
      <c r="B211" s="123"/>
      <c r="C211" s="123"/>
      <c r="D211" s="123"/>
      <c r="E211" s="123"/>
      <c r="F211" s="123"/>
      <c r="H211" s="107">
        <v>206</v>
      </c>
      <c r="I211" s="104" t="str">
        <f t="shared" si="18"/>
        <v/>
      </c>
      <c r="J211" s="103">
        <f t="shared" si="19"/>
        <v>-4</v>
      </c>
      <c r="K211" s="103">
        <f t="shared" si="20"/>
        <v>-40</v>
      </c>
      <c r="L211" s="103"/>
      <c r="M211" s="105">
        <f t="shared" si="21"/>
        <v>0</v>
      </c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</row>
    <row r="212" spans="1:38" s="88" customFormat="1">
      <c r="A212" s="124"/>
      <c r="B212" s="123"/>
      <c r="C212" s="123"/>
      <c r="D212" s="123"/>
      <c r="E212" s="123"/>
      <c r="F212" s="123"/>
      <c r="H212" s="103">
        <v>207</v>
      </c>
      <c r="I212" s="104" t="str">
        <f t="shared" si="18"/>
        <v/>
      </c>
      <c r="J212" s="103">
        <f t="shared" si="19"/>
        <v>-4</v>
      </c>
      <c r="K212" s="103">
        <f t="shared" si="20"/>
        <v>-40</v>
      </c>
      <c r="L212" s="103"/>
      <c r="M212" s="105">
        <f t="shared" si="21"/>
        <v>0</v>
      </c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</row>
    <row r="213" spans="1:38" s="88" customFormat="1">
      <c r="A213" s="124"/>
      <c r="B213" s="123"/>
      <c r="C213" s="123"/>
      <c r="D213" s="123"/>
      <c r="E213" s="123"/>
      <c r="F213" s="123"/>
      <c r="H213" s="107">
        <v>208</v>
      </c>
      <c r="I213" s="104" t="str">
        <f t="shared" si="18"/>
        <v/>
      </c>
      <c r="J213" s="103">
        <f t="shared" si="19"/>
        <v>-4</v>
      </c>
      <c r="K213" s="103">
        <f t="shared" si="20"/>
        <v>-40</v>
      </c>
      <c r="L213" s="103"/>
      <c r="M213" s="105">
        <f t="shared" si="21"/>
        <v>0</v>
      </c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</row>
    <row r="214" spans="1:38" s="88" customFormat="1">
      <c r="A214" s="124"/>
      <c r="B214" s="123"/>
      <c r="C214" s="123"/>
      <c r="D214" s="123"/>
      <c r="E214" s="123"/>
      <c r="F214" s="123"/>
      <c r="H214" s="103">
        <v>209</v>
      </c>
      <c r="I214" s="104" t="str">
        <f t="shared" si="18"/>
        <v/>
      </c>
      <c r="J214" s="103">
        <f t="shared" si="19"/>
        <v>-4</v>
      </c>
      <c r="K214" s="103">
        <f t="shared" si="20"/>
        <v>-40</v>
      </c>
      <c r="L214" s="103"/>
      <c r="M214" s="105">
        <f t="shared" si="21"/>
        <v>0</v>
      </c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</row>
    <row r="215" spans="1:38" s="88" customFormat="1">
      <c r="A215" s="124"/>
      <c r="B215" s="123"/>
      <c r="C215" s="123"/>
      <c r="D215" s="123"/>
      <c r="E215" s="123"/>
      <c r="F215" s="123"/>
      <c r="H215" s="107">
        <v>210</v>
      </c>
      <c r="I215" s="104" t="str">
        <f t="shared" si="18"/>
        <v/>
      </c>
      <c r="J215" s="103">
        <f t="shared" si="19"/>
        <v>-4</v>
      </c>
      <c r="K215" s="103">
        <f t="shared" si="20"/>
        <v>-40</v>
      </c>
      <c r="L215" s="103"/>
      <c r="M215" s="105">
        <f t="shared" si="21"/>
        <v>0</v>
      </c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</row>
    <row r="216" spans="1:38" s="88" customFormat="1">
      <c r="A216" s="124"/>
      <c r="B216" s="123"/>
      <c r="C216" s="123"/>
      <c r="D216" s="123"/>
      <c r="E216" s="123"/>
      <c r="F216" s="123"/>
      <c r="H216" s="103">
        <v>211</v>
      </c>
      <c r="I216" s="104" t="str">
        <f t="shared" si="18"/>
        <v/>
      </c>
      <c r="J216" s="103">
        <f t="shared" si="19"/>
        <v>-4</v>
      </c>
      <c r="K216" s="103">
        <f t="shared" si="20"/>
        <v>-40</v>
      </c>
      <c r="L216" s="103"/>
      <c r="M216" s="105">
        <f t="shared" si="21"/>
        <v>0</v>
      </c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</row>
    <row r="217" spans="1:38" s="88" customFormat="1">
      <c r="A217" s="124"/>
      <c r="B217" s="123"/>
      <c r="C217" s="123"/>
      <c r="D217" s="123"/>
      <c r="E217" s="123"/>
      <c r="F217" s="123"/>
      <c r="H217" s="107">
        <v>212</v>
      </c>
      <c r="I217" s="104" t="str">
        <f t="shared" si="18"/>
        <v/>
      </c>
      <c r="J217" s="103">
        <f t="shared" si="19"/>
        <v>-4</v>
      </c>
      <c r="K217" s="103">
        <f t="shared" si="20"/>
        <v>-40</v>
      </c>
      <c r="L217" s="103"/>
      <c r="M217" s="105">
        <f t="shared" si="21"/>
        <v>0</v>
      </c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</row>
    <row r="218" spans="1:38" s="88" customFormat="1">
      <c r="A218" s="124"/>
      <c r="B218" s="123"/>
      <c r="C218" s="123"/>
      <c r="D218" s="123"/>
      <c r="E218" s="123"/>
      <c r="F218" s="123"/>
      <c r="H218" s="103">
        <v>213</v>
      </c>
      <c r="I218" s="104" t="str">
        <f t="shared" si="18"/>
        <v/>
      </c>
      <c r="J218" s="103">
        <f t="shared" si="19"/>
        <v>-4</v>
      </c>
      <c r="K218" s="103">
        <f t="shared" si="20"/>
        <v>-40</v>
      </c>
      <c r="L218" s="103"/>
      <c r="M218" s="105">
        <f t="shared" si="21"/>
        <v>0</v>
      </c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</row>
    <row r="219" spans="1:38" s="88" customFormat="1">
      <c r="A219" s="124"/>
      <c r="B219" s="123"/>
      <c r="C219" s="123"/>
      <c r="D219" s="123"/>
      <c r="E219" s="123"/>
      <c r="F219" s="123"/>
      <c r="H219" s="107">
        <v>214</v>
      </c>
      <c r="I219" s="104" t="str">
        <f t="shared" si="18"/>
        <v/>
      </c>
      <c r="J219" s="103">
        <f t="shared" si="19"/>
        <v>-4</v>
      </c>
      <c r="K219" s="103">
        <f t="shared" si="20"/>
        <v>-40</v>
      </c>
      <c r="L219" s="103"/>
      <c r="M219" s="105">
        <f t="shared" si="21"/>
        <v>0</v>
      </c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</row>
    <row r="220" spans="1:38" s="88" customFormat="1">
      <c r="A220" s="124"/>
      <c r="B220" s="123"/>
      <c r="C220" s="123"/>
      <c r="D220" s="123"/>
      <c r="E220" s="123"/>
      <c r="F220" s="123"/>
      <c r="H220" s="103">
        <v>215</v>
      </c>
      <c r="I220" s="104" t="str">
        <f t="shared" si="18"/>
        <v/>
      </c>
      <c r="J220" s="103">
        <f t="shared" si="19"/>
        <v>-4</v>
      </c>
      <c r="K220" s="103">
        <f t="shared" si="20"/>
        <v>-40</v>
      </c>
      <c r="L220" s="103"/>
      <c r="M220" s="105">
        <f t="shared" si="21"/>
        <v>0</v>
      </c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</row>
    <row r="221" spans="1:38" s="88" customFormat="1">
      <c r="A221" s="124"/>
      <c r="B221" s="123"/>
      <c r="C221" s="123"/>
      <c r="D221" s="123"/>
      <c r="E221" s="123"/>
      <c r="F221" s="123"/>
      <c r="H221" s="107">
        <v>216</v>
      </c>
      <c r="I221" s="104" t="str">
        <f t="shared" si="18"/>
        <v/>
      </c>
      <c r="J221" s="103">
        <f t="shared" si="19"/>
        <v>-4</v>
      </c>
      <c r="K221" s="103">
        <f t="shared" si="20"/>
        <v>-40</v>
      </c>
      <c r="L221" s="103"/>
      <c r="M221" s="105">
        <f t="shared" si="21"/>
        <v>0</v>
      </c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</row>
    <row r="222" spans="1:38" s="88" customFormat="1">
      <c r="A222" s="124"/>
      <c r="B222" s="123"/>
      <c r="C222" s="123"/>
      <c r="D222" s="123"/>
      <c r="E222" s="123"/>
      <c r="F222" s="123"/>
      <c r="H222" s="103">
        <v>217</v>
      </c>
      <c r="I222" s="104" t="str">
        <f t="shared" si="18"/>
        <v/>
      </c>
      <c r="J222" s="103">
        <f t="shared" si="19"/>
        <v>-4</v>
      </c>
      <c r="K222" s="103">
        <f t="shared" si="20"/>
        <v>-40</v>
      </c>
      <c r="L222" s="103"/>
      <c r="M222" s="105">
        <f t="shared" si="21"/>
        <v>0</v>
      </c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</row>
    <row r="223" spans="1:38" s="88" customFormat="1">
      <c r="A223" s="124"/>
      <c r="B223" s="123"/>
      <c r="C223" s="123"/>
      <c r="D223" s="123"/>
      <c r="E223" s="123"/>
      <c r="F223" s="123"/>
      <c r="H223" s="107">
        <v>218</v>
      </c>
      <c r="I223" s="104" t="str">
        <f t="shared" si="18"/>
        <v/>
      </c>
      <c r="J223" s="103">
        <f t="shared" si="19"/>
        <v>-4</v>
      </c>
      <c r="K223" s="103">
        <f t="shared" si="20"/>
        <v>-40</v>
      </c>
      <c r="L223" s="103"/>
      <c r="M223" s="105">
        <f t="shared" si="21"/>
        <v>0</v>
      </c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</row>
    <row r="224" spans="1:38" s="88" customFormat="1">
      <c r="A224" s="124"/>
      <c r="B224" s="123"/>
      <c r="C224" s="123"/>
      <c r="D224" s="123"/>
      <c r="E224" s="123"/>
      <c r="F224" s="123"/>
      <c r="H224" s="103">
        <v>219</v>
      </c>
      <c r="I224" s="104" t="str">
        <f t="shared" si="18"/>
        <v/>
      </c>
      <c r="J224" s="103">
        <f t="shared" si="19"/>
        <v>-4</v>
      </c>
      <c r="K224" s="103">
        <f t="shared" si="20"/>
        <v>-40</v>
      </c>
      <c r="L224" s="103"/>
      <c r="M224" s="105">
        <f t="shared" si="21"/>
        <v>0</v>
      </c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</row>
    <row r="225" spans="1:38" s="88" customFormat="1">
      <c r="A225" s="124"/>
      <c r="B225" s="123"/>
      <c r="C225" s="123"/>
      <c r="D225" s="123"/>
      <c r="E225" s="123"/>
      <c r="F225" s="123"/>
      <c r="H225" s="107">
        <v>220</v>
      </c>
      <c r="I225" s="104" t="str">
        <f t="shared" si="18"/>
        <v/>
      </c>
      <c r="J225" s="103">
        <f t="shared" si="19"/>
        <v>-4</v>
      </c>
      <c r="K225" s="103">
        <f t="shared" si="20"/>
        <v>-40</v>
      </c>
      <c r="L225" s="103"/>
      <c r="M225" s="105">
        <f t="shared" si="21"/>
        <v>0</v>
      </c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</row>
    <row r="226" spans="1:38" s="88" customFormat="1">
      <c r="A226" s="124"/>
      <c r="B226" s="123"/>
      <c r="C226" s="123"/>
      <c r="D226" s="123"/>
      <c r="E226" s="123"/>
      <c r="F226" s="123"/>
      <c r="H226" s="103">
        <v>221</v>
      </c>
      <c r="I226" s="104" t="str">
        <f t="shared" si="18"/>
        <v/>
      </c>
      <c r="J226" s="103">
        <f t="shared" si="19"/>
        <v>-4</v>
      </c>
      <c r="K226" s="103">
        <f t="shared" si="20"/>
        <v>-40</v>
      </c>
      <c r="L226" s="103"/>
      <c r="M226" s="105">
        <f t="shared" si="21"/>
        <v>0</v>
      </c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</row>
    <row r="227" spans="1:38" s="88" customFormat="1">
      <c r="A227" s="124"/>
      <c r="B227" s="123"/>
      <c r="C227" s="123"/>
      <c r="D227" s="123"/>
      <c r="E227" s="123"/>
      <c r="F227" s="123"/>
      <c r="H227" s="107">
        <v>222</v>
      </c>
      <c r="I227" s="104" t="str">
        <f t="shared" si="18"/>
        <v/>
      </c>
      <c r="J227" s="103">
        <f t="shared" si="19"/>
        <v>-4</v>
      </c>
      <c r="K227" s="103">
        <f t="shared" si="20"/>
        <v>-40</v>
      </c>
      <c r="L227" s="103"/>
      <c r="M227" s="105">
        <f t="shared" si="21"/>
        <v>0</v>
      </c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</row>
    <row r="228" spans="1:38" s="88" customFormat="1">
      <c r="A228" s="124"/>
      <c r="B228" s="123"/>
      <c r="C228" s="123"/>
      <c r="D228" s="123"/>
      <c r="E228" s="123"/>
      <c r="F228" s="123"/>
      <c r="H228" s="103">
        <v>223</v>
      </c>
      <c r="I228" s="104" t="str">
        <f t="shared" si="18"/>
        <v/>
      </c>
      <c r="J228" s="103">
        <f t="shared" si="19"/>
        <v>-4</v>
      </c>
      <c r="K228" s="103">
        <f t="shared" si="20"/>
        <v>-40</v>
      </c>
      <c r="L228" s="103"/>
      <c r="M228" s="105">
        <f t="shared" si="21"/>
        <v>0</v>
      </c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</row>
    <row r="229" spans="1:38" s="88" customFormat="1">
      <c r="A229" s="124"/>
      <c r="B229" s="123"/>
      <c r="C229" s="123"/>
      <c r="D229" s="123"/>
      <c r="E229" s="123"/>
      <c r="F229" s="123"/>
      <c r="H229" s="107">
        <v>224</v>
      </c>
      <c r="I229" s="104" t="str">
        <f t="shared" si="18"/>
        <v/>
      </c>
      <c r="J229" s="103">
        <f t="shared" si="19"/>
        <v>-4</v>
      </c>
      <c r="K229" s="103">
        <f t="shared" si="20"/>
        <v>-40</v>
      </c>
      <c r="L229" s="103"/>
      <c r="M229" s="105">
        <f t="shared" si="21"/>
        <v>0</v>
      </c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</row>
    <row r="230" spans="1:38" s="88" customFormat="1">
      <c r="A230" s="124"/>
      <c r="B230" s="123"/>
      <c r="C230" s="123"/>
      <c r="D230" s="123"/>
      <c r="E230" s="123"/>
      <c r="F230" s="123"/>
      <c r="H230" s="103">
        <v>225</v>
      </c>
      <c r="I230" s="104" t="str">
        <f t="shared" si="18"/>
        <v/>
      </c>
      <c r="J230" s="103">
        <f t="shared" si="19"/>
        <v>-4</v>
      </c>
      <c r="K230" s="103">
        <f t="shared" si="20"/>
        <v>-40</v>
      </c>
      <c r="L230" s="103"/>
      <c r="M230" s="105">
        <f t="shared" si="21"/>
        <v>0</v>
      </c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</row>
    <row r="231" spans="1:38" s="88" customFormat="1">
      <c r="A231" s="124"/>
      <c r="B231" s="123"/>
      <c r="C231" s="123"/>
      <c r="D231" s="123"/>
      <c r="E231" s="123"/>
      <c r="F231" s="123"/>
      <c r="H231" s="107">
        <v>226</v>
      </c>
      <c r="I231" s="104" t="str">
        <f t="shared" si="18"/>
        <v/>
      </c>
      <c r="J231" s="103">
        <f t="shared" si="19"/>
        <v>-4</v>
      </c>
      <c r="K231" s="103">
        <f t="shared" si="20"/>
        <v>-40</v>
      </c>
      <c r="L231" s="103"/>
      <c r="M231" s="105">
        <f t="shared" si="21"/>
        <v>0</v>
      </c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</row>
    <row r="232" spans="1:38" s="88" customFormat="1">
      <c r="A232" s="124"/>
      <c r="B232" s="123"/>
      <c r="C232" s="123"/>
      <c r="D232" s="123"/>
      <c r="E232" s="123"/>
      <c r="F232" s="123"/>
      <c r="H232" s="103">
        <v>227</v>
      </c>
      <c r="I232" s="104" t="str">
        <f t="shared" si="18"/>
        <v/>
      </c>
      <c r="J232" s="103">
        <f t="shared" si="19"/>
        <v>-4</v>
      </c>
      <c r="K232" s="103">
        <f t="shared" si="20"/>
        <v>-40</v>
      </c>
      <c r="L232" s="103"/>
      <c r="M232" s="105">
        <f t="shared" si="21"/>
        <v>0</v>
      </c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</row>
    <row r="233" spans="1:38" s="88" customFormat="1">
      <c r="A233" s="124"/>
      <c r="B233" s="123"/>
      <c r="C233" s="123"/>
      <c r="D233" s="123"/>
      <c r="E233" s="123"/>
      <c r="F233" s="123"/>
      <c r="H233" s="107">
        <v>228</v>
      </c>
      <c r="I233" s="104" t="str">
        <f t="shared" si="18"/>
        <v/>
      </c>
      <c r="J233" s="103">
        <f t="shared" si="19"/>
        <v>-4</v>
      </c>
      <c r="K233" s="103">
        <f t="shared" si="20"/>
        <v>-40</v>
      </c>
      <c r="L233" s="103"/>
      <c r="M233" s="105">
        <f t="shared" si="21"/>
        <v>0</v>
      </c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</row>
    <row r="234" spans="1:38" s="88" customFormat="1">
      <c r="A234" s="124"/>
      <c r="B234" s="123"/>
      <c r="C234" s="123"/>
      <c r="D234" s="123"/>
      <c r="E234" s="123"/>
      <c r="F234" s="123"/>
      <c r="H234" s="103">
        <v>229</v>
      </c>
      <c r="I234" s="104" t="str">
        <f t="shared" si="18"/>
        <v/>
      </c>
      <c r="J234" s="103">
        <f t="shared" si="19"/>
        <v>-4</v>
      </c>
      <c r="K234" s="103">
        <f t="shared" si="20"/>
        <v>-40</v>
      </c>
      <c r="L234" s="103"/>
      <c r="M234" s="105">
        <f t="shared" si="21"/>
        <v>0</v>
      </c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</row>
    <row r="235" spans="1:38" s="88" customFormat="1">
      <c r="A235" s="124"/>
      <c r="B235" s="123"/>
      <c r="C235" s="123"/>
      <c r="D235" s="123"/>
      <c r="E235" s="123"/>
      <c r="F235" s="123"/>
      <c r="H235" s="107">
        <v>230</v>
      </c>
      <c r="I235" s="104" t="str">
        <f t="shared" si="18"/>
        <v/>
      </c>
      <c r="J235" s="103">
        <f t="shared" si="19"/>
        <v>-4</v>
      </c>
      <c r="K235" s="103">
        <f t="shared" si="20"/>
        <v>-40</v>
      </c>
      <c r="L235" s="103"/>
      <c r="M235" s="105">
        <f t="shared" si="21"/>
        <v>0</v>
      </c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</row>
    <row r="236" spans="1:38" s="88" customFormat="1">
      <c r="A236" s="124"/>
      <c r="B236" s="123"/>
      <c r="C236" s="123"/>
      <c r="D236" s="123"/>
      <c r="E236" s="123"/>
      <c r="F236" s="123"/>
      <c r="H236" s="103">
        <v>231</v>
      </c>
      <c r="I236" s="104" t="str">
        <f t="shared" si="18"/>
        <v/>
      </c>
      <c r="J236" s="103">
        <f t="shared" si="19"/>
        <v>-4</v>
      </c>
      <c r="K236" s="103">
        <f t="shared" si="20"/>
        <v>-40</v>
      </c>
      <c r="L236" s="103"/>
      <c r="M236" s="105">
        <f t="shared" si="21"/>
        <v>0</v>
      </c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</row>
    <row r="237" spans="1:38" s="88" customFormat="1">
      <c r="A237" s="124"/>
      <c r="B237" s="123"/>
      <c r="C237" s="123"/>
      <c r="D237" s="123"/>
      <c r="E237" s="123"/>
      <c r="F237" s="123"/>
      <c r="H237" s="107">
        <v>232</v>
      </c>
      <c r="I237" s="104" t="str">
        <f t="shared" si="18"/>
        <v/>
      </c>
      <c r="J237" s="103">
        <f t="shared" si="19"/>
        <v>-4</v>
      </c>
      <c r="K237" s="103">
        <f t="shared" si="20"/>
        <v>-40</v>
      </c>
      <c r="L237" s="103"/>
      <c r="M237" s="105">
        <f t="shared" si="21"/>
        <v>0</v>
      </c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</row>
    <row r="238" spans="1:38" s="88" customFormat="1">
      <c r="A238" s="124"/>
      <c r="B238" s="123"/>
      <c r="C238" s="123"/>
      <c r="D238" s="123"/>
      <c r="E238" s="123"/>
      <c r="F238" s="123"/>
      <c r="H238" s="103">
        <v>233</v>
      </c>
      <c r="I238" s="104" t="str">
        <f t="shared" si="18"/>
        <v/>
      </c>
      <c r="J238" s="103">
        <f t="shared" si="19"/>
        <v>-4</v>
      </c>
      <c r="K238" s="103">
        <f t="shared" si="20"/>
        <v>-40</v>
      </c>
      <c r="L238" s="103"/>
      <c r="M238" s="105">
        <f t="shared" si="21"/>
        <v>0</v>
      </c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</row>
    <row r="239" spans="1:38" s="88" customFormat="1">
      <c r="A239" s="124"/>
      <c r="B239" s="123"/>
      <c r="C239" s="123"/>
      <c r="D239" s="123"/>
      <c r="E239" s="123"/>
      <c r="F239" s="123"/>
      <c r="H239" s="107">
        <v>234</v>
      </c>
      <c r="I239" s="104" t="str">
        <f t="shared" si="18"/>
        <v/>
      </c>
      <c r="J239" s="103">
        <f t="shared" si="19"/>
        <v>-4</v>
      </c>
      <c r="K239" s="103">
        <f t="shared" si="20"/>
        <v>-40</v>
      </c>
      <c r="L239" s="103"/>
      <c r="M239" s="105">
        <f t="shared" si="21"/>
        <v>0</v>
      </c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</row>
    <row r="240" spans="1:38" s="88" customFormat="1">
      <c r="A240" s="124"/>
      <c r="B240" s="123"/>
      <c r="C240" s="123"/>
      <c r="D240" s="123"/>
      <c r="E240" s="123"/>
      <c r="F240" s="123"/>
      <c r="H240" s="103">
        <v>235</v>
      </c>
      <c r="I240" s="104" t="str">
        <f t="shared" si="18"/>
        <v/>
      </c>
      <c r="J240" s="103">
        <f t="shared" si="19"/>
        <v>-4</v>
      </c>
      <c r="K240" s="103">
        <f t="shared" si="20"/>
        <v>-40</v>
      </c>
      <c r="L240" s="103"/>
      <c r="M240" s="105">
        <f t="shared" si="21"/>
        <v>0</v>
      </c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</row>
    <row r="241" spans="1:38" s="88" customFormat="1">
      <c r="A241" s="124"/>
      <c r="B241" s="123"/>
      <c r="C241" s="123"/>
      <c r="D241" s="123"/>
      <c r="E241" s="123"/>
      <c r="F241" s="123"/>
      <c r="H241" s="107">
        <v>236</v>
      </c>
      <c r="I241" s="104" t="str">
        <f t="shared" si="18"/>
        <v/>
      </c>
      <c r="J241" s="103">
        <f t="shared" si="19"/>
        <v>-4</v>
      </c>
      <c r="K241" s="103">
        <f t="shared" si="20"/>
        <v>-40</v>
      </c>
      <c r="L241" s="103"/>
      <c r="M241" s="105">
        <f t="shared" si="21"/>
        <v>0</v>
      </c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</row>
    <row r="242" spans="1:38" s="88" customFormat="1">
      <c r="A242" s="124"/>
      <c r="B242" s="123"/>
      <c r="C242" s="123"/>
      <c r="D242" s="123"/>
      <c r="E242" s="123"/>
      <c r="F242" s="123"/>
      <c r="H242" s="103">
        <v>237</v>
      </c>
      <c r="I242" s="104" t="str">
        <f t="shared" si="18"/>
        <v/>
      </c>
      <c r="J242" s="103">
        <f t="shared" si="19"/>
        <v>-4</v>
      </c>
      <c r="K242" s="103">
        <f t="shared" si="20"/>
        <v>-40</v>
      </c>
      <c r="L242" s="103"/>
      <c r="M242" s="105">
        <f t="shared" si="21"/>
        <v>0</v>
      </c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</row>
    <row r="243" spans="1:38" s="88" customFormat="1">
      <c r="A243" s="124"/>
      <c r="B243" s="123"/>
      <c r="C243" s="123"/>
      <c r="D243" s="123"/>
      <c r="E243" s="123"/>
      <c r="F243" s="123"/>
      <c r="H243" s="107">
        <v>238</v>
      </c>
      <c r="I243" s="104" t="str">
        <f t="shared" si="18"/>
        <v/>
      </c>
      <c r="J243" s="103">
        <f t="shared" si="19"/>
        <v>-4</v>
      </c>
      <c r="K243" s="103">
        <f t="shared" si="20"/>
        <v>-40</v>
      </c>
      <c r="L243" s="103"/>
      <c r="M243" s="105">
        <f t="shared" si="21"/>
        <v>0</v>
      </c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</row>
    <row r="244" spans="1:38" s="88" customFormat="1">
      <c r="A244" s="124"/>
      <c r="B244" s="123"/>
      <c r="C244" s="123"/>
      <c r="D244" s="123"/>
      <c r="E244" s="123"/>
      <c r="F244" s="123"/>
      <c r="H244" s="103">
        <v>239</v>
      </c>
      <c r="I244" s="104" t="str">
        <f t="shared" si="18"/>
        <v/>
      </c>
      <c r="J244" s="103">
        <f t="shared" si="19"/>
        <v>-4</v>
      </c>
      <c r="K244" s="103">
        <f t="shared" si="20"/>
        <v>-40</v>
      </c>
      <c r="L244" s="103"/>
      <c r="M244" s="105">
        <f t="shared" si="21"/>
        <v>0</v>
      </c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</row>
    <row r="245" spans="1:38" s="88" customFormat="1">
      <c r="A245" s="124"/>
      <c r="B245" s="123"/>
      <c r="C245" s="123"/>
      <c r="D245" s="123"/>
      <c r="E245" s="123"/>
      <c r="F245" s="123"/>
      <c r="H245" s="107">
        <v>240</v>
      </c>
      <c r="I245" s="104" t="str">
        <f t="shared" si="18"/>
        <v/>
      </c>
      <c r="J245" s="103">
        <f t="shared" si="19"/>
        <v>-4</v>
      </c>
      <c r="K245" s="103">
        <f t="shared" si="20"/>
        <v>-40</v>
      </c>
      <c r="L245" s="103"/>
      <c r="M245" s="105">
        <f t="shared" si="21"/>
        <v>0</v>
      </c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</row>
    <row r="246" spans="1:38" s="88" customFormat="1">
      <c r="A246" s="124"/>
      <c r="B246" s="123"/>
      <c r="C246" s="123"/>
      <c r="D246" s="123"/>
      <c r="E246" s="123"/>
      <c r="F246" s="123"/>
      <c r="H246" s="103">
        <v>241</v>
      </c>
      <c r="I246" s="104" t="str">
        <f t="shared" si="18"/>
        <v/>
      </c>
      <c r="J246" s="103">
        <f t="shared" si="19"/>
        <v>-4</v>
      </c>
      <c r="K246" s="103">
        <f t="shared" si="20"/>
        <v>-40</v>
      </c>
      <c r="L246" s="103"/>
      <c r="M246" s="105">
        <f t="shared" si="21"/>
        <v>0</v>
      </c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</row>
    <row r="247" spans="1:38" s="88" customFormat="1">
      <c r="A247" s="124"/>
      <c r="B247" s="123"/>
      <c r="C247" s="123"/>
      <c r="D247" s="123"/>
      <c r="E247" s="123"/>
      <c r="F247" s="123"/>
      <c r="H247" s="107">
        <v>242</v>
      </c>
      <c r="I247" s="104" t="str">
        <f t="shared" si="18"/>
        <v/>
      </c>
      <c r="J247" s="103">
        <f t="shared" si="19"/>
        <v>-4</v>
      </c>
      <c r="K247" s="103">
        <f t="shared" si="20"/>
        <v>-40</v>
      </c>
      <c r="L247" s="103"/>
      <c r="M247" s="105">
        <f t="shared" si="21"/>
        <v>0</v>
      </c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</row>
    <row r="248" spans="1:38" s="88" customFormat="1">
      <c r="A248" s="124"/>
      <c r="B248" s="123"/>
      <c r="C248" s="123"/>
      <c r="D248" s="123"/>
      <c r="E248" s="123"/>
      <c r="F248" s="123"/>
      <c r="H248" s="103">
        <v>243</v>
      </c>
      <c r="I248" s="104" t="str">
        <f t="shared" si="18"/>
        <v/>
      </c>
      <c r="J248" s="103">
        <f t="shared" si="19"/>
        <v>-4</v>
      </c>
      <c r="K248" s="103">
        <f t="shared" si="20"/>
        <v>-40</v>
      </c>
      <c r="L248" s="103"/>
      <c r="M248" s="105">
        <f t="shared" si="21"/>
        <v>0</v>
      </c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</row>
    <row r="249" spans="1:38" s="88" customFormat="1">
      <c r="A249" s="124"/>
      <c r="B249" s="123"/>
      <c r="C249" s="123"/>
      <c r="D249" s="123"/>
      <c r="E249" s="123"/>
      <c r="F249" s="123"/>
      <c r="H249" s="107">
        <v>244</v>
      </c>
      <c r="I249" s="104" t="str">
        <f t="shared" si="18"/>
        <v/>
      </c>
      <c r="J249" s="103">
        <f t="shared" si="19"/>
        <v>-4</v>
      </c>
      <c r="K249" s="103">
        <f t="shared" si="20"/>
        <v>-40</v>
      </c>
      <c r="L249" s="103"/>
      <c r="M249" s="105">
        <f t="shared" si="21"/>
        <v>0</v>
      </c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</row>
    <row r="250" spans="1:38" s="88" customFormat="1">
      <c r="A250" s="124"/>
      <c r="B250" s="123"/>
      <c r="C250" s="123"/>
      <c r="D250" s="123"/>
      <c r="E250" s="123"/>
      <c r="F250" s="123"/>
      <c r="H250" s="103">
        <v>245</v>
      </c>
      <c r="I250" s="104" t="str">
        <f t="shared" si="18"/>
        <v/>
      </c>
      <c r="J250" s="103">
        <f t="shared" si="19"/>
        <v>-4</v>
      </c>
      <c r="K250" s="103">
        <f t="shared" si="20"/>
        <v>-40</v>
      </c>
      <c r="L250" s="103"/>
      <c r="M250" s="105">
        <f t="shared" si="21"/>
        <v>0</v>
      </c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</row>
    <row r="251" spans="1:38" s="88" customFormat="1">
      <c r="A251" s="124"/>
      <c r="B251" s="123"/>
      <c r="C251" s="123"/>
      <c r="D251" s="123"/>
      <c r="E251" s="123"/>
      <c r="F251" s="123"/>
      <c r="H251" s="107">
        <v>246</v>
      </c>
      <c r="I251" s="104" t="str">
        <f t="shared" si="18"/>
        <v/>
      </c>
      <c r="J251" s="103">
        <f t="shared" si="19"/>
        <v>-4</v>
      </c>
      <c r="K251" s="103">
        <f t="shared" si="20"/>
        <v>-40</v>
      </c>
      <c r="L251" s="103"/>
      <c r="M251" s="105">
        <f t="shared" si="21"/>
        <v>0</v>
      </c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</row>
    <row r="252" spans="1:38" s="88" customFormat="1">
      <c r="A252" s="124"/>
      <c r="B252" s="123"/>
      <c r="C252" s="123"/>
      <c r="D252" s="123"/>
      <c r="E252" s="123"/>
      <c r="F252" s="123"/>
      <c r="H252" s="103">
        <v>247</v>
      </c>
      <c r="I252" s="104" t="str">
        <f t="shared" si="18"/>
        <v/>
      </c>
      <c r="J252" s="103">
        <f t="shared" si="19"/>
        <v>-4</v>
      </c>
      <c r="K252" s="103">
        <f t="shared" si="20"/>
        <v>-40</v>
      </c>
      <c r="L252" s="103"/>
      <c r="M252" s="105">
        <f t="shared" si="21"/>
        <v>0</v>
      </c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</row>
    <row r="253" spans="1:38" s="88" customFormat="1">
      <c r="A253" s="124"/>
      <c r="B253" s="123"/>
      <c r="C253" s="123"/>
      <c r="D253" s="123"/>
      <c r="E253" s="123"/>
      <c r="F253" s="123"/>
      <c r="H253" s="107">
        <v>248</v>
      </c>
      <c r="I253" s="104" t="str">
        <f t="shared" si="18"/>
        <v/>
      </c>
      <c r="J253" s="103">
        <f t="shared" si="19"/>
        <v>-4</v>
      </c>
      <c r="K253" s="103">
        <f t="shared" si="20"/>
        <v>-40</v>
      </c>
      <c r="L253" s="103"/>
      <c r="M253" s="105">
        <f t="shared" si="21"/>
        <v>0</v>
      </c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</row>
    <row r="254" spans="1:38" s="88" customFormat="1">
      <c r="A254" s="124"/>
      <c r="B254" s="123"/>
      <c r="C254" s="123"/>
      <c r="D254" s="123"/>
      <c r="E254" s="123"/>
      <c r="F254" s="123"/>
      <c r="H254" s="103">
        <v>249</v>
      </c>
      <c r="I254" s="104" t="str">
        <f t="shared" si="18"/>
        <v/>
      </c>
      <c r="J254" s="103">
        <f t="shared" si="19"/>
        <v>-4</v>
      </c>
      <c r="K254" s="103">
        <f t="shared" si="20"/>
        <v>-40</v>
      </c>
      <c r="L254" s="103"/>
      <c r="M254" s="105">
        <f t="shared" si="21"/>
        <v>0</v>
      </c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</row>
    <row r="255" spans="1:38" s="88" customFormat="1">
      <c r="A255" s="124"/>
      <c r="B255" s="123"/>
      <c r="C255" s="123"/>
      <c r="D255" s="123"/>
      <c r="E255" s="123"/>
      <c r="F255" s="123"/>
      <c r="H255" s="107">
        <v>250</v>
      </c>
      <c r="I255" s="104" t="str">
        <f t="shared" si="18"/>
        <v/>
      </c>
      <c r="J255" s="103">
        <f t="shared" si="19"/>
        <v>-4</v>
      </c>
      <c r="K255" s="103">
        <f t="shared" si="20"/>
        <v>-40</v>
      </c>
      <c r="L255" s="103"/>
      <c r="M255" s="105">
        <f t="shared" si="21"/>
        <v>0</v>
      </c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</row>
    <row r="256" spans="1:38" s="88" customFormat="1">
      <c r="A256" s="124"/>
      <c r="B256" s="123"/>
      <c r="C256" s="123"/>
      <c r="D256" s="123"/>
      <c r="E256" s="123"/>
      <c r="F256" s="123"/>
      <c r="H256" s="103">
        <v>251</v>
      </c>
      <c r="I256" s="104" t="str">
        <f t="shared" si="18"/>
        <v/>
      </c>
      <c r="J256" s="103">
        <f t="shared" si="19"/>
        <v>-4</v>
      </c>
      <c r="K256" s="103">
        <f t="shared" si="20"/>
        <v>-40</v>
      </c>
      <c r="L256" s="103"/>
      <c r="M256" s="105">
        <f t="shared" si="21"/>
        <v>0</v>
      </c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</row>
    <row r="257" spans="1:38" s="88" customFormat="1">
      <c r="A257" s="124"/>
      <c r="B257" s="123"/>
      <c r="C257" s="123"/>
      <c r="D257" s="123"/>
      <c r="E257" s="123"/>
      <c r="F257" s="123"/>
      <c r="H257" s="107">
        <v>252</v>
      </c>
      <c r="I257" s="104" t="str">
        <f t="shared" si="18"/>
        <v/>
      </c>
      <c r="J257" s="103">
        <f t="shared" si="19"/>
        <v>-4</v>
      </c>
      <c r="K257" s="103">
        <f t="shared" si="20"/>
        <v>-40</v>
      </c>
      <c r="L257" s="103"/>
      <c r="M257" s="105">
        <f t="shared" si="21"/>
        <v>0</v>
      </c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</row>
    <row r="258" spans="1:38" s="88" customFormat="1">
      <c r="A258" s="124"/>
      <c r="B258" s="123"/>
      <c r="C258" s="123"/>
      <c r="D258" s="123"/>
      <c r="E258" s="123"/>
      <c r="F258" s="123"/>
      <c r="H258" s="103">
        <v>253</v>
      </c>
      <c r="I258" s="104" t="str">
        <f t="shared" si="18"/>
        <v/>
      </c>
      <c r="J258" s="103">
        <f t="shared" si="19"/>
        <v>-4</v>
      </c>
      <c r="K258" s="103">
        <f t="shared" si="20"/>
        <v>-40</v>
      </c>
      <c r="L258" s="103"/>
      <c r="M258" s="105">
        <f t="shared" si="21"/>
        <v>0</v>
      </c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</row>
    <row r="259" spans="1:38" s="88" customFormat="1">
      <c r="A259" s="124"/>
      <c r="B259" s="123"/>
      <c r="C259" s="123"/>
      <c r="D259" s="123"/>
      <c r="E259" s="123"/>
      <c r="F259" s="123"/>
      <c r="H259" s="107">
        <v>254</v>
      </c>
      <c r="I259" s="104" t="str">
        <f t="shared" si="18"/>
        <v/>
      </c>
      <c r="J259" s="103">
        <f t="shared" si="19"/>
        <v>-4</v>
      </c>
      <c r="K259" s="103">
        <f t="shared" si="20"/>
        <v>-40</v>
      </c>
      <c r="L259" s="103"/>
      <c r="M259" s="105">
        <f t="shared" si="21"/>
        <v>0</v>
      </c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</row>
    <row r="260" spans="1:38" s="88" customFormat="1">
      <c r="A260" s="124"/>
      <c r="B260" s="123"/>
      <c r="C260" s="123"/>
      <c r="D260" s="123"/>
      <c r="E260" s="123"/>
      <c r="F260" s="123"/>
      <c r="H260" s="103">
        <v>255</v>
      </c>
      <c r="I260" s="104" t="str">
        <f t="shared" si="18"/>
        <v/>
      </c>
      <c r="J260" s="103">
        <f t="shared" si="19"/>
        <v>-4</v>
      </c>
      <c r="K260" s="103">
        <f t="shared" si="20"/>
        <v>-40</v>
      </c>
      <c r="L260" s="103"/>
      <c r="M260" s="105">
        <f t="shared" si="21"/>
        <v>0</v>
      </c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</row>
    <row r="261" spans="1:38" s="88" customFormat="1">
      <c r="A261" s="124"/>
      <c r="B261" s="123"/>
      <c r="C261" s="123"/>
      <c r="D261" s="123"/>
      <c r="E261" s="123"/>
      <c r="F261" s="123"/>
      <c r="H261" s="107">
        <v>256</v>
      </c>
      <c r="I261" s="104" t="str">
        <f t="shared" si="18"/>
        <v/>
      </c>
      <c r="J261" s="103">
        <f t="shared" si="19"/>
        <v>-4</v>
      </c>
      <c r="K261" s="103">
        <f t="shared" si="20"/>
        <v>-40</v>
      </c>
      <c r="L261" s="103"/>
      <c r="M261" s="105">
        <f t="shared" si="21"/>
        <v>0</v>
      </c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</row>
    <row r="262" spans="1:38" s="88" customFormat="1">
      <c r="A262" s="124"/>
      <c r="B262" s="123"/>
      <c r="C262" s="123"/>
      <c r="D262" s="123"/>
      <c r="E262" s="123"/>
      <c r="F262" s="123"/>
      <c r="H262" s="103">
        <v>257</v>
      </c>
      <c r="I262" s="104" t="str">
        <f t="shared" ref="I262:I305" si="22">IF(H262&lt;$H$2+1,($I$2-($I$2-1)*(LOG(H262)/LOG($H$2))),"")</f>
        <v/>
      </c>
      <c r="J262" s="103">
        <f t="shared" ref="J262:J305" si="23">INT(LOG($H$2,2))-ROUNDUP(LOG(H262,2),0)+IF(OR($H$2=1,$H$2=2,$H$2=4,$H$2=8,$H$2=16,$H$2=32,$H$2=64,$H$2=128,$H$2=256),0,1)</f>
        <v>-5</v>
      </c>
      <c r="K262" s="103">
        <f t="shared" ref="K262:K305" si="24">J262*$J$2</f>
        <v>-50</v>
      </c>
      <c r="L262" s="103"/>
      <c r="M262" s="105">
        <f t="shared" ref="M262:M305" si="25">IF(I262&lt;&gt;"",K262+I262+L262,0)</f>
        <v>0</v>
      </c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</row>
    <row r="263" spans="1:38" s="88" customFormat="1">
      <c r="A263" s="124"/>
      <c r="B263" s="123"/>
      <c r="C263" s="123"/>
      <c r="D263" s="123"/>
      <c r="E263" s="123"/>
      <c r="F263" s="123"/>
      <c r="H263" s="107">
        <v>258</v>
      </c>
      <c r="I263" s="104" t="str">
        <f t="shared" si="22"/>
        <v/>
      </c>
      <c r="J263" s="103">
        <f t="shared" si="23"/>
        <v>-5</v>
      </c>
      <c r="K263" s="103">
        <f t="shared" si="24"/>
        <v>-50</v>
      </c>
      <c r="L263" s="103"/>
      <c r="M263" s="105">
        <f t="shared" si="25"/>
        <v>0</v>
      </c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</row>
    <row r="264" spans="1:38" s="88" customFormat="1">
      <c r="A264" s="124"/>
      <c r="B264" s="123"/>
      <c r="C264" s="123"/>
      <c r="D264" s="123"/>
      <c r="E264" s="123"/>
      <c r="F264" s="123"/>
      <c r="H264" s="103">
        <v>259</v>
      </c>
      <c r="I264" s="104" t="str">
        <f t="shared" si="22"/>
        <v/>
      </c>
      <c r="J264" s="103">
        <f t="shared" si="23"/>
        <v>-5</v>
      </c>
      <c r="K264" s="103">
        <f t="shared" si="24"/>
        <v>-50</v>
      </c>
      <c r="L264" s="103"/>
      <c r="M264" s="105">
        <f t="shared" si="25"/>
        <v>0</v>
      </c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</row>
    <row r="265" spans="1:38" s="88" customFormat="1">
      <c r="A265" s="124"/>
      <c r="B265" s="123"/>
      <c r="C265" s="123"/>
      <c r="D265" s="123"/>
      <c r="E265" s="123"/>
      <c r="F265" s="123"/>
      <c r="H265" s="107">
        <v>260</v>
      </c>
      <c r="I265" s="104" t="str">
        <f t="shared" si="22"/>
        <v/>
      </c>
      <c r="J265" s="103">
        <f t="shared" si="23"/>
        <v>-5</v>
      </c>
      <c r="K265" s="103">
        <f t="shared" si="24"/>
        <v>-50</v>
      </c>
      <c r="L265" s="103"/>
      <c r="M265" s="105">
        <f t="shared" si="25"/>
        <v>0</v>
      </c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</row>
    <row r="266" spans="1:38" s="88" customFormat="1">
      <c r="A266" s="124"/>
      <c r="B266" s="123"/>
      <c r="C266" s="123"/>
      <c r="D266" s="123"/>
      <c r="E266" s="123"/>
      <c r="F266" s="123"/>
      <c r="H266" s="103">
        <v>261</v>
      </c>
      <c r="I266" s="104" t="str">
        <f t="shared" si="22"/>
        <v/>
      </c>
      <c r="J266" s="103">
        <f t="shared" si="23"/>
        <v>-5</v>
      </c>
      <c r="K266" s="103">
        <f t="shared" si="24"/>
        <v>-50</v>
      </c>
      <c r="L266" s="103"/>
      <c r="M266" s="105">
        <f t="shared" si="25"/>
        <v>0</v>
      </c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</row>
    <row r="267" spans="1:38" s="88" customFormat="1">
      <c r="A267" s="124"/>
      <c r="B267" s="123"/>
      <c r="C267" s="123"/>
      <c r="D267" s="123"/>
      <c r="E267" s="123"/>
      <c r="F267" s="123"/>
      <c r="H267" s="107">
        <v>262</v>
      </c>
      <c r="I267" s="104" t="str">
        <f t="shared" si="22"/>
        <v/>
      </c>
      <c r="J267" s="103">
        <f t="shared" si="23"/>
        <v>-5</v>
      </c>
      <c r="K267" s="103">
        <f t="shared" si="24"/>
        <v>-50</v>
      </c>
      <c r="L267" s="103"/>
      <c r="M267" s="105">
        <f t="shared" si="25"/>
        <v>0</v>
      </c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</row>
    <row r="268" spans="1:38" s="88" customFormat="1">
      <c r="A268" s="124"/>
      <c r="B268" s="123"/>
      <c r="C268" s="123"/>
      <c r="D268" s="123"/>
      <c r="E268" s="123"/>
      <c r="F268" s="123"/>
      <c r="H268" s="103">
        <v>263</v>
      </c>
      <c r="I268" s="104" t="str">
        <f t="shared" si="22"/>
        <v/>
      </c>
      <c r="J268" s="103">
        <f t="shared" si="23"/>
        <v>-5</v>
      </c>
      <c r="K268" s="103">
        <f t="shared" si="24"/>
        <v>-50</v>
      </c>
      <c r="L268" s="103"/>
      <c r="M268" s="105">
        <f t="shared" si="25"/>
        <v>0</v>
      </c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</row>
    <row r="269" spans="1:38" s="88" customFormat="1">
      <c r="A269" s="124"/>
      <c r="B269" s="123"/>
      <c r="C269" s="123"/>
      <c r="D269" s="123"/>
      <c r="E269" s="123"/>
      <c r="F269" s="123"/>
      <c r="H269" s="107">
        <v>264</v>
      </c>
      <c r="I269" s="104" t="str">
        <f t="shared" si="22"/>
        <v/>
      </c>
      <c r="J269" s="103">
        <f t="shared" si="23"/>
        <v>-5</v>
      </c>
      <c r="K269" s="103">
        <f t="shared" si="24"/>
        <v>-50</v>
      </c>
      <c r="L269" s="103"/>
      <c r="M269" s="105">
        <f t="shared" si="25"/>
        <v>0</v>
      </c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</row>
    <row r="270" spans="1:38" s="88" customFormat="1">
      <c r="A270" s="124"/>
      <c r="B270" s="123"/>
      <c r="C270" s="123"/>
      <c r="D270" s="123"/>
      <c r="E270" s="123"/>
      <c r="F270" s="123"/>
      <c r="H270" s="103">
        <v>265</v>
      </c>
      <c r="I270" s="104" t="str">
        <f t="shared" si="22"/>
        <v/>
      </c>
      <c r="J270" s="103">
        <f t="shared" si="23"/>
        <v>-5</v>
      </c>
      <c r="K270" s="103">
        <f t="shared" si="24"/>
        <v>-50</v>
      </c>
      <c r="L270" s="103"/>
      <c r="M270" s="105">
        <f t="shared" si="25"/>
        <v>0</v>
      </c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</row>
    <row r="271" spans="1:38" s="88" customFormat="1">
      <c r="A271" s="124"/>
      <c r="B271" s="123"/>
      <c r="C271" s="123"/>
      <c r="D271" s="123"/>
      <c r="E271" s="123"/>
      <c r="F271" s="123"/>
      <c r="H271" s="107">
        <v>266</v>
      </c>
      <c r="I271" s="104" t="str">
        <f t="shared" si="22"/>
        <v/>
      </c>
      <c r="J271" s="103">
        <f t="shared" si="23"/>
        <v>-5</v>
      </c>
      <c r="K271" s="103">
        <f t="shared" si="24"/>
        <v>-50</v>
      </c>
      <c r="L271" s="103"/>
      <c r="M271" s="105">
        <f t="shared" si="25"/>
        <v>0</v>
      </c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</row>
    <row r="272" spans="1:38" s="88" customFormat="1">
      <c r="A272" s="124"/>
      <c r="B272" s="123"/>
      <c r="C272" s="123"/>
      <c r="D272" s="123"/>
      <c r="E272" s="123"/>
      <c r="F272" s="123"/>
      <c r="H272" s="103">
        <v>267</v>
      </c>
      <c r="I272" s="104" t="str">
        <f t="shared" si="22"/>
        <v/>
      </c>
      <c r="J272" s="103">
        <f t="shared" si="23"/>
        <v>-5</v>
      </c>
      <c r="K272" s="103">
        <f t="shared" si="24"/>
        <v>-50</v>
      </c>
      <c r="L272" s="103"/>
      <c r="M272" s="105">
        <f t="shared" si="25"/>
        <v>0</v>
      </c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</row>
    <row r="273" spans="1:38" s="88" customFormat="1">
      <c r="A273" s="124"/>
      <c r="B273" s="123"/>
      <c r="C273" s="123"/>
      <c r="D273" s="123"/>
      <c r="E273" s="123"/>
      <c r="F273" s="123"/>
      <c r="H273" s="107">
        <v>268</v>
      </c>
      <c r="I273" s="104" t="str">
        <f t="shared" si="22"/>
        <v/>
      </c>
      <c r="J273" s="103">
        <f t="shared" si="23"/>
        <v>-5</v>
      </c>
      <c r="K273" s="103">
        <f t="shared" si="24"/>
        <v>-50</v>
      </c>
      <c r="L273" s="103"/>
      <c r="M273" s="105">
        <f t="shared" si="25"/>
        <v>0</v>
      </c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</row>
    <row r="274" spans="1:38" s="88" customFormat="1">
      <c r="A274" s="124"/>
      <c r="B274" s="123"/>
      <c r="C274" s="123"/>
      <c r="D274" s="123"/>
      <c r="E274" s="123"/>
      <c r="F274" s="123"/>
      <c r="H274" s="103">
        <v>269</v>
      </c>
      <c r="I274" s="104" t="str">
        <f t="shared" si="22"/>
        <v/>
      </c>
      <c r="J274" s="103">
        <f t="shared" si="23"/>
        <v>-5</v>
      </c>
      <c r="K274" s="103">
        <f t="shared" si="24"/>
        <v>-50</v>
      </c>
      <c r="L274" s="103"/>
      <c r="M274" s="105">
        <f t="shared" si="25"/>
        <v>0</v>
      </c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</row>
    <row r="275" spans="1:38" s="88" customFormat="1">
      <c r="A275" s="124"/>
      <c r="B275" s="123"/>
      <c r="C275" s="123"/>
      <c r="D275" s="123"/>
      <c r="E275" s="123"/>
      <c r="F275" s="123"/>
      <c r="H275" s="107">
        <v>270</v>
      </c>
      <c r="I275" s="104" t="str">
        <f t="shared" si="22"/>
        <v/>
      </c>
      <c r="J275" s="103">
        <f t="shared" si="23"/>
        <v>-5</v>
      </c>
      <c r="K275" s="103">
        <f t="shared" si="24"/>
        <v>-50</v>
      </c>
      <c r="L275" s="103"/>
      <c r="M275" s="105">
        <f t="shared" si="25"/>
        <v>0</v>
      </c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</row>
    <row r="276" spans="1:38" s="88" customFormat="1">
      <c r="A276" s="124"/>
      <c r="B276" s="123"/>
      <c r="C276" s="123"/>
      <c r="D276" s="123"/>
      <c r="E276" s="123"/>
      <c r="F276" s="123"/>
      <c r="H276" s="103">
        <v>271</v>
      </c>
      <c r="I276" s="104" t="str">
        <f t="shared" si="22"/>
        <v/>
      </c>
      <c r="J276" s="103">
        <f t="shared" si="23"/>
        <v>-5</v>
      </c>
      <c r="K276" s="103">
        <f t="shared" si="24"/>
        <v>-50</v>
      </c>
      <c r="L276" s="103"/>
      <c r="M276" s="105">
        <f t="shared" si="25"/>
        <v>0</v>
      </c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</row>
    <row r="277" spans="1:38" s="88" customFormat="1">
      <c r="A277" s="124"/>
      <c r="B277" s="123"/>
      <c r="C277" s="123"/>
      <c r="D277" s="123"/>
      <c r="E277" s="123"/>
      <c r="F277" s="123"/>
      <c r="H277" s="107">
        <v>272</v>
      </c>
      <c r="I277" s="104" t="str">
        <f t="shared" si="22"/>
        <v/>
      </c>
      <c r="J277" s="103">
        <f t="shared" si="23"/>
        <v>-5</v>
      </c>
      <c r="K277" s="103">
        <f t="shared" si="24"/>
        <v>-50</v>
      </c>
      <c r="L277" s="103"/>
      <c r="M277" s="105">
        <f t="shared" si="25"/>
        <v>0</v>
      </c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</row>
    <row r="278" spans="1:38" s="88" customFormat="1">
      <c r="A278" s="124"/>
      <c r="B278" s="123"/>
      <c r="C278" s="123"/>
      <c r="D278" s="123"/>
      <c r="E278" s="123"/>
      <c r="F278" s="123"/>
      <c r="H278" s="103">
        <v>273</v>
      </c>
      <c r="I278" s="104" t="str">
        <f t="shared" si="22"/>
        <v/>
      </c>
      <c r="J278" s="103">
        <f t="shared" si="23"/>
        <v>-5</v>
      </c>
      <c r="K278" s="103">
        <f t="shared" si="24"/>
        <v>-50</v>
      </c>
      <c r="L278" s="103"/>
      <c r="M278" s="105">
        <f t="shared" si="25"/>
        <v>0</v>
      </c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</row>
    <row r="279" spans="1:38" s="88" customFormat="1">
      <c r="A279" s="124"/>
      <c r="B279" s="123"/>
      <c r="C279" s="123"/>
      <c r="D279" s="123"/>
      <c r="E279" s="123"/>
      <c r="F279" s="123"/>
      <c r="H279" s="107">
        <v>274</v>
      </c>
      <c r="I279" s="104" t="str">
        <f t="shared" si="22"/>
        <v/>
      </c>
      <c r="J279" s="103">
        <f t="shared" si="23"/>
        <v>-5</v>
      </c>
      <c r="K279" s="103">
        <f t="shared" si="24"/>
        <v>-50</v>
      </c>
      <c r="L279" s="103"/>
      <c r="M279" s="105">
        <f t="shared" si="25"/>
        <v>0</v>
      </c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</row>
    <row r="280" spans="1:38" s="88" customFormat="1">
      <c r="A280" s="124"/>
      <c r="B280" s="123"/>
      <c r="C280" s="123"/>
      <c r="D280" s="123"/>
      <c r="E280" s="123"/>
      <c r="F280" s="123"/>
      <c r="H280" s="103">
        <v>275</v>
      </c>
      <c r="I280" s="104" t="str">
        <f t="shared" si="22"/>
        <v/>
      </c>
      <c r="J280" s="103">
        <f t="shared" si="23"/>
        <v>-5</v>
      </c>
      <c r="K280" s="103">
        <f t="shared" si="24"/>
        <v>-50</v>
      </c>
      <c r="L280" s="103"/>
      <c r="M280" s="105">
        <f t="shared" si="25"/>
        <v>0</v>
      </c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</row>
    <row r="281" spans="1:38" s="88" customFormat="1">
      <c r="A281" s="124"/>
      <c r="B281" s="123"/>
      <c r="C281" s="123"/>
      <c r="D281" s="123"/>
      <c r="E281" s="123"/>
      <c r="F281" s="123"/>
      <c r="H281" s="107">
        <v>276</v>
      </c>
      <c r="I281" s="104" t="str">
        <f t="shared" si="22"/>
        <v/>
      </c>
      <c r="J281" s="103">
        <f t="shared" si="23"/>
        <v>-5</v>
      </c>
      <c r="K281" s="103">
        <f t="shared" si="24"/>
        <v>-50</v>
      </c>
      <c r="L281" s="103"/>
      <c r="M281" s="105">
        <f t="shared" si="25"/>
        <v>0</v>
      </c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</row>
    <row r="282" spans="1:38" s="88" customFormat="1">
      <c r="A282" s="124"/>
      <c r="B282" s="123"/>
      <c r="C282" s="123"/>
      <c r="D282" s="123"/>
      <c r="E282" s="123"/>
      <c r="F282" s="123"/>
      <c r="H282" s="103">
        <v>277</v>
      </c>
      <c r="I282" s="104" t="str">
        <f t="shared" si="22"/>
        <v/>
      </c>
      <c r="J282" s="103">
        <f t="shared" si="23"/>
        <v>-5</v>
      </c>
      <c r="K282" s="103">
        <f t="shared" si="24"/>
        <v>-50</v>
      </c>
      <c r="L282" s="103"/>
      <c r="M282" s="105">
        <f t="shared" si="25"/>
        <v>0</v>
      </c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</row>
    <row r="283" spans="1:38" s="88" customFormat="1">
      <c r="A283" s="124"/>
      <c r="B283" s="123"/>
      <c r="C283" s="123"/>
      <c r="D283" s="123"/>
      <c r="E283" s="123"/>
      <c r="F283" s="123"/>
      <c r="H283" s="107">
        <v>278</v>
      </c>
      <c r="I283" s="104" t="str">
        <f t="shared" si="22"/>
        <v/>
      </c>
      <c r="J283" s="103">
        <f t="shared" si="23"/>
        <v>-5</v>
      </c>
      <c r="K283" s="103">
        <f t="shared" si="24"/>
        <v>-50</v>
      </c>
      <c r="L283" s="103"/>
      <c r="M283" s="105">
        <f t="shared" si="25"/>
        <v>0</v>
      </c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</row>
    <row r="284" spans="1:38" s="88" customFormat="1">
      <c r="A284" s="124"/>
      <c r="B284" s="123"/>
      <c r="C284" s="123"/>
      <c r="D284" s="123"/>
      <c r="E284" s="123"/>
      <c r="F284" s="123"/>
      <c r="H284" s="103">
        <v>279</v>
      </c>
      <c r="I284" s="104" t="str">
        <f t="shared" si="22"/>
        <v/>
      </c>
      <c r="J284" s="103">
        <f t="shared" si="23"/>
        <v>-5</v>
      </c>
      <c r="K284" s="103">
        <f t="shared" si="24"/>
        <v>-50</v>
      </c>
      <c r="L284" s="103"/>
      <c r="M284" s="105">
        <f t="shared" si="25"/>
        <v>0</v>
      </c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</row>
    <row r="285" spans="1:38" s="88" customFormat="1">
      <c r="A285" s="124"/>
      <c r="B285" s="123"/>
      <c r="C285" s="123"/>
      <c r="D285" s="123"/>
      <c r="E285" s="123"/>
      <c r="F285" s="123"/>
      <c r="H285" s="107">
        <v>280</v>
      </c>
      <c r="I285" s="104" t="str">
        <f t="shared" si="22"/>
        <v/>
      </c>
      <c r="J285" s="103">
        <f t="shared" si="23"/>
        <v>-5</v>
      </c>
      <c r="K285" s="103">
        <f t="shared" si="24"/>
        <v>-50</v>
      </c>
      <c r="L285" s="103"/>
      <c r="M285" s="105">
        <f t="shared" si="25"/>
        <v>0</v>
      </c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</row>
    <row r="286" spans="1:38" s="88" customFormat="1">
      <c r="A286" s="124"/>
      <c r="B286" s="123"/>
      <c r="C286" s="123"/>
      <c r="D286" s="123"/>
      <c r="E286" s="123"/>
      <c r="F286" s="123"/>
      <c r="H286" s="103">
        <v>281</v>
      </c>
      <c r="I286" s="104" t="str">
        <f t="shared" si="22"/>
        <v/>
      </c>
      <c r="J286" s="103">
        <f t="shared" si="23"/>
        <v>-5</v>
      </c>
      <c r="K286" s="103">
        <f t="shared" si="24"/>
        <v>-50</v>
      </c>
      <c r="L286" s="103"/>
      <c r="M286" s="105">
        <f t="shared" si="25"/>
        <v>0</v>
      </c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</row>
    <row r="287" spans="1:38" s="88" customFormat="1">
      <c r="A287" s="124"/>
      <c r="B287" s="123"/>
      <c r="C287" s="123"/>
      <c r="D287" s="123"/>
      <c r="E287" s="123"/>
      <c r="F287" s="123"/>
      <c r="H287" s="107">
        <v>282</v>
      </c>
      <c r="I287" s="104" t="str">
        <f t="shared" si="22"/>
        <v/>
      </c>
      <c r="J287" s="103">
        <f t="shared" si="23"/>
        <v>-5</v>
      </c>
      <c r="K287" s="103">
        <f t="shared" si="24"/>
        <v>-50</v>
      </c>
      <c r="L287" s="103"/>
      <c r="M287" s="105">
        <f t="shared" si="25"/>
        <v>0</v>
      </c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</row>
    <row r="288" spans="1:38" s="88" customFormat="1">
      <c r="A288" s="124"/>
      <c r="B288" s="123"/>
      <c r="C288" s="123"/>
      <c r="D288" s="123"/>
      <c r="E288" s="123"/>
      <c r="F288" s="123"/>
      <c r="H288" s="103">
        <v>283</v>
      </c>
      <c r="I288" s="104" t="str">
        <f t="shared" si="22"/>
        <v/>
      </c>
      <c r="J288" s="103">
        <f t="shared" si="23"/>
        <v>-5</v>
      </c>
      <c r="K288" s="103">
        <f t="shared" si="24"/>
        <v>-50</v>
      </c>
      <c r="L288" s="103"/>
      <c r="M288" s="105">
        <f t="shared" si="25"/>
        <v>0</v>
      </c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</row>
    <row r="289" spans="1:38" s="88" customFormat="1">
      <c r="A289" s="124"/>
      <c r="B289" s="123"/>
      <c r="C289" s="123"/>
      <c r="D289" s="123"/>
      <c r="E289" s="123"/>
      <c r="F289" s="123"/>
      <c r="H289" s="107">
        <v>284</v>
      </c>
      <c r="I289" s="104" t="str">
        <f t="shared" si="22"/>
        <v/>
      </c>
      <c r="J289" s="103">
        <f t="shared" si="23"/>
        <v>-5</v>
      </c>
      <c r="K289" s="103">
        <f t="shared" si="24"/>
        <v>-50</v>
      </c>
      <c r="L289" s="103"/>
      <c r="M289" s="105">
        <f t="shared" si="25"/>
        <v>0</v>
      </c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</row>
    <row r="290" spans="1:38" s="88" customFormat="1">
      <c r="A290" s="124"/>
      <c r="B290" s="123"/>
      <c r="C290" s="123"/>
      <c r="D290" s="123"/>
      <c r="E290" s="123"/>
      <c r="F290" s="123"/>
      <c r="H290" s="103">
        <v>285</v>
      </c>
      <c r="I290" s="104" t="str">
        <f t="shared" si="22"/>
        <v/>
      </c>
      <c r="J290" s="103">
        <f t="shared" si="23"/>
        <v>-5</v>
      </c>
      <c r="K290" s="103">
        <f t="shared" si="24"/>
        <v>-50</v>
      </c>
      <c r="L290" s="103"/>
      <c r="M290" s="105">
        <f t="shared" si="25"/>
        <v>0</v>
      </c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</row>
    <row r="291" spans="1:38" s="88" customFormat="1">
      <c r="A291" s="124"/>
      <c r="B291" s="123"/>
      <c r="C291" s="123"/>
      <c r="D291" s="123"/>
      <c r="E291" s="123"/>
      <c r="F291" s="123"/>
      <c r="H291" s="107">
        <v>286</v>
      </c>
      <c r="I291" s="104" t="str">
        <f t="shared" si="22"/>
        <v/>
      </c>
      <c r="J291" s="103">
        <f t="shared" si="23"/>
        <v>-5</v>
      </c>
      <c r="K291" s="103">
        <f t="shared" si="24"/>
        <v>-50</v>
      </c>
      <c r="L291" s="103"/>
      <c r="M291" s="105">
        <f t="shared" si="25"/>
        <v>0</v>
      </c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</row>
    <row r="292" spans="1:38" s="88" customFormat="1">
      <c r="A292" s="124"/>
      <c r="B292" s="123"/>
      <c r="C292" s="123"/>
      <c r="D292" s="123"/>
      <c r="E292" s="123"/>
      <c r="F292" s="123"/>
      <c r="H292" s="103">
        <v>287</v>
      </c>
      <c r="I292" s="104" t="str">
        <f t="shared" si="22"/>
        <v/>
      </c>
      <c r="J292" s="103">
        <f t="shared" si="23"/>
        <v>-5</v>
      </c>
      <c r="K292" s="103">
        <f t="shared" si="24"/>
        <v>-50</v>
      </c>
      <c r="L292" s="103"/>
      <c r="M292" s="105">
        <f t="shared" si="25"/>
        <v>0</v>
      </c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</row>
    <row r="293" spans="1:38" s="88" customFormat="1">
      <c r="A293" s="124"/>
      <c r="B293" s="123"/>
      <c r="C293" s="123"/>
      <c r="D293" s="123"/>
      <c r="E293" s="123"/>
      <c r="F293" s="123"/>
      <c r="H293" s="103">
        <v>288</v>
      </c>
      <c r="I293" s="104" t="str">
        <f t="shared" si="22"/>
        <v/>
      </c>
      <c r="J293" s="103">
        <f t="shared" si="23"/>
        <v>-5</v>
      </c>
      <c r="K293" s="103">
        <f t="shared" si="24"/>
        <v>-50</v>
      </c>
      <c r="L293" s="103"/>
      <c r="M293" s="105">
        <f t="shared" si="25"/>
        <v>0</v>
      </c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</row>
    <row r="294" spans="1:38" s="88" customFormat="1">
      <c r="A294" s="124"/>
      <c r="B294" s="123"/>
      <c r="C294" s="123"/>
      <c r="D294" s="123"/>
      <c r="E294" s="123"/>
      <c r="F294" s="123"/>
      <c r="H294" s="103">
        <v>289</v>
      </c>
      <c r="I294" s="104" t="str">
        <f t="shared" si="22"/>
        <v/>
      </c>
      <c r="J294" s="103">
        <f t="shared" si="23"/>
        <v>-5</v>
      </c>
      <c r="K294" s="103">
        <f t="shared" si="24"/>
        <v>-50</v>
      </c>
      <c r="L294" s="103"/>
      <c r="M294" s="105">
        <f t="shared" si="25"/>
        <v>0</v>
      </c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</row>
    <row r="295" spans="1:38" s="88" customFormat="1">
      <c r="A295" s="124"/>
      <c r="B295" s="123"/>
      <c r="C295" s="123"/>
      <c r="D295" s="123"/>
      <c r="E295" s="123"/>
      <c r="F295" s="123"/>
      <c r="H295" s="103">
        <v>290</v>
      </c>
      <c r="I295" s="104" t="str">
        <f t="shared" si="22"/>
        <v/>
      </c>
      <c r="J295" s="103">
        <f t="shared" si="23"/>
        <v>-5</v>
      </c>
      <c r="K295" s="103">
        <f t="shared" si="24"/>
        <v>-50</v>
      </c>
      <c r="L295" s="103"/>
      <c r="M295" s="105">
        <f t="shared" si="25"/>
        <v>0</v>
      </c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</row>
    <row r="296" spans="1:38" s="88" customFormat="1">
      <c r="A296" s="124"/>
      <c r="B296" s="123"/>
      <c r="C296" s="123"/>
      <c r="D296" s="123"/>
      <c r="E296" s="123"/>
      <c r="F296" s="123"/>
      <c r="H296" s="103">
        <v>291</v>
      </c>
      <c r="I296" s="104" t="str">
        <f t="shared" si="22"/>
        <v/>
      </c>
      <c r="J296" s="103">
        <f t="shared" si="23"/>
        <v>-5</v>
      </c>
      <c r="K296" s="103">
        <f t="shared" si="24"/>
        <v>-50</v>
      </c>
      <c r="L296" s="103"/>
      <c r="M296" s="105">
        <f t="shared" si="25"/>
        <v>0</v>
      </c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</row>
    <row r="297" spans="1:38" s="88" customFormat="1">
      <c r="A297" s="124"/>
      <c r="B297" s="123"/>
      <c r="C297" s="123"/>
      <c r="D297" s="123"/>
      <c r="E297" s="123"/>
      <c r="F297" s="123"/>
      <c r="H297" s="103">
        <v>292</v>
      </c>
      <c r="I297" s="104" t="str">
        <f t="shared" si="22"/>
        <v/>
      </c>
      <c r="J297" s="103">
        <f t="shared" si="23"/>
        <v>-5</v>
      </c>
      <c r="K297" s="103">
        <f t="shared" si="24"/>
        <v>-50</v>
      </c>
      <c r="L297" s="103"/>
      <c r="M297" s="105">
        <f t="shared" si="25"/>
        <v>0</v>
      </c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</row>
    <row r="298" spans="1:38" s="88" customFormat="1">
      <c r="A298" s="124"/>
      <c r="B298" s="123"/>
      <c r="C298" s="123"/>
      <c r="D298" s="123"/>
      <c r="E298" s="123"/>
      <c r="F298" s="123"/>
      <c r="H298" s="103">
        <v>293</v>
      </c>
      <c r="I298" s="104" t="str">
        <f t="shared" si="22"/>
        <v/>
      </c>
      <c r="J298" s="103">
        <f t="shared" si="23"/>
        <v>-5</v>
      </c>
      <c r="K298" s="103">
        <f t="shared" si="24"/>
        <v>-50</v>
      </c>
      <c r="L298" s="103"/>
      <c r="M298" s="105">
        <f t="shared" si="25"/>
        <v>0</v>
      </c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</row>
    <row r="299" spans="1:38" s="88" customFormat="1">
      <c r="A299" s="124"/>
      <c r="B299" s="123"/>
      <c r="C299" s="123"/>
      <c r="D299" s="123"/>
      <c r="E299" s="123"/>
      <c r="F299" s="123"/>
      <c r="H299" s="103">
        <v>294</v>
      </c>
      <c r="I299" s="104" t="str">
        <f t="shared" si="22"/>
        <v/>
      </c>
      <c r="J299" s="103">
        <f t="shared" si="23"/>
        <v>-5</v>
      </c>
      <c r="K299" s="103">
        <f t="shared" si="24"/>
        <v>-50</v>
      </c>
      <c r="L299" s="103"/>
      <c r="M299" s="105">
        <f t="shared" si="25"/>
        <v>0</v>
      </c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</row>
    <row r="300" spans="1:38" s="88" customFormat="1">
      <c r="A300" s="124"/>
      <c r="B300" s="123"/>
      <c r="C300" s="123"/>
      <c r="D300" s="123"/>
      <c r="E300" s="123"/>
      <c r="F300" s="123"/>
      <c r="H300" s="103">
        <v>295</v>
      </c>
      <c r="I300" s="104" t="str">
        <f t="shared" si="22"/>
        <v/>
      </c>
      <c r="J300" s="103">
        <f t="shared" si="23"/>
        <v>-5</v>
      </c>
      <c r="K300" s="103">
        <f t="shared" si="24"/>
        <v>-50</v>
      </c>
      <c r="L300" s="103"/>
      <c r="M300" s="105">
        <f t="shared" si="25"/>
        <v>0</v>
      </c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</row>
    <row r="301" spans="1:38" s="88" customFormat="1">
      <c r="A301" s="124"/>
      <c r="B301" s="123"/>
      <c r="C301" s="123"/>
      <c r="D301" s="123"/>
      <c r="E301" s="123"/>
      <c r="F301" s="123"/>
      <c r="H301" s="103">
        <v>296</v>
      </c>
      <c r="I301" s="104" t="str">
        <f t="shared" si="22"/>
        <v/>
      </c>
      <c r="J301" s="103">
        <f t="shared" si="23"/>
        <v>-5</v>
      </c>
      <c r="K301" s="103">
        <f t="shared" si="24"/>
        <v>-50</v>
      </c>
      <c r="L301" s="103"/>
      <c r="M301" s="105">
        <f t="shared" si="25"/>
        <v>0</v>
      </c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</row>
    <row r="302" spans="1:38" s="88" customFormat="1">
      <c r="A302" s="124"/>
      <c r="B302" s="123"/>
      <c r="C302" s="123"/>
      <c r="D302" s="123"/>
      <c r="E302" s="123"/>
      <c r="F302" s="123"/>
      <c r="H302" s="103">
        <v>297</v>
      </c>
      <c r="I302" s="104" t="str">
        <f t="shared" si="22"/>
        <v/>
      </c>
      <c r="J302" s="103">
        <f t="shared" si="23"/>
        <v>-5</v>
      </c>
      <c r="K302" s="103">
        <f t="shared" si="24"/>
        <v>-50</v>
      </c>
      <c r="L302" s="103"/>
      <c r="M302" s="105">
        <f t="shared" si="25"/>
        <v>0</v>
      </c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</row>
    <row r="303" spans="1:38" s="88" customFormat="1">
      <c r="A303" s="124"/>
      <c r="B303" s="123"/>
      <c r="C303" s="123"/>
      <c r="D303" s="123"/>
      <c r="E303" s="123"/>
      <c r="F303" s="123"/>
      <c r="H303" s="103">
        <v>298</v>
      </c>
      <c r="I303" s="104" t="str">
        <f t="shared" si="22"/>
        <v/>
      </c>
      <c r="J303" s="103">
        <f t="shared" si="23"/>
        <v>-5</v>
      </c>
      <c r="K303" s="103">
        <f t="shared" si="24"/>
        <v>-50</v>
      </c>
      <c r="L303" s="103"/>
      <c r="M303" s="105">
        <f t="shared" si="25"/>
        <v>0</v>
      </c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</row>
    <row r="304" spans="1:38" s="88" customFormat="1">
      <c r="A304" s="124"/>
      <c r="B304" s="123"/>
      <c r="C304" s="123"/>
      <c r="D304" s="123"/>
      <c r="E304" s="123"/>
      <c r="F304" s="123"/>
      <c r="H304" s="103">
        <v>299</v>
      </c>
      <c r="I304" s="104" t="str">
        <f t="shared" si="22"/>
        <v/>
      </c>
      <c r="J304" s="103">
        <f t="shared" si="23"/>
        <v>-5</v>
      </c>
      <c r="K304" s="103">
        <f t="shared" si="24"/>
        <v>-50</v>
      </c>
      <c r="L304" s="103"/>
      <c r="M304" s="105">
        <f t="shared" si="25"/>
        <v>0</v>
      </c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</row>
    <row r="305" spans="1:38" s="88" customFormat="1">
      <c r="A305" s="124"/>
      <c r="B305" s="123"/>
      <c r="C305" s="123"/>
      <c r="D305" s="123"/>
      <c r="E305" s="123"/>
      <c r="F305" s="123"/>
      <c r="H305" s="103">
        <v>300</v>
      </c>
      <c r="I305" s="104" t="str">
        <f t="shared" si="22"/>
        <v/>
      </c>
      <c r="J305" s="103">
        <f t="shared" si="23"/>
        <v>-5</v>
      </c>
      <c r="K305" s="103">
        <f t="shared" si="24"/>
        <v>-50</v>
      </c>
      <c r="L305" s="103"/>
      <c r="M305" s="105">
        <f t="shared" si="25"/>
        <v>0</v>
      </c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</row>
    <row r="306" spans="1:38" s="88" customFormat="1">
      <c r="A306" s="125"/>
      <c r="B306" s="123"/>
      <c r="C306" s="123"/>
      <c r="D306" s="123"/>
      <c r="E306" s="123"/>
      <c r="F306" s="123"/>
      <c r="G306" s="123"/>
      <c r="H306" s="126"/>
      <c r="I306" s="126"/>
      <c r="J306" s="126"/>
      <c r="K306" s="126"/>
      <c r="L306" s="126"/>
      <c r="M306" s="127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</row>
    <row r="314" spans="1:38" s="88" customFormat="1">
      <c r="A314" s="123"/>
      <c r="B314" s="123"/>
      <c r="C314" s="123"/>
      <c r="D314" s="123"/>
      <c r="E314" s="123"/>
      <c r="F314" s="123"/>
      <c r="G314" s="123"/>
      <c r="H314" s="126"/>
      <c r="I314" s="126"/>
      <c r="J314" s="126"/>
      <c r="K314" s="126"/>
      <c r="L314" s="128"/>
      <c r="M314" s="127"/>
      <c r="P314" s="115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</row>
    <row r="315" spans="1:38" s="88" customFormat="1">
      <c r="A315" s="123"/>
      <c r="B315" s="123"/>
      <c r="C315" s="123"/>
      <c r="D315" s="123"/>
      <c r="E315" s="123"/>
      <c r="F315" s="123"/>
      <c r="G315" s="123"/>
      <c r="H315" s="126"/>
      <c r="I315" s="126"/>
      <c r="J315" s="126"/>
      <c r="K315" s="126"/>
      <c r="L315" s="128"/>
      <c r="M315" s="127"/>
      <c r="P315" s="115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</row>
    <row r="316" spans="1:38" s="88" customFormat="1">
      <c r="A316" s="123"/>
      <c r="B316" s="123"/>
      <c r="C316" s="123"/>
      <c r="D316" s="123"/>
      <c r="E316" s="123"/>
      <c r="F316" s="123"/>
      <c r="G316" s="123"/>
      <c r="H316" s="126"/>
      <c r="I316" s="126"/>
      <c r="J316" s="126"/>
      <c r="K316" s="126"/>
      <c r="L316" s="128"/>
      <c r="M316" s="127"/>
      <c r="P316" s="115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</row>
    <row r="317" spans="1:38" s="88" customFormat="1">
      <c r="A317" s="123"/>
      <c r="B317" s="123"/>
      <c r="C317" s="123"/>
      <c r="D317" s="123"/>
      <c r="E317" s="123"/>
      <c r="F317" s="123"/>
      <c r="G317" s="123"/>
      <c r="H317" s="126"/>
      <c r="I317" s="126"/>
      <c r="J317" s="126"/>
      <c r="K317" s="126"/>
      <c r="L317" s="128"/>
      <c r="M317" s="127"/>
      <c r="P317" s="115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</row>
  </sheetData>
  <conditionalFormatting sqref="J6:K305">
    <cfRule type="cellIs" dxfId="15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AFD0E-BCDA-429B-B535-3B5D93796535}">
  <sheetPr>
    <tabColor rgb="FF92D050"/>
  </sheetPr>
  <dimension ref="A1:AL317"/>
  <sheetViews>
    <sheetView workbookViewId="0">
      <selection activeCell="C2" sqref="C2:C3"/>
    </sheetView>
  </sheetViews>
  <sheetFormatPr defaultColWidth="8.85546875" defaultRowHeight="14.25"/>
  <cols>
    <col min="1" max="1" width="8" style="123" customWidth="1"/>
    <col min="2" max="2" width="8.28515625" style="123" customWidth="1"/>
    <col min="3" max="3" width="34.7109375" style="123" customWidth="1"/>
    <col min="4" max="4" width="11.28515625" style="123" customWidth="1"/>
    <col min="5" max="6" width="8.85546875" style="123"/>
    <col min="7" max="7" width="0.85546875" style="123" customWidth="1"/>
    <col min="8" max="8" width="8.85546875" style="126"/>
    <col min="9" max="9" width="11" style="126" customWidth="1"/>
    <col min="10" max="10" width="15.28515625" style="126" customWidth="1"/>
    <col min="11" max="11" width="8.7109375" style="126" customWidth="1"/>
    <col min="12" max="12" width="11" style="126" customWidth="1"/>
    <col min="13" max="13" width="12.28515625" style="127" customWidth="1"/>
    <col min="14" max="15" width="13.85546875" style="88" customWidth="1"/>
    <col min="16" max="18" width="8.85546875" style="88"/>
    <col min="19" max="20" width="8.85546875" style="93"/>
    <col min="21" max="21" width="12.140625" style="93" customWidth="1"/>
    <col min="22" max="22" width="27.42578125" style="93" customWidth="1"/>
    <col min="23" max="38" width="8.85546875" style="93"/>
    <col min="39" max="16384" width="8.85546875" style="123"/>
  </cols>
  <sheetData>
    <row r="1" spans="1:36" s="93" customFormat="1">
      <c r="A1" s="88"/>
      <c r="B1" s="88"/>
      <c r="C1" s="88"/>
      <c r="D1" s="88"/>
      <c r="E1" s="88"/>
      <c r="F1" s="88"/>
      <c r="G1" s="88"/>
      <c r="H1" s="89" t="s">
        <v>34</v>
      </c>
      <c r="I1" s="90" t="s">
        <v>35</v>
      </c>
      <c r="J1" s="90" t="s">
        <v>36</v>
      </c>
      <c r="K1" s="91" t="s">
        <v>131</v>
      </c>
      <c r="L1" s="92"/>
      <c r="M1" s="92"/>
      <c r="N1" s="88"/>
      <c r="O1" s="88"/>
      <c r="P1" s="88"/>
      <c r="Q1" s="88"/>
      <c r="R1" s="88"/>
    </row>
    <row r="2" spans="1:36" s="93" customFormat="1" ht="14.45" customHeight="1">
      <c r="A2" s="88"/>
      <c r="B2" s="21" t="s">
        <v>38</v>
      </c>
      <c r="C2" s="174" t="s">
        <v>142</v>
      </c>
      <c r="D2" s="73"/>
      <c r="E2" s="22"/>
      <c r="F2" s="22"/>
      <c r="G2" s="22"/>
      <c r="H2" s="94">
        <v>18</v>
      </c>
      <c r="I2" s="95">
        <v>50</v>
      </c>
      <c r="J2" s="95">
        <v>10</v>
      </c>
      <c r="K2" s="129">
        <f>3*H2^(1/3)</f>
        <v>7.8622241826266892</v>
      </c>
      <c r="L2" s="92"/>
      <c r="M2" s="92"/>
      <c r="N2" s="88"/>
      <c r="O2" s="88"/>
      <c r="P2" s="88"/>
      <c r="Q2" s="88"/>
      <c r="R2" s="88"/>
    </row>
    <row r="3" spans="1:36" s="93" customFormat="1" ht="14.45" customHeight="1">
      <c r="A3" s="88"/>
      <c r="B3" s="97" t="s">
        <v>40</v>
      </c>
      <c r="C3" s="137" t="s">
        <v>143</v>
      </c>
      <c r="D3" s="74"/>
      <c r="E3" s="27"/>
      <c r="F3" s="27"/>
      <c r="G3" s="27"/>
      <c r="H3" s="92"/>
      <c r="I3" s="92"/>
      <c r="J3" s="98"/>
      <c r="K3" s="92"/>
      <c r="L3" s="92"/>
      <c r="M3" s="92"/>
      <c r="N3" s="88"/>
      <c r="O3" s="88"/>
      <c r="P3" s="88"/>
      <c r="Q3" s="88"/>
      <c r="R3" s="88"/>
    </row>
    <row r="4" spans="1:36" s="93" customFormat="1" ht="10.15" customHeight="1">
      <c r="A4" s="29"/>
      <c r="B4" s="27"/>
      <c r="C4" s="29"/>
      <c r="D4" s="29"/>
      <c r="E4" s="29"/>
      <c r="F4" s="29"/>
      <c r="G4" s="29"/>
      <c r="H4" s="92"/>
      <c r="I4" s="92"/>
      <c r="J4" s="98"/>
      <c r="K4" s="92"/>
      <c r="L4" s="92"/>
      <c r="M4" s="92"/>
      <c r="N4" s="88"/>
      <c r="O4" s="88"/>
      <c r="P4" s="88"/>
      <c r="Q4" s="88"/>
      <c r="R4" s="88"/>
    </row>
    <row r="5" spans="1:36" s="93" customFormat="1" ht="34.700000000000003">
      <c r="A5" s="1" t="s">
        <v>42</v>
      </c>
      <c r="B5" s="30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9"/>
      <c r="H5" s="99" t="s">
        <v>48</v>
      </c>
      <c r="I5" s="100" t="s">
        <v>49</v>
      </c>
      <c r="J5" s="101" t="s">
        <v>50</v>
      </c>
      <c r="K5" s="100" t="s">
        <v>51</v>
      </c>
      <c r="L5" s="100" t="s">
        <v>52</v>
      </c>
      <c r="M5" s="99" t="s">
        <v>53</v>
      </c>
      <c r="N5" s="88"/>
      <c r="O5" s="88"/>
      <c r="P5" s="88"/>
      <c r="Q5" s="88"/>
      <c r="R5" s="88"/>
    </row>
    <row r="6" spans="1:36" s="93" customFormat="1" ht="14.45" customHeight="1">
      <c r="A6" s="102">
        <f t="shared" ref="A6:A60" si="0">M6</f>
        <v>123.58667254788007</v>
      </c>
      <c r="B6" s="35">
        <f>IF(H6&gt;$H$2,"",(ROW()-5))</f>
        <v>1</v>
      </c>
      <c r="C6" s="36" t="s">
        <v>129</v>
      </c>
      <c r="D6" s="36"/>
      <c r="E6" s="36"/>
      <c r="F6" s="36"/>
      <c r="G6" s="29"/>
      <c r="H6" s="103">
        <v>1</v>
      </c>
      <c r="I6" s="104">
        <f t="shared" ref="I6:I69" si="1">IF(H6&lt;$H$2+1,($I$2-($I$2-1)*(LOG(H6)/LOG($H$2))),"")</f>
        <v>50</v>
      </c>
      <c r="J6" s="103">
        <f t="shared" ref="J6:J69" si="2">INT(LOG($H$2,2))-ROUNDUP(LOG(H6,2),0)+IF(OR($H$2=1,$H$2=2,$H$2=4,$H$2=8,$H$2=16,$H$2=32,$H$2=64,$H$2=128,$H$2=256),0,1)</f>
        <v>5</v>
      </c>
      <c r="K6" s="103">
        <f t="shared" ref="K6:K69" si="3">J6*$J$2</f>
        <v>50</v>
      </c>
      <c r="L6" s="105">
        <f>3*K2</f>
        <v>23.586672547880067</v>
      </c>
      <c r="M6" s="105">
        <f t="shared" ref="M6:M69" si="4">IF(I6&lt;&gt;"",K6+I6+L6,0)</f>
        <v>123.58667254788007</v>
      </c>
      <c r="N6" s="88"/>
      <c r="O6" s="88"/>
      <c r="P6" s="88"/>
      <c r="Q6" s="88"/>
      <c r="R6" s="88"/>
    </row>
    <row r="7" spans="1:36" s="93" customFormat="1" ht="14.45" customHeight="1">
      <c r="A7" s="106">
        <f t="shared" si="0"/>
        <v>93.973637503414935</v>
      </c>
      <c r="B7" s="41">
        <f>IF(H7&gt;$H$2,"",(ROW()-5))</f>
        <v>2</v>
      </c>
      <c r="C7" s="42" t="s">
        <v>57</v>
      </c>
      <c r="D7" s="42"/>
      <c r="E7" s="42"/>
      <c r="F7" s="42"/>
      <c r="G7" s="29"/>
      <c r="H7" s="107">
        <v>2</v>
      </c>
      <c r="I7" s="108">
        <f t="shared" si="1"/>
        <v>38.249189138161555</v>
      </c>
      <c r="J7" s="107">
        <f t="shared" si="2"/>
        <v>4</v>
      </c>
      <c r="K7" s="107">
        <f t="shared" si="3"/>
        <v>40</v>
      </c>
      <c r="L7" s="109">
        <f>2*K2</f>
        <v>15.724448365253378</v>
      </c>
      <c r="M7" s="109">
        <f t="shared" si="4"/>
        <v>93.973637503414935</v>
      </c>
      <c r="N7" s="88"/>
      <c r="O7" s="88"/>
      <c r="P7" s="88"/>
      <c r="Q7" s="88"/>
      <c r="R7" s="88"/>
    </row>
    <row r="8" spans="1:36" s="93" customFormat="1" ht="14.45" customHeight="1">
      <c r="A8" s="102">
        <f t="shared" si="0"/>
        <v>69.237629613545906</v>
      </c>
      <c r="B8" s="35">
        <f>IF(H8&gt;$H$2,"",(ROW()-5))</f>
        <v>3</v>
      </c>
      <c r="C8" s="36" t="s">
        <v>19</v>
      </c>
      <c r="D8" s="36"/>
      <c r="E8" s="36"/>
      <c r="F8" s="36"/>
      <c r="G8" s="29"/>
      <c r="H8" s="103">
        <v>3</v>
      </c>
      <c r="I8" s="104">
        <f t="shared" si="1"/>
        <v>31.375405430919219</v>
      </c>
      <c r="J8" s="103">
        <f t="shared" si="2"/>
        <v>3</v>
      </c>
      <c r="K8" s="103">
        <f t="shared" si="3"/>
        <v>30</v>
      </c>
      <c r="L8" s="105">
        <f>K2</f>
        <v>7.8622241826266892</v>
      </c>
      <c r="M8" s="105">
        <f t="shared" si="4"/>
        <v>69.237629613545906</v>
      </c>
      <c r="N8" s="88"/>
      <c r="O8" s="88"/>
      <c r="P8" s="88"/>
      <c r="Q8" s="88"/>
      <c r="R8" s="88"/>
    </row>
    <row r="9" spans="1:36" s="93" customFormat="1" ht="14.45" customHeight="1">
      <c r="A9" s="106">
        <f t="shared" si="0"/>
        <v>69.237629613545906</v>
      </c>
      <c r="B9" s="41">
        <f>IF(H9&gt;$H$2,"",3)</f>
        <v>3</v>
      </c>
      <c r="C9" s="42" t="s">
        <v>57</v>
      </c>
      <c r="D9" s="42"/>
      <c r="E9" s="42"/>
      <c r="F9" s="42"/>
      <c r="G9" s="29"/>
      <c r="H9" s="107">
        <v>3</v>
      </c>
      <c r="I9" s="108">
        <f t="shared" si="1"/>
        <v>31.375405430919219</v>
      </c>
      <c r="J9" s="107">
        <f t="shared" si="2"/>
        <v>3</v>
      </c>
      <c r="K9" s="107">
        <f t="shared" si="3"/>
        <v>30</v>
      </c>
      <c r="L9" s="109">
        <f>K2</f>
        <v>7.8622241826266892</v>
      </c>
      <c r="M9" s="109">
        <f t="shared" si="4"/>
        <v>69.237629613545906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57</v>
      </c>
      <c r="AI9" s="93">
        <v>23</v>
      </c>
    </row>
    <row r="10" spans="1:36" s="93" customFormat="1" ht="14.45" customHeight="1">
      <c r="A10" s="102">
        <f t="shared" si="0"/>
        <v>42.715462122189749</v>
      </c>
      <c r="B10" s="35">
        <f t="shared" ref="B10:B65" si="5">IF(H10&gt;$H$2,"",(ROW()-5))</f>
        <v>5</v>
      </c>
      <c r="C10" s="36" t="s">
        <v>21</v>
      </c>
      <c r="D10" s="36"/>
      <c r="E10" s="36"/>
      <c r="F10" s="36"/>
      <c r="G10" s="29"/>
      <c r="H10" s="103">
        <v>5</v>
      </c>
      <c r="I10" s="104">
        <f t="shared" si="1"/>
        <v>22.715462122189745</v>
      </c>
      <c r="J10" s="103">
        <f t="shared" si="2"/>
        <v>2</v>
      </c>
      <c r="K10" s="103">
        <f t="shared" si="3"/>
        <v>20</v>
      </c>
      <c r="L10" s="103"/>
      <c r="M10" s="105">
        <f t="shared" si="4"/>
        <v>42.715462122189749</v>
      </c>
      <c r="N10" s="88"/>
      <c r="O10" s="88"/>
      <c r="P10" s="88"/>
      <c r="Q10" s="88"/>
      <c r="R10" s="88"/>
      <c r="V10" s="110"/>
      <c r="Z10" s="111"/>
      <c r="AA10" s="111"/>
      <c r="AG10" s="112"/>
      <c r="AH10" s="93" t="s">
        <v>58</v>
      </c>
      <c r="AI10" s="93">
        <v>45</v>
      </c>
    </row>
    <row r="11" spans="1:36" s="93" customFormat="1" ht="14.45" customHeight="1">
      <c r="A11" s="106">
        <f t="shared" si="0"/>
        <v>39.624594569080777</v>
      </c>
      <c r="B11" s="41">
        <f t="shared" si="5"/>
        <v>6</v>
      </c>
      <c r="C11" s="42" t="s">
        <v>57</v>
      </c>
      <c r="D11" s="42"/>
      <c r="E11" s="42"/>
      <c r="F11" s="42"/>
      <c r="G11" s="29"/>
      <c r="H11" s="107">
        <v>6</v>
      </c>
      <c r="I11" s="108">
        <f t="shared" si="1"/>
        <v>19.624594569080777</v>
      </c>
      <c r="J11" s="107">
        <f t="shared" si="2"/>
        <v>2</v>
      </c>
      <c r="K11" s="107">
        <f t="shared" si="3"/>
        <v>20</v>
      </c>
      <c r="L11" s="107"/>
      <c r="M11" s="109">
        <f t="shared" si="4"/>
        <v>39.624594569080777</v>
      </c>
      <c r="N11" s="88"/>
      <c r="O11" s="88"/>
      <c r="P11" s="88"/>
      <c r="Q11" s="88"/>
      <c r="R11" s="88"/>
      <c r="V11" s="113"/>
      <c r="Z11" s="111"/>
      <c r="AA11" s="111"/>
      <c r="AG11" s="112"/>
      <c r="AH11" s="93" t="s">
        <v>60</v>
      </c>
      <c r="AI11" s="93">
        <v>50</v>
      </c>
    </row>
    <row r="12" spans="1:36" s="93" customFormat="1" ht="14.45" customHeight="1">
      <c r="A12" s="102">
        <f t="shared" si="0"/>
        <v>37.011303288849895</v>
      </c>
      <c r="B12" s="35">
        <f t="shared" si="5"/>
        <v>7</v>
      </c>
      <c r="C12" s="36" t="s">
        <v>57</v>
      </c>
      <c r="D12" s="36"/>
      <c r="E12" s="36"/>
      <c r="F12" s="36"/>
      <c r="G12" s="29"/>
      <c r="H12" s="103">
        <v>7</v>
      </c>
      <c r="I12" s="104">
        <f t="shared" si="1"/>
        <v>17.011303288849895</v>
      </c>
      <c r="J12" s="103">
        <f t="shared" si="2"/>
        <v>2</v>
      </c>
      <c r="K12" s="103">
        <f t="shared" si="3"/>
        <v>20</v>
      </c>
      <c r="L12" s="103"/>
      <c r="M12" s="105">
        <f t="shared" si="4"/>
        <v>37.011303288849895</v>
      </c>
      <c r="N12" s="88"/>
      <c r="O12" s="88"/>
      <c r="P12" s="88"/>
      <c r="Q12" s="88"/>
      <c r="R12" s="88"/>
      <c r="Z12" s="111"/>
      <c r="AA12" s="111"/>
      <c r="AG12" s="112"/>
      <c r="AH12" s="93" t="s">
        <v>61</v>
      </c>
      <c r="AI12" s="93">
        <f>AI11-1</f>
        <v>49</v>
      </c>
    </row>
    <row r="13" spans="1:36" s="93" customFormat="1" ht="14.45" customHeight="1">
      <c r="A13" s="106">
        <f t="shared" si="0"/>
        <v>34.747567414484678</v>
      </c>
      <c r="B13" s="41">
        <f t="shared" si="5"/>
        <v>8</v>
      </c>
      <c r="C13" s="42" t="s">
        <v>57</v>
      </c>
      <c r="D13" s="42"/>
      <c r="E13" s="42"/>
      <c r="F13" s="42"/>
      <c r="G13" s="29"/>
      <c r="H13" s="107">
        <v>8</v>
      </c>
      <c r="I13" s="108">
        <f t="shared" si="1"/>
        <v>14.747567414484678</v>
      </c>
      <c r="J13" s="107">
        <f t="shared" si="2"/>
        <v>2</v>
      </c>
      <c r="K13" s="107">
        <f t="shared" si="3"/>
        <v>20</v>
      </c>
      <c r="L13" s="107"/>
      <c r="M13" s="109">
        <f t="shared" si="4"/>
        <v>34.747567414484678</v>
      </c>
      <c r="N13" s="88"/>
      <c r="O13" s="88"/>
      <c r="P13" s="88"/>
      <c r="Q13" s="88"/>
      <c r="R13" s="88"/>
      <c r="X13" s="110"/>
      <c r="AG13" s="112"/>
      <c r="AH13" s="93" t="s">
        <v>62</v>
      </c>
      <c r="AI13" s="93">
        <f>LOG(AI9)</f>
        <v>1.3617278360175928</v>
      </c>
    </row>
    <row r="14" spans="1:36" s="93" customFormat="1">
      <c r="A14" s="102">
        <f t="shared" si="0"/>
        <v>22.750810861838438</v>
      </c>
      <c r="B14" s="35">
        <f t="shared" si="5"/>
        <v>9</v>
      </c>
      <c r="C14" s="36" t="s">
        <v>57</v>
      </c>
      <c r="D14" s="36"/>
      <c r="E14" s="36"/>
      <c r="F14" s="36"/>
      <c r="G14" s="29"/>
      <c r="H14" s="103">
        <v>9</v>
      </c>
      <c r="I14" s="104">
        <f t="shared" si="1"/>
        <v>12.750810861838438</v>
      </c>
      <c r="J14" s="103">
        <f t="shared" si="2"/>
        <v>1</v>
      </c>
      <c r="K14" s="103">
        <f t="shared" si="3"/>
        <v>10</v>
      </c>
      <c r="L14" s="103"/>
      <c r="M14" s="105">
        <f t="shared" si="4"/>
        <v>22.750810861838438</v>
      </c>
      <c r="N14" s="88"/>
      <c r="O14" s="88"/>
      <c r="P14" s="88"/>
      <c r="Q14" s="88"/>
      <c r="R14" s="88"/>
      <c r="X14" s="114"/>
      <c r="Z14" s="111"/>
      <c r="AA14" s="111"/>
      <c r="AG14" s="112"/>
      <c r="AH14" s="93" t="s">
        <v>64</v>
      </c>
      <c r="AI14" s="93">
        <f>LOG(AI10)</f>
        <v>1.6532125137753437</v>
      </c>
    </row>
    <row r="15" spans="1:36" s="93" customFormat="1">
      <c r="A15" s="106">
        <f t="shared" si="0"/>
        <v>20.964651260351303</v>
      </c>
      <c r="B15" s="41">
        <f t="shared" si="5"/>
        <v>10</v>
      </c>
      <c r="C15" s="42" t="s">
        <v>57</v>
      </c>
      <c r="D15" s="42"/>
      <c r="E15" s="42"/>
      <c r="F15" s="42"/>
      <c r="G15" s="29"/>
      <c r="H15" s="107">
        <v>10</v>
      </c>
      <c r="I15" s="108">
        <f t="shared" si="1"/>
        <v>10.964651260351303</v>
      </c>
      <c r="J15" s="107">
        <f t="shared" si="2"/>
        <v>1</v>
      </c>
      <c r="K15" s="107">
        <f t="shared" si="3"/>
        <v>10</v>
      </c>
      <c r="L15" s="107"/>
      <c r="M15" s="109">
        <f t="shared" si="4"/>
        <v>20.964651260351303</v>
      </c>
      <c r="N15" s="88"/>
      <c r="O15" s="88"/>
      <c r="P15" s="88"/>
      <c r="Q15" s="88"/>
      <c r="R15" s="88"/>
      <c r="X15" s="110"/>
      <c r="Z15" s="111"/>
      <c r="AA15" s="111"/>
    </row>
    <row r="16" spans="1:36" s="93" customFormat="1">
      <c r="A16" s="102">
        <f t="shared" si="0"/>
        <v>19.348873359929499</v>
      </c>
      <c r="B16" s="35">
        <f t="shared" si="5"/>
        <v>11</v>
      </c>
      <c r="C16" s="36" t="s">
        <v>57</v>
      </c>
      <c r="D16" s="36"/>
      <c r="E16" s="36"/>
      <c r="F16" s="36"/>
      <c r="G16" s="29"/>
      <c r="H16" s="103">
        <v>11</v>
      </c>
      <c r="I16" s="104">
        <f t="shared" si="1"/>
        <v>9.3488733599294989</v>
      </c>
      <c r="J16" s="103">
        <f t="shared" si="2"/>
        <v>1</v>
      </c>
      <c r="K16" s="103">
        <f t="shared" si="3"/>
        <v>10</v>
      </c>
      <c r="L16" s="103"/>
      <c r="M16" s="105">
        <f t="shared" si="4"/>
        <v>19.348873359929499</v>
      </c>
      <c r="N16" s="88"/>
      <c r="O16" s="88"/>
      <c r="P16" s="88"/>
      <c r="Q16" s="88"/>
      <c r="R16" s="115"/>
      <c r="Z16" s="111"/>
      <c r="AA16" s="111"/>
      <c r="AH16" s="116" t="s">
        <v>66</v>
      </c>
      <c r="AI16" s="93">
        <f>AI11-AI12*AI13/AI14</f>
        <v>9.6393909380186855</v>
      </c>
      <c r="AJ16" s="93" t="s">
        <v>67</v>
      </c>
    </row>
    <row r="17" spans="1:19" s="93" customFormat="1">
      <c r="A17" s="106">
        <f t="shared" si="0"/>
        <v>17.873783707242332</v>
      </c>
      <c r="B17" s="41">
        <f t="shared" si="5"/>
        <v>12</v>
      </c>
      <c r="C17" s="42" t="s">
        <v>57</v>
      </c>
      <c r="D17" s="42"/>
      <c r="E17" s="42"/>
      <c r="F17" s="42"/>
      <c r="G17" s="29"/>
      <c r="H17" s="107">
        <v>12</v>
      </c>
      <c r="I17" s="108">
        <f t="shared" si="1"/>
        <v>7.8737837072423318</v>
      </c>
      <c r="J17" s="107">
        <f t="shared" si="2"/>
        <v>1</v>
      </c>
      <c r="K17" s="107">
        <f t="shared" si="3"/>
        <v>10</v>
      </c>
      <c r="L17" s="107"/>
      <c r="M17" s="109">
        <f t="shared" si="4"/>
        <v>17.873783707242332</v>
      </c>
      <c r="N17" s="88"/>
      <c r="O17" s="88"/>
      <c r="P17" s="88"/>
      <c r="Q17" s="88"/>
      <c r="R17" s="88"/>
    </row>
    <row r="18" spans="1:19" s="93" customFormat="1">
      <c r="A18" s="102">
        <f t="shared" si="0"/>
        <v>16.51683276648928</v>
      </c>
      <c r="B18" s="35">
        <f t="shared" si="5"/>
        <v>13</v>
      </c>
      <c r="C18" s="36" t="s">
        <v>57</v>
      </c>
      <c r="D18" s="36"/>
      <c r="E18" s="36"/>
      <c r="F18" s="36"/>
      <c r="G18" s="29"/>
      <c r="H18" s="103">
        <v>13</v>
      </c>
      <c r="I18" s="104">
        <f t="shared" si="1"/>
        <v>6.51683276648928</v>
      </c>
      <c r="J18" s="103">
        <f t="shared" si="2"/>
        <v>1</v>
      </c>
      <c r="K18" s="103">
        <f t="shared" si="3"/>
        <v>10</v>
      </c>
      <c r="L18" s="103"/>
      <c r="M18" s="105">
        <f t="shared" si="4"/>
        <v>16.51683276648928</v>
      </c>
      <c r="N18" s="88"/>
      <c r="O18" s="88"/>
      <c r="P18" s="88"/>
      <c r="Q18" s="88"/>
      <c r="R18" s="88"/>
    </row>
    <row r="19" spans="1:19" s="93" customFormat="1">
      <c r="A19" s="106">
        <f t="shared" si="0"/>
        <v>15.260492427011457</v>
      </c>
      <c r="B19" s="41">
        <f t="shared" si="5"/>
        <v>14</v>
      </c>
      <c r="C19" s="42" t="s">
        <v>57</v>
      </c>
      <c r="D19" s="42"/>
      <c r="E19" s="42"/>
      <c r="F19" s="42"/>
      <c r="G19" s="29"/>
      <c r="H19" s="107">
        <v>14</v>
      </c>
      <c r="I19" s="108">
        <f t="shared" si="1"/>
        <v>5.2604924270114566</v>
      </c>
      <c r="J19" s="107">
        <f t="shared" si="2"/>
        <v>1</v>
      </c>
      <c r="K19" s="107">
        <f t="shared" si="3"/>
        <v>10</v>
      </c>
      <c r="L19" s="107"/>
      <c r="M19" s="109">
        <f t="shared" si="4"/>
        <v>15.260492427011457</v>
      </c>
      <c r="N19" s="88"/>
      <c r="O19" s="88"/>
      <c r="P19" s="88"/>
      <c r="Q19" s="88"/>
      <c r="R19" s="88"/>
    </row>
    <row r="20" spans="1:19" s="93" customFormat="1">
      <c r="A20" s="102">
        <f t="shared" si="0"/>
        <v>14.090867553108957</v>
      </c>
      <c r="B20" s="35">
        <f t="shared" si="5"/>
        <v>15</v>
      </c>
      <c r="C20" s="36" t="s">
        <v>57</v>
      </c>
      <c r="D20" s="36"/>
      <c r="E20" s="36"/>
      <c r="F20" s="36"/>
      <c r="G20" s="29"/>
      <c r="H20" s="103">
        <v>15</v>
      </c>
      <c r="I20" s="104">
        <f t="shared" si="1"/>
        <v>4.0908675531089571</v>
      </c>
      <c r="J20" s="103">
        <f t="shared" si="2"/>
        <v>1</v>
      </c>
      <c r="K20" s="103">
        <f t="shared" si="3"/>
        <v>10</v>
      </c>
      <c r="L20" s="103"/>
      <c r="M20" s="105">
        <f t="shared" si="4"/>
        <v>14.090867553108957</v>
      </c>
      <c r="N20" s="88"/>
      <c r="O20" s="88"/>
      <c r="P20" s="88"/>
      <c r="Q20" s="88"/>
      <c r="R20" s="117"/>
      <c r="S20" s="118"/>
    </row>
    <row r="21" spans="1:19" s="93" customFormat="1">
      <c r="A21" s="106">
        <f t="shared" si="0"/>
        <v>12.996756552646232</v>
      </c>
      <c r="B21" s="41">
        <f t="shared" si="5"/>
        <v>16</v>
      </c>
      <c r="C21" s="42" t="s">
        <v>57</v>
      </c>
      <c r="D21" s="42"/>
      <c r="E21" s="42"/>
      <c r="F21" s="42"/>
      <c r="G21" s="29"/>
      <c r="H21" s="107">
        <v>16</v>
      </c>
      <c r="I21" s="108">
        <f t="shared" si="1"/>
        <v>2.9967565526462323</v>
      </c>
      <c r="J21" s="107">
        <f t="shared" si="2"/>
        <v>1</v>
      </c>
      <c r="K21" s="107">
        <f t="shared" si="3"/>
        <v>10</v>
      </c>
      <c r="L21" s="107"/>
      <c r="M21" s="109">
        <f t="shared" si="4"/>
        <v>12.996756552646232</v>
      </c>
      <c r="N21" s="88"/>
      <c r="O21" s="88"/>
      <c r="P21" s="88"/>
      <c r="Q21" s="88"/>
      <c r="R21" s="88"/>
    </row>
    <row r="22" spans="1:19" s="93" customFormat="1">
      <c r="A22" s="102">
        <f t="shared" si="0"/>
        <v>1.9689972476744941</v>
      </c>
      <c r="B22" s="35">
        <f t="shared" si="5"/>
        <v>17</v>
      </c>
      <c r="C22" s="36" t="s">
        <v>57</v>
      </c>
      <c r="D22" s="36"/>
      <c r="E22" s="36"/>
      <c r="F22" s="36"/>
      <c r="G22" s="29"/>
      <c r="H22" s="103">
        <v>17</v>
      </c>
      <c r="I22" s="104">
        <f t="shared" si="1"/>
        <v>1.9689972476744941</v>
      </c>
      <c r="J22" s="103">
        <f t="shared" si="2"/>
        <v>0</v>
      </c>
      <c r="K22" s="103">
        <f t="shared" si="3"/>
        <v>0</v>
      </c>
      <c r="L22" s="103"/>
      <c r="M22" s="105">
        <f t="shared" si="4"/>
        <v>1.9689972476744941</v>
      </c>
      <c r="N22" s="88"/>
      <c r="O22" s="88"/>
      <c r="P22" s="88"/>
      <c r="Q22" s="88"/>
      <c r="R22" s="88"/>
    </row>
    <row r="23" spans="1:19" s="93" customFormat="1">
      <c r="A23" s="106">
        <f t="shared" si="0"/>
        <v>1</v>
      </c>
      <c r="B23" s="41">
        <f t="shared" si="5"/>
        <v>18</v>
      </c>
      <c r="C23" s="42" t="s">
        <v>57</v>
      </c>
      <c r="D23" s="42"/>
      <c r="E23" s="42"/>
      <c r="F23" s="42"/>
      <c r="G23" s="29"/>
      <c r="H23" s="107">
        <v>18</v>
      </c>
      <c r="I23" s="108">
        <f t="shared" si="1"/>
        <v>1</v>
      </c>
      <c r="J23" s="107">
        <f t="shared" si="2"/>
        <v>0</v>
      </c>
      <c r="K23" s="107">
        <f t="shared" si="3"/>
        <v>0</v>
      </c>
      <c r="L23" s="107"/>
      <c r="M23" s="109">
        <f t="shared" si="4"/>
        <v>1</v>
      </c>
      <c r="N23" s="88"/>
      <c r="O23" s="88"/>
      <c r="P23" s="88"/>
      <c r="Q23" s="88"/>
      <c r="R23" s="88"/>
    </row>
    <row r="24" spans="1:19" s="93" customFormat="1">
      <c r="A24" s="102">
        <f t="shared" si="0"/>
        <v>0</v>
      </c>
      <c r="B24" s="35" t="str">
        <f t="shared" si="5"/>
        <v/>
      </c>
      <c r="C24" s="36"/>
      <c r="D24" s="36"/>
      <c r="E24" s="36"/>
      <c r="F24" s="36"/>
      <c r="G24" s="29"/>
      <c r="H24" s="103">
        <v>19</v>
      </c>
      <c r="I24" s="104" t="str">
        <f t="shared" si="1"/>
        <v/>
      </c>
      <c r="J24" s="103">
        <f t="shared" si="2"/>
        <v>0</v>
      </c>
      <c r="K24" s="103">
        <f t="shared" si="3"/>
        <v>0</v>
      </c>
      <c r="L24" s="103"/>
      <c r="M24" s="105">
        <f t="shared" si="4"/>
        <v>0</v>
      </c>
      <c r="N24" s="88"/>
      <c r="O24" s="88"/>
      <c r="P24" s="88"/>
      <c r="Q24" s="88"/>
      <c r="R24" s="117"/>
      <c r="S24" s="118"/>
    </row>
    <row r="25" spans="1:19" s="93" customFormat="1">
      <c r="A25" s="106">
        <f t="shared" ref="A25" si="6">M25</f>
        <v>0</v>
      </c>
      <c r="B25" s="41" t="str">
        <f t="shared" ref="B25" si="7">IF(H25&gt;$H$2,"",(ROW()-5))</f>
        <v/>
      </c>
      <c r="C25" s="42"/>
      <c r="D25" s="42"/>
      <c r="E25" s="42"/>
      <c r="F25" s="42"/>
      <c r="G25" s="29"/>
      <c r="H25" s="107">
        <v>20</v>
      </c>
      <c r="I25" s="108" t="str">
        <f t="shared" si="1"/>
        <v/>
      </c>
      <c r="J25" s="107">
        <f t="shared" si="2"/>
        <v>0</v>
      </c>
      <c r="K25" s="107">
        <f t="shared" si="3"/>
        <v>0</v>
      </c>
      <c r="L25" s="107"/>
      <c r="M25" s="109">
        <f t="shared" si="4"/>
        <v>0</v>
      </c>
      <c r="N25" s="88"/>
      <c r="O25" s="88"/>
      <c r="P25" s="88"/>
      <c r="Q25" s="88"/>
      <c r="R25" s="88"/>
    </row>
    <row r="26" spans="1:19" s="93" customFormat="1">
      <c r="A26" s="102">
        <f t="shared" si="0"/>
        <v>0</v>
      </c>
      <c r="B26" s="35" t="str">
        <f t="shared" si="5"/>
        <v/>
      </c>
      <c r="C26" s="36"/>
      <c r="D26" s="36"/>
      <c r="E26" s="36"/>
      <c r="F26" s="36"/>
      <c r="G26" s="29"/>
      <c r="H26" s="103">
        <v>21</v>
      </c>
      <c r="I26" s="104" t="str">
        <f t="shared" si="1"/>
        <v/>
      </c>
      <c r="J26" s="103">
        <f t="shared" si="2"/>
        <v>0</v>
      </c>
      <c r="K26" s="103">
        <f t="shared" si="3"/>
        <v>0</v>
      </c>
      <c r="L26" s="103"/>
      <c r="M26" s="105">
        <f t="shared" si="4"/>
        <v>0</v>
      </c>
      <c r="N26" s="88"/>
      <c r="O26" s="88"/>
      <c r="P26" s="88"/>
      <c r="Q26" s="88"/>
      <c r="R26" s="88"/>
    </row>
    <row r="27" spans="1:19" s="93" customFormat="1">
      <c r="A27" s="106">
        <f t="shared" si="0"/>
        <v>0</v>
      </c>
      <c r="B27" s="41" t="str">
        <f t="shared" si="5"/>
        <v/>
      </c>
      <c r="C27" s="42"/>
      <c r="D27" s="42"/>
      <c r="E27" s="42"/>
      <c r="F27" s="42"/>
      <c r="G27" s="29"/>
      <c r="H27" s="107">
        <v>22</v>
      </c>
      <c r="I27" s="108" t="str">
        <f t="shared" si="1"/>
        <v/>
      </c>
      <c r="J27" s="107">
        <f t="shared" si="2"/>
        <v>0</v>
      </c>
      <c r="K27" s="107">
        <f t="shared" si="3"/>
        <v>0</v>
      </c>
      <c r="L27" s="107"/>
      <c r="M27" s="109">
        <f t="shared" si="4"/>
        <v>0</v>
      </c>
      <c r="N27" s="88"/>
      <c r="O27" s="88"/>
      <c r="P27" s="88"/>
      <c r="Q27" s="88"/>
      <c r="R27" s="88"/>
    </row>
    <row r="28" spans="1:19" s="93" customFormat="1">
      <c r="A28" s="102">
        <f t="shared" si="0"/>
        <v>0</v>
      </c>
      <c r="B28" s="35" t="str">
        <f t="shared" si="5"/>
        <v/>
      </c>
      <c r="C28" s="36"/>
      <c r="D28" s="36"/>
      <c r="E28" s="36"/>
      <c r="F28" s="36"/>
      <c r="G28" s="29"/>
      <c r="H28" s="103">
        <v>23</v>
      </c>
      <c r="I28" s="104" t="str">
        <f t="shared" si="1"/>
        <v/>
      </c>
      <c r="J28" s="103">
        <f t="shared" si="2"/>
        <v>0</v>
      </c>
      <c r="K28" s="103">
        <f t="shared" si="3"/>
        <v>0</v>
      </c>
      <c r="L28" s="103"/>
      <c r="M28" s="105">
        <f t="shared" si="4"/>
        <v>0</v>
      </c>
      <c r="N28" s="88"/>
      <c r="O28" s="88"/>
      <c r="P28" s="88"/>
      <c r="Q28" s="88"/>
      <c r="R28" s="117"/>
      <c r="S28" s="118"/>
    </row>
    <row r="29" spans="1:19" s="93" customFormat="1">
      <c r="A29" s="106">
        <f t="shared" si="0"/>
        <v>0</v>
      </c>
      <c r="B29" s="41" t="str">
        <f t="shared" si="5"/>
        <v/>
      </c>
      <c r="C29" s="42"/>
      <c r="D29" s="42"/>
      <c r="E29" s="42"/>
      <c r="F29" s="42"/>
      <c r="G29" s="88"/>
      <c r="H29" s="107">
        <v>24</v>
      </c>
      <c r="I29" s="108" t="str">
        <f t="shared" si="1"/>
        <v/>
      </c>
      <c r="J29" s="107">
        <f t="shared" si="2"/>
        <v>0</v>
      </c>
      <c r="K29" s="107">
        <f t="shared" si="3"/>
        <v>0</v>
      </c>
      <c r="L29" s="107"/>
      <c r="M29" s="109">
        <f t="shared" si="4"/>
        <v>0</v>
      </c>
      <c r="N29" s="88"/>
      <c r="O29" s="88"/>
      <c r="P29" s="88"/>
      <c r="Q29" s="88"/>
      <c r="R29" s="88"/>
    </row>
    <row r="30" spans="1:19" s="93" customFormat="1">
      <c r="A30" s="102">
        <f t="shared" si="0"/>
        <v>0</v>
      </c>
      <c r="B30" s="35" t="str">
        <f t="shared" si="5"/>
        <v/>
      </c>
      <c r="C30" s="36"/>
      <c r="D30" s="36"/>
      <c r="E30" s="36"/>
      <c r="F30" s="36"/>
      <c r="G30" s="88"/>
      <c r="H30" s="103">
        <v>25</v>
      </c>
      <c r="I30" s="104" t="str">
        <f t="shared" si="1"/>
        <v/>
      </c>
      <c r="J30" s="103">
        <f t="shared" si="2"/>
        <v>0</v>
      </c>
      <c r="K30" s="103">
        <f t="shared" si="3"/>
        <v>0</v>
      </c>
      <c r="L30" s="103"/>
      <c r="M30" s="105">
        <f t="shared" si="4"/>
        <v>0</v>
      </c>
      <c r="N30" s="88"/>
      <c r="O30" s="88"/>
      <c r="P30" s="88"/>
      <c r="Q30" s="88"/>
      <c r="R30" s="88"/>
    </row>
    <row r="31" spans="1:19" s="93" customFormat="1">
      <c r="A31" s="106">
        <f t="shared" si="0"/>
        <v>0</v>
      </c>
      <c r="B31" s="41" t="str">
        <f t="shared" si="5"/>
        <v/>
      </c>
      <c r="C31" s="42"/>
      <c r="D31" s="42"/>
      <c r="E31" s="42"/>
      <c r="F31" s="42"/>
      <c r="G31" s="88"/>
      <c r="H31" s="107">
        <v>26</v>
      </c>
      <c r="I31" s="108" t="str">
        <f t="shared" si="1"/>
        <v/>
      </c>
      <c r="J31" s="107">
        <f t="shared" si="2"/>
        <v>0</v>
      </c>
      <c r="K31" s="107">
        <f t="shared" si="3"/>
        <v>0</v>
      </c>
      <c r="L31" s="107"/>
      <c r="M31" s="109">
        <f t="shared" si="4"/>
        <v>0</v>
      </c>
      <c r="N31" s="88"/>
      <c r="O31" s="88"/>
      <c r="P31" s="88"/>
      <c r="Q31" s="88"/>
      <c r="R31" s="88"/>
    </row>
    <row r="32" spans="1:19" s="93" customFormat="1">
      <c r="A32" s="102">
        <f t="shared" si="0"/>
        <v>0</v>
      </c>
      <c r="B32" s="35" t="str">
        <f t="shared" si="5"/>
        <v/>
      </c>
      <c r="C32" s="36"/>
      <c r="D32" s="36"/>
      <c r="E32" s="36"/>
      <c r="F32" s="36"/>
      <c r="G32" s="88"/>
      <c r="H32" s="103">
        <v>27</v>
      </c>
      <c r="I32" s="104" t="str">
        <f t="shared" si="1"/>
        <v/>
      </c>
      <c r="J32" s="103">
        <f t="shared" si="2"/>
        <v>0</v>
      </c>
      <c r="K32" s="103">
        <f t="shared" si="3"/>
        <v>0</v>
      </c>
      <c r="L32" s="103"/>
      <c r="M32" s="105">
        <f t="shared" si="4"/>
        <v>0</v>
      </c>
      <c r="N32" s="88"/>
      <c r="O32" s="88"/>
      <c r="P32" s="88"/>
      <c r="Q32" s="88"/>
      <c r="R32" s="117"/>
      <c r="S32" s="118"/>
    </row>
    <row r="33" spans="1:21" s="93" customFormat="1">
      <c r="A33" s="106">
        <f t="shared" si="0"/>
        <v>0</v>
      </c>
      <c r="B33" s="41" t="str">
        <f t="shared" si="5"/>
        <v/>
      </c>
      <c r="C33" s="42"/>
      <c r="D33" s="42"/>
      <c r="E33" s="42"/>
      <c r="F33" s="42"/>
      <c r="G33" s="88"/>
      <c r="H33" s="107">
        <v>28</v>
      </c>
      <c r="I33" s="108" t="str">
        <f t="shared" si="1"/>
        <v/>
      </c>
      <c r="J33" s="107">
        <f t="shared" si="2"/>
        <v>0</v>
      </c>
      <c r="K33" s="107">
        <f t="shared" si="3"/>
        <v>0</v>
      </c>
      <c r="L33" s="107"/>
      <c r="M33" s="109">
        <f t="shared" si="4"/>
        <v>0</v>
      </c>
      <c r="N33" s="88"/>
      <c r="O33" s="88"/>
      <c r="P33" s="88"/>
      <c r="Q33" s="88"/>
      <c r="R33" s="88"/>
    </row>
    <row r="34" spans="1:21" s="93" customFormat="1">
      <c r="A34" s="102">
        <f t="shared" si="0"/>
        <v>0</v>
      </c>
      <c r="B34" s="35" t="str">
        <f t="shared" si="5"/>
        <v/>
      </c>
      <c r="C34" s="36"/>
      <c r="D34" s="36"/>
      <c r="E34" s="36"/>
      <c r="F34" s="36"/>
      <c r="G34" s="88"/>
      <c r="H34" s="103">
        <v>29</v>
      </c>
      <c r="I34" s="104" t="str">
        <f t="shared" si="1"/>
        <v/>
      </c>
      <c r="J34" s="103">
        <f t="shared" si="2"/>
        <v>0</v>
      </c>
      <c r="K34" s="103">
        <f t="shared" si="3"/>
        <v>0</v>
      </c>
      <c r="L34" s="103"/>
      <c r="M34" s="105">
        <f t="shared" si="4"/>
        <v>0</v>
      </c>
      <c r="N34" s="88"/>
      <c r="O34" s="88"/>
      <c r="P34" s="88"/>
      <c r="Q34" s="88"/>
      <c r="R34" s="88"/>
    </row>
    <row r="35" spans="1:21" s="93" customFormat="1">
      <c r="A35" s="106">
        <f t="shared" si="0"/>
        <v>0</v>
      </c>
      <c r="B35" s="41" t="str">
        <f t="shared" si="5"/>
        <v/>
      </c>
      <c r="C35" s="42"/>
      <c r="D35" s="42"/>
      <c r="E35" s="42"/>
      <c r="F35" s="42"/>
      <c r="G35" s="88"/>
      <c r="H35" s="107">
        <v>30</v>
      </c>
      <c r="I35" s="108" t="str">
        <f t="shared" si="1"/>
        <v/>
      </c>
      <c r="J35" s="107">
        <f t="shared" si="2"/>
        <v>0</v>
      </c>
      <c r="K35" s="107">
        <f t="shared" si="3"/>
        <v>0</v>
      </c>
      <c r="L35" s="107"/>
      <c r="M35" s="109">
        <f t="shared" si="4"/>
        <v>0</v>
      </c>
      <c r="N35" s="88"/>
      <c r="O35" s="88"/>
      <c r="P35" s="88"/>
      <c r="Q35" s="88"/>
      <c r="R35" s="88"/>
    </row>
    <row r="36" spans="1:21" s="93" customFormat="1">
      <c r="A36" s="102">
        <f t="shared" si="0"/>
        <v>0</v>
      </c>
      <c r="B36" s="35" t="str">
        <f t="shared" si="5"/>
        <v/>
      </c>
      <c r="C36" s="36"/>
      <c r="D36" s="36"/>
      <c r="E36" s="36"/>
      <c r="F36" s="36"/>
      <c r="G36" s="88"/>
      <c r="H36" s="103">
        <v>31</v>
      </c>
      <c r="I36" s="104" t="str">
        <f t="shared" si="1"/>
        <v/>
      </c>
      <c r="J36" s="103">
        <f t="shared" si="2"/>
        <v>0</v>
      </c>
      <c r="K36" s="103">
        <f t="shared" si="3"/>
        <v>0</v>
      </c>
      <c r="L36" s="103"/>
      <c r="M36" s="105">
        <f t="shared" si="4"/>
        <v>0</v>
      </c>
      <c r="N36" s="88"/>
      <c r="O36" s="88"/>
      <c r="P36" s="88"/>
      <c r="Q36" s="88"/>
      <c r="R36" s="117"/>
      <c r="S36" s="118"/>
    </row>
    <row r="37" spans="1:21" s="93" customFormat="1">
      <c r="A37" s="106">
        <f t="shared" si="0"/>
        <v>0</v>
      </c>
      <c r="B37" s="41" t="str">
        <f t="shared" si="5"/>
        <v/>
      </c>
      <c r="C37" s="42"/>
      <c r="D37" s="42"/>
      <c r="E37" s="42"/>
      <c r="F37" s="42"/>
      <c r="G37" s="88"/>
      <c r="H37" s="107">
        <v>32</v>
      </c>
      <c r="I37" s="108" t="str">
        <f t="shared" si="1"/>
        <v/>
      </c>
      <c r="J37" s="107">
        <f t="shared" si="2"/>
        <v>0</v>
      </c>
      <c r="K37" s="107">
        <f t="shared" si="3"/>
        <v>0</v>
      </c>
      <c r="L37" s="107"/>
      <c r="M37" s="109">
        <f t="shared" si="4"/>
        <v>0</v>
      </c>
      <c r="N37" s="88"/>
      <c r="O37" s="88"/>
      <c r="P37" s="88"/>
      <c r="Q37" s="88"/>
      <c r="R37" s="88"/>
    </row>
    <row r="38" spans="1:21" s="93" customFormat="1">
      <c r="A38" s="106">
        <f t="shared" si="0"/>
        <v>0</v>
      </c>
      <c r="B38" s="35" t="str">
        <f t="shared" si="5"/>
        <v/>
      </c>
      <c r="C38" s="36"/>
      <c r="D38" s="36"/>
      <c r="E38" s="36"/>
      <c r="F38" s="36"/>
      <c r="G38" s="88"/>
      <c r="H38" s="103">
        <v>33</v>
      </c>
      <c r="I38" s="104" t="str">
        <f t="shared" si="1"/>
        <v/>
      </c>
      <c r="J38" s="103">
        <f t="shared" si="2"/>
        <v>-1</v>
      </c>
      <c r="K38" s="103">
        <f t="shared" si="3"/>
        <v>-10</v>
      </c>
      <c r="L38" s="103"/>
      <c r="M38" s="105">
        <f t="shared" si="4"/>
        <v>0</v>
      </c>
      <c r="N38" s="88"/>
      <c r="O38" s="88"/>
      <c r="P38" s="88"/>
      <c r="Q38" s="88"/>
      <c r="R38" s="88"/>
    </row>
    <row r="39" spans="1:21" s="93" customFormat="1">
      <c r="A39" s="106">
        <f t="shared" si="0"/>
        <v>0</v>
      </c>
      <c r="B39" s="41" t="str">
        <f t="shared" si="5"/>
        <v/>
      </c>
      <c r="C39" s="42"/>
      <c r="D39" s="42"/>
      <c r="E39" s="42"/>
      <c r="F39" s="42"/>
      <c r="G39" s="88"/>
      <c r="H39" s="107">
        <v>34</v>
      </c>
      <c r="I39" s="108" t="str">
        <f t="shared" si="1"/>
        <v/>
      </c>
      <c r="J39" s="107">
        <f t="shared" si="2"/>
        <v>-1</v>
      </c>
      <c r="K39" s="107">
        <f t="shared" si="3"/>
        <v>-10</v>
      </c>
      <c r="L39" s="107"/>
      <c r="M39" s="109">
        <f t="shared" si="4"/>
        <v>0</v>
      </c>
      <c r="N39" s="88"/>
      <c r="O39" s="88"/>
      <c r="P39" s="88"/>
      <c r="Q39" s="88"/>
      <c r="R39" s="88"/>
    </row>
    <row r="40" spans="1:21" s="93" customFormat="1">
      <c r="A40" s="106">
        <f t="shared" si="0"/>
        <v>0</v>
      </c>
      <c r="B40" s="35" t="str">
        <f t="shared" si="5"/>
        <v/>
      </c>
      <c r="C40" s="36"/>
      <c r="D40" s="36"/>
      <c r="E40" s="36"/>
      <c r="F40" s="36"/>
      <c r="G40" s="88"/>
      <c r="H40" s="103">
        <v>35</v>
      </c>
      <c r="I40" s="104" t="str">
        <f t="shared" si="1"/>
        <v/>
      </c>
      <c r="J40" s="103">
        <f t="shared" si="2"/>
        <v>-1</v>
      </c>
      <c r="K40" s="103">
        <f t="shared" si="3"/>
        <v>-10</v>
      </c>
      <c r="L40" s="103"/>
      <c r="M40" s="105">
        <f t="shared" si="4"/>
        <v>0</v>
      </c>
      <c r="N40" s="88"/>
      <c r="O40" s="88"/>
      <c r="P40" s="88"/>
      <c r="Q40" s="88"/>
      <c r="R40" s="88"/>
    </row>
    <row r="41" spans="1:21" s="93" customFormat="1">
      <c r="A41" s="106">
        <f t="shared" si="0"/>
        <v>0</v>
      </c>
      <c r="B41" s="41" t="str">
        <f t="shared" si="5"/>
        <v/>
      </c>
      <c r="C41" s="42"/>
      <c r="D41" s="42"/>
      <c r="E41" s="42"/>
      <c r="F41" s="42"/>
      <c r="G41" s="88"/>
      <c r="H41" s="107">
        <v>36</v>
      </c>
      <c r="I41" s="108" t="str">
        <f t="shared" si="1"/>
        <v/>
      </c>
      <c r="J41" s="107">
        <f t="shared" si="2"/>
        <v>-1</v>
      </c>
      <c r="K41" s="107">
        <f t="shared" si="3"/>
        <v>-10</v>
      </c>
      <c r="L41" s="107"/>
      <c r="M41" s="109">
        <f t="shared" si="4"/>
        <v>0</v>
      </c>
      <c r="N41" s="88"/>
      <c r="O41" s="88"/>
      <c r="P41" s="88"/>
      <c r="Q41" s="88"/>
      <c r="R41" s="88"/>
      <c r="S41" s="119"/>
    </row>
    <row r="42" spans="1:21" s="93" customFormat="1">
      <c r="A42" s="106">
        <f t="shared" si="0"/>
        <v>0</v>
      </c>
      <c r="B42" s="35" t="str">
        <f t="shared" si="5"/>
        <v/>
      </c>
      <c r="C42" s="36"/>
      <c r="D42" s="36"/>
      <c r="E42" s="36"/>
      <c r="F42" s="36"/>
      <c r="G42" s="88"/>
      <c r="H42" s="103">
        <v>37</v>
      </c>
      <c r="I42" s="104" t="str">
        <f t="shared" si="1"/>
        <v/>
      </c>
      <c r="J42" s="103">
        <f t="shared" si="2"/>
        <v>-1</v>
      </c>
      <c r="K42" s="103">
        <f t="shared" si="3"/>
        <v>-10</v>
      </c>
      <c r="L42" s="103"/>
      <c r="M42" s="105">
        <f t="shared" si="4"/>
        <v>0</v>
      </c>
      <c r="N42" s="88"/>
      <c r="O42" s="88"/>
      <c r="P42" s="88"/>
      <c r="Q42" s="88"/>
      <c r="R42" s="88"/>
    </row>
    <row r="43" spans="1:21" s="93" customFormat="1">
      <c r="A43" s="106">
        <f t="shared" si="0"/>
        <v>0</v>
      </c>
      <c r="B43" s="41" t="str">
        <f t="shared" si="5"/>
        <v/>
      </c>
      <c r="C43" s="42"/>
      <c r="D43" s="42"/>
      <c r="E43" s="42"/>
      <c r="F43" s="42"/>
      <c r="G43" s="88"/>
      <c r="H43" s="107">
        <v>38</v>
      </c>
      <c r="I43" s="108" t="str">
        <f t="shared" si="1"/>
        <v/>
      </c>
      <c r="J43" s="107">
        <f t="shared" si="2"/>
        <v>-1</v>
      </c>
      <c r="K43" s="107">
        <f t="shared" si="3"/>
        <v>-10</v>
      </c>
      <c r="L43" s="107"/>
      <c r="M43" s="109">
        <f t="shared" si="4"/>
        <v>0</v>
      </c>
      <c r="N43" s="88"/>
      <c r="O43" s="88"/>
      <c r="P43" s="88"/>
      <c r="Q43" s="88"/>
      <c r="R43" s="88"/>
    </row>
    <row r="44" spans="1:21" s="93" customFormat="1">
      <c r="A44" s="106">
        <f t="shared" si="0"/>
        <v>0</v>
      </c>
      <c r="B44" s="35" t="str">
        <f t="shared" si="5"/>
        <v/>
      </c>
      <c r="C44" s="36"/>
      <c r="D44" s="36"/>
      <c r="E44" s="36"/>
      <c r="F44" s="36"/>
      <c r="G44" s="88"/>
      <c r="H44" s="103">
        <v>39</v>
      </c>
      <c r="I44" s="104" t="str">
        <f t="shared" si="1"/>
        <v/>
      </c>
      <c r="J44" s="103">
        <f t="shared" si="2"/>
        <v>-1</v>
      </c>
      <c r="K44" s="103">
        <f t="shared" si="3"/>
        <v>-10</v>
      </c>
      <c r="L44" s="103"/>
      <c r="M44" s="105">
        <f t="shared" si="4"/>
        <v>0</v>
      </c>
      <c r="N44" s="88"/>
      <c r="O44" s="88"/>
      <c r="P44" s="88"/>
      <c r="Q44" s="88"/>
      <c r="R44" s="88"/>
    </row>
    <row r="45" spans="1:21" s="93" customFormat="1">
      <c r="A45" s="106">
        <f t="shared" si="0"/>
        <v>0</v>
      </c>
      <c r="B45" s="41" t="str">
        <f t="shared" si="5"/>
        <v/>
      </c>
      <c r="C45" s="42"/>
      <c r="D45" s="42"/>
      <c r="E45" s="42"/>
      <c r="F45" s="42"/>
      <c r="G45" s="88"/>
      <c r="H45" s="107">
        <v>40</v>
      </c>
      <c r="I45" s="108" t="str">
        <f t="shared" si="1"/>
        <v/>
      </c>
      <c r="J45" s="107">
        <f t="shared" si="2"/>
        <v>-1</v>
      </c>
      <c r="K45" s="107">
        <f t="shared" si="3"/>
        <v>-10</v>
      </c>
      <c r="L45" s="107"/>
      <c r="M45" s="109">
        <f t="shared" si="4"/>
        <v>0</v>
      </c>
      <c r="N45" s="88"/>
      <c r="O45" s="88"/>
      <c r="P45" s="88"/>
      <c r="Q45" s="88"/>
      <c r="R45" s="88"/>
    </row>
    <row r="46" spans="1:21" s="93" customFormat="1">
      <c r="A46" s="106">
        <f t="shared" si="0"/>
        <v>0</v>
      </c>
      <c r="B46" s="35" t="str">
        <f t="shared" si="5"/>
        <v/>
      </c>
      <c r="C46" s="36"/>
      <c r="D46" s="36"/>
      <c r="E46" s="36"/>
      <c r="F46" s="36"/>
      <c r="G46" s="88"/>
      <c r="H46" s="103">
        <v>41</v>
      </c>
      <c r="I46" s="104" t="str">
        <f t="shared" si="1"/>
        <v/>
      </c>
      <c r="J46" s="103">
        <f t="shared" si="2"/>
        <v>-1</v>
      </c>
      <c r="K46" s="103">
        <f t="shared" si="3"/>
        <v>-10</v>
      </c>
      <c r="L46" s="103"/>
      <c r="M46" s="105">
        <f t="shared" si="4"/>
        <v>0</v>
      </c>
      <c r="N46" s="88"/>
      <c r="O46" s="88"/>
      <c r="P46" s="88"/>
      <c r="Q46" s="88"/>
      <c r="R46" s="88">
        <f>LOG($H$2,2)</f>
        <v>4.1699250014423122</v>
      </c>
      <c r="T46" s="93">
        <f>LOG(H38,2)</f>
        <v>5.0443941193584534</v>
      </c>
      <c r="U46" s="93">
        <f>R46-T46</f>
        <v>-0.87446911791614124</v>
      </c>
    </row>
    <row r="47" spans="1:21" s="93" customFormat="1">
      <c r="A47" s="106">
        <f t="shared" si="0"/>
        <v>0</v>
      </c>
      <c r="B47" s="41" t="str">
        <f t="shared" si="5"/>
        <v/>
      </c>
      <c r="C47" s="42"/>
      <c r="D47" s="42"/>
      <c r="E47" s="42"/>
      <c r="F47" s="42"/>
      <c r="G47" s="88"/>
      <c r="H47" s="107">
        <v>42</v>
      </c>
      <c r="I47" s="108" t="str">
        <f t="shared" si="1"/>
        <v/>
      </c>
      <c r="J47" s="107">
        <f t="shared" si="2"/>
        <v>-1</v>
      </c>
      <c r="K47" s="107">
        <f t="shared" si="3"/>
        <v>-10</v>
      </c>
      <c r="L47" s="107"/>
      <c r="M47" s="109">
        <f t="shared" si="4"/>
        <v>0</v>
      </c>
      <c r="N47" s="88"/>
      <c r="O47" s="88"/>
      <c r="P47" s="88"/>
      <c r="Q47" s="88"/>
      <c r="R47" s="88"/>
    </row>
    <row r="48" spans="1:21" s="93" customFormat="1">
      <c r="A48" s="106">
        <f t="shared" si="0"/>
        <v>0</v>
      </c>
      <c r="B48" s="35" t="str">
        <f t="shared" si="5"/>
        <v/>
      </c>
      <c r="C48" s="36"/>
      <c r="D48" s="36"/>
      <c r="E48" s="36"/>
      <c r="F48" s="36"/>
      <c r="G48" s="88"/>
      <c r="H48" s="103">
        <v>43</v>
      </c>
      <c r="I48" s="104" t="str">
        <f t="shared" si="1"/>
        <v/>
      </c>
      <c r="J48" s="103">
        <f t="shared" si="2"/>
        <v>-1</v>
      </c>
      <c r="K48" s="103">
        <f t="shared" si="3"/>
        <v>-10</v>
      </c>
      <c r="L48" s="103"/>
      <c r="M48" s="105">
        <f t="shared" si="4"/>
        <v>0</v>
      </c>
      <c r="N48" s="88"/>
      <c r="O48" s="88"/>
      <c r="P48" s="88"/>
      <c r="Q48" s="88"/>
      <c r="R48" s="88"/>
    </row>
    <row r="49" spans="1:38" s="88" customFormat="1">
      <c r="A49" s="106">
        <f t="shared" si="0"/>
        <v>0</v>
      </c>
      <c r="B49" s="41" t="str">
        <f t="shared" si="5"/>
        <v/>
      </c>
      <c r="C49" s="42"/>
      <c r="D49" s="42"/>
      <c r="E49" s="42"/>
      <c r="F49" s="42"/>
      <c r="H49" s="107">
        <v>44</v>
      </c>
      <c r="I49" s="108" t="str">
        <f t="shared" si="1"/>
        <v/>
      </c>
      <c r="J49" s="107">
        <f t="shared" si="2"/>
        <v>-1</v>
      </c>
      <c r="K49" s="107">
        <f t="shared" si="3"/>
        <v>-10</v>
      </c>
      <c r="L49" s="107"/>
      <c r="M49" s="109">
        <f t="shared" si="4"/>
        <v>0</v>
      </c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</row>
    <row r="50" spans="1:38" s="88" customFormat="1">
      <c r="A50" s="106">
        <f t="shared" si="0"/>
        <v>0</v>
      </c>
      <c r="B50" s="35" t="str">
        <f t="shared" si="5"/>
        <v/>
      </c>
      <c r="C50" s="36"/>
      <c r="D50" s="36"/>
      <c r="E50" s="36"/>
      <c r="F50" s="36"/>
      <c r="H50" s="103">
        <v>45</v>
      </c>
      <c r="I50" s="104" t="str">
        <f t="shared" si="1"/>
        <v/>
      </c>
      <c r="J50" s="103">
        <f t="shared" si="2"/>
        <v>-1</v>
      </c>
      <c r="K50" s="103">
        <f t="shared" si="3"/>
        <v>-10</v>
      </c>
      <c r="L50" s="103"/>
      <c r="M50" s="105">
        <f t="shared" si="4"/>
        <v>0</v>
      </c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</row>
    <row r="51" spans="1:38" s="88" customFormat="1">
      <c r="A51" s="106">
        <f t="shared" si="0"/>
        <v>0</v>
      </c>
      <c r="B51" s="41" t="str">
        <f t="shared" si="5"/>
        <v/>
      </c>
      <c r="C51" s="42"/>
      <c r="D51" s="42"/>
      <c r="E51" s="42"/>
      <c r="F51" s="42"/>
      <c r="H51" s="107">
        <v>46</v>
      </c>
      <c r="I51" s="108" t="str">
        <f t="shared" si="1"/>
        <v/>
      </c>
      <c r="J51" s="107">
        <f t="shared" si="2"/>
        <v>-1</v>
      </c>
      <c r="K51" s="107">
        <f t="shared" si="3"/>
        <v>-10</v>
      </c>
      <c r="L51" s="107"/>
      <c r="M51" s="109">
        <f t="shared" si="4"/>
        <v>0</v>
      </c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</row>
    <row r="52" spans="1:38" s="88" customFormat="1">
      <c r="A52" s="106">
        <f t="shared" si="0"/>
        <v>0</v>
      </c>
      <c r="B52" s="35" t="str">
        <f t="shared" si="5"/>
        <v/>
      </c>
      <c r="C52" s="36"/>
      <c r="D52" s="36"/>
      <c r="E52" s="36"/>
      <c r="F52" s="36"/>
      <c r="H52" s="103">
        <v>47</v>
      </c>
      <c r="I52" s="104" t="str">
        <f t="shared" si="1"/>
        <v/>
      </c>
      <c r="J52" s="103">
        <f t="shared" si="2"/>
        <v>-1</v>
      </c>
      <c r="K52" s="103">
        <f t="shared" si="3"/>
        <v>-10</v>
      </c>
      <c r="L52" s="103"/>
      <c r="M52" s="105">
        <f t="shared" si="4"/>
        <v>0</v>
      </c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</row>
    <row r="53" spans="1:38" s="88" customFormat="1">
      <c r="A53" s="106">
        <f t="shared" si="0"/>
        <v>0</v>
      </c>
      <c r="B53" s="41" t="str">
        <f t="shared" si="5"/>
        <v/>
      </c>
      <c r="C53" s="42"/>
      <c r="D53" s="42"/>
      <c r="E53" s="42"/>
      <c r="F53" s="42"/>
      <c r="H53" s="107">
        <v>48</v>
      </c>
      <c r="I53" s="108" t="str">
        <f t="shared" si="1"/>
        <v/>
      </c>
      <c r="J53" s="107">
        <f t="shared" si="2"/>
        <v>-1</v>
      </c>
      <c r="K53" s="107">
        <f t="shared" si="3"/>
        <v>-10</v>
      </c>
      <c r="L53" s="107"/>
      <c r="M53" s="109">
        <f t="shared" si="4"/>
        <v>0</v>
      </c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</row>
    <row r="54" spans="1:38" s="88" customFormat="1">
      <c r="A54" s="106">
        <f t="shared" si="0"/>
        <v>0</v>
      </c>
      <c r="B54" s="35" t="str">
        <f t="shared" si="5"/>
        <v/>
      </c>
      <c r="C54" s="36"/>
      <c r="D54" s="36"/>
      <c r="E54" s="36"/>
      <c r="F54" s="36"/>
      <c r="H54" s="103">
        <v>49</v>
      </c>
      <c r="I54" s="104" t="str">
        <f t="shared" si="1"/>
        <v/>
      </c>
      <c r="J54" s="103">
        <f t="shared" si="2"/>
        <v>-1</v>
      </c>
      <c r="K54" s="103">
        <f t="shared" si="3"/>
        <v>-10</v>
      </c>
      <c r="L54" s="103"/>
      <c r="M54" s="105">
        <f t="shared" si="4"/>
        <v>0</v>
      </c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</row>
    <row r="55" spans="1:38" s="88" customFormat="1">
      <c r="A55" s="106">
        <f t="shared" si="0"/>
        <v>0</v>
      </c>
      <c r="B55" s="41" t="str">
        <f t="shared" si="5"/>
        <v/>
      </c>
      <c r="C55" s="42"/>
      <c r="D55" s="42"/>
      <c r="E55" s="42"/>
      <c r="F55" s="42"/>
      <c r="H55" s="107">
        <v>50</v>
      </c>
      <c r="I55" s="108" t="str">
        <f t="shared" si="1"/>
        <v/>
      </c>
      <c r="J55" s="107">
        <f t="shared" si="2"/>
        <v>-1</v>
      </c>
      <c r="K55" s="107">
        <f t="shared" si="3"/>
        <v>-10</v>
      </c>
      <c r="L55" s="107"/>
      <c r="M55" s="109">
        <f t="shared" si="4"/>
        <v>0</v>
      </c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</row>
    <row r="56" spans="1:38" s="88" customFormat="1">
      <c r="A56" s="106">
        <f t="shared" si="0"/>
        <v>0</v>
      </c>
      <c r="B56" s="35" t="str">
        <f t="shared" si="5"/>
        <v/>
      </c>
      <c r="C56" s="36"/>
      <c r="D56" s="36"/>
      <c r="E56" s="36"/>
      <c r="F56" s="36"/>
      <c r="H56" s="103">
        <v>51</v>
      </c>
      <c r="I56" s="104" t="str">
        <f t="shared" si="1"/>
        <v/>
      </c>
      <c r="J56" s="103">
        <f t="shared" si="2"/>
        <v>-1</v>
      </c>
      <c r="K56" s="103">
        <f t="shared" si="3"/>
        <v>-10</v>
      </c>
      <c r="L56" s="103"/>
      <c r="M56" s="105">
        <f t="shared" si="4"/>
        <v>0</v>
      </c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</row>
    <row r="57" spans="1:38" s="88" customFormat="1">
      <c r="A57" s="106">
        <f t="shared" si="0"/>
        <v>0</v>
      </c>
      <c r="B57" s="41" t="str">
        <f t="shared" si="5"/>
        <v/>
      </c>
      <c r="C57" s="42"/>
      <c r="D57" s="42"/>
      <c r="E57" s="42"/>
      <c r="F57" s="42"/>
      <c r="H57" s="107">
        <v>52</v>
      </c>
      <c r="I57" s="108" t="str">
        <f t="shared" si="1"/>
        <v/>
      </c>
      <c r="J57" s="107">
        <f t="shared" si="2"/>
        <v>-1</v>
      </c>
      <c r="K57" s="107">
        <f t="shared" si="3"/>
        <v>-10</v>
      </c>
      <c r="L57" s="107"/>
      <c r="M57" s="109">
        <f t="shared" si="4"/>
        <v>0</v>
      </c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</row>
    <row r="58" spans="1:38" s="88" customFormat="1">
      <c r="A58" s="106">
        <f t="shared" si="0"/>
        <v>0</v>
      </c>
      <c r="B58" s="35" t="str">
        <f t="shared" si="5"/>
        <v/>
      </c>
      <c r="C58" s="36"/>
      <c r="D58" s="36"/>
      <c r="E58" s="36"/>
      <c r="F58" s="36"/>
      <c r="H58" s="103">
        <v>53</v>
      </c>
      <c r="I58" s="104" t="str">
        <f t="shared" si="1"/>
        <v/>
      </c>
      <c r="J58" s="103">
        <f t="shared" si="2"/>
        <v>-1</v>
      </c>
      <c r="K58" s="103">
        <f t="shared" si="3"/>
        <v>-10</v>
      </c>
      <c r="L58" s="103"/>
      <c r="M58" s="105">
        <f t="shared" si="4"/>
        <v>0</v>
      </c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</row>
    <row r="59" spans="1:38" s="88" customFormat="1">
      <c r="A59" s="106">
        <f t="shared" si="0"/>
        <v>0</v>
      </c>
      <c r="B59" s="41" t="str">
        <f t="shared" si="5"/>
        <v/>
      </c>
      <c r="C59" s="42"/>
      <c r="D59" s="42"/>
      <c r="E59" s="42"/>
      <c r="F59" s="42"/>
      <c r="H59" s="107">
        <v>54</v>
      </c>
      <c r="I59" s="108" t="str">
        <f t="shared" si="1"/>
        <v/>
      </c>
      <c r="J59" s="107">
        <f t="shared" si="2"/>
        <v>-1</v>
      </c>
      <c r="K59" s="107">
        <f t="shared" si="3"/>
        <v>-10</v>
      </c>
      <c r="L59" s="107"/>
      <c r="M59" s="109">
        <f t="shared" si="4"/>
        <v>0</v>
      </c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</row>
    <row r="60" spans="1:38" s="88" customFormat="1">
      <c r="A60" s="106">
        <f t="shared" si="0"/>
        <v>0</v>
      </c>
      <c r="B60" s="35" t="str">
        <f t="shared" si="5"/>
        <v/>
      </c>
      <c r="C60" s="36"/>
      <c r="D60" s="36"/>
      <c r="E60" s="36"/>
      <c r="F60" s="36"/>
      <c r="H60" s="103">
        <v>55</v>
      </c>
      <c r="I60" s="104" t="str">
        <f t="shared" si="1"/>
        <v/>
      </c>
      <c r="J60" s="103">
        <f t="shared" si="2"/>
        <v>-1</v>
      </c>
      <c r="K60" s="103">
        <f t="shared" si="3"/>
        <v>-10</v>
      </c>
      <c r="L60" s="103"/>
      <c r="M60" s="105">
        <f t="shared" si="4"/>
        <v>0</v>
      </c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</row>
    <row r="61" spans="1:38" s="88" customFormat="1">
      <c r="A61" s="106"/>
      <c r="B61" s="41" t="str">
        <f t="shared" si="5"/>
        <v/>
      </c>
      <c r="C61" s="42"/>
      <c r="D61" s="42"/>
      <c r="E61" s="42"/>
      <c r="F61" s="42"/>
      <c r="H61" s="107">
        <v>56</v>
      </c>
      <c r="I61" s="108" t="str">
        <f t="shared" si="1"/>
        <v/>
      </c>
      <c r="J61" s="107">
        <f t="shared" si="2"/>
        <v>-1</v>
      </c>
      <c r="K61" s="107">
        <f t="shared" si="3"/>
        <v>-10</v>
      </c>
      <c r="L61" s="107"/>
      <c r="M61" s="109">
        <f t="shared" si="4"/>
        <v>0</v>
      </c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</row>
    <row r="62" spans="1:38" s="88" customFormat="1">
      <c r="A62" s="102"/>
      <c r="B62" s="35" t="str">
        <f t="shared" si="5"/>
        <v/>
      </c>
      <c r="C62" s="36"/>
      <c r="D62" s="36"/>
      <c r="E62" s="36"/>
      <c r="F62" s="36"/>
      <c r="H62" s="103">
        <v>57</v>
      </c>
      <c r="I62" s="104" t="str">
        <f t="shared" si="1"/>
        <v/>
      </c>
      <c r="J62" s="103">
        <f t="shared" si="2"/>
        <v>-1</v>
      </c>
      <c r="K62" s="103">
        <f t="shared" si="3"/>
        <v>-10</v>
      </c>
      <c r="L62" s="103"/>
      <c r="M62" s="105">
        <f t="shared" si="4"/>
        <v>0</v>
      </c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</row>
    <row r="63" spans="1:38" s="88" customFormat="1">
      <c r="A63" s="106"/>
      <c r="B63" s="41" t="str">
        <f t="shared" si="5"/>
        <v/>
      </c>
      <c r="C63" s="42"/>
      <c r="D63" s="42"/>
      <c r="E63" s="42"/>
      <c r="F63" s="42"/>
      <c r="H63" s="107">
        <v>58</v>
      </c>
      <c r="I63" s="108" t="str">
        <f t="shared" si="1"/>
        <v/>
      </c>
      <c r="J63" s="107">
        <f t="shared" si="2"/>
        <v>-1</v>
      </c>
      <c r="K63" s="107">
        <f t="shared" si="3"/>
        <v>-10</v>
      </c>
      <c r="L63" s="107"/>
      <c r="M63" s="109">
        <f t="shared" si="4"/>
        <v>0</v>
      </c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</row>
    <row r="64" spans="1:38" s="88" customFormat="1">
      <c r="A64" s="102"/>
      <c r="B64" s="35" t="str">
        <f t="shared" si="5"/>
        <v/>
      </c>
      <c r="C64" s="36"/>
      <c r="D64" s="36"/>
      <c r="E64" s="36"/>
      <c r="F64" s="36"/>
      <c r="H64" s="103">
        <v>59</v>
      </c>
      <c r="I64" s="104" t="str">
        <f t="shared" si="1"/>
        <v/>
      </c>
      <c r="J64" s="103">
        <f t="shared" si="2"/>
        <v>-1</v>
      </c>
      <c r="K64" s="103">
        <f t="shared" si="3"/>
        <v>-10</v>
      </c>
      <c r="L64" s="103"/>
      <c r="M64" s="105">
        <f t="shared" si="4"/>
        <v>0</v>
      </c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</row>
    <row r="65" spans="1:38" s="88" customFormat="1">
      <c r="A65" s="106"/>
      <c r="B65" s="41" t="str">
        <f t="shared" si="5"/>
        <v/>
      </c>
      <c r="C65" s="42"/>
      <c r="D65" s="42"/>
      <c r="E65" s="42"/>
      <c r="F65" s="42"/>
      <c r="H65" s="107">
        <v>60</v>
      </c>
      <c r="I65" s="108" t="str">
        <f t="shared" si="1"/>
        <v/>
      </c>
      <c r="J65" s="107">
        <f t="shared" si="2"/>
        <v>-1</v>
      </c>
      <c r="K65" s="107">
        <f t="shared" si="3"/>
        <v>-10</v>
      </c>
      <c r="L65" s="107"/>
      <c r="M65" s="109">
        <f t="shared" si="4"/>
        <v>0</v>
      </c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</row>
    <row r="66" spans="1:38" s="88" customFormat="1">
      <c r="A66" s="102"/>
      <c r="B66" s="35"/>
      <c r="C66" s="123"/>
      <c r="D66" s="123"/>
      <c r="E66" s="123"/>
      <c r="F66" s="123"/>
      <c r="H66" s="103">
        <v>61</v>
      </c>
      <c r="I66" s="104" t="str">
        <f t="shared" si="1"/>
        <v/>
      </c>
      <c r="J66" s="103">
        <f t="shared" si="2"/>
        <v>-1</v>
      </c>
      <c r="K66" s="103">
        <f t="shared" si="3"/>
        <v>-10</v>
      </c>
      <c r="L66" s="103"/>
      <c r="M66" s="105">
        <f t="shared" si="4"/>
        <v>0</v>
      </c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</row>
    <row r="67" spans="1:38" s="88" customFormat="1">
      <c r="A67" s="106"/>
      <c r="B67" s="41"/>
      <c r="C67" s="123"/>
      <c r="D67" s="123"/>
      <c r="E67" s="123"/>
      <c r="F67" s="123"/>
      <c r="H67" s="103">
        <v>62</v>
      </c>
      <c r="I67" s="104" t="str">
        <f t="shared" si="1"/>
        <v/>
      </c>
      <c r="J67" s="103">
        <f t="shared" si="2"/>
        <v>-1</v>
      </c>
      <c r="K67" s="103">
        <f t="shared" si="3"/>
        <v>-10</v>
      </c>
      <c r="L67" s="103"/>
      <c r="M67" s="105">
        <f t="shared" si="4"/>
        <v>0</v>
      </c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</row>
    <row r="68" spans="1:38" s="88" customFormat="1">
      <c r="A68" s="102"/>
      <c r="B68" s="35"/>
      <c r="C68" s="123"/>
      <c r="D68" s="123"/>
      <c r="E68" s="123"/>
      <c r="F68" s="123"/>
      <c r="H68" s="103">
        <v>63</v>
      </c>
      <c r="I68" s="104" t="str">
        <f t="shared" si="1"/>
        <v/>
      </c>
      <c r="J68" s="103">
        <f t="shared" si="2"/>
        <v>-1</v>
      </c>
      <c r="K68" s="103">
        <f t="shared" si="3"/>
        <v>-10</v>
      </c>
      <c r="L68" s="103"/>
      <c r="M68" s="105">
        <f t="shared" si="4"/>
        <v>0</v>
      </c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</row>
    <row r="69" spans="1:38" s="88" customFormat="1">
      <c r="A69" s="106"/>
      <c r="B69" s="41"/>
      <c r="C69" s="123"/>
      <c r="D69" s="123"/>
      <c r="E69" s="123"/>
      <c r="F69" s="123"/>
      <c r="H69" s="103">
        <v>64</v>
      </c>
      <c r="I69" s="104" t="str">
        <f t="shared" si="1"/>
        <v/>
      </c>
      <c r="J69" s="103">
        <f t="shared" si="2"/>
        <v>-1</v>
      </c>
      <c r="K69" s="103">
        <f t="shared" si="3"/>
        <v>-10</v>
      </c>
      <c r="L69" s="103"/>
      <c r="M69" s="105">
        <f t="shared" si="4"/>
        <v>0</v>
      </c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</row>
    <row r="70" spans="1:38" s="88" customFormat="1">
      <c r="A70" s="124"/>
      <c r="B70" s="123"/>
      <c r="C70" s="123"/>
      <c r="D70" s="123"/>
      <c r="E70" s="123"/>
      <c r="F70" s="123"/>
      <c r="H70" s="103">
        <v>65</v>
      </c>
      <c r="I70" s="104" t="str">
        <f t="shared" ref="I70:I133" si="8">IF(H70&lt;$H$2+1,($I$2-($I$2-1)*(LOG(H70)/LOG($H$2))),"")</f>
        <v/>
      </c>
      <c r="J70" s="103">
        <f t="shared" ref="J70:J133" si="9">INT(LOG($H$2,2))-ROUNDUP(LOG(H70,2),0)+IF(OR($H$2=1,$H$2=2,$H$2=4,$H$2=8,$H$2=16,$H$2=32,$H$2=64,$H$2=128,$H$2=256),0,1)</f>
        <v>-2</v>
      </c>
      <c r="K70" s="103">
        <f t="shared" ref="K70:K133" si="10">J70*$J$2</f>
        <v>-20</v>
      </c>
      <c r="L70" s="103"/>
      <c r="M70" s="105">
        <f t="shared" ref="M70:M133" si="11">IF(I70&lt;&gt;"",K70+I70+L70,0)</f>
        <v>0</v>
      </c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</row>
    <row r="71" spans="1:38" s="88" customFormat="1">
      <c r="A71" s="124"/>
      <c r="B71" s="123"/>
      <c r="C71" s="123"/>
      <c r="D71" s="123"/>
      <c r="E71" s="123"/>
      <c r="F71" s="123"/>
      <c r="H71" s="103">
        <v>66</v>
      </c>
      <c r="I71" s="104" t="str">
        <f t="shared" si="8"/>
        <v/>
      </c>
      <c r="J71" s="103">
        <f t="shared" si="9"/>
        <v>-2</v>
      </c>
      <c r="K71" s="103">
        <f t="shared" si="10"/>
        <v>-20</v>
      </c>
      <c r="L71" s="103"/>
      <c r="M71" s="105">
        <f t="shared" si="11"/>
        <v>0</v>
      </c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</row>
    <row r="72" spans="1:38" s="88" customFormat="1">
      <c r="A72" s="124"/>
      <c r="B72" s="123"/>
      <c r="C72" s="123"/>
      <c r="D72" s="123"/>
      <c r="E72" s="123"/>
      <c r="F72" s="123"/>
      <c r="H72" s="103">
        <v>67</v>
      </c>
      <c r="I72" s="104" t="str">
        <f t="shared" si="8"/>
        <v/>
      </c>
      <c r="J72" s="103">
        <f t="shared" si="9"/>
        <v>-2</v>
      </c>
      <c r="K72" s="103">
        <f t="shared" si="10"/>
        <v>-20</v>
      </c>
      <c r="L72" s="103"/>
      <c r="M72" s="105">
        <f t="shared" si="11"/>
        <v>0</v>
      </c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</row>
    <row r="73" spans="1:38" s="88" customFormat="1">
      <c r="A73" s="124"/>
      <c r="B73" s="123"/>
      <c r="C73" s="123"/>
      <c r="D73" s="123"/>
      <c r="E73" s="123"/>
      <c r="F73" s="123"/>
      <c r="H73" s="103">
        <v>68</v>
      </c>
      <c r="I73" s="104" t="str">
        <f t="shared" si="8"/>
        <v/>
      </c>
      <c r="J73" s="103">
        <f t="shared" si="9"/>
        <v>-2</v>
      </c>
      <c r="K73" s="103">
        <f t="shared" si="10"/>
        <v>-20</v>
      </c>
      <c r="L73" s="103"/>
      <c r="M73" s="105">
        <f t="shared" si="11"/>
        <v>0</v>
      </c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</row>
    <row r="74" spans="1:38" s="88" customFormat="1">
      <c r="A74" s="124"/>
      <c r="B74" s="123"/>
      <c r="C74" s="123"/>
      <c r="D74" s="123"/>
      <c r="E74" s="123"/>
      <c r="F74" s="123"/>
      <c r="H74" s="103">
        <v>69</v>
      </c>
      <c r="I74" s="104" t="str">
        <f t="shared" si="8"/>
        <v/>
      </c>
      <c r="J74" s="103">
        <f t="shared" si="9"/>
        <v>-2</v>
      </c>
      <c r="K74" s="103">
        <f t="shared" si="10"/>
        <v>-20</v>
      </c>
      <c r="L74" s="103"/>
      <c r="M74" s="105">
        <f t="shared" si="11"/>
        <v>0</v>
      </c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</row>
    <row r="75" spans="1:38" s="88" customFormat="1">
      <c r="A75" s="124"/>
      <c r="B75" s="123"/>
      <c r="C75" s="123"/>
      <c r="D75" s="123"/>
      <c r="E75" s="123"/>
      <c r="F75" s="123"/>
      <c r="H75" s="103">
        <v>70</v>
      </c>
      <c r="I75" s="104" t="str">
        <f t="shared" si="8"/>
        <v/>
      </c>
      <c r="J75" s="103">
        <f t="shared" si="9"/>
        <v>-2</v>
      </c>
      <c r="K75" s="103">
        <f t="shared" si="10"/>
        <v>-20</v>
      </c>
      <c r="L75" s="103"/>
      <c r="M75" s="105">
        <f t="shared" si="11"/>
        <v>0</v>
      </c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</row>
    <row r="76" spans="1:38" s="88" customFormat="1">
      <c r="A76" s="124"/>
      <c r="B76" s="123"/>
      <c r="C76" s="123"/>
      <c r="D76" s="123"/>
      <c r="E76" s="123"/>
      <c r="F76" s="123"/>
      <c r="H76" s="103">
        <v>71</v>
      </c>
      <c r="I76" s="104" t="str">
        <f t="shared" si="8"/>
        <v/>
      </c>
      <c r="J76" s="103">
        <f t="shared" si="9"/>
        <v>-2</v>
      </c>
      <c r="K76" s="103">
        <f t="shared" si="10"/>
        <v>-20</v>
      </c>
      <c r="L76" s="103"/>
      <c r="M76" s="105">
        <f t="shared" si="11"/>
        <v>0</v>
      </c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</row>
    <row r="77" spans="1:38" s="88" customFormat="1">
      <c r="A77" s="124"/>
      <c r="B77" s="123"/>
      <c r="C77" s="123"/>
      <c r="D77" s="123"/>
      <c r="E77" s="123"/>
      <c r="F77" s="123"/>
      <c r="H77" s="103">
        <v>72</v>
      </c>
      <c r="I77" s="104" t="str">
        <f t="shared" si="8"/>
        <v/>
      </c>
      <c r="J77" s="103">
        <f t="shared" si="9"/>
        <v>-2</v>
      </c>
      <c r="K77" s="103">
        <f t="shared" si="10"/>
        <v>-20</v>
      </c>
      <c r="L77" s="103"/>
      <c r="M77" s="105">
        <f t="shared" si="11"/>
        <v>0</v>
      </c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</row>
    <row r="78" spans="1:38" s="88" customFormat="1">
      <c r="A78" s="124"/>
      <c r="B78" s="123"/>
      <c r="C78" s="123"/>
      <c r="D78" s="123"/>
      <c r="E78" s="123"/>
      <c r="F78" s="123"/>
      <c r="H78" s="103">
        <v>73</v>
      </c>
      <c r="I78" s="104" t="str">
        <f t="shared" si="8"/>
        <v/>
      </c>
      <c r="J78" s="103">
        <f t="shared" si="9"/>
        <v>-2</v>
      </c>
      <c r="K78" s="103">
        <f t="shared" si="10"/>
        <v>-20</v>
      </c>
      <c r="L78" s="103"/>
      <c r="M78" s="105">
        <f t="shared" si="11"/>
        <v>0</v>
      </c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</row>
    <row r="79" spans="1:38" s="88" customFormat="1">
      <c r="A79" s="124"/>
      <c r="B79" s="123"/>
      <c r="C79" s="123"/>
      <c r="D79" s="123"/>
      <c r="E79" s="123"/>
      <c r="F79" s="123"/>
      <c r="H79" s="103">
        <v>74</v>
      </c>
      <c r="I79" s="104" t="str">
        <f t="shared" si="8"/>
        <v/>
      </c>
      <c r="J79" s="103">
        <f t="shared" si="9"/>
        <v>-2</v>
      </c>
      <c r="K79" s="103">
        <f t="shared" si="10"/>
        <v>-20</v>
      </c>
      <c r="L79" s="103"/>
      <c r="M79" s="105">
        <f t="shared" si="11"/>
        <v>0</v>
      </c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</row>
    <row r="80" spans="1:38" s="88" customFormat="1">
      <c r="A80" s="124"/>
      <c r="B80" s="123"/>
      <c r="C80" s="123"/>
      <c r="D80" s="123"/>
      <c r="E80" s="123"/>
      <c r="F80" s="123"/>
      <c r="H80" s="103">
        <v>75</v>
      </c>
      <c r="I80" s="104" t="str">
        <f t="shared" si="8"/>
        <v/>
      </c>
      <c r="J80" s="103">
        <f t="shared" si="9"/>
        <v>-2</v>
      </c>
      <c r="K80" s="103">
        <f t="shared" si="10"/>
        <v>-20</v>
      </c>
      <c r="L80" s="103"/>
      <c r="M80" s="105">
        <f t="shared" si="11"/>
        <v>0</v>
      </c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</row>
    <row r="81" spans="1:38" s="88" customFormat="1">
      <c r="A81" s="124"/>
      <c r="B81" s="123"/>
      <c r="C81" s="123"/>
      <c r="D81" s="123"/>
      <c r="E81" s="123"/>
      <c r="F81" s="123"/>
      <c r="H81" s="103">
        <v>76</v>
      </c>
      <c r="I81" s="104" t="str">
        <f t="shared" si="8"/>
        <v/>
      </c>
      <c r="J81" s="103">
        <f t="shared" si="9"/>
        <v>-2</v>
      </c>
      <c r="K81" s="103">
        <f t="shared" si="10"/>
        <v>-20</v>
      </c>
      <c r="L81" s="103"/>
      <c r="M81" s="105">
        <f t="shared" si="11"/>
        <v>0</v>
      </c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</row>
    <row r="82" spans="1:38" s="88" customFormat="1">
      <c r="A82" s="124"/>
      <c r="B82" s="123"/>
      <c r="C82" s="123"/>
      <c r="D82" s="123"/>
      <c r="E82" s="123"/>
      <c r="F82" s="123"/>
      <c r="H82" s="103">
        <v>77</v>
      </c>
      <c r="I82" s="104" t="str">
        <f t="shared" si="8"/>
        <v/>
      </c>
      <c r="J82" s="103">
        <f t="shared" si="9"/>
        <v>-2</v>
      </c>
      <c r="K82" s="103">
        <f t="shared" si="10"/>
        <v>-20</v>
      </c>
      <c r="L82" s="103"/>
      <c r="M82" s="105">
        <f t="shared" si="11"/>
        <v>0</v>
      </c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</row>
    <row r="83" spans="1:38" s="88" customFormat="1">
      <c r="A83" s="124"/>
      <c r="B83" s="123"/>
      <c r="C83" s="123"/>
      <c r="D83" s="123"/>
      <c r="E83" s="123"/>
      <c r="F83" s="123"/>
      <c r="H83" s="103">
        <v>78</v>
      </c>
      <c r="I83" s="104" t="str">
        <f t="shared" si="8"/>
        <v/>
      </c>
      <c r="J83" s="103">
        <f t="shared" si="9"/>
        <v>-2</v>
      </c>
      <c r="K83" s="103">
        <f t="shared" si="10"/>
        <v>-20</v>
      </c>
      <c r="L83" s="103"/>
      <c r="M83" s="105">
        <f t="shared" si="11"/>
        <v>0</v>
      </c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</row>
    <row r="84" spans="1:38" s="88" customFormat="1">
      <c r="A84" s="124"/>
      <c r="B84" s="123"/>
      <c r="C84" s="123"/>
      <c r="D84" s="123"/>
      <c r="E84" s="123"/>
      <c r="F84" s="123"/>
      <c r="H84" s="103">
        <v>79</v>
      </c>
      <c r="I84" s="104" t="str">
        <f t="shared" si="8"/>
        <v/>
      </c>
      <c r="J84" s="103">
        <f t="shared" si="9"/>
        <v>-2</v>
      </c>
      <c r="K84" s="103">
        <f t="shared" si="10"/>
        <v>-20</v>
      </c>
      <c r="L84" s="103"/>
      <c r="M84" s="105">
        <f t="shared" si="11"/>
        <v>0</v>
      </c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</row>
    <row r="85" spans="1:38" s="88" customFormat="1">
      <c r="A85" s="124"/>
      <c r="B85" s="123"/>
      <c r="C85" s="123"/>
      <c r="D85" s="123"/>
      <c r="E85" s="123"/>
      <c r="F85" s="123"/>
      <c r="H85" s="103">
        <v>80</v>
      </c>
      <c r="I85" s="104" t="str">
        <f t="shared" si="8"/>
        <v/>
      </c>
      <c r="J85" s="103">
        <f t="shared" si="9"/>
        <v>-2</v>
      </c>
      <c r="K85" s="103">
        <f t="shared" si="10"/>
        <v>-20</v>
      </c>
      <c r="L85" s="103"/>
      <c r="M85" s="105">
        <f t="shared" si="11"/>
        <v>0</v>
      </c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</row>
    <row r="86" spans="1:38" s="88" customFormat="1">
      <c r="A86" s="124"/>
      <c r="B86" s="123"/>
      <c r="C86" s="123"/>
      <c r="D86" s="123"/>
      <c r="E86" s="123"/>
      <c r="F86" s="123"/>
      <c r="H86" s="103">
        <v>81</v>
      </c>
      <c r="I86" s="104" t="str">
        <f t="shared" si="8"/>
        <v/>
      </c>
      <c r="J86" s="103">
        <f t="shared" si="9"/>
        <v>-2</v>
      </c>
      <c r="K86" s="103">
        <f t="shared" si="10"/>
        <v>-20</v>
      </c>
      <c r="L86" s="103"/>
      <c r="M86" s="105">
        <f t="shared" si="11"/>
        <v>0</v>
      </c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</row>
    <row r="87" spans="1:38" s="88" customFormat="1">
      <c r="A87" s="124"/>
      <c r="B87" s="123"/>
      <c r="C87" s="123"/>
      <c r="D87" s="123"/>
      <c r="E87" s="123"/>
      <c r="F87" s="123"/>
      <c r="H87" s="103">
        <v>82</v>
      </c>
      <c r="I87" s="104" t="str">
        <f t="shared" si="8"/>
        <v/>
      </c>
      <c r="J87" s="103">
        <f t="shared" si="9"/>
        <v>-2</v>
      </c>
      <c r="K87" s="103">
        <f t="shared" si="10"/>
        <v>-20</v>
      </c>
      <c r="L87" s="103"/>
      <c r="M87" s="105">
        <f t="shared" si="11"/>
        <v>0</v>
      </c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</row>
    <row r="88" spans="1:38" s="88" customFormat="1">
      <c r="A88" s="124"/>
      <c r="B88" s="123"/>
      <c r="C88" s="123"/>
      <c r="D88" s="123"/>
      <c r="E88" s="123"/>
      <c r="F88" s="123"/>
      <c r="H88" s="103">
        <v>83</v>
      </c>
      <c r="I88" s="104" t="str">
        <f t="shared" si="8"/>
        <v/>
      </c>
      <c r="J88" s="103">
        <f t="shared" si="9"/>
        <v>-2</v>
      </c>
      <c r="K88" s="103">
        <f t="shared" si="10"/>
        <v>-20</v>
      </c>
      <c r="L88" s="103"/>
      <c r="M88" s="105">
        <f t="shared" si="11"/>
        <v>0</v>
      </c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</row>
    <row r="89" spans="1:38" s="88" customFormat="1">
      <c r="A89" s="124"/>
      <c r="B89" s="123"/>
      <c r="C89" s="123"/>
      <c r="D89" s="123"/>
      <c r="E89" s="123"/>
      <c r="F89" s="123"/>
      <c r="H89" s="103">
        <v>84</v>
      </c>
      <c r="I89" s="104" t="str">
        <f t="shared" si="8"/>
        <v/>
      </c>
      <c r="J89" s="103">
        <f t="shared" si="9"/>
        <v>-2</v>
      </c>
      <c r="K89" s="103">
        <f t="shared" si="10"/>
        <v>-20</v>
      </c>
      <c r="L89" s="103"/>
      <c r="M89" s="105">
        <f t="shared" si="11"/>
        <v>0</v>
      </c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</row>
    <row r="90" spans="1:38" s="88" customFormat="1">
      <c r="A90" s="124"/>
      <c r="B90" s="123"/>
      <c r="C90" s="123"/>
      <c r="D90" s="123"/>
      <c r="E90" s="123"/>
      <c r="F90" s="123"/>
      <c r="H90" s="103">
        <v>85</v>
      </c>
      <c r="I90" s="104" t="str">
        <f t="shared" si="8"/>
        <v/>
      </c>
      <c r="J90" s="103">
        <f t="shared" si="9"/>
        <v>-2</v>
      </c>
      <c r="K90" s="103">
        <f t="shared" si="10"/>
        <v>-20</v>
      </c>
      <c r="L90" s="103"/>
      <c r="M90" s="105">
        <f t="shared" si="11"/>
        <v>0</v>
      </c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</row>
    <row r="91" spans="1:38" s="88" customFormat="1">
      <c r="A91" s="124"/>
      <c r="B91" s="123"/>
      <c r="C91" s="123"/>
      <c r="D91" s="123"/>
      <c r="E91" s="123"/>
      <c r="F91" s="123"/>
      <c r="H91" s="103">
        <v>86</v>
      </c>
      <c r="I91" s="104" t="str">
        <f t="shared" si="8"/>
        <v/>
      </c>
      <c r="J91" s="103">
        <f t="shared" si="9"/>
        <v>-2</v>
      </c>
      <c r="K91" s="103">
        <f t="shared" si="10"/>
        <v>-20</v>
      </c>
      <c r="L91" s="103"/>
      <c r="M91" s="105">
        <f t="shared" si="11"/>
        <v>0</v>
      </c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</row>
    <row r="92" spans="1:38" s="88" customFormat="1">
      <c r="A92" s="124"/>
      <c r="B92" s="123"/>
      <c r="C92" s="123"/>
      <c r="D92" s="123"/>
      <c r="E92" s="123"/>
      <c r="F92" s="123"/>
      <c r="H92" s="103">
        <v>87</v>
      </c>
      <c r="I92" s="104" t="str">
        <f t="shared" si="8"/>
        <v/>
      </c>
      <c r="J92" s="103">
        <f t="shared" si="9"/>
        <v>-2</v>
      </c>
      <c r="K92" s="103">
        <f t="shared" si="10"/>
        <v>-20</v>
      </c>
      <c r="L92" s="103"/>
      <c r="M92" s="105">
        <f t="shared" si="11"/>
        <v>0</v>
      </c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</row>
    <row r="93" spans="1:38" s="88" customFormat="1">
      <c r="A93" s="124"/>
      <c r="B93" s="123"/>
      <c r="C93" s="123"/>
      <c r="D93" s="123"/>
      <c r="E93" s="123"/>
      <c r="F93" s="123"/>
      <c r="H93" s="103">
        <v>88</v>
      </c>
      <c r="I93" s="104" t="str">
        <f t="shared" si="8"/>
        <v/>
      </c>
      <c r="J93" s="103">
        <f t="shared" si="9"/>
        <v>-2</v>
      </c>
      <c r="K93" s="103">
        <f t="shared" si="10"/>
        <v>-20</v>
      </c>
      <c r="L93" s="103"/>
      <c r="M93" s="105">
        <f t="shared" si="11"/>
        <v>0</v>
      </c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</row>
    <row r="94" spans="1:38" s="88" customFormat="1">
      <c r="A94" s="124"/>
      <c r="B94" s="123"/>
      <c r="C94" s="123"/>
      <c r="D94" s="123"/>
      <c r="E94" s="123"/>
      <c r="F94" s="123"/>
      <c r="H94" s="103">
        <v>89</v>
      </c>
      <c r="I94" s="104" t="str">
        <f t="shared" si="8"/>
        <v/>
      </c>
      <c r="J94" s="103">
        <f t="shared" si="9"/>
        <v>-2</v>
      </c>
      <c r="K94" s="103">
        <f t="shared" si="10"/>
        <v>-20</v>
      </c>
      <c r="L94" s="103"/>
      <c r="M94" s="105">
        <f t="shared" si="11"/>
        <v>0</v>
      </c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</row>
    <row r="95" spans="1:38" s="88" customFormat="1">
      <c r="A95" s="124"/>
      <c r="B95" s="123"/>
      <c r="C95" s="123"/>
      <c r="D95" s="123"/>
      <c r="E95" s="123"/>
      <c r="F95" s="123"/>
      <c r="H95" s="103">
        <v>90</v>
      </c>
      <c r="I95" s="104" t="str">
        <f t="shared" si="8"/>
        <v/>
      </c>
      <c r="J95" s="103">
        <f t="shared" si="9"/>
        <v>-2</v>
      </c>
      <c r="K95" s="103">
        <f t="shared" si="10"/>
        <v>-20</v>
      </c>
      <c r="L95" s="103"/>
      <c r="M95" s="105">
        <f t="shared" si="11"/>
        <v>0</v>
      </c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</row>
    <row r="96" spans="1:38" s="88" customFormat="1">
      <c r="A96" s="124"/>
      <c r="B96" s="123"/>
      <c r="C96" s="123"/>
      <c r="D96" s="123"/>
      <c r="E96" s="123"/>
      <c r="F96" s="123"/>
      <c r="H96" s="103">
        <v>91</v>
      </c>
      <c r="I96" s="104" t="str">
        <f t="shared" si="8"/>
        <v/>
      </c>
      <c r="J96" s="103">
        <f t="shared" si="9"/>
        <v>-2</v>
      </c>
      <c r="K96" s="103">
        <f t="shared" si="10"/>
        <v>-20</v>
      </c>
      <c r="L96" s="103"/>
      <c r="M96" s="105">
        <f t="shared" si="11"/>
        <v>0</v>
      </c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</row>
    <row r="97" spans="1:38" s="88" customFormat="1">
      <c r="A97" s="124"/>
      <c r="B97" s="123"/>
      <c r="C97" s="123"/>
      <c r="D97" s="123"/>
      <c r="E97" s="123"/>
      <c r="F97" s="123"/>
      <c r="H97" s="103">
        <v>92</v>
      </c>
      <c r="I97" s="104" t="str">
        <f t="shared" si="8"/>
        <v/>
      </c>
      <c r="J97" s="103">
        <f t="shared" si="9"/>
        <v>-2</v>
      </c>
      <c r="K97" s="103">
        <f t="shared" si="10"/>
        <v>-20</v>
      </c>
      <c r="L97" s="103"/>
      <c r="M97" s="105">
        <f t="shared" si="11"/>
        <v>0</v>
      </c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</row>
    <row r="98" spans="1:38" s="88" customFormat="1">
      <c r="A98" s="124"/>
      <c r="B98" s="123"/>
      <c r="C98" s="123"/>
      <c r="D98" s="123"/>
      <c r="E98" s="123"/>
      <c r="F98" s="123"/>
      <c r="H98" s="103">
        <v>93</v>
      </c>
      <c r="I98" s="104" t="str">
        <f t="shared" si="8"/>
        <v/>
      </c>
      <c r="J98" s="103">
        <f t="shared" si="9"/>
        <v>-2</v>
      </c>
      <c r="K98" s="103">
        <f t="shared" si="10"/>
        <v>-20</v>
      </c>
      <c r="L98" s="103"/>
      <c r="M98" s="105">
        <f t="shared" si="11"/>
        <v>0</v>
      </c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</row>
    <row r="99" spans="1:38" s="88" customFormat="1">
      <c r="A99" s="124"/>
      <c r="B99" s="123"/>
      <c r="C99" s="123"/>
      <c r="D99" s="123"/>
      <c r="E99" s="123"/>
      <c r="F99" s="123"/>
      <c r="H99" s="103">
        <v>94</v>
      </c>
      <c r="I99" s="104" t="str">
        <f t="shared" si="8"/>
        <v/>
      </c>
      <c r="J99" s="103">
        <f t="shared" si="9"/>
        <v>-2</v>
      </c>
      <c r="K99" s="103">
        <f t="shared" si="10"/>
        <v>-20</v>
      </c>
      <c r="L99" s="103"/>
      <c r="M99" s="105">
        <f t="shared" si="11"/>
        <v>0</v>
      </c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</row>
    <row r="100" spans="1:38" s="88" customFormat="1">
      <c r="A100" s="124"/>
      <c r="B100" s="123"/>
      <c r="C100" s="123"/>
      <c r="D100" s="123"/>
      <c r="E100" s="123"/>
      <c r="F100" s="123"/>
      <c r="H100" s="103">
        <v>95</v>
      </c>
      <c r="I100" s="104" t="str">
        <f t="shared" si="8"/>
        <v/>
      </c>
      <c r="J100" s="103">
        <f t="shared" si="9"/>
        <v>-2</v>
      </c>
      <c r="K100" s="103">
        <f t="shared" si="10"/>
        <v>-20</v>
      </c>
      <c r="L100" s="103"/>
      <c r="M100" s="105">
        <f t="shared" si="11"/>
        <v>0</v>
      </c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</row>
    <row r="101" spans="1:38" s="88" customFormat="1">
      <c r="A101" s="124"/>
      <c r="B101" s="123"/>
      <c r="C101" s="123"/>
      <c r="D101" s="123"/>
      <c r="E101" s="123"/>
      <c r="F101" s="123"/>
      <c r="H101" s="103">
        <v>96</v>
      </c>
      <c r="I101" s="104" t="str">
        <f t="shared" si="8"/>
        <v/>
      </c>
      <c r="J101" s="103">
        <f t="shared" si="9"/>
        <v>-2</v>
      </c>
      <c r="K101" s="103">
        <f t="shared" si="10"/>
        <v>-20</v>
      </c>
      <c r="L101" s="103"/>
      <c r="M101" s="105">
        <f t="shared" si="11"/>
        <v>0</v>
      </c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</row>
    <row r="102" spans="1:38" s="88" customFormat="1">
      <c r="A102" s="124"/>
      <c r="B102" s="123"/>
      <c r="C102" s="123"/>
      <c r="D102" s="123"/>
      <c r="E102" s="123"/>
      <c r="F102" s="123"/>
      <c r="H102" s="103">
        <v>97</v>
      </c>
      <c r="I102" s="104" t="str">
        <f t="shared" si="8"/>
        <v/>
      </c>
      <c r="J102" s="103">
        <f t="shared" si="9"/>
        <v>-2</v>
      </c>
      <c r="K102" s="103">
        <f t="shared" si="10"/>
        <v>-20</v>
      </c>
      <c r="L102" s="103"/>
      <c r="M102" s="105">
        <f t="shared" si="11"/>
        <v>0</v>
      </c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</row>
    <row r="103" spans="1:38" s="88" customFormat="1">
      <c r="A103" s="124"/>
      <c r="B103" s="123"/>
      <c r="C103" s="123"/>
      <c r="D103" s="123"/>
      <c r="E103" s="123"/>
      <c r="F103" s="123"/>
      <c r="H103" s="103">
        <v>98</v>
      </c>
      <c r="I103" s="104" t="str">
        <f t="shared" si="8"/>
        <v/>
      </c>
      <c r="J103" s="103">
        <f t="shared" si="9"/>
        <v>-2</v>
      </c>
      <c r="K103" s="103">
        <f t="shared" si="10"/>
        <v>-20</v>
      </c>
      <c r="L103" s="103"/>
      <c r="M103" s="105">
        <f t="shared" si="11"/>
        <v>0</v>
      </c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</row>
    <row r="104" spans="1:38" s="88" customFormat="1">
      <c r="A104" s="124"/>
      <c r="B104" s="123"/>
      <c r="C104" s="123"/>
      <c r="D104" s="123"/>
      <c r="E104" s="123"/>
      <c r="F104" s="123"/>
      <c r="H104" s="103">
        <v>99</v>
      </c>
      <c r="I104" s="104" t="str">
        <f t="shared" si="8"/>
        <v/>
      </c>
      <c r="J104" s="103">
        <f t="shared" si="9"/>
        <v>-2</v>
      </c>
      <c r="K104" s="103">
        <f t="shared" si="10"/>
        <v>-20</v>
      </c>
      <c r="L104" s="103"/>
      <c r="M104" s="105">
        <f t="shared" si="11"/>
        <v>0</v>
      </c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</row>
    <row r="105" spans="1:38" s="88" customFormat="1">
      <c r="A105" s="124"/>
      <c r="B105" s="123"/>
      <c r="C105" s="123"/>
      <c r="D105" s="123"/>
      <c r="E105" s="123"/>
      <c r="F105" s="123"/>
      <c r="H105" s="103">
        <v>100</v>
      </c>
      <c r="I105" s="104" t="str">
        <f t="shared" si="8"/>
        <v/>
      </c>
      <c r="J105" s="103">
        <f t="shared" si="9"/>
        <v>-2</v>
      </c>
      <c r="K105" s="103">
        <f t="shared" si="10"/>
        <v>-20</v>
      </c>
      <c r="L105" s="103"/>
      <c r="M105" s="105">
        <f t="shared" si="11"/>
        <v>0</v>
      </c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</row>
    <row r="106" spans="1:38" s="88" customFormat="1">
      <c r="A106" s="124"/>
      <c r="B106" s="123"/>
      <c r="C106" s="123"/>
      <c r="D106" s="123"/>
      <c r="E106" s="123"/>
      <c r="F106" s="123"/>
      <c r="H106" s="103">
        <v>101</v>
      </c>
      <c r="I106" s="104" t="str">
        <f t="shared" si="8"/>
        <v/>
      </c>
      <c r="J106" s="103">
        <f t="shared" si="9"/>
        <v>-2</v>
      </c>
      <c r="K106" s="103">
        <f t="shared" si="10"/>
        <v>-20</v>
      </c>
      <c r="L106" s="103"/>
      <c r="M106" s="105">
        <f t="shared" si="11"/>
        <v>0</v>
      </c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</row>
    <row r="107" spans="1:38" s="88" customFormat="1">
      <c r="A107" s="124"/>
      <c r="B107" s="123"/>
      <c r="C107" s="123"/>
      <c r="D107" s="123"/>
      <c r="E107" s="123"/>
      <c r="F107" s="123"/>
      <c r="H107" s="103">
        <v>102</v>
      </c>
      <c r="I107" s="104" t="str">
        <f t="shared" si="8"/>
        <v/>
      </c>
      <c r="J107" s="103">
        <f t="shared" si="9"/>
        <v>-2</v>
      </c>
      <c r="K107" s="103">
        <f t="shared" si="10"/>
        <v>-20</v>
      </c>
      <c r="L107" s="103"/>
      <c r="M107" s="105">
        <f t="shared" si="11"/>
        <v>0</v>
      </c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</row>
    <row r="108" spans="1:38" s="88" customFormat="1">
      <c r="A108" s="124"/>
      <c r="B108" s="123"/>
      <c r="C108" s="123"/>
      <c r="D108" s="123"/>
      <c r="E108" s="123"/>
      <c r="F108" s="123"/>
      <c r="H108" s="103">
        <v>103</v>
      </c>
      <c r="I108" s="104" t="str">
        <f t="shared" si="8"/>
        <v/>
      </c>
      <c r="J108" s="103">
        <f t="shared" si="9"/>
        <v>-2</v>
      </c>
      <c r="K108" s="103">
        <f t="shared" si="10"/>
        <v>-20</v>
      </c>
      <c r="L108" s="103"/>
      <c r="M108" s="105">
        <f t="shared" si="11"/>
        <v>0</v>
      </c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</row>
    <row r="109" spans="1:38" s="88" customFormat="1">
      <c r="A109" s="124"/>
      <c r="B109" s="123"/>
      <c r="C109" s="123"/>
      <c r="D109" s="123"/>
      <c r="E109" s="123"/>
      <c r="F109" s="123"/>
      <c r="H109" s="103">
        <v>104</v>
      </c>
      <c r="I109" s="104" t="str">
        <f t="shared" si="8"/>
        <v/>
      </c>
      <c r="J109" s="103">
        <f t="shared" si="9"/>
        <v>-2</v>
      </c>
      <c r="K109" s="103">
        <f t="shared" si="10"/>
        <v>-20</v>
      </c>
      <c r="L109" s="103"/>
      <c r="M109" s="105">
        <f t="shared" si="11"/>
        <v>0</v>
      </c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</row>
    <row r="110" spans="1:38" s="88" customFormat="1">
      <c r="A110" s="124"/>
      <c r="B110" s="123"/>
      <c r="C110" s="123"/>
      <c r="D110" s="123"/>
      <c r="E110" s="123"/>
      <c r="F110" s="123"/>
      <c r="H110" s="103">
        <v>105</v>
      </c>
      <c r="I110" s="104" t="str">
        <f t="shared" si="8"/>
        <v/>
      </c>
      <c r="J110" s="103">
        <f t="shared" si="9"/>
        <v>-2</v>
      </c>
      <c r="K110" s="103">
        <f t="shared" si="10"/>
        <v>-20</v>
      </c>
      <c r="L110" s="103"/>
      <c r="M110" s="105">
        <f t="shared" si="11"/>
        <v>0</v>
      </c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</row>
    <row r="111" spans="1:38" s="88" customFormat="1">
      <c r="A111" s="124"/>
      <c r="B111" s="123"/>
      <c r="C111" s="123"/>
      <c r="D111" s="123"/>
      <c r="E111" s="123"/>
      <c r="F111" s="123"/>
      <c r="H111" s="103">
        <v>106</v>
      </c>
      <c r="I111" s="104" t="str">
        <f t="shared" si="8"/>
        <v/>
      </c>
      <c r="J111" s="103">
        <f t="shared" si="9"/>
        <v>-2</v>
      </c>
      <c r="K111" s="103">
        <f t="shared" si="10"/>
        <v>-20</v>
      </c>
      <c r="L111" s="103"/>
      <c r="M111" s="105">
        <f t="shared" si="11"/>
        <v>0</v>
      </c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</row>
    <row r="112" spans="1:38" s="88" customFormat="1">
      <c r="A112" s="124"/>
      <c r="B112" s="123"/>
      <c r="C112" s="123"/>
      <c r="D112" s="123"/>
      <c r="E112" s="123"/>
      <c r="F112" s="123"/>
      <c r="H112" s="103">
        <v>107</v>
      </c>
      <c r="I112" s="104" t="str">
        <f t="shared" si="8"/>
        <v/>
      </c>
      <c r="J112" s="103">
        <f t="shared" si="9"/>
        <v>-2</v>
      </c>
      <c r="K112" s="103">
        <f t="shared" si="10"/>
        <v>-20</v>
      </c>
      <c r="L112" s="103"/>
      <c r="M112" s="105">
        <f t="shared" si="11"/>
        <v>0</v>
      </c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</row>
    <row r="113" spans="1:38" s="88" customFormat="1">
      <c r="A113" s="124"/>
      <c r="B113" s="123"/>
      <c r="C113" s="123"/>
      <c r="D113" s="123"/>
      <c r="E113" s="123"/>
      <c r="F113" s="123"/>
      <c r="H113" s="103">
        <v>108</v>
      </c>
      <c r="I113" s="104" t="str">
        <f t="shared" si="8"/>
        <v/>
      </c>
      <c r="J113" s="103">
        <f t="shared" si="9"/>
        <v>-2</v>
      </c>
      <c r="K113" s="103">
        <f t="shared" si="10"/>
        <v>-20</v>
      </c>
      <c r="L113" s="103"/>
      <c r="M113" s="105">
        <f t="shared" si="11"/>
        <v>0</v>
      </c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</row>
    <row r="114" spans="1:38" s="88" customFormat="1">
      <c r="A114" s="124"/>
      <c r="B114" s="123"/>
      <c r="C114" s="123"/>
      <c r="D114" s="123"/>
      <c r="E114" s="123"/>
      <c r="F114" s="123"/>
      <c r="H114" s="103">
        <v>109</v>
      </c>
      <c r="I114" s="104" t="str">
        <f t="shared" si="8"/>
        <v/>
      </c>
      <c r="J114" s="103">
        <f t="shared" si="9"/>
        <v>-2</v>
      </c>
      <c r="K114" s="103">
        <f t="shared" si="10"/>
        <v>-20</v>
      </c>
      <c r="L114" s="103"/>
      <c r="M114" s="105">
        <f t="shared" si="11"/>
        <v>0</v>
      </c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</row>
    <row r="115" spans="1:38" s="88" customFormat="1">
      <c r="A115" s="124"/>
      <c r="B115" s="123"/>
      <c r="C115" s="123"/>
      <c r="D115" s="123"/>
      <c r="E115" s="123"/>
      <c r="F115" s="123"/>
      <c r="H115" s="103">
        <v>110</v>
      </c>
      <c r="I115" s="104" t="str">
        <f t="shared" si="8"/>
        <v/>
      </c>
      <c r="J115" s="103">
        <f t="shared" si="9"/>
        <v>-2</v>
      </c>
      <c r="K115" s="103">
        <f t="shared" si="10"/>
        <v>-20</v>
      </c>
      <c r="L115" s="103"/>
      <c r="M115" s="105">
        <f t="shared" si="11"/>
        <v>0</v>
      </c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</row>
    <row r="116" spans="1:38" s="88" customFormat="1">
      <c r="A116" s="124"/>
      <c r="B116" s="123"/>
      <c r="C116" s="123"/>
      <c r="D116" s="123"/>
      <c r="E116" s="123"/>
      <c r="F116" s="123"/>
      <c r="H116" s="103">
        <v>111</v>
      </c>
      <c r="I116" s="104" t="str">
        <f t="shared" si="8"/>
        <v/>
      </c>
      <c r="J116" s="103">
        <f t="shared" si="9"/>
        <v>-2</v>
      </c>
      <c r="K116" s="103">
        <f t="shared" si="10"/>
        <v>-20</v>
      </c>
      <c r="L116" s="103"/>
      <c r="M116" s="105">
        <f t="shared" si="11"/>
        <v>0</v>
      </c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</row>
    <row r="117" spans="1:38" s="88" customFormat="1">
      <c r="A117" s="124"/>
      <c r="B117" s="123"/>
      <c r="C117" s="123"/>
      <c r="D117" s="123"/>
      <c r="E117" s="123"/>
      <c r="F117" s="123"/>
      <c r="H117" s="103">
        <v>112</v>
      </c>
      <c r="I117" s="104" t="str">
        <f t="shared" si="8"/>
        <v/>
      </c>
      <c r="J117" s="103">
        <f t="shared" si="9"/>
        <v>-2</v>
      </c>
      <c r="K117" s="103">
        <f t="shared" si="10"/>
        <v>-20</v>
      </c>
      <c r="L117" s="103"/>
      <c r="M117" s="105">
        <f t="shared" si="11"/>
        <v>0</v>
      </c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</row>
    <row r="118" spans="1:38" s="88" customFormat="1">
      <c r="A118" s="124"/>
      <c r="B118" s="123"/>
      <c r="C118" s="123"/>
      <c r="D118" s="123"/>
      <c r="E118" s="123"/>
      <c r="F118" s="123"/>
      <c r="H118" s="103">
        <v>113</v>
      </c>
      <c r="I118" s="104" t="str">
        <f t="shared" si="8"/>
        <v/>
      </c>
      <c r="J118" s="103">
        <f t="shared" si="9"/>
        <v>-2</v>
      </c>
      <c r="K118" s="103">
        <f t="shared" si="10"/>
        <v>-20</v>
      </c>
      <c r="L118" s="103"/>
      <c r="M118" s="105">
        <f t="shared" si="11"/>
        <v>0</v>
      </c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</row>
    <row r="119" spans="1:38" s="88" customFormat="1">
      <c r="A119" s="124"/>
      <c r="B119" s="123"/>
      <c r="C119" s="123"/>
      <c r="D119" s="123"/>
      <c r="E119" s="123"/>
      <c r="F119" s="123"/>
      <c r="H119" s="103">
        <v>114</v>
      </c>
      <c r="I119" s="104" t="str">
        <f t="shared" si="8"/>
        <v/>
      </c>
      <c r="J119" s="103">
        <f t="shared" si="9"/>
        <v>-2</v>
      </c>
      <c r="K119" s="103">
        <f t="shared" si="10"/>
        <v>-20</v>
      </c>
      <c r="L119" s="103"/>
      <c r="M119" s="105">
        <f t="shared" si="11"/>
        <v>0</v>
      </c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</row>
    <row r="120" spans="1:38" s="88" customFormat="1">
      <c r="A120" s="124"/>
      <c r="B120" s="123"/>
      <c r="C120" s="123"/>
      <c r="D120" s="123"/>
      <c r="E120" s="123"/>
      <c r="F120" s="123"/>
      <c r="H120" s="103">
        <v>115</v>
      </c>
      <c r="I120" s="104" t="str">
        <f t="shared" si="8"/>
        <v/>
      </c>
      <c r="J120" s="103">
        <f t="shared" si="9"/>
        <v>-2</v>
      </c>
      <c r="K120" s="103">
        <f t="shared" si="10"/>
        <v>-20</v>
      </c>
      <c r="L120" s="103"/>
      <c r="M120" s="105">
        <f t="shared" si="11"/>
        <v>0</v>
      </c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</row>
    <row r="121" spans="1:38" s="88" customFormat="1">
      <c r="A121" s="124"/>
      <c r="B121" s="123"/>
      <c r="C121" s="123"/>
      <c r="D121" s="123"/>
      <c r="E121" s="123"/>
      <c r="F121" s="123"/>
      <c r="H121" s="103">
        <v>116</v>
      </c>
      <c r="I121" s="104" t="str">
        <f t="shared" si="8"/>
        <v/>
      </c>
      <c r="J121" s="103">
        <f t="shared" si="9"/>
        <v>-2</v>
      </c>
      <c r="K121" s="103">
        <f t="shared" si="10"/>
        <v>-20</v>
      </c>
      <c r="L121" s="103"/>
      <c r="M121" s="105">
        <f t="shared" si="11"/>
        <v>0</v>
      </c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</row>
    <row r="122" spans="1:38" s="88" customFormat="1">
      <c r="A122" s="124"/>
      <c r="B122" s="123"/>
      <c r="C122" s="123"/>
      <c r="D122" s="123"/>
      <c r="E122" s="123"/>
      <c r="F122" s="123"/>
      <c r="H122" s="103">
        <v>117</v>
      </c>
      <c r="I122" s="104" t="str">
        <f t="shared" si="8"/>
        <v/>
      </c>
      <c r="J122" s="103">
        <f t="shared" si="9"/>
        <v>-2</v>
      </c>
      <c r="K122" s="103">
        <f t="shared" si="10"/>
        <v>-20</v>
      </c>
      <c r="L122" s="103"/>
      <c r="M122" s="105">
        <f t="shared" si="11"/>
        <v>0</v>
      </c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</row>
    <row r="123" spans="1:38" s="88" customFormat="1">
      <c r="A123" s="124"/>
      <c r="B123" s="123"/>
      <c r="C123" s="123"/>
      <c r="D123" s="123"/>
      <c r="E123" s="123"/>
      <c r="F123" s="123"/>
      <c r="H123" s="103">
        <v>118</v>
      </c>
      <c r="I123" s="104" t="str">
        <f t="shared" si="8"/>
        <v/>
      </c>
      <c r="J123" s="103">
        <f t="shared" si="9"/>
        <v>-2</v>
      </c>
      <c r="K123" s="103">
        <f t="shared" si="10"/>
        <v>-20</v>
      </c>
      <c r="L123" s="103"/>
      <c r="M123" s="105">
        <f t="shared" si="11"/>
        <v>0</v>
      </c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</row>
    <row r="124" spans="1:38" s="88" customFormat="1">
      <c r="A124" s="124"/>
      <c r="B124" s="123"/>
      <c r="C124" s="123"/>
      <c r="D124" s="123"/>
      <c r="E124" s="123"/>
      <c r="F124" s="123"/>
      <c r="H124" s="103">
        <v>119</v>
      </c>
      <c r="I124" s="104" t="str">
        <f t="shared" si="8"/>
        <v/>
      </c>
      <c r="J124" s="103">
        <f t="shared" si="9"/>
        <v>-2</v>
      </c>
      <c r="K124" s="103">
        <f t="shared" si="10"/>
        <v>-20</v>
      </c>
      <c r="L124" s="103"/>
      <c r="M124" s="105">
        <f t="shared" si="11"/>
        <v>0</v>
      </c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</row>
    <row r="125" spans="1:38" s="88" customFormat="1">
      <c r="A125" s="124"/>
      <c r="B125" s="123"/>
      <c r="C125" s="123"/>
      <c r="D125" s="123"/>
      <c r="E125" s="123"/>
      <c r="F125" s="123"/>
      <c r="H125" s="103">
        <v>120</v>
      </c>
      <c r="I125" s="104" t="str">
        <f t="shared" si="8"/>
        <v/>
      </c>
      <c r="J125" s="103">
        <f t="shared" si="9"/>
        <v>-2</v>
      </c>
      <c r="K125" s="103">
        <f t="shared" si="10"/>
        <v>-20</v>
      </c>
      <c r="L125" s="103"/>
      <c r="M125" s="105">
        <f t="shared" si="11"/>
        <v>0</v>
      </c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</row>
    <row r="126" spans="1:38" s="88" customFormat="1">
      <c r="A126" s="124"/>
      <c r="B126" s="123"/>
      <c r="C126" s="123"/>
      <c r="D126" s="123"/>
      <c r="E126" s="123"/>
      <c r="F126" s="123"/>
      <c r="H126" s="103">
        <v>121</v>
      </c>
      <c r="I126" s="104" t="str">
        <f t="shared" si="8"/>
        <v/>
      </c>
      <c r="J126" s="103">
        <f t="shared" si="9"/>
        <v>-2</v>
      </c>
      <c r="K126" s="103">
        <f t="shared" si="10"/>
        <v>-20</v>
      </c>
      <c r="L126" s="103"/>
      <c r="M126" s="105">
        <f t="shared" si="11"/>
        <v>0</v>
      </c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</row>
    <row r="127" spans="1:38" s="88" customFormat="1">
      <c r="A127" s="124"/>
      <c r="B127" s="123"/>
      <c r="C127" s="123"/>
      <c r="D127" s="123"/>
      <c r="E127" s="123"/>
      <c r="F127" s="123"/>
      <c r="H127" s="103">
        <v>122</v>
      </c>
      <c r="I127" s="104" t="str">
        <f t="shared" si="8"/>
        <v/>
      </c>
      <c r="J127" s="103">
        <f t="shared" si="9"/>
        <v>-2</v>
      </c>
      <c r="K127" s="103">
        <f t="shared" si="10"/>
        <v>-20</v>
      </c>
      <c r="L127" s="103"/>
      <c r="M127" s="105">
        <f t="shared" si="11"/>
        <v>0</v>
      </c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</row>
    <row r="128" spans="1:38" s="88" customFormat="1">
      <c r="A128" s="124"/>
      <c r="B128" s="123"/>
      <c r="C128" s="123"/>
      <c r="D128" s="123"/>
      <c r="E128" s="123"/>
      <c r="F128" s="123"/>
      <c r="H128" s="103">
        <v>123</v>
      </c>
      <c r="I128" s="104" t="str">
        <f t="shared" si="8"/>
        <v/>
      </c>
      <c r="J128" s="103">
        <f t="shared" si="9"/>
        <v>-2</v>
      </c>
      <c r="K128" s="103">
        <f t="shared" si="10"/>
        <v>-20</v>
      </c>
      <c r="L128" s="103"/>
      <c r="M128" s="105">
        <f t="shared" si="11"/>
        <v>0</v>
      </c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</row>
    <row r="129" spans="1:38" s="88" customFormat="1">
      <c r="A129" s="124"/>
      <c r="B129" s="123"/>
      <c r="C129" s="123"/>
      <c r="D129" s="123"/>
      <c r="E129" s="123"/>
      <c r="F129" s="123"/>
      <c r="H129" s="103">
        <v>124</v>
      </c>
      <c r="I129" s="104" t="str">
        <f t="shared" si="8"/>
        <v/>
      </c>
      <c r="J129" s="103">
        <f t="shared" si="9"/>
        <v>-2</v>
      </c>
      <c r="K129" s="103">
        <f t="shared" si="10"/>
        <v>-20</v>
      </c>
      <c r="L129" s="103"/>
      <c r="M129" s="105">
        <f t="shared" si="11"/>
        <v>0</v>
      </c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</row>
    <row r="130" spans="1:38" s="88" customFormat="1">
      <c r="A130" s="124"/>
      <c r="B130" s="123"/>
      <c r="C130" s="123"/>
      <c r="D130" s="123"/>
      <c r="E130" s="123"/>
      <c r="F130" s="123"/>
      <c r="H130" s="103">
        <v>125</v>
      </c>
      <c r="I130" s="104" t="str">
        <f t="shared" si="8"/>
        <v/>
      </c>
      <c r="J130" s="103">
        <f t="shared" si="9"/>
        <v>-2</v>
      </c>
      <c r="K130" s="103">
        <f t="shared" si="10"/>
        <v>-20</v>
      </c>
      <c r="L130" s="103"/>
      <c r="M130" s="105">
        <f t="shared" si="11"/>
        <v>0</v>
      </c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</row>
    <row r="131" spans="1:38" s="88" customFormat="1">
      <c r="A131" s="124"/>
      <c r="B131" s="123"/>
      <c r="C131" s="123"/>
      <c r="D131" s="123"/>
      <c r="E131" s="123"/>
      <c r="F131" s="123"/>
      <c r="H131" s="103">
        <v>126</v>
      </c>
      <c r="I131" s="104" t="str">
        <f t="shared" si="8"/>
        <v/>
      </c>
      <c r="J131" s="103">
        <f t="shared" si="9"/>
        <v>-2</v>
      </c>
      <c r="K131" s="103">
        <f t="shared" si="10"/>
        <v>-20</v>
      </c>
      <c r="L131" s="103"/>
      <c r="M131" s="105">
        <f t="shared" si="11"/>
        <v>0</v>
      </c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</row>
    <row r="132" spans="1:38" s="88" customFormat="1">
      <c r="A132" s="124"/>
      <c r="B132" s="123"/>
      <c r="C132" s="123"/>
      <c r="D132" s="123"/>
      <c r="E132" s="123"/>
      <c r="F132" s="123"/>
      <c r="H132" s="103">
        <v>127</v>
      </c>
      <c r="I132" s="104" t="str">
        <f t="shared" si="8"/>
        <v/>
      </c>
      <c r="J132" s="103">
        <f t="shared" si="9"/>
        <v>-2</v>
      </c>
      <c r="K132" s="103">
        <f t="shared" si="10"/>
        <v>-20</v>
      </c>
      <c r="L132" s="103"/>
      <c r="M132" s="105">
        <f t="shared" si="11"/>
        <v>0</v>
      </c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</row>
    <row r="133" spans="1:38" s="88" customFormat="1">
      <c r="A133" s="124"/>
      <c r="B133" s="123"/>
      <c r="C133" s="123"/>
      <c r="D133" s="123"/>
      <c r="E133" s="123"/>
      <c r="F133" s="123"/>
      <c r="H133" s="103">
        <v>128</v>
      </c>
      <c r="I133" s="104" t="str">
        <f t="shared" si="8"/>
        <v/>
      </c>
      <c r="J133" s="103">
        <f t="shared" si="9"/>
        <v>-2</v>
      </c>
      <c r="K133" s="103">
        <f t="shared" si="10"/>
        <v>-20</v>
      </c>
      <c r="L133" s="103"/>
      <c r="M133" s="105">
        <f t="shared" si="11"/>
        <v>0</v>
      </c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</row>
    <row r="134" spans="1:38" s="88" customFormat="1">
      <c r="A134" s="124"/>
      <c r="B134" s="123"/>
      <c r="C134" s="123"/>
      <c r="D134" s="123"/>
      <c r="E134" s="123"/>
      <c r="F134" s="123"/>
      <c r="H134" s="103">
        <v>129</v>
      </c>
      <c r="I134" s="104" t="str">
        <f t="shared" ref="I134:I197" si="12">IF(H134&lt;$H$2+1,($I$2-($I$2-1)*(LOG(H134)/LOG($H$2))),"")</f>
        <v/>
      </c>
      <c r="J134" s="103">
        <f t="shared" ref="J134:J197" si="13">INT(LOG($H$2,2))-ROUNDUP(LOG(H134,2),0)+IF(OR($H$2=1,$H$2=2,$H$2=4,$H$2=8,$H$2=16,$H$2=32,$H$2=64,$H$2=128,$H$2=256),0,1)</f>
        <v>-3</v>
      </c>
      <c r="K134" s="103">
        <f t="shared" ref="K134:K197" si="14">J134*$J$2</f>
        <v>-30</v>
      </c>
      <c r="L134" s="103"/>
      <c r="M134" s="105">
        <f t="shared" ref="M134:M197" si="15">IF(I134&lt;&gt;"",K134+I134+L134,0)</f>
        <v>0</v>
      </c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</row>
    <row r="135" spans="1:38" s="88" customFormat="1">
      <c r="A135" s="124"/>
      <c r="B135" s="123"/>
      <c r="C135" s="123"/>
      <c r="D135" s="123"/>
      <c r="E135" s="123"/>
      <c r="F135" s="123"/>
      <c r="H135" s="103">
        <v>130</v>
      </c>
      <c r="I135" s="104" t="str">
        <f t="shared" si="12"/>
        <v/>
      </c>
      <c r="J135" s="103">
        <f t="shared" si="13"/>
        <v>-3</v>
      </c>
      <c r="K135" s="103">
        <f t="shared" si="14"/>
        <v>-30</v>
      </c>
      <c r="L135" s="103"/>
      <c r="M135" s="105">
        <f t="shared" si="15"/>
        <v>0</v>
      </c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</row>
    <row r="136" spans="1:38" s="88" customFormat="1">
      <c r="A136" s="124"/>
      <c r="B136" s="123"/>
      <c r="C136" s="123"/>
      <c r="D136" s="123"/>
      <c r="E136" s="123"/>
      <c r="F136" s="123"/>
      <c r="H136" s="103">
        <v>131</v>
      </c>
      <c r="I136" s="104" t="str">
        <f t="shared" si="12"/>
        <v/>
      </c>
      <c r="J136" s="103">
        <f t="shared" si="13"/>
        <v>-3</v>
      </c>
      <c r="K136" s="103">
        <f t="shared" si="14"/>
        <v>-30</v>
      </c>
      <c r="L136" s="103"/>
      <c r="M136" s="105">
        <f t="shared" si="15"/>
        <v>0</v>
      </c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</row>
    <row r="137" spans="1:38" s="88" customFormat="1">
      <c r="A137" s="124"/>
      <c r="B137" s="123"/>
      <c r="C137" s="123"/>
      <c r="D137" s="123"/>
      <c r="E137" s="123"/>
      <c r="F137" s="123"/>
      <c r="H137" s="103">
        <v>132</v>
      </c>
      <c r="I137" s="104" t="str">
        <f t="shared" si="12"/>
        <v/>
      </c>
      <c r="J137" s="103">
        <f t="shared" si="13"/>
        <v>-3</v>
      </c>
      <c r="K137" s="103">
        <f t="shared" si="14"/>
        <v>-30</v>
      </c>
      <c r="L137" s="103"/>
      <c r="M137" s="105">
        <f t="shared" si="15"/>
        <v>0</v>
      </c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</row>
    <row r="138" spans="1:38" s="88" customFormat="1">
      <c r="A138" s="124"/>
      <c r="B138" s="123"/>
      <c r="C138" s="123"/>
      <c r="D138" s="123"/>
      <c r="E138" s="123"/>
      <c r="F138" s="123"/>
      <c r="H138" s="103">
        <v>133</v>
      </c>
      <c r="I138" s="104" t="str">
        <f t="shared" si="12"/>
        <v/>
      </c>
      <c r="J138" s="103">
        <f t="shared" si="13"/>
        <v>-3</v>
      </c>
      <c r="K138" s="103">
        <f t="shared" si="14"/>
        <v>-30</v>
      </c>
      <c r="L138" s="103"/>
      <c r="M138" s="105">
        <f t="shared" si="15"/>
        <v>0</v>
      </c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</row>
    <row r="139" spans="1:38" s="88" customFormat="1">
      <c r="A139" s="124"/>
      <c r="B139" s="123"/>
      <c r="C139" s="123"/>
      <c r="D139" s="123"/>
      <c r="E139" s="123"/>
      <c r="F139" s="123"/>
      <c r="H139" s="103">
        <v>134</v>
      </c>
      <c r="I139" s="104" t="str">
        <f t="shared" si="12"/>
        <v/>
      </c>
      <c r="J139" s="103">
        <f t="shared" si="13"/>
        <v>-3</v>
      </c>
      <c r="K139" s="103">
        <f t="shared" si="14"/>
        <v>-30</v>
      </c>
      <c r="L139" s="103"/>
      <c r="M139" s="105">
        <f t="shared" si="15"/>
        <v>0</v>
      </c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</row>
    <row r="140" spans="1:38" s="88" customFormat="1">
      <c r="A140" s="124"/>
      <c r="B140" s="123"/>
      <c r="C140" s="123"/>
      <c r="D140" s="123"/>
      <c r="E140" s="123"/>
      <c r="F140" s="123"/>
      <c r="H140" s="103">
        <v>135</v>
      </c>
      <c r="I140" s="104" t="str">
        <f t="shared" si="12"/>
        <v/>
      </c>
      <c r="J140" s="103">
        <f t="shared" si="13"/>
        <v>-3</v>
      </c>
      <c r="K140" s="103">
        <f t="shared" si="14"/>
        <v>-30</v>
      </c>
      <c r="L140" s="103"/>
      <c r="M140" s="105">
        <f t="shared" si="15"/>
        <v>0</v>
      </c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</row>
    <row r="141" spans="1:38" s="88" customFormat="1">
      <c r="A141" s="124"/>
      <c r="B141" s="123"/>
      <c r="C141" s="123"/>
      <c r="D141" s="123"/>
      <c r="E141" s="123"/>
      <c r="F141" s="123"/>
      <c r="H141" s="103">
        <v>136</v>
      </c>
      <c r="I141" s="104" t="str">
        <f t="shared" si="12"/>
        <v/>
      </c>
      <c r="J141" s="103">
        <f t="shared" si="13"/>
        <v>-3</v>
      </c>
      <c r="K141" s="103">
        <f t="shared" si="14"/>
        <v>-30</v>
      </c>
      <c r="L141" s="103"/>
      <c r="M141" s="105">
        <f t="shared" si="15"/>
        <v>0</v>
      </c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</row>
    <row r="142" spans="1:38" s="88" customFormat="1">
      <c r="A142" s="124"/>
      <c r="B142" s="123"/>
      <c r="C142" s="123"/>
      <c r="D142" s="123"/>
      <c r="E142" s="123"/>
      <c r="F142" s="123"/>
      <c r="H142" s="103">
        <v>137</v>
      </c>
      <c r="I142" s="104" t="str">
        <f t="shared" si="12"/>
        <v/>
      </c>
      <c r="J142" s="103">
        <f t="shared" si="13"/>
        <v>-3</v>
      </c>
      <c r="K142" s="103">
        <f t="shared" si="14"/>
        <v>-30</v>
      </c>
      <c r="L142" s="103"/>
      <c r="M142" s="105">
        <f t="shared" si="15"/>
        <v>0</v>
      </c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</row>
    <row r="143" spans="1:38" s="88" customFormat="1">
      <c r="A143" s="124"/>
      <c r="B143" s="123"/>
      <c r="C143" s="123"/>
      <c r="D143" s="123"/>
      <c r="E143" s="123"/>
      <c r="F143" s="123"/>
      <c r="H143" s="103">
        <v>138</v>
      </c>
      <c r="I143" s="104" t="str">
        <f t="shared" si="12"/>
        <v/>
      </c>
      <c r="J143" s="103">
        <f t="shared" si="13"/>
        <v>-3</v>
      </c>
      <c r="K143" s="103">
        <f t="shared" si="14"/>
        <v>-30</v>
      </c>
      <c r="L143" s="103"/>
      <c r="M143" s="105">
        <f t="shared" si="15"/>
        <v>0</v>
      </c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</row>
    <row r="144" spans="1:38" s="88" customFormat="1">
      <c r="A144" s="124"/>
      <c r="B144" s="123"/>
      <c r="C144" s="123"/>
      <c r="D144" s="123"/>
      <c r="E144" s="123"/>
      <c r="F144" s="123"/>
      <c r="H144" s="103">
        <v>139</v>
      </c>
      <c r="I144" s="104" t="str">
        <f t="shared" si="12"/>
        <v/>
      </c>
      <c r="J144" s="103">
        <f t="shared" si="13"/>
        <v>-3</v>
      </c>
      <c r="K144" s="103">
        <f t="shared" si="14"/>
        <v>-30</v>
      </c>
      <c r="L144" s="103"/>
      <c r="M144" s="105">
        <f t="shared" si="15"/>
        <v>0</v>
      </c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</row>
    <row r="145" spans="1:38" s="88" customFormat="1">
      <c r="A145" s="124"/>
      <c r="B145" s="123"/>
      <c r="C145" s="123"/>
      <c r="D145" s="123"/>
      <c r="E145" s="123"/>
      <c r="F145" s="123"/>
      <c r="H145" s="103">
        <v>140</v>
      </c>
      <c r="I145" s="104" t="str">
        <f t="shared" si="12"/>
        <v/>
      </c>
      <c r="J145" s="103">
        <f t="shared" si="13"/>
        <v>-3</v>
      </c>
      <c r="K145" s="103">
        <f t="shared" si="14"/>
        <v>-30</v>
      </c>
      <c r="L145" s="103"/>
      <c r="M145" s="105">
        <f t="shared" si="15"/>
        <v>0</v>
      </c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</row>
    <row r="146" spans="1:38" s="88" customFormat="1">
      <c r="A146" s="124"/>
      <c r="B146" s="123"/>
      <c r="C146" s="123"/>
      <c r="D146" s="123"/>
      <c r="E146" s="123"/>
      <c r="F146" s="123"/>
      <c r="H146" s="103">
        <v>141</v>
      </c>
      <c r="I146" s="104" t="str">
        <f t="shared" si="12"/>
        <v/>
      </c>
      <c r="J146" s="103">
        <f t="shared" si="13"/>
        <v>-3</v>
      </c>
      <c r="K146" s="103">
        <f t="shared" si="14"/>
        <v>-30</v>
      </c>
      <c r="L146" s="103"/>
      <c r="M146" s="105">
        <f t="shared" si="15"/>
        <v>0</v>
      </c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</row>
    <row r="147" spans="1:38" s="88" customFormat="1">
      <c r="A147" s="124"/>
      <c r="B147" s="123"/>
      <c r="C147" s="123"/>
      <c r="D147" s="123"/>
      <c r="E147" s="123"/>
      <c r="F147" s="123"/>
      <c r="H147" s="103">
        <v>142</v>
      </c>
      <c r="I147" s="104" t="str">
        <f t="shared" si="12"/>
        <v/>
      </c>
      <c r="J147" s="103">
        <f t="shared" si="13"/>
        <v>-3</v>
      </c>
      <c r="K147" s="103">
        <f t="shared" si="14"/>
        <v>-30</v>
      </c>
      <c r="L147" s="103"/>
      <c r="M147" s="105">
        <f t="shared" si="15"/>
        <v>0</v>
      </c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</row>
    <row r="148" spans="1:38" s="88" customFormat="1">
      <c r="A148" s="124"/>
      <c r="B148" s="123"/>
      <c r="C148" s="123"/>
      <c r="D148" s="123"/>
      <c r="E148" s="123"/>
      <c r="F148" s="123"/>
      <c r="H148" s="103">
        <v>143</v>
      </c>
      <c r="I148" s="104" t="str">
        <f t="shared" si="12"/>
        <v/>
      </c>
      <c r="J148" s="103">
        <f t="shared" si="13"/>
        <v>-3</v>
      </c>
      <c r="K148" s="103">
        <f t="shared" si="14"/>
        <v>-30</v>
      </c>
      <c r="L148" s="103"/>
      <c r="M148" s="105">
        <f t="shared" si="15"/>
        <v>0</v>
      </c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</row>
    <row r="149" spans="1:38" s="88" customFormat="1">
      <c r="A149" s="124"/>
      <c r="B149" s="123"/>
      <c r="C149" s="123"/>
      <c r="D149" s="123"/>
      <c r="E149" s="123"/>
      <c r="F149" s="123"/>
      <c r="H149" s="103">
        <v>144</v>
      </c>
      <c r="I149" s="104" t="str">
        <f t="shared" si="12"/>
        <v/>
      </c>
      <c r="J149" s="103">
        <f t="shared" si="13"/>
        <v>-3</v>
      </c>
      <c r="K149" s="103">
        <f t="shared" si="14"/>
        <v>-30</v>
      </c>
      <c r="L149" s="103"/>
      <c r="M149" s="105">
        <f t="shared" si="15"/>
        <v>0</v>
      </c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</row>
    <row r="150" spans="1:38" s="88" customFormat="1">
      <c r="A150" s="124"/>
      <c r="B150" s="123"/>
      <c r="C150" s="123"/>
      <c r="D150" s="123"/>
      <c r="E150" s="123"/>
      <c r="F150" s="123"/>
      <c r="H150" s="103">
        <v>145</v>
      </c>
      <c r="I150" s="104" t="str">
        <f t="shared" si="12"/>
        <v/>
      </c>
      <c r="J150" s="103">
        <f t="shared" si="13"/>
        <v>-3</v>
      </c>
      <c r="K150" s="103">
        <f t="shared" si="14"/>
        <v>-30</v>
      </c>
      <c r="L150" s="103"/>
      <c r="M150" s="105">
        <f t="shared" si="15"/>
        <v>0</v>
      </c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</row>
    <row r="151" spans="1:38" s="88" customFormat="1">
      <c r="A151" s="124"/>
      <c r="B151" s="123"/>
      <c r="C151" s="123"/>
      <c r="D151" s="123"/>
      <c r="E151" s="123"/>
      <c r="F151" s="123"/>
      <c r="H151" s="103">
        <v>146</v>
      </c>
      <c r="I151" s="104" t="str">
        <f t="shared" si="12"/>
        <v/>
      </c>
      <c r="J151" s="103">
        <f t="shared" si="13"/>
        <v>-3</v>
      </c>
      <c r="K151" s="103">
        <f t="shared" si="14"/>
        <v>-30</v>
      </c>
      <c r="L151" s="103"/>
      <c r="M151" s="105">
        <f t="shared" si="15"/>
        <v>0</v>
      </c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</row>
    <row r="152" spans="1:38" s="88" customFormat="1">
      <c r="A152" s="124"/>
      <c r="B152" s="123"/>
      <c r="C152" s="123"/>
      <c r="D152" s="123"/>
      <c r="E152" s="123"/>
      <c r="F152" s="123"/>
      <c r="H152" s="103">
        <v>147</v>
      </c>
      <c r="I152" s="104" t="str">
        <f t="shared" si="12"/>
        <v/>
      </c>
      <c r="J152" s="103">
        <f t="shared" si="13"/>
        <v>-3</v>
      </c>
      <c r="K152" s="103">
        <f t="shared" si="14"/>
        <v>-30</v>
      </c>
      <c r="L152" s="103"/>
      <c r="M152" s="105">
        <f t="shared" si="15"/>
        <v>0</v>
      </c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</row>
    <row r="153" spans="1:38" s="88" customFormat="1">
      <c r="A153" s="124"/>
      <c r="B153" s="123"/>
      <c r="C153" s="123"/>
      <c r="D153" s="123"/>
      <c r="E153" s="123"/>
      <c r="F153" s="123"/>
      <c r="H153" s="103">
        <v>148</v>
      </c>
      <c r="I153" s="104" t="str">
        <f t="shared" si="12"/>
        <v/>
      </c>
      <c r="J153" s="103">
        <f t="shared" si="13"/>
        <v>-3</v>
      </c>
      <c r="K153" s="103">
        <f t="shared" si="14"/>
        <v>-30</v>
      </c>
      <c r="L153" s="103"/>
      <c r="M153" s="105">
        <f t="shared" si="15"/>
        <v>0</v>
      </c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</row>
    <row r="154" spans="1:38" s="88" customFormat="1">
      <c r="A154" s="124"/>
      <c r="B154" s="123"/>
      <c r="C154" s="123"/>
      <c r="D154" s="123"/>
      <c r="E154" s="123"/>
      <c r="F154" s="123"/>
      <c r="H154" s="103">
        <v>149</v>
      </c>
      <c r="I154" s="104" t="str">
        <f t="shared" si="12"/>
        <v/>
      </c>
      <c r="J154" s="103">
        <f t="shared" si="13"/>
        <v>-3</v>
      </c>
      <c r="K154" s="103">
        <f t="shared" si="14"/>
        <v>-30</v>
      </c>
      <c r="L154" s="103"/>
      <c r="M154" s="105">
        <f t="shared" si="15"/>
        <v>0</v>
      </c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</row>
    <row r="155" spans="1:38" s="88" customFormat="1">
      <c r="A155" s="124"/>
      <c r="B155" s="123"/>
      <c r="C155" s="123"/>
      <c r="D155" s="123"/>
      <c r="E155" s="123"/>
      <c r="F155" s="123"/>
      <c r="H155" s="103">
        <v>150</v>
      </c>
      <c r="I155" s="104" t="str">
        <f t="shared" si="12"/>
        <v/>
      </c>
      <c r="J155" s="103">
        <f t="shared" si="13"/>
        <v>-3</v>
      </c>
      <c r="K155" s="103">
        <f t="shared" si="14"/>
        <v>-30</v>
      </c>
      <c r="L155" s="103"/>
      <c r="M155" s="105">
        <f t="shared" si="15"/>
        <v>0</v>
      </c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</row>
    <row r="156" spans="1:38" s="88" customFormat="1">
      <c r="A156" s="124"/>
      <c r="B156" s="123"/>
      <c r="C156" s="123"/>
      <c r="D156" s="123"/>
      <c r="E156" s="123"/>
      <c r="F156" s="123"/>
      <c r="H156" s="103">
        <v>151</v>
      </c>
      <c r="I156" s="104" t="str">
        <f t="shared" si="12"/>
        <v/>
      </c>
      <c r="J156" s="103">
        <f t="shared" si="13"/>
        <v>-3</v>
      </c>
      <c r="K156" s="103">
        <f t="shared" si="14"/>
        <v>-30</v>
      </c>
      <c r="L156" s="103"/>
      <c r="M156" s="105">
        <f t="shared" si="15"/>
        <v>0</v>
      </c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</row>
    <row r="157" spans="1:38" s="88" customFormat="1">
      <c r="A157" s="124"/>
      <c r="B157" s="123"/>
      <c r="C157" s="123"/>
      <c r="D157" s="123"/>
      <c r="E157" s="123"/>
      <c r="F157" s="123"/>
      <c r="H157" s="103">
        <v>152</v>
      </c>
      <c r="I157" s="104" t="str">
        <f t="shared" si="12"/>
        <v/>
      </c>
      <c r="J157" s="103">
        <f t="shared" si="13"/>
        <v>-3</v>
      </c>
      <c r="K157" s="103">
        <f t="shared" si="14"/>
        <v>-30</v>
      </c>
      <c r="L157" s="103"/>
      <c r="M157" s="105">
        <f t="shared" si="15"/>
        <v>0</v>
      </c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</row>
    <row r="158" spans="1:38" s="88" customFormat="1">
      <c r="A158" s="124"/>
      <c r="B158" s="123"/>
      <c r="C158" s="123"/>
      <c r="D158" s="123"/>
      <c r="E158" s="123"/>
      <c r="F158" s="123"/>
      <c r="H158" s="103">
        <v>153</v>
      </c>
      <c r="I158" s="104" t="str">
        <f t="shared" si="12"/>
        <v/>
      </c>
      <c r="J158" s="103">
        <f t="shared" si="13"/>
        <v>-3</v>
      </c>
      <c r="K158" s="103">
        <f t="shared" si="14"/>
        <v>-30</v>
      </c>
      <c r="L158" s="103"/>
      <c r="M158" s="105">
        <f t="shared" si="15"/>
        <v>0</v>
      </c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</row>
    <row r="159" spans="1:38" s="88" customFormat="1">
      <c r="A159" s="124"/>
      <c r="B159" s="123"/>
      <c r="C159" s="123"/>
      <c r="D159" s="123"/>
      <c r="E159" s="123"/>
      <c r="F159" s="123"/>
      <c r="H159" s="103">
        <v>154</v>
      </c>
      <c r="I159" s="104" t="str">
        <f t="shared" si="12"/>
        <v/>
      </c>
      <c r="J159" s="103">
        <f t="shared" si="13"/>
        <v>-3</v>
      </c>
      <c r="K159" s="103">
        <f t="shared" si="14"/>
        <v>-30</v>
      </c>
      <c r="L159" s="103"/>
      <c r="M159" s="105">
        <f t="shared" si="15"/>
        <v>0</v>
      </c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</row>
    <row r="160" spans="1:38" s="88" customFormat="1">
      <c r="A160" s="124"/>
      <c r="B160" s="123"/>
      <c r="C160" s="123"/>
      <c r="D160" s="123"/>
      <c r="E160" s="123"/>
      <c r="F160" s="123"/>
      <c r="H160" s="103">
        <v>155</v>
      </c>
      <c r="I160" s="104" t="str">
        <f t="shared" si="12"/>
        <v/>
      </c>
      <c r="J160" s="103">
        <f t="shared" si="13"/>
        <v>-3</v>
      </c>
      <c r="K160" s="103">
        <f t="shared" si="14"/>
        <v>-30</v>
      </c>
      <c r="L160" s="103"/>
      <c r="M160" s="105">
        <f t="shared" si="15"/>
        <v>0</v>
      </c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</row>
    <row r="161" spans="1:38" s="88" customFormat="1">
      <c r="A161" s="124"/>
      <c r="B161" s="123"/>
      <c r="C161" s="123"/>
      <c r="D161" s="123"/>
      <c r="E161" s="123"/>
      <c r="F161" s="123"/>
      <c r="H161" s="103">
        <v>156</v>
      </c>
      <c r="I161" s="104" t="str">
        <f t="shared" si="12"/>
        <v/>
      </c>
      <c r="J161" s="103">
        <f t="shared" si="13"/>
        <v>-3</v>
      </c>
      <c r="K161" s="103">
        <f t="shared" si="14"/>
        <v>-30</v>
      </c>
      <c r="L161" s="103"/>
      <c r="M161" s="105">
        <f t="shared" si="15"/>
        <v>0</v>
      </c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</row>
    <row r="162" spans="1:38" s="88" customFormat="1">
      <c r="A162" s="124"/>
      <c r="B162" s="123"/>
      <c r="C162" s="123"/>
      <c r="D162" s="123"/>
      <c r="E162" s="123"/>
      <c r="F162" s="123"/>
      <c r="H162" s="103">
        <v>157</v>
      </c>
      <c r="I162" s="104" t="str">
        <f t="shared" si="12"/>
        <v/>
      </c>
      <c r="J162" s="103">
        <f t="shared" si="13"/>
        <v>-3</v>
      </c>
      <c r="K162" s="103">
        <f t="shared" si="14"/>
        <v>-30</v>
      </c>
      <c r="L162" s="103"/>
      <c r="M162" s="105">
        <f t="shared" si="15"/>
        <v>0</v>
      </c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</row>
    <row r="163" spans="1:38" s="88" customFormat="1">
      <c r="A163" s="124"/>
      <c r="B163" s="123"/>
      <c r="C163" s="123"/>
      <c r="D163" s="123"/>
      <c r="E163" s="123"/>
      <c r="F163" s="123"/>
      <c r="H163" s="103">
        <v>158</v>
      </c>
      <c r="I163" s="104" t="str">
        <f t="shared" si="12"/>
        <v/>
      </c>
      <c r="J163" s="103">
        <f t="shared" si="13"/>
        <v>-3</v>
      </c>
      <c r="K163" s="103">
        <f t="shared" si="14"/>
        <v>-30</v>
      </c>
      <c r="L163" s="103"/>
      <c r="M163" s="105">
        <f t="shared" si="15"/>
        <v>0</v>
      </c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</row>
    <row r="164" spans="1:38" s="88" customFormat="1">
      <c r="A164" s="124"/>
      <c r="B164" s="123"/>
      <c r="C164" s="123"/>
      <c r="D164" s="123"/>
      <c r="E164" s="123"/>
      <c r="F164" s="123"/>
      <c r="H164" s="103">
        <v>159</v>
      </c>
      <c r="I164" s="104" t="str">
        <f t="shared" si="12"/>
        <v/>
      </c>
      <c r="J164" s="103">
        <f t="shared" si="13"/>
        <v>-3</v>
      </c>
      <c r="K164" s="103">
        <f t="shared" si="14"/>
        <v>-30</v>
      </c>
      <c r="L164" s="103"/>
      <c r="M164" s="105">
        <f t="shared" si="15"/>
        <v>0</v>
      </c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</row>
    <row r="165" spans="1:38" s="88" customFormat="1">
      <c r="A165" s="124"/>
      <c r="B165" s="123"/>
      <c r="C165" s="123"/>
      <c r="D165" s="123"/>
      <c r="E165" s="123"/>
      <c r="F165" s="123"/>
      <c r="H165" s="103">
        <v>160</v>
      </c>
      <c r="I165" s="104" t="str">
        <f t="shared" si="12"/>
        <v/>
      </c>
      <c r="J165" s="103">
        <f t="shared" si="13"/>
        <v>-3</v>
      </c>
      <c r="K165" s="103">
        <f t="shared" si="14"/>
        <v>-30</v>
      </c>
      <c r="L165" s="103"/>
      <c r="M165" s="105">
        <f t="shared" si="15"/>
        <v>0</v>
      </c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</row>
    <row r="166" spans="1:38" s="88" customFormat="1">
      <c r="A166" s="124"/>
      <c r="B166" s="123"/>
      <c r="C166" s="123"/>
      <c r="D166" s="123"/>
      <c r="E166" s="123"/>
      <c r="F166" s="123"/>
      <c r="H166" s="103">
        <v>161</v>
      </c>
      <c r="I166" s="104" t="str">
        <f t="shared" si="12"/>
        <v/>
      </c>
      <c r="J166" s="103">
        <f t="shared" si="13"/>
        <v>-3</v>
      </c>
      <c r="K166" s="103">
        <f t="shared" si="14"/>
        <v>-30</v>
      </c>
      <c r="L166" s="103"/>
      <c r="M166" s="105">
        <f t="shared" si="15"/>
        <v>0</v>
      </c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</row>
    <row r="167" spans="1:38" s="88" customFormat="1">
      <c r="A167" s="124"/>
      <c r="B167" s="123"/>
      <c r="C167" s="123"/>
      <c r="D167" s="123"/>
      <c r="E167" s="123"/>
      <c r="F167" s="123"/>
      <c r="H167" s="103">
        <v>162</v>
      </c>
      <c r="I167" s="104" t="str">
        <f t="shared" si="12"/>
        <v/>
      </c>
      <c r="J167" s="103">
        <f t="shared" si="13"/>
        <v>-3</v>
      </c>
      <c r="K167" s="103">
        <f t="shared" si="14"/>
        <v>-30</v>
      </c>
      <c r="L167" s="103"/>
      <c r="M167" s="105">
        <f t="shared" si="15"/>
        <v>0</v>
      </c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</row>
    <row r="168" spans="1:38" s="88" customFormat="1">
      <c r="A168" s="124"/>
      <c r="B168" s="123"/>
      <c r="C168" s="123"/>
      <c r="D168" s="123"/>
      <c r="E168" s="123"/>
      <c r="F168" s="123"/>
      <c r="H168" s="103">
        <v>163</v>
      </c>
      <c r="I168" s="104" t="str">
        <f t="shared" si="12"/>
        <v/>
      </c>
      <c r="J168" s="103">
        <f t="shared" si="13"/>
        <v>-3</v>
      </c>
      <c r="K168" s="103">
        <f t="shared" si="14"/>
        <v>-30</v>
      </c>
      <c r="L168" s="103"/>
      <c r="M168" s="105">
        <f t="shared" si="15"/>
        <v>0</v>
      </c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</row>
    <row r="169" spans="1:38" s="88" customFormat="1">
      <c r="A169" s="124"/>
      <c r="B169" s="123"/>
      <c r="C169" s="123" t="s">
        <v>57</v>
      </c>
      <c r="D169" s="123"/>
      <c r="E169" s="123"/>
      <c r="F169" s="123"/>
      <c r="H169" s="103">
        <v>164</v>
      </c>
      <c r="I169" s="104" t="str">
        <f t="shared" si="12"/>
        <v/>
      </c>
      <c r="J169" s="103">
        <f t="shared" si="13"/>
        <v>-3</v>
      </c>
      <c r="K169" s="103">
        <f t="shared" si="14"/>
        <v>-30</v>
      </c>
      <c r="L169" s="103"/>
      <c r="M169" s="105">
        <f t="shared" si="15"/>
        <v>0</v>
      </c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</row>
    <row r="170" spans="1:38" s="88" customFormat="1">
      <c r="A170" s="124"/>
      <c r="B170" s="123"/>
      <c r="C170" s="123"/>
      <c r="D170" s="123"/>
      <c r="E170" s="123"/>
      <c r="F170" s="123"/>
      <c r="H170" s="103">
        <v>165</v>
      </c>
      <c r="I170" s="104" t="str">
        <f t="shared" si="12"/>
        <v/>
      </c>
      <c r="J170" s="103">
        <f t="shared" si="13"/>
        <v>-3</v>
      </c>
      <c r="K170" s="103">
        <f t="shared" si="14"/>
        <v>-30</v>
      </c>
      <c r="L170" s="103"/>
      <c r="M170" s="105">
        <f t="shared" si="15"/>
        <v>0</v>
      </c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</row>
    <row r="171" spans="1:38" s="88" customFormat="1">
      <c r="A171" s="124"/>
      <c r="B171" s="123"/>
      <c r="C171" s="123"/>
      <c r="D171" s="123"/>
      <c r="E171" s="123"/>
      <c r="F171" s="123"/>
      <c r="H171" s="103">
        <v>166</v>
      </c>
      <c r="I171" s="104" t="str">
        <f t="shared" si="12"/>
        <v/>
      </c>
      <c r="J171" s="103">
        <f t="shared" si="13"/>
        <v>-3</v>
      </c>
      <c r="K171" s="103">
        <f t="shared" si="14"/>
        <v>-30</v>
      </c>
      <c r="L171" s="103"/>
      <c r="M171" s="105">
        <f t="shared" si="15"/>
        <v>0</v>
      </c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</row>
    <row r="172" spans="1:38" s="88" customFormat="1">
      <c r="A172" s="124"/>
      <c r="B172" s="123"/>
      <c r="C172" s="123"/>
      <c r="D172" s="123"/>
      <c r="E172" s="123"/>
      <c r="F172" s="123"/>
      <c r="H172" s="103">
        <v>167</v>
      </c>
      <c r="I172" s="104" t="str">
        <f t="shared" si="12"/>
        <v/>
      </c>
      <c r="J172" s="103">
        <f t="shared" si="13"/>
        <v>-3</v>
      </c>
      <c r="K172" s="103">
        <f t="shared" si="14"/>
        <v>-30</v>
      </c>
      <c r="L172" s="103"/>
      <c r="M172" s="105">
        <f t="shared" si="15"/>
        <v>0</v>
      </c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</row>
    <row r="173" spans="1:38" s="88" customFormat="1">
      <c r="A173" s="124"/>
      <c r="B173" s="123"/>
      <c r="C173" s="123"/>
      <c r="D173" s="123"/>
      <c r="E173" s="123"/>
      <c r="F173" s="123"/>
      <c r="H173" s="103">
        <v>168</v>
      </c>
      <c r="I173" s="104" t="str">
        <f t="shared" si="12"/>
        <v/>
      </c>
      <c r="J173" s="103">
        <f t="shared" si="13"/>
        <v>-3</v>
      </c>
      <c r="K173" s="103">
        <f t="shared" si="14"/>
        <v>-30</v>
      </c>
      <c r="L173" s="103"/>
      <c r="M173" s="105">
        <f t="shared" si="15"/>
        <v>0</v>
      </c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</row>
    <row r="174" spans="1:38" s="88" customFormat="1">
      <c r="A174" s="124"/>
      <c r="B174" s="123"/>
      <c r="C174" s="123"/>
      <c r="D174" s="123"/>
      <c r="E174" s="123"/>
      <c r="F174" s="123"/>
      <c r="H174" s="103">
        <v>169</v>
      </c>
      <c r="I174" s="104" t="str">
        <f t="shared" si="12"/>
        <v/>
      </c>
      <c r="J174" s="103">
        <f t="shared" si="13"/>
        <v>-3</v>
      </c>
      <c r="K174" s="103">
        <f t="shared" si="14"/>
        <v>-30</v>
      </c>
      <c r="L174" s="103"/>
      <c r="M174" s="105">
        <f t="shared" si="15"/>
        <v>0</v>
      </c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</row>
    <row r="175" spans="1:38" s="88" customFormat="1">
      <c r="A175" s="124"/>
      <c r="B175" s="123"/>
      <c r="C175" s="123"/>
      <c r="D175" s="123"/>
      <c r="E175" s="123"/>
      <c r="F175" s="123"/>
      <c r="H175" s="103">
        <v>170</v>
      </c>
      <c r="I175" s="104" t="str">
        <f t="shared" si="12"/>
        <v/>
      </c>
      <c r="J175" s="103">
        <f t="shared" si="13"/>
        <v>-3</v>
      </c>
      <c r="K175" s="103">
        <f t="shared" si="14"/>
        <v>-30</v>
      </c>
      <c r="L175" s="103"/>
      <c r="M175" s="105">
        <f t="shared" si="15"/>
        <v>0</v>
      </c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</row>
    <row r="176" spans="1:38" s="88" customFormat="1">
      <c r="A176" s="124"/>
      <c r="B176" s="123"/>
      <c r="C176" s="123"/>
      <c r="D176" s="123"/>
      <c r="E176" s="123"/>
      <c r="F176" s="123"/>
      <c r="H176" s="103">
        <v>171</v>
      </c>
      <c r="I176" s="104" t="str">
        <f t="shared" si="12"/>
        <v/>
      </c>
      <c r="J176" s="103">
        <f t="shared" si="13"/>
        <v>-3</v>
      </c>
      <c r="K176" s="103">
        <f t="shared" si="14"/>
        <v>-30</v>
      </c>
      <c r="L176" s="103"/>
      <c r="M176" s="105">
        <f t="shared" si="15"/>
        <v>0</v>
      </c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</row>
    <row r="177" spans="1:38" s="88" customFormat="1">
      <c r="A177" s="124"/>
      <c r="B177" s="123"/>
      <c r="C177" s="123"/>
      <c r="D177" s="123"/>
      <c r="E177" s="123"/>
      <c r="F177" s="123"/>
      <c r="H177" s="103">
        <v>172</v>
      </c>
      <c r="I177" s="104" t="str">
        <f t="shared" si="12"/>
        <v/>
      </c>
      <c r="J177" s="103">
        <f t="shared" si="13"/>
        <v>-3</v>
      </c>
      <c r="K177" s="103">
        <f t="shared" si="14"/>
        <v>-30</v>
      </c>
      <c r="L177" s="103"/>
      <c r="M177" s="105">
        <f t="shared" si="15"/>
        <v>0</v>
      </c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</row>
    <row r="178" spans="1:38" s="88" customFormat="1">
      <c r="A178" s="124"/>
      <c r="B178" s="123"/>
      <c r="C178" s="123"/>
      <c r="D178" s="123"/>
      <c r="E178" s="123"/>
      <c r="F178" s="123"/>
      <c r="H178" s="103">
        <v>173</v>
      </c>
      <c r="I178" s="104" t="str">
        <f t="shared" si="12"/>
        <v/>
      </c>
      <c r="J178" s="103">
        <f t="shared" si="13"/>
        <v>-3</v>
      </c>
      <c r="K178" s="103">
        <f t="shared" si="14"/>
        <v>-30</v>
      </c>
      <c r="L178" s="103"/>
      <c r="M178" s="105">
        <f t="shared" si="15"/>
        <v>0</v>
      </c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</row>
    <row r="179" spans="1:38" s="88" customFormat="1">
      <c r="A179" s="124"/>
      <c r="B179" s="123"/>
      <c r="C179" s="123"/>
      <c r="D179" s="123"/>
      <c r="E179" s="123"/>
      <c r="F179" s="123"/>
      <c r="H179" s="103">
        <v>174</v>
      </c>
      <c r="I179" s="104" t="str">
        <f t="shared" si="12"/>
        <v/>
      </c>
      <c r="J179" s="103">
        <f t="shared" si="13"/>
        <v>-3</v>
      </c>
      <c r="K179" s="103">
        <f t="shared" si="14"/>
        <v>-30</v>
      </c>
      <c r="L179" s="103"/>
      <c r="M179" s="105">
        <f t="shared" si="15"/>
        <v>0</v>
      </c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</row>
    <row r="180" spans="1:38" s="88" customFormat="1">
      <c r="A180" s="124"/>
      <c r="B180" s="123"/>
      <c r="C180" s="123"/>
      <c r="D180" s="123"/>
      <c r="E180" s="123"/>
      <c r="F180" s="123"/>
      <c r="H180" s="103">
        <v>175</v>
      </c>
      <c r="I180" s="104" t="str">
        <f t="shared" si="12"/>
        <v/>
      </c>
      <c r="J180" s="103">
        <f t="shared" si="13"/>
        <v>-3</v>
      </c>
      <c r="K180" s="103">
        <f t="shared" si="14"/>
        <v>-30</v>
      </c>
      <c r="L180" s="103"/>
      <c r="M180" s="105">
        <f t="shared" si="15"/>
        <v>0</v>
      </c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</row>
    <row r="181" spans="1:38" s="88" customFormat="1">
      <c r="A181" s="124"/>
      <c r="B181" s="123"/>
      <c r="C181" s="123"/>
      <c r="D181" s="123"/>
      <c r="E181" s="123"/>
      <c r="F181" s="123"/>
      <c r="H181" s="103">
        <v>176</v>
      </c>
      <c r="I181" s="104" t="str">
        <f t="shared" si="12"/>
        <v/>
      </c>
      <c r="J181" s="103">
        <f t="shared" si="13"/>
        <v>-3</v>
      </c>
      <c r="K181" s="103">
        <f t="shared" si="14"/>
        <v>-30</v>
      </c>
      <c r="L181" s="103"/>
      <c r="M181" s="105">
        <f t="shared" si="15"/>
        <v>0</v>
      </c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</row>
    <row r="182" spans="1:38" s="88" customFormat="1">
      <c r="A182" s="124"/>
      <c r="B182" s="123"/>
      <c r="C182" s="123"/>
      <c r="D182" s="123"/>
      <c r="E182" s="123"/>
      <c r="F182" s="123"/>
      <c r="H182" s="103">
        <v>177</v>
      </c>
      <c r="I182" s="104" t="str">
        <f t="shared" si="12"/>
        <v/>
      </c>
      <c r="J182" s="103">
        <f t="shared" si="13"/>
        <v>-3</v>
      </c>
      <c r="K182" s="103">
        <f t="shared" si="14"/>
        <v>-30</v>
      </c>
      <c r="L182" s="103"/>
      <c r="M182" s="105">
        <f t="shared" si="15"/>
        <v>0</v>
      </c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</row>
    <row r="183" spans="1:38" s="88" customFormat="1">
      <c r="A183" s="124"/>
      <c r="B183" s="123"/>
      <c r="C183" s="123"/>
      <c r="D183" s="123"/>
      <c r="E183" s="123"/>
      <c r="F183" s="123"/>
      <c r="H183" s="103">
        <v>178</v>
      </c>
      <c r="I183" s="104" t="str">
        <f t="shared" si="12"/>
        <v/>
      </c>
      <c r="J183" s="103">
        <f t="shared" si="13"/>
        <v>-3</v>
      </c>
      <c r="K183" s="103">
        <f t="shared" si="14"/>
        <v>-30</v>
      </c>
      <c r="L183" s="103"/>
      <c r="M183" s="105">
        <f t="shared" si="15"/>
        <v>0</v>
      </c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</row>
    <row r="184" spans="1:38" s="88" customFormat="1">
      <c r="A184" s="124"/>
      <c r="B184" s="123"/>
      <c r="C184" s="123"/>
      <c r="D184" s="123"/>
      <c r="E184" s="123"/>
      <c r="F184" s="123"/>
      <c r="H184" s="103">
        <v>179</v>
      </c>
      <c r="I184" s="104" t="str">
        <f t="shared" si="12"/>
        <v/>
      </c>
      <c r="J184" s="103">
        <f t="shared" si="13"/>
        <v>-3</v>
      </c>
      <c r="K184" s="103">
        <f t="shared" si="14"/>
        <v>-30</v>
      </c>
      <c r="L184" s="103"/>
      <c r="M184" s="105">
        <f t="shared" si="15"/>
        <v>0</v>
      </c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</row>
    <row r="185" spans="1:38" s="88" customFormat="1">
      <c r="A185" s="124"/>
      <c r="B185" s="123"/>
      <c r="C185" s="123"/>
      <c r="D185" s="123"/>
      <c r="E185" s="123"/>
      <c r="F185" s="123"/>
      <c r="H185" s="103">
        <v>180</v>
      </c>
      <c r="I185" s="104" t="str">
        <f t="shared" si="12"/>
        <v/>
      </c>
      <c r="J185" s="103">
        <f t="shared" si="13"/>
        <v>-3</v>
      </c>
      <c r="K185" s="103">
        <f t="shared" si="14"/>
        <v>-30</v>
      </c>
      <c r="L185" s="103"/>
      <c r="M185" s="105">
        <f t="shared" si="15"/>
        <v>0</v>
      </c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</row>
    <row r="186" spans="1:38" s="88" customFormat="1">
      <c r="A186" s="124"/>
      <c r="B186" s="123"/>
      <c r="C186" s="123"/>
      <c r="D186" s="123"/>
      <c r="E186" s="123"/>
      <c r="F186" s="123"/>
      <c r="H186" s="103">
        <v>181</v>
      </c>
      <c r="I186" s="104" t="str">
        <f t="shared" si="12"/>
        <v/>
      </c>
      <c r="J186" s="103">
        <f t="shared" si="13"/>
        <v>-3</v>
      </c>
      <c r="K186" s="103">
        <f t="shared" si="14"/>
        <v>-30</v>
      </c>
      <c r="L186" s="103"/>
      <c r="M186" s="105">
        <f t="shared" si="15"/>
        <v>0</v>
      </c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</row>
    <row r="187" spans="1:38" s="88" customFormat="1">
      <c r="A187" s="124"/>
      <c r="B187" s="123"/>
      <c r="C187" s="123"/>
      <c r="D187" s="123"/>
      <c r="E187" s="123"/>
      <c r="F187" s="123"/>
      <c r="H187" s="103">
        <v>182</v>
      </c>
      <c r="I187" s="104" t="str">
        <f t="shared" si="12"/>
        <v/>
      </c>
      <c r="J187" s="103">
        <f t="shared" si="13"/>
        <v>-3</v>
      </c>
      <c r="K187" s="103">
        <f t="shared" si="14"/>
        <v>-30</v>
      </c>
      <c r="L187" s="103"/>
      <c r="M187" s="105">
        <f t="shared" si="15"/>
        <v>0</v>
      </c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</row>
    <row r="188" spans="1:38" s="88" customFormat="1">
      <c r="A188" s="124"/>
      <c r="B188" s="123"/>
      <c r="C188" s="123"/>
      <c r="D188" s="123"/>
      <c r="E188" s="123"/>
      <c r="F188" s="123"/>
      <c r="H188" s="103">
        <v>183</v>
      </c>
      <c r="I188" s="104" t="str">
        <f t="shared" si="12"/>
        <v/>
      </c>
      <c r="J188" s="103">
        <f t="shared" si="13"/>
        <v>-3</v>
      </c>
      <c r="K188" s="103">
        <f t="shared" si="14"/>
        <v>-30</v>
      </c>
      <c r="L188" s="103"/>
      <c r="M188" s="105">
        <f t="shared" si="15"/>
        <v>0</v>
      </c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</row>
    <row r="189" spans="1:38" s="88" customFormat="1">
      <c r="A189" s="124"/>
      <c r="B189" s="123"/>
      <c r="C189" s="123"/>
      <c r="D189" s="123"/>
      <c r="E189" s="123"/>
      <c r="F189" s="123"/>
      <c r="H189" s="103">
        <v>184</v>
      </c>
      <c r="I189" s="104" t="str">
        <f t="shared" si="12"/>
        <v/>
      </c>
      <c r="J189" s="103">
        <f t="shared" si="13"/>
        <v>-3</v>
      </c>
      <c r="K189" s="103">
        <f t="shared" si="14"/>
        <v>-30</v>
      </c>
      <c r="L189" s="103"/>
      <c r="M189" s="105">
        <f t="shared" si="15"/>
        <v>0</v>
      </c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</row>
    <row r="190" spans="1:38" s="88" customFormat="1">
      <c r="A190" s="124"/>
      <c r="B190" s="123"/>
      <c r="C190" s="123"/>
      <c r="D190" s="123"/>
      <c r="E190" s="123"/>
      <c r="F190" s="123"/>
      <c r="H190" s="103">
        <v>185</v>
      </c>
      <c r="I190" s="104" t="str">
        <f t="shared" si="12"/>
        <v/>
      </c>
      <c r="J190" s="103">
        <f t="shared" si="13"/>
        <v>-3</v>
      </c>
      <c r="K190" s="103">
        <f t="shared" si="14"/>
        <v>-30</v>
      </c>
      <c r="L190" s="103"/>
      <c r="M190" s="105">
        <f t="shared" si="15"/>
        <v>0</v>
      </c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</row>
    <row r="191" spans="1:38" s="88" customFormat="1">
      <c r="A191" s="124"/>
      <c r="B191" s="123"/>
      <c r="C191" s="123"/>
      <c r="D191" s="123"/>
      <c r="E191" s="123"/>
      <c r="F191" s="123"/>
      <c r="H191" s="103">
        <v>186</v>
      </c>
      <c r="I191" s="104" t="str">
        <f t="shared" si="12"/>
        <v/>
      </c>
      <c r="J191" s="103">
        <f t="shared" si="13"/>
        <v>-3</v>
      </c>
      <c r="K191" s="103">
        <f t="shared" si="14"/>
        <v>-30</v>
      </c>
      <c r="L191" s="103"/>
      <c r="M191" s="105">
        <f t="shared" si="15"/>
        <v>0</v>
      </c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</row>
    <row r="192" spans="1:38" s="88" customFormat="1">
      <c r="A192" s="124"/>
      <c r="B192" s="123"/>
      <c r="C192" s="123"/>
      <c r="D192" s="123"/>
      <c r="E192" s="123"/>
      <c r="F192" s="123"/>
      <c r="H192" s="103">
        <v>187</v>
      </c>
      <c r="I192" s="104" t="str">
        <f t="shared" si="12"/>
        <v/>
      </c>
      <c r="J192" s="103">
        <f t="shared" si="13"/>
        <v>-3</v>
      </c>
      <c r="K192" s="103">
        <f t="shared" si="14"/>
        <v>-30</v>
      </c>
      <c r="L192" s="103"/>
      <c r="M192" s="105">
        <f t="shared" si="15"/>
        <v>0</v>
      </c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</row>
    <row r="193" spans="1:38" s="88" customFormat="1">
      <c r="A193" s="124"/>
      <c r="B193" s="123"/>
      <c r="C193" s="123"/>
      <c r="D193" s="123"/>
      <c r="E193" s="123"/>
      <c r="F193" s="123"/>
      <c r="H193" s="103">
        <v>188</v>
      </c>
      <c r="I193" s="104" t="str">
        <f t="shared" si="12"/>
        <v/>
      </c>
      <c r="J193" s="103">
        <f t="shared" si="13"/>
        <v>-3</v>
      </c>
      <c r="K193" s="103">
        <f t="shared" si="14"/>
        <v>-30</v>
      </c>
      <c r="L193" s="103"/>
      <c r="M193" s="105">
        <f t="shared" si="15"/>
        <v>0</v>
      </c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</row>
    <row r="194" spans="1:38" s="88" customFormat="1">
      <c r="A194" s="124"/>
      <c r="B194" s="123"/>
      <c r="C194" s="123"/>
      <c r="D194" s="123"/>
      <c r="E194" s="123"/>
      <c r="F194" s="123"/>
      <c r="H194" s="103">
        <v>189</v>
      </c>
      <c r="I194" s="104" t="str">
        <f t="shared" si="12"/>
        <v/>
      </c>
      <c r="J194" s="103">
        <f t="shared" si="13"/>
        <v>-3</v>
      </c>
      <c r="K194" s="103">
        <f t="shared" si="14"/>
        <v>-30</v>
      </c>
      <c r="L194" s="103"/>
      <c r="M194" s="105">
        <f t="shared" si="15"/>
        <v>0</v>
      </c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</row>
    <row r="195" spans="1:38" s="88" customFormat="1">
      <c r="A195" s="124"/>
      <c r="B195" s="123"/>
      <c r="C195" s="123"/>
      <c r="D195" s="123"/>
      <c r="E195" s="123"/>
      <c r="F195" s="123"/>
      <c r="H195" s="103">
        <v>190</v>
      </c>
      <c r="I195" s="104" t="str">
        <f t="shared" si="12"/>
        <v/>
      </c>
      <c r="J195" s="103">
        <f t="shared" si="13"/>
        <v>-3</v>
      </c>
      <c r="K195" s="103">
        <f t="shared" si="14"/>
        <v>-30</v>
      </c>
      <c r="L195" s="103"/>
      <c r="M195" s="105">
        <f t="shared" si="15"/>
        <v>0</v>
      </c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</row>
    <row r="196" spans="1:38" s="88" customFormat="1">
      <c r="A196" s="124"/>
      <c r="B196" s="123"/>
      <c r="C196" s="123"/>
      <c r="D196" s="123"/>
      <c r="E196" s="123"/>
      <c r="F196" s="123"/>
      <c r="H196" s="103">
        <v>191</v>
      </c>
      <c r="I196" s="104" t="str">
        <f t="shared" si="12"/>
        <v/>
      </c>
      <c r="J196" s="103">
        <f t="shared" si="13"/>
        <v>-3</v>
      </c>
      <c r="K196" s="103">
        <f t="shared" si="14"/>
        <v>-30</v>
      </c>
      <c r="L196" s="103"/>
      <c r="M196" s="105">
        <f t="shared" si="15"/>
        <v>0</v>
      </c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</row>
    <row r="197" spans="1:38" s="88" customFormat="1">
      <c r="A197" s="124"/>
      <c r="B197" s="123"/>
      <c r="C197" s="123"/>
      <c r="D197" s="123"/>
      <c r="E197" s="123"/>
      <c r="F197" s="123"/>
      <c r="H197" s="103">
        <v>192</v>
      </c>
      <c r="I197" s="104" t="str">
        <f t="shared" si="12"/>
        <v/>
      </c>
      <c r="J197" s="103">
        <f t="shared" si="13"/>
        <v>-3</v>
      </c>
      <c r="K197" s="103">
        <f t="shared" si="14"/>
        <v>-30</v>
      </c>
      <c r="L197" s="103"/>
      <c r="M197" s="105">
        <f t="shared" si="15"/>
        <v>0</v>
      </c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</row>
    <row r="198" spans="1:38" s="88" customFormat="1">
      <c r="A198" s="124"/>
      <c r="B198" s="123"/>
      <c r="C198" s="123"/>
      <c r="D198" s="123"/>
      <c r="E198" s="123"/>
      <c r="F198" s="123"/>
      <c r="H198" s="103">
        <v>193</v>
      </c>
      <c r="I198" s="104" t="str">
        <f t="shared" ref="I198:I261" si="16">IF(H198&lt;$H$2+1,($I$2-($I$2-1)*(LOG(H198)/LOG($H$2))),"")</f>
        <v/>
      </c>
      <c r="J198" s="103">
        <f t="shared" ref="J198:J261" si="17">INT(LOG($H$2,2))-ROUNDUP(LOG(H198,2),0)+IF(OR($H$2=1,$H$2=2,$H$2=4,$H$2=8,$H$2=16,$H$2=32,$H$2=64,$H$2=128,$H$2=256),0,1)</f>
        <v>-3</v>
      </c>
      <c r="K198" s="103">
        <f t="shared" ref="K198:K261" si="18">J198*$J$2</f>
        <v>-30</v>
      </c>
      <c r="L198" s="103"/>
      <c r="M198" s="105">
        <f t="shared" ref="M198:M261" si="19">IF(I198&lt;&gt;"",K198+I198+L198,0)</f>
        <v>0</v>
      </c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</row>
    <row r="199" spans="1:38" s="88" customFormat="1">
      <c r="A199" s="124"/>
      <c r="B199" s="123"/>
      <c r="C199" s="123"/>
      <c r="D199" s="123"/>
      <c r="E199" s="123"/>
      <c r="F199" s="123"/>
      <c r="H199" s="103">
        <v>194</v>
      </c>
      <c r="I199" s="104" t="str">
        <f t="shared" si="16"/>
        <v/>
      </c>
      <c r="J199" s="103">
        <f t="shared" si="17"/>
        <v>-3</v>
      </c>
      <c r="K199" s="103">
        <f t="shared" si="18"/>
        <v>-30</v>
      </c>
      <c r="L199" s="103"/>
      <c r="M199" s="105">
        <f t="shared" si="19"/>
        <v>0</v>
      </c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</row>
    <row r="200" spans="1:38" s="88" customFormat="1">
      <c r="A200" s="124"/>
      <c r="B200" s="123"/>
      <c r="C200" s="123"/>
      <c r="D200" s="123"/>
      <c r="E200" s="123"/>
      <c r="F200" s="123"/>
      <c r="H200" s="103">
        <v>195</v>
      </c>
      <c r="I200" s="104" t="str">
        <f t="shared" si="16"/>
        <v/>
      </c>
      <c r="J200" s="103">
        <f t="shared" si="17"/>
        <v>-3</v>
      </c>
      <c r="K200" s="103">
        <f t="shared" si="18"/>
        <v>-30</v>
      </c>
      <c r="L200" s="103"/>
      <c r="M200" s="105">
        <f t="shared" si="19"/>
        <v>0</v>
      </c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</row>
    <row r="201" spans="1:38" s="88" customFormat="1">
      <c r="A201" s="124"/>
      <c r="B201" s="123"/>
      <c r="C201" s="123"/>
      <c r="D201" s="123"/>
      <c r="E201" s="123"/>
      <c r="F201" s="123"/>
      <c r="H201" s="103">
        <v>196</v>
      </c>
      <c r="I201" s="104" t="str">
        <f t="shared" si="16"/>
        <v/>
      </c>
      <c r="J201" s="103">
        <f t="shared" si="17"/>
        <v>-3</v>
      </c>
      <c r="K201" s="103">
        <f t="shared" si="18"/>
        <v>-30</v>
      </c>
      <c r="L201" s="103"/>
      <c r="M201" s="105">
        <f t="shared" si="19"/>
        <v>0</v>
      </c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</row>
    <row r="202" spans="1:38" s="88" customFormat="1">
      <c r="A202" s="124"/>
      <c r="B202" s="123"/>
      <c r="C202" s="123"/>
      <c r="D202" s="123"/>
      <c r="E202" s="123"/>
      <c r="F202" s="123"/>
      <c r="H202" s="103">
        <v>197</v>
      </c>
      <c r="I202" s="104" t="str">
        <f t="shared" si="16"/>
        <v/>
      </c>
      <c r="J202" s="103">
        <f t="shared" si="17"/>
        <v>-3</v>
      </c>
      <c r="K202" s="103">
        <f t="shared" si="18"/>
        <v>-30</v>
      </c>
      <c r="L202" s="103"/>
      <c r="M202" s="105">
        <f t="shared" si="19"/>
        <v>0</v>
      </c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</row>
    <row r="203" spans="1:38" s="88" customFormat="1">
      <c r="A203" s="124"/>
      <c r="B203" s="123"/>
      <c r="C203" s="123"/>
      <c r="D203" s="123"/>
      <c r="E203" s="123"/>
      <c r="F203" s="123"/>
      <c r="H203" s="103">
        <v>198</v>
      </c>
      <c r="I203" s="104" t="str">
        <f t="shared" si="16"/>
        <v/>
      </c>
      <c r="J203" s="103">
        <f t="shared" si="17"/>
        <v>-3</v>
      </c>
      <c r="K203" s="103">
        <f t="shared" si="18"/>
        <v>-30</v>
      </c>
      <c r="L203" s="103"/>
      <c r="M203" s="105">
        <f t="shared" si="19"/>
        <v>0</v>
      </c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</row>
    <row r="204" spans="1:38" s="88" customFormat="1">
      <c r="A204" s="124"/>
      <c r="B204" s="123"/>
      <c r="C204" s="123"/>
      <c r="D204" s="123"/>
      <c r="E204" s="123"/>
      <c r="F204" s="123"/>
      <c r="H204" s="103">
        <v>199</v>
      </c>
      <c r="I204" s="104" t="str">
        <f t="shared" si="16"/>
        <v/>
      </c>
      <c r="J204" s="103">
        <f t="shared" si="17"/>
        <v>-3</v>
      </c>
      <c r="K204" s="103">
        <f t="shared" si="18"/>
        <v>-30</v>
      </c>
      <c r="L204" s="103"/>
      <c r="M204" s="105">
        <f t="shared" si="19"/>
        <v>0</v>
      </c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</row>
    <row r="205" spans="1:38" s="88" customFormat="1">
      <c r="A205" s="124"/>
      <c r="B205" s="123"/>
      <c r="C205" s="123"/>
      <c r="D205" s="123"/>
      <c r="E205" s="123"/>
      <c r="F205" s="123"/>
      <c r="H205" s="103">
        <v>200</v>
      </c>
      <c r="I205" s="104" t="str">
        <f t="shared" si="16"/>
        <v/>
      </c>
      <c r="J205" s="103">
        <f t="shared" si="17"/>
        <v>-3</v>
      </c>
      <c r="K205" s="103">
        <f t="shared" si="18"/>
        <v>-30</v>
      </c>
      <c r="L205" s="103"/>
      <c r="M205" s="105">
        <f t="shared" si="19"/>
        <v>0</v>
      </c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</row>
    <row r="206" spans="1:38" s="88" customFormat="1">
      <c r="A206" s="124"/>
      <c r="B206" s="123"/>
      <c r="C206" s="123"/>
      <c r="D206" s="123"/>
      <c r="E206" s="123"/>
      <c r="F206" s="123"/>
      <c r="H206" s="103">
        <v>201</v>
      </c>
      <c r="I206" s="104" t="str">
        <f t="shared" si="16"/>
        <v/>
      </c>
      <c r="J206" s="103">
        <f t="shared" si="17"/>
        <v>-3</v>
      </c>
      <c r="K206" s="103">
        <f t="shared" si="18"/>
        <v>-30</v>
      </c>
      <c r="L206" s="103"/>
      <c r="M206" s="105">
        <f t="shared" si="19"/>
        <v>0</v>
      </c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</row>
    <row r="207" spans="1:38" s="88" customFormat="1">
      <c r="A207" s="124"/>
      <c r="B207" s="123"/>
      <c r="C207" s="123"/>
      <c r="D207" s="123"/>
      <c r="E207" s="123"/>
      <c r="F207" s="123"/>
      <c r="H207" s="103">
        <v>202</v>
      </c>
      <c r="I207" s="104" t="str">
        <f t="shared" si="16"/>
        <v/>
      </c>
      <c r="J207" s="103">
        <f t="shared" si="17"/>
        <v>-3</v>
      </c>
      <c r="K207" s="103">
        <f t="shared" si="18"/>
        <v>-30</v>
      </c>
      <c r="L207" s="103"/>
      <c r="M207" s="105">
        <f t="shared" si="19"/>
        <v>0</v>
      </c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</row>
    <row r="208" spans="1:38" s="88" customFormat="1">
      <c r="A208" s="124"/>
      <c r="B208" s="123"/>
      <c r="C208" s="123"/>
      <c r="D208" s="123"/>
      <c r="E208" s="123"/>
      <c r="F208" s="123"/>
      <c r="H208" s="103">
        <v>203</v>
      </c>
      <c r="I208" s="104" t="str">
        <f t="shared" si="16"/>
        <v/>
      </c>
      <c r="J208" s="103">
        <f t="shared" si="17"/>
        <v>-3</v>
      </c>
      <c r="K208" s="103">
        <f t="shared" si="18"/>
        <v>-30</v>
      </c>
      <c r="L208" s="103"/>
      <c r="M208" s="105">
        <f t="shared" si="19"/>
        <v>0</v>
      </c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</row>
    <row r="209" spans="1:38" s="88" customFormat="1">
      <c r="A209" s="124"/>
      <c r="B209" s="123"/>
      <c r="C209" s="123"/>
      <c r="D209" s="123"/>
      <c r="E209" s="123"/>
      <c r="F209" s="123"/>
      <c r="H209" s="103">
        <v>204</v>
      </c>
      <c r="I209" s="104" t="str">
        <f t="shared" si="16"/>
        <v/>
      </c>
      <c r="J209" s="103">
        <f t="shared" si="17"/>
        <v>-3</v>
      </c>
      <c r="K209" s="103">
        <f t="shared" si="18"/>
        <v>-30</v>
      </c>
      <c r="L209" s="103"/>
      <c r="M209" s="105">
        <f t="shared" si="19"/>
        <v>0</v>
      </c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</row>
    <row r="210" spans="1:38" s="88" customFormat="1">
      <c r="A210" s="124"/>
      <c r="B210" s="123"/>
      <c r="C210" s="123"/>
      <c r="D210" s="123"/>
      <c r="E210" s="123"/>
      <c r="F210" s="123"/>
      <c r="H210" s="103">
        <v>205</v>
      </c>
      <c r="I210" s="104" t="str">
        <f t="shared" si="16"/>
        <v/>
      </c>
      <c r="J210" s="103">
        <f t="shared" si="17"/>
        <v>-3</v>
      </c>
      <c r="K210" s="103">
        <f t="shared" si="18"/>
        <v>-30</v>
      </c>
      <c r="L210" s="103"/>
      <c r="M210" s="105">
        <f t="shared" si="19"/>
        <v>0</v>
      </c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</row>
    <row r="211" spans="1:38" s="88" customFormat="1">
      <c r="A211" s="124"/>
      <c r="B211" s="123"/>
      <c r="C211" s="123"/>
      <c r="D211" s="123"/>
      <c r="E211" s="123"/>
      <c r="F211" s="123"/>
      <c r="H211" s="103">
        <v>206</v>
      </c>
      <c r="I211" s="104" t="str">
        <f t="shared" si="16"/>
        <v/>
      </c>
      <c r="J211" s="103">
        <f t="shared" si="17"/>
        <v>-3</v>
      </c>
      <c r="K211" s="103">
        <f t="shared" si="18"/>
        <v>-30</v>
      </c>
      <c r="L211" s="103"/>
      <c r="M211" s="105">
        <f t="shared" si="19"/>
        <v>0</v>
      </c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</row>
    <row r="212" spans="1:38" s="88" customFormat="1">
      <c r="A212" s="124"/>
      <c r="B212" s="123"/>
      <c r="C212" s="123"/>
      <c r="D212" s="123"/>
      <c r="E212" s="123"/>
      <c r="F212" s="123"/>
      <c r="H212" s="103">
        <v>207</v>
      </c>
      <c r="I212" s="104" t="str">
        <f t="shared" si="16"/>
        <v/>
      </c>
      <c r="J212" s="103">
        <f t="shared" si="17"/>
        <v>-3</v>
      </c>
      <c r="K212" s="103">
        <f t="shared" si="18"/>
        <v>-30</v>
      </c>
      <c r="L212" s="103"/>
      <c r="M212" s="105">
        <f t="shared" si="19"/>
        <v>0</v>
      </c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</row>
    <row r="213" spans="1:38" s="88" customFormat="1">
      <c r="A213" s="124"/>
      <c r="B213" s="123"/>
      <c r="C213" s="123"/>
      <c r="D213" s="123"/>
      <c r="E213" s="123"/>
      <c r="F213" s="123"/>
      <c r="H213" s="103">
        <v>208</v>
      </c>
      <c r="I213" s="104" t="str">
        <f t="shared" si="16"/>
        <v/>
      </c>
      <c r="J213" s="103">
        <f t="shared" si="17"/>
        <v>-3</v>
      </c>
      <c r="K213" s="103">
        <f t="shared" si="18"/>
        <v>-30</v>
      </c>
      <c r="L213" s="103"/>
      <c r="M213" s="105">
        <f t="shared" si="19"/>
        <v>0</v>
      </c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</row>
    <row r="214" spans="1:38" s="88" customFormat="1">
      <c r="A214" s="124"/>
      <c r="B214" s="123"/>
      <c r="C214" s="123"/>
      <c r="D214" s="123"/>
      <c r="E214" s="123"/>
      <c r="F214" s="123"/>
      <c r="H214" s="103">
        <v>209</v>
      </c>
      <c r="I214" s="104" t="str">
        <f t="shared" si="16"/>
        <v/>
      </c>
      <c r="J214" s="103">
        <f t="shared" si="17"/>
        <v>-3</v>
      </c>
      <c r="K214" s="103">
        <f t="shared" si="18"/>
        <v>-30</v>
      </c>
      <c r="L214" s="103"/>
      <c r="M214" s="105">
        <f t="shared" si="19"/>
        <v>0</v>
      </c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</row>
    <row r="215" spans="1:38" s="88" customFormat="1">
      <c r="A215" s="124"/>
      <c r="B215" s="123"/>
      <c r="C215" s="123"/>
      <c r="D215" s="123"/>
      <c r="E215" s="123"/>
      <c r="F215" s="123"/>
      <c r="H215" s="103">
        <v>210</v>
      </c>
      <c r="I215" s="104" t="str">
        <f t="shared" si="16"/>
        <v/>
      </c>
      <c r="J215" s="103">
        <f t="shared" si="17"/>
        <v>-3</v>
      </c>
      <c r="K215" s="103">
        <f t="shared" si="18"/>
        <v>-30</v>
      </c>
      <c r="L215" s="103"/>
      <c r="M215" s="105">
        <f t="shared" si="19"/>
        <v>0</v>
      </c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</row>
    <row r="216" spans="1:38" s="88" customFormat="1">
      <c r="A216" s="124"/>
      <c r="B216" s="123"/>
      <c r="C216" s="123"/>
      <c r="D216" s="123"/>
      <c r="E216" s="123"/>
      <c r="F216" s="123"/>
      <c r="H216" s="103">
        <v>211</v>
      </c>
      <c r="I216" s="104" t="str">
        <f t="shared" si="16"/>
        <v/>
      </c>
      <c r="J216" s="103">
        <f t="shared" si="17"/>
        <v>-3</v>
      </c>
      <c r="K216" s="103">
        <f t="shared" si="18"/>
        <v>-30</v>
      </c>
      <c r="L216" s="103"/>
      <c r="M216" s="105">
        <f t="shared" si="19"/>
        <v>0</v>
      </c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</row>
    <row r="217" spans="1:38" s="88" customFormat="1">
      <c r="A217" s="124"/>
      <c r="B217" s="123"/>
      <c r="C217" s="123"/>
      <c r="D217" s="123"/>
      <c r="E217" s="123"/>
      <c r="F217" s="123"/>
      <c r="H217" s="103">
        <v>212</v>
      </c>
      <c r="I217" s="104" t="str">
        <f t="shared" si="16"/>
        <v/>
      </c>
      <c r="J217" s="103">
        <f t="shared" si="17"/>
        <v>-3</v>
      </c>
      <c r="K217" s="103">
        <f t="shared" si="18"/>
        <v>-30</v>
      </c>
      <c r="L217" s="103"/>
      <c r="M217" s="105">
        <f t="shared" si="19"/>
        <v>0</v>
      </c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</row>
    <row r="218" spans="1:38" s="88" customFormat="1">
      <c r="A218" s="124"/>
      <c r="B218" s="123"/>
      <c r="C218" s="123"/>
      <c r="D218" s="123"/>
      <c r="E218" s="123"/>
      <c r="F218" s="123"/>
      <c r="H218" s="103">
        <v>213</v>
      </c>
      <c r="I218" s="104" t="str">
        <f t="shared" si="16"/>
        <v/>
      </c>
      <c r="J218" s="103">
        <f t="shared" si="17"/>
        <v>-3</v>
      </c>
      <c r="K218" s="103">
        <f t="shared" si="18"/>
        <v>-30</v>
      </c>
      <c r="L218" s="103"/>
      <c r="M218" s="105">
        <f t="shared" si="19"/>
        <v>0</v>
      </c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</row>
    <row r="219" spans="1:38" s="88" customFormat="1">
      <c r="A219" s="124"/>
      <c r="B219" s="123"/>
      <c r="C219" s="123"/>
      <c r="D219" s="123"/>
      <c r="E219" s="123"/>
      <c r="F219" s="123"/>
      <c r="H219" s="103">
        <v>214</v>
      </c>
      <c r="I219" s="104" t="str">
        <f t="shared" si="16"/>
        <v/>
      </c>
      <c r="J219" s="103">
        <f t="shared" si="17"/>
        <v>-3</v>
      </c>
      <c r="K219" s="103">
        <f t="shared" si="18"/>
        <v>-30</v>
      </c>
      <c r="L219" s="103"/>
      <c r="M219" s="105">
        <f t="shared" si="19"/>
        <v>0</v>
      </c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</row>
    <row r="220" spans="1:38" s="88" customFormat="1">
      <c r="A220" s="124"/>
      <c r="B220" s="123"/>
      <c r="C220" s="123"/>
      <c r="D220" s="123"/>
      <c r="E220" s="123"/>
      <c r="F220" s="123"/>
      <c r="H220" s="103">
        <v>215</v>
      </c>
      <c r="I220" s="104" t="str">
        <f t="shared" si="16"/>
        <v/>
      </c>
      <c r="J220" s="103">
        <f t="shared" si="17"/>
        <v>-3</v>
      </c>
      <c r="K220" s="103">
        <f t="shared" si="18"/>
        <v>-30</v>
      </c>
      <c r="L220" s="103"/>
      <c r="M220" s="105">
        <f t="shared" si="19"/>
        <v>0</v>
      </c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</row>
    <row r="221" spans="1:38" s="88" customFormat="1">
      <c r="A221" s="124"/>
      <c r="B221" s="123"/>
      <c r="C221" s="123"/>
      <c r="D221" s="123"/>
      <c r="E221" s="123"/>
      <c r="F221" s="123"/>
      <c r="H221" s="103">
        <v>216</v>
      </c>
      <c r="I221" s="104" t="str">
        <f t="shared" si="16"/>
        <v/>
      </c>
      <c r="J221" s="103">
        <f t="shared" si="17"/>
        <v>-3</v>
      </c>
      <c r="K221" s="103">
        <f t="shared" si="18"/>
        <v>-30</v>
      </c>
      <c r="L221" s="103"/>
      <c r="M221" s="105">
        <f t="shared" si="19"/>
        <v>0</v>
      </c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</row>
    <row r="222" spans="1:38" s="88" customFormat="1">
      <c r="A222" s="124"/>
      <c r="B222" s="123"/>
      <c r="C222" s="123"/>
      <c r="D222" s="123"/>
      <c r="E222" s="123"/>
      <c r="F222" s="123"/>
      <c r="H222" s="103">
        <v>217</v>
      </c>
      <c r="I222" s="104" t="str">
        <f t="shared" si="16"/>
        <v/>
      </c>
      <c r="J222" s="103">
        <f t="shared" si="17"/>
        <v>-3</v>
      </c>
      <c r="K222" s="103">
        <f t="shared" si="18"/>
        <v>-30</v>
      </c>
      <c r="L222" s="103"/>
      <c r="M222" s="105">
        <f t="shared" si="19"/>
        <v>0</v>
      </c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</row>
    <row r="223" spans="1:38" s="88" customFormat="1">
      <c r="A223" s="124"/>
      <c r="B223" s="123"/>
      <c r="C223" s="123"/>
      <c r="D223" s="123"/>
      <c r="E223" s="123"/>
      <c r="F223" s="123"/>
      <c r="H223" s="103">
        <v>218</v>
      </c>
      <c r="I223" s="104" t="str">
        <f t="shared" si="16"/>
        <v/>
      </c>
      <c r="J223" s="103">
        <f t="shared" si="17"/>
        <v>-3</v>
      </c>
      <c r="K223" s="103">
        <f t="shared" si="18"/>
        <v>-30</v>
      </c>
      <c r="L223" s="103"/>
      <c r="M223" s="105">
        <f t="shared" si="19"/>
        <v>0</v>
      </c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</row>
    <row r="224" spans="1:38" s="88" customFormat="1">
      <c r="A224" s="124"/>
      <c r="B224" s="123"/>
      <c r="C224" s="123"/>
      <c r="D224" s="123"/>
      <c r="E224" s="123"/>
      <c r="F224" s="123"/>
      <c r="H224" s="103">
        <v>219</v>
      </c>
      <c r="I224" s="104" t="str">
        <f t="shared" si="16"/>
        <v/>
      </c>
      <c r="J224" s="103">
        <f t="shared" si="17"/>
        <v>-3</v>
      </c>
      <c r="K224" s="103">
        <f t="shared" si="18"/>
        <v>-30</v>
      </c>
      <c r="L224" s="103"/>
      <c r="M224" s="105">
        <f t="shared" si="19"/>
        <v>0</v>
      </c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</row>
    <row r="225" spans="1:38" s="88" customFormat="1">
      <c r="A225" s="124"/>
      <c r="B225" s="123"/>
      <c r="C225" s="123"/>
      <c r="D225" s="123"/>
      <c r="E225" s="123"/>
      <c r="F225" s="123"/>
      <c r="H225" s="103">
        <v>220</v>
      </c>
      <c r="I225" s="104" t="str">
        <f t="shared" si="16"/>
        <v/>
      </c>
      <c r="J225" s="103">
        <f t="shared" si="17"/>
        <v>-3</v>
      </c>
      <c r="K225" s="103">
        <f t="shared" si="18"/>
        <v>-30</v>
      </c>
      <c r="L225" s="103"/>
      <c r="M225" s="105">
        <f t="shared" si="19"/>
        <v>0</v>
      </c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</row>
    <row r="226" spans="1:38" s="88" customFormat="1">
      <c r="A226" s="124"/>
      <c r="B226" s="123"/>
      <c r="C226" s="123"/>
      <c r="D226" s="123"/>
      <c r="E226" s="123"/>
      <c r="F226" s="123"/>
      <c r="H226" s="103">
        <v>221</v>
      </c>
      <c r="I226" s="104" t="str">
        <f t="shared" si="16"/>
        <v/>
      </c>
      <c r="J226" s="103">
        <f t="shared" si="17"/>
        <v>-3</v>
      </c>
      <c r="K226" s="103">
        <f t="shared" si="18"/>
        <v>-30</v>
      </c>
      <c r="L226" s="103"/>
      <c r="M226" s="105">
        <f t="shared" si="19"/>
        <v>0</v>
      </c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</row>
    <row r="227" spans="1:38" s="88" customFormat="1">
      <c r="A227" s="124"/>
      <c r="B227" s="123"/>
      <c r="C227" s="123"/>
      <c r="D227" s="123"/>
      <c r="E227" s="123"/>
      <c r="F227" s="123"/>
      <c r="H227" s="103">
        <v>222</v>
      </c>
      <c r="I227" s="104" t="str">
        <f t="shared" si="16"/>
        <v/>
      </c>
      <c r="J227" s="103">
        <f t="shared" si="17"/>
        <v>-3</v>
      </c>
      <c r="K227" s="103">
        <f t="shared" si="18"/>
        <v>-30</v>
      </c>
      <c r="L227" s="103"/>
      <c r="M227" s="105">
        <f t="shared" si="19"/>
        <v>0</v>
      </c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</row>
    <row r="228" spans="1:38" s="88" customFormat="1">
      <c r="A228" s="124"/>
      <c r="B228" s="123"/>
      <c r="C228" s="123"/>
      <c r="D228" s="123"/>
      <c r="E228" s="123"/>
      <c r="F228" s="123"/>
      <c r="H228" s="103">
        <v>223</v>
      </c>
      <c r="I228" s="104" t="str">
        <f t="shared" si="16"/>
        <v/>
      </c>
      <c r="J228" s="103">
        <f t="shared" si="17"/>
        <v>-3</v>
      </c>
      <c r="K228" s="103">
        <f t="shared" si="18"/>
        <v>-30</v>
      </c>
      <c r="L228" s="103"/>
      <c r="M228" s="105">
        <f t="shared" si="19"/>
        <v>0</v>
      </c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</row>
    <row r="229" spans="1:38" s="88" customFormat="1">
      <c r="A229" s="124"/>
      <c r="B229" s="123"/>
      <c r="C229" s="123"/>
      <c r="D229" s="123"/>
      <c r="E229" s="123"/>
      <c r="F229" s="123"/>
      <c r="H229" s="103">
        <v>224</v>
      </c>
      <c r="I229" s="104" t="str">
        <f t="shared" si="16"/>
        <v/>
      </c>
      <c r="J229" s="103">
        <f t="shared" si="17"/>
        <v>-3</v>
      </c>
      <c r="K229" s="103">
        <f t="shared" si="18"/>
        <v>-30</v>
      </c>
      <c r="L229" s="103"/>
      <c r="M229" s="105">
        <f t="shared" si="19"/>
        <v>0</v>
      </c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</row>
    <row r="230" spans="1:38" s="88" customFormat="1">
      <c r="A230" s="124"/>
      <c r="B230" s="123"/>
      <c r="C230" s="123"/>
      <c r="D230" s="123"/>
      <c r="E230" s="123"/>
      <c r="F230" s="123"/>
      <c r="H230" s="103">
        <v>225</v>
      </c>
      <c r="I230" s="104" t="str">
        <f t="shared" si="16"/>
        <v/>
      </c>
      <c r="J230" s="103">
        <f t="shared" si="17"/>
        <v>-3</v>
      </c>
      <c r="K230" s="103">
        <f t="shared" si="18"/>
        <v>-30</v>
      </c>
      <c r="L230" s="103"/>
      <c r="M230" s="105">
        <f t="shared" si="19"/>
        <v>0</v>
      </c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</row>
    <row r="231" spans="1:38" s="88" customFormat="1">
      <c r="A231" s="124"/>
      <c r="B231" s="123"/>
      <c r="C231" s="123"/>
      <c r="D231" s="123"/>
      <c r="E231" s="123"/>
      <c r="F231" s="123"/>
      <c r="H231" s="103">
        <v>226</v>
      </c>
      <c r="I231" s="104" t="str">
        <f t="shared" si="16"/>
        <v/>
      </c>
      <c r="J231" s="103">
        <f t="shared" si="17"/>
        <v>-3</v>
      </c>
      <c r="K231" s="103">
        <f t="shared" si="18"/>
        <v>-30</v>
      </c>
      <c r="L231" s="103"/>
      <c r="M231" s="105">
        <f t="shared" si="19"/>
        <v>0</v>
      </c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</row>
    <row r="232" spans="1:38" s="88" customFormat="1">
      <c r="A232" s="124"/>
      <c r="B232" s="123"/>
      <c r="C232" s="123"/>
      <c r="D232" s="123"/>
      <c r="E232" s="123"/>
      <c r="F232" s="123"/>
      <c r="H232" s="103">
        <v>227</v>
      </c>
      <c r="I232" s="104" t="str">
        <f t="shared" si="16"/>
        <v/>
      </c>
      <c r="J232" s="103">
        <f t="shared" si="17"/>
        <v>-3</v>
      </c>
      <c r="K232" s="103">
        <f t="shared" si="18"/>
        <v>-30</v>
      </c>
      <c r="L232" s="103"/>
      <c r="M232" s="105">
        <f t="shared" si="19"/>
        <v>0</v>
      </c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</row>
    <row r="233" spans="1:38" s="88" customFormat="1">
      <c r="A233" s="124"/>
      <c r="B233" s="123"/>
      <c r="C233" s="123"/>
      <c r="D233" s="123"/>
      <c r="E233" s="123"/>
      <c r="F233" s="123"/>
      <c r="H233" s="103">
        <v>228</v>
      </c>
      <c r="I233" s="104" t="str">
        <f t="shared" si="16"/>
        <v/>
      </c>
      <c r="J233" s="103">
        <f t="shared" si="17"/>
        <v>-3</v>
      </c>
      <c r="K233" s="103">
        <f t="shared" si="18"/>
        <v>-30</v>
      </c>
      <c r="L233" s="103"/>
      <c r="M233" s="105">
        <f t="shared" si="19"/>
        <v>0</v>
      </c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</row>
    <row r="234" spans="1:38" s="88" customFormat="1">
      <c r="A234" s="124"/>
      <c r="B234" s="123"/>
      <c r="C234" s="123"/>
      <c r="D234" s="123"/>
      <c r="E234" s="123"/>
      <c r="F234" s="123"/>
      <c r="H234" s="103">
        <v>229</v>
      </c>
      <c r="I234" s="104" t="str">
        <f t="shared" si="16"/>
        <v/>
      </c>
      <c r="J234" s="103">
        <f t="shared" si="17"/>
        <v>-3</v>
      </c>
      <c r="K234" s="103">
        <f t="shared" si="18"/>
        <v>-30</v>
      </c>
      <c r="L234" s="103"/>
      <c r="M234" s="105">
        <f t="shared" si="19"/>
        <v>0</v>
      </c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</row>
    <row r="235" spans="1:38" s="88" customFormat="1">
      <c r="A235" s="124"/>
      <c r="B235" s="123"/>
      <c r="C235" s="123"/>
      <c r="D235" s="123"/>
      <c r="E235" s="123"/>
      <c r="F235" s="123"/>
      <c r="H235" s="103">
        <v>230</v>
      </c>
      <c r="I235" s="104" t="str">
        <f t="shared" si="16"/>
        <v/>
      </c>
      <c r="J235" s="103">
        <f t="shared" si="17"/>
        <v>-3</v>
      </c>
      <c r="K235" s="103">
        <f t="shared" si="18"/>
        <v>-30</v>
      </c>
      <c r="L235" s="103"/>
      <c r="M235" s="105">
        <f t="shared" si="19"/>
        <v>0</v>
      </c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</row>
    <row r="236" spans="1:38" s="88" customFormat="1">
      <c r="A236" s="124"/>
      <c r="B236" s="123"/>
      <c r="C236" s="123"/>
      <c r="D236" s="123"/>
      <c r="E236" s="123"/>
      <c r="F236" s="123"/>
      <c r="H236" s="103">
        <v>231</v>
      </c>
      <c r="I236" s="104" t="str">
        <f t="shared" si="16"/>
        <v/>
      </c>
      <c r="J236" s="103">
        <f t="shared" si="17"/>
        <v>-3</v>
      </c>
      <c r="K236" s="103">
        <f t="shared" si="18"/>
        <v>-30</v>
      </c>
      <c r="L236" s="103"/>
      <c r="M236" s="105">
        <f t="shared" si="19"/>
        <v>0</v>
      </c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</row>
    <row r="237" spans="1:38" s="88" customFormat="1">
      <c r="A237" s="124"/>
      <c r="B237" s="123"/>
      <c r="C237" s="123"/>
      <c r="D237" s="123"/>
      <c r="E237" s="123"/>
      <c r="F237" s="123"/>
      <c r="H237" s="103">
        <v>232</v>
      </c>
      <c r="I237" s="104" t="str">
        <f t="shared" si="16"/>
        <v/>
      </c>
      <c r="J237" s="103">
        <f t="shared" si="17"/>
        <v>-3</v>
      </c>
      <c r="K237" s="103">
        <f t="shared" si="18"/>
        <v>-30</v>
      </c>
      <c r="L237" s="103"/>
      <c r="M237" s="105">
        <f t="shared" si="19"/>
        <v>0</v>
      </c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</row>
    <row r="238" spans="1:38" s="88" customFormat="1">
      <c r="A238" s="124"/>
      <c r="B238" s="123"/>
      <c r="C238" s="123"/>
      <c r="D238" s="123"/>
      <c r="E238" s="123"/>
      <c r="F238" s="123"/>
      <c r="H238" s="103">
        <v>233</v>
      </c>
      <c r="I238" s="104" t="str">
        <f t="shared" si="16"/>
        <v/>
      </c>
      <c r="J238" s="103">
        <f t="shared" si="17"/>
        <v>-3</v>
      </c>
      <c r="K238" s="103">
        <f t="shared" si="18"/>
        <v>-30</v>
      </c>
      <c r="L238" s="103"/>
      <c r="M238" s="105">
        <f t="shared" si="19"/>
        <v>0</v>
      </c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</row>
    <row r="239" spans="1:38" s="88" customFormat="1">
      <c r="A239" s="124"/>
      <c r="B239" s="123"/>
      <c r="C239" s="123"/>
      <c r="D239" s="123"/>
      <c r="E239" s="123"/>
      <c r="F239" s="123"/>
      <c r="H239" s="103">
        <v>234</v>
      </c>
      <c r="I239" s="104" t="str">
        <f t="shared" si="16"/>
        <v/>
      </c>
      <c r="J239" s="103">
        <f t="shared" si="17"/>
        <v>-3</v>
      </c>
      <c r="K239" s="103">
        <f t="shared" si="18"/>
        <v>-30</v>
      </c>
      <c r="L239" s="103"/>
      <c r="M239" s="105">
        <f t="shared" si="19"/>
        <v>0</v>
      </c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</row>
    <row r="240" spans="1:38" s="88" customFormat="1">
      <c r="A240" s="124"/>
      <c r="B240" s="123"/>
      <c r="C240" s="123"/>
      <c r="D240" s="123"/>
      <c r="E240" s="123"/>
      <c r="F240" s="123"/>
      <c r="H240" s="103">
        <v>235</v>
      </c>
      <c r="I240" s="104" t="str">
        <f t="shared" si="16"/>
        <v/>
      </c>
      <c r="J240" s="103">
        <f t="shared" si="17"/>
        <v>-3</v>
      </c>
      <c r="K240" s="103">
        <f t="shared" si="18"/>
        <v>-30</v>
      </c>
      <c r="L240" s="103"/>
      <c r="M240" s="105">
        <f t="shared" si="19"/>
        <v>0</v>
      </c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</row>
    <row r="241" spans="1:38" s="88" customFormat="1">
      <c r="A241" s="124"/>
      <c r="B241" s="123"/>
      <c r="C241" s="123"/>
      <c r="D241" s="123"/>
      <c r="E241" s="123"/>
      <c r="F241" s="123"/>
      <c r="H241" s="103">
        <v>236</v>
      </c>
      <c r="I241" s="104" t="str">
        <f t="shared" si="16"/>
        <v/>
      </c>
      <c r="J241" s="103">
        <f t="shared" si="17"/>
        <v>-3</v>
      </c>
      <c r="K241" s="103">
        <f t="shared" si="18"/>
        <v>-30</v>
      </c>
      <c r="L241" s="103"/>
      <c r="M241" s="105">
        <f t="shared" si="19"/>
        <v>0</v>
      </c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</row>
    <row r="242" spans="1:38" s="88" customFormat="1">
      <c r="A242" s="124"/>
      <c r="B242" s="123"/>
      <c r="C242" s="123"/>
      <c r="D242" s="123"/>
      <c r="E242" s="123"/>
      <c r="F242" s="123"/>
      <c r="H242" s="103">
        <v>237</v>
      </c>
      <c r="I242" s="104" t="str">
        <f t="shared" si="16"/>
        <v/>
      </c>
      <c r="J242" s="103">
        <f t="shared" si="17"/>
        <v>-3</v>
      </c>
      <c r="K242" s="103">
        <f t="shared" si="18"/>
        <v>-30</v>
      </c>
      <c r="L242" s="103"/>
      <c r="M242" s="105">
        <f t="shared" si="19"/>
        <v>0</v>
      </c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</row>
    <row r="243" spans="1:38" s="88" customFormat="1">
      <c r="A243" s="124"/>
      <c r="B243" s="123"/>
      <c r="C243" s="123"/>
      <c r="D243" s="123"/>
      <c r="E243" s="123"/>
      <c r="F243" s="123"/>
      <c r="H243" s="103">
        <v>238</v>
      </c>
      <c r="I243" s="104" t="str">
        <f t="shared" si="16"/>
        <v/>
      </c>
      <c r="J243" s="103">
        <f t="shared" si="17"/>
        <v>-3</v>
      </c>
      <c r="K243" s="103">
        <f t="shared" si="18"/>
        <v>-30</v>
      </c>
      <c r="L243" s="103"/>
      <c r="M243" s="105">
        <f t="shared" si="19"/>
        <v>0</v>
      </c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</row>
    <row r="244" spans="1:38" s="88" customFormat="1">
      <c r="A244" s="124"/>
      <c r="B244" s="123"/>
      <c r="C244" s="123"/>
      <c r="D244" s="123"/>
      <c r="E244" s="123"/>
      <c r="F244" s="123"/>
      <c r="H244" s="103">
        <v>239</v>
      </c>
      <c r="I244" s="104" t="str">
        <f t="shared" si="16"/>
        <v/>
      </c>
      <c r="J244" s="103">
        <f t="shared" si="17"/>
        <v>-3</v>
      </c>
      <c r="K244" s="103">
        <f t="shared" si="18"/>
        <v>-30</v>
      </c>
      <c r="L244" s="103"/>
      <c r="M244" s="105">
        <f t="shared" si="19"/>
        <v>0</v>
      </c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</row>
    <row r="245" spans="1:38" s="88" customFormat="1">
      <c r="A245" s="124"/>
      <c r="B245" s="123"/>
      <c r="C245" s="123"/>
      <c r="D245" s="123"/>
      <c r="E245" s="123"/>
      <c r="F245" s="123"/>
      <c r="H245" s="103">
        <v>240</v>
      </c>
      <c r="I245" s="104" t="str">
        <f t="shared" si="16"/>
        <v/>
      </c>
      <c r="J245" s="103">
        <f t="shared" si="17"/>
        <v>-3</v>
      </c>
      <c r="K245" s="103">
        <f t="shared" si="18"/>
        <v>-30</v>
      </c>
      <c r="L245" s="103"/>
      <c r="M245" s="105">
        <f t="shared" si="19"/>
        <v>0</v>
      </c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</row>
    <row r="246" spans="1:38" s="88" customFormat="1">
      <c r="A246" s="124"/>
      <c r="B246" s="123"/>
      <c r="C246" s="123"/>
      <c r="D246" s="123"/>
      <c r="E246" s="123"/>
      <c r="F246" s="123"/>
      <c r="H246" s="103">
        <v>241</v>
      </c>
      <c r="I246" s="104" t="str">
        <f t="shared" si="16"/>
        <v/>
      </c>
      <c r="J246" s="103">
        <f t="shared" si="17"/>
        <v>-3</v>
      </c>
      <c r="K246" s="103">
        <f t="shared" si="18"/>
        <v>-30</v>
      </c>
      <c r="L246" s="103"/>
      <c r="M246" s="105">
        <f t="shared" si="19"/>
        <v>0</v>
      </c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</row>
    <row r="247" spans="1:38" s="88" customFormat="1">
      <c r="A247" s="124"/>
      <c r="B247" s="123"/>
      <c r="C247" s="123"/>
      <c r="D247" s="123"/>
      <c r="E247" s="123"/>
      <c r="F247" s="123"/>
      <c r="H247" s="103">
        <v>242</v>
      </c>
      <c r="I247" s="104" t="str">
        <f t="shared" si="16"/>
        <v/>
      </c>
      <c r="J247" s="103">
        <f t="shared" si="17"/>
        <v>-3</v>
      </c>
      <c r="K247" s="103">
        <f t="shared" si="18"/>
        <v>-30</v>
      </c>
      <c r="L247" s="103"/>
      <c r="M247" s="105">
        <f t="shared" si="19"/>
        <v>0</v>
      </c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</row>
    <row r="248" spans="1:38" s="88" customFormat="1">
      <c r="A248" s="124"/>
      <c r="B248" s="123"/>
      <c r="C248" s="123"/>
      <c r="D248" s="123"/>
      <c r="E248" s="123"/>
      <c r="F248" s="123"/>
      <c r="H248" s="103">
        <v>243</v>
      </c>
      <c r="I248" s="104" t="str">
        <f t="shared" si="16"/>
        <v/>
      </c>
      <c r="J248" s="103">
        <f t="shared" si="17"/>
        <v>-3</v>
      </c>
      <c r="K248" s="103">
        <f t="shared" si="18"/>
        <v>-30</v>
      </c>
      <c r="L248" s="103"/>
      <c r="M248" s="105">
        <f t="shared" si="19"/>
        <v>0</v>
      </c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</row>
    <row r="249" spans="1:38" s="88" customFormat="1">
      <c r="A249" s="124"/>
      <c r="B249" s="123"/>
      <c r="C249" s="123"/>
      <c r="D249" s="123"/>
      <c r="E249" s="123"/>
      <c r="F249" s="123"/>
      <c r="H249" s="103">
        <v>244</v>
      </c>
      <c r="I249" s="104" t="str">
        <f t="shared" si="16"/>
        <v/>
      </c>
      <c r="J249" s="103">
        <f t="shared" si="17"/>
        <v>-3</v>
      </c>
      <c r="K249" s="103">
        <f t="shared" si="18"/>
        <v>-30</v>
      </c>
      <c r="L249" s="103"/>
      <c r="M249" s="105">
        <f t="shared" si="19"/>
        <v>0</v>
      </c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</row>
    <row r="250" spans="1:38" s="88" customFormat="1">
      <c r="A250" s="124"/>
      <c r="B250" s="123"/>
      <c r="C250" s="123"/>
      <c r="D250" s="123"/>
      <c r="E250" s="123"/>
      <c r="F250" s="123"/>
      <c r="H250" s="103">
        <v>245</v>
      </c>
      <c r="I250" s="104" t="str">
        <f t="shared" si="16"/>
        <v/>
      </c>
      <c r="J250" s="103">
        <f t="shared" si="17"/>
        <v>-3</v>
      </c>
      <c r="K250" s="103">
        <f t="shared" si="18"/>
        <v>-30</v>
      </c>
      <c r="L250" s="103"/>
      <c r="M250" s="105">
        <f t="shared" si="19"/>
        <v>0</v>
      </c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</row>
    <row r="251" spans="1:38" s="88" customFormat="1">
      <c r="A251" s="124"/>
      <c r="B251" s="123"/>
      <c r="C251" s="123"/>
      <c r="D251" s="123"/>
      <c r="E251" s="123"/>
      <c r="F251" s="123"/>
      <c r="H251" s="103">
        <v>246</v>
      </c>
      <c r="I251" s="104" t="str">
        <f t="shared" si="16"/>
        <v/>
      </c>
      <c r="J251" s="103">
        <f t="shared" si="17"/>
        <v>-3</v>
      </c>
      <c r="K251" s="103">
        <f t="shared" si="18"/>
        <v>-30</v>
      </c>
      <c r="L251" s="103"/>
      <c r="M251" s="105">
        <f t="shared" si="19"/>
        <v>0</v>
      </c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</row>
    <row r="252" spans="1:38" s="88" customFormat="1">
      <c r="A252" s="124"/>
      <c r="B252" s="123"/>
      <c r="C252" s="123"/>
      <c r="D252" s="123"/>
      <c r="E252" s="123"/>
      <c r="F252" s="123"/>
      <c r="H252" s="103">
        <v>247</v>
      </c>
      <c r="I252" s="104" t="str">
        <f t="shared" si="16"/>
        <v/>
      </c>
      <c r="J252" s="103">
        <f t="shared" si="17"/>
        <v>-3</v>
      </c>
      <c r="K252" s="103">
        <f t="shared" si="18"/>
        <v>-30</v>
      </c>
      <c r="L252" s="103"/>
      <c r="M252" s="105">
        <f t="shared" si="19"/>
        <v>0</v>
      </c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</row>
    <row r="253" spans="1:38" s="88" customFormat="1">
      <c r="A253" s="124"/>
      <c r="B253" s="123"/>
      <c r="C253" s="123"/>
      <c r="D253" s="123"/>
      <c r="E253" s="123"/>
      <c r="F253" s="123"/>
      <c r="H253" s="103">
        <v>248</v>
      </c>
      <c r="I253" s="104" t="str">
        <f t="shared" si="16"/>
        <v/>
      </c>
      <c r="J253" s="103">
        <f t="shared" si="17"/>
        <v>-3</v>
      </c>
      <c r="K253" s="103">
        <f t="shared" si="18"/>
        <v>-30</v>
      </c>
      <c r="L253" s="103"/>
      <c r="M253" s="105">
        <f t="shared" si="19"/>
        <v>0</v>
      </c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</row>
    <row r="254" spans="1:38" s="88" customFormat="1">
      <c r="A254" s="124"/>
      <c r="B254" s="123"/>
      <c r="C254" s="123"/>
      <c r="D254" s="123"/>
      <c r="E254" s="123"/>
      <c r="F254" s="123"/>
      <c r="H254" s="103">
        <v>249</v>
      </c>
      <c r="I254" s="104" t="str">
        <f t="shared" si="16"/>
        <v/>
      </c>
      <c r="J254" s="103">
        <f t="shared" si="17"/>
        <v>-3</v>
      </c>
      <c r="K254" s="103">
        <f t="shared" si="18"/>
        <v>-30</v>
      </c>
      <c r="L254" s="103"/>
      <c r="M254" s="105">
        <f t="shared" si="19"/>
        <v>0</v>
      </c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</row>
    <row r="255" spans="1:38" s="88" customFormat="1">
      <c r="A255" s="124"/>
      <c r="B255" s="123"/>
      <c r="C255" s="123"/>
      <c r="D255" s="123"/>
      <c r="E255" s="123"/>
      <c r="F255" s="123"/>
      <c r="H255" s="103">
        <v>250</v>
      </c>
      <c r="I255" s="104" t="str">
        <f t="shared" si="16"/>
        <v/>
      </c>
      <c r="J255" s="103">
        <f t="shared" si="17"/>
        <v>-3</v>
      </c>
      <c r="K255" s="103">
        <f t="shared" si="18"/>
        <v>-30</v>
      </c>
      <c r="L255" s="103"/>
      <c r="M255" s="105">
        <f t="shared" si="19"/>
        <v>0</v>
      </c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</row>
    <row r="256" spans="1:38" s="88" customFormat="1">
      <c r="A256" s="124"/>
      <c r="B256" s="123"/>
      <c r="C256" s="123"/>
      <c r="D256" s="123"/>
      <c r="E256" s="123"/>
      <c r="F256" s="123"/>
      <c r="H256" s="103">
        <v>251</v>
      </c>
      <c r="I256" s="104" t="str">
        <f t="shared" si="16"/>
        <v/>
      </c>
      <c r="J256" s="103">
        <f t="shared" si="17"/>
        <v>-3</v>
      </c>
      <c r="K256" s="103">
        <f t="shared" si="18"/>
        <v>-30</v>
      </c>
      <c r="L256" s="103"/>
      <c r="M256" s="105">
        <f t="shared" si="19"/>
        <v>0</v>
      </c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</row>
    <row r="257" spans="1:38" s="88" customFormat="1">
      <c r="A257" s="124"/>
      <c r="B257" s="123"/>
      <c r="C257" s="123"/>
      <c r="D257" s="123"/>
      <c r="E257" s="123"/>
      <c r="F257" s="123"/>
      <c r="H257" s="103">
        <v>252</v>
      </c>
      <c r="I257" s="104" t="str">
        <f t="shared" si="16"/>
        <v/>
      </c>
      <c r="J257" s="103">
        <f t="shared" si="17"/>
        <v>-3</v>
      </c>
      <c r="K257" s="103">
        <f t="shared" si="18"/>
        <v>-30</v>
      </c>
      <c r="L257" s="103"/>
      <c r="M257" s="105">
        <f t="shared" si="19"/>
        <v>0</v>
      </c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</row>
    <row r="258" spans="1:38" s="88" customFormat="1">
      <c r="A258" s="124"/>
      <c r="B258" s="123"/>
      <c r="C258" s="123"/>
      <c r="D258" s="123"/>
      <c r="E258" s="123"/>
      <c r="F258" s="123"/>
      <c r="H258" s="103">
        <v>253</v>
      </c>
      <c r="I258" s="104" t="str">
        <f t="shared" si="16"/>
        <v/>
      </c>
      <c r="J258" s="103">
        <f t="shared" si="17"/>
        <v>-3</v>
      </c>
      <c r="K258" s="103">
        <f t="shared" si="18"/>
        <v>-30</v>
      </c>
      <c r="L258" s="103"/>
      <c r="M258" s="105">
        <f t="shared" si="19"/>
        <v>0</v>
      </c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</row>
    <row r="259" spans="1:38" s="88" customFormat="1">
      <c r="A259" s="124"/>
      <c r="B259" s="123"/>
      <c r="C259" s="123"/>
      <c r="D259" s="123"/>
      <c r="E259" s="123"/>
      <c r="F259" s="123"/>
      <c r="H259" s="103">
        <v>254</v>
      </c>
      <c r="I259" s="104" t="str">
        <f t="shared" si="16"/>
        <v/>
      </c>
      <c r="J259" s="103">
        <f t="shared" si="17"/>
        <v>-3</v>
      </c>
      <c r="K259" s="103">
        <f t="shared" si="18"/>
        <v>-30</v>
      </c>
      <c r="L259" s="103"/>
      <c r="M259" s="105">
        <f t="shared" si="19"/>
        <v>0</v>
      </c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</row>
    <row r="260" spans="1:38" s="88" customFormat="1">
      <c r="A260" s="124"/>
      <c r="B260" s="123"/>
      <c r="C260" s="123"/>
      <c r="D260" s="123"/>
      <c r="E260" s="123"/>
      <c r="F260" s="123"/>
      <c r="H260" s="103">
        <v>255</v>
      </c>
      <c r="I260" s="104" t="str">
        <f t="shared" si="16"/>
        <v/>
      </c>
      <c r="J260" s="103">
        <f t="shared" si="17"/>
        <v>-3</v>
      </c>
      <c r="K260" s="103">
        <f t="shared" si="18"/>
        <v>-30</v>
      </c>
      <c r="L260" s="103"/>
      <c r="M260" s="105">
        <f t="shared" si="19"/>
        <v>0</v>
      </c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</row>
    <row r="261" spans="1:38" s="88" customFormat="1">
      <c r="A261" s="124"/>
      <c r="B261" s="123"/>
      <c r="C261" s="123"/>
      <c r="D261" s="123"/>
      <c r="E261" s="123"/>
      <c r="F261" s="123"/>
      <c r="H261" s="103">
        <v>256</v>
      </c>
      <c r="I261" s="104" t="str">
        <f t="shared" si="16"/>
        <v/>
      </c>
      <c r="J261" s="103">
        <f t="shared" si="17"/>
        <v>-3</v>
      </c>
      <c r="K261" s="103">
        <f t="shared" si="18"/>
        <v>-30</v>
      </c>
      <c r="L261" s="103"/>
      <c r="M261" s="105">
        <f t="shared" si="19"/>
        <v>0</v>
      </c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</row>
    <row r="262" spans="1:38" s="88" customFormat="1">
      <c r="A262" s="124"/>
      <c r="B262" s="123"/>
      <c r="C262" s="123"/>
      <c r="D262" s="123"/>
      <c r="E262" s="123"/>
      <c r="F262" s="123"/>
      <c r="H262" s="103">
        <v>257</v>
      </c>
      <c r="I262" s="104" t="str">
        <f t="shared" ref="I262:I305" si="20">IF(H262&lt;$H$2+1,($I$2-($I$2-1)*(LOG(H262)/LOG($H$2))),"")</f>
        <v/>
      </c>
      <c r="J262" s="103">
        <f t="shared" ref="J262:J305" si="21">INT(LOG($H$2,2))-ROUNDUP(LOG(H262,2),0)+IF(OR($H$2=1,$H$2=2,$H$2=4,$H$2=8,$H$2=16,$H$2=32,$H$2=64,$H$2=128,$H$2=256),0,1)</f>
        <v>-4</v>
      </c>
      <c r="K262" s="103">
        <f t="shared" ref="K262:K305" si="22">J262*$J$2</f>
        <v>-40</v>
      </c>
      <c r="L262" s="103"/>
      <c r="M262" s="105">
        <f t="shared" ref="M262:M305" si="23">IF(I262&lt;&gt;"",K262+I262+L262,0)</f>
        <v>0</v>
      </c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</row>
    <row r="263" spans="1:38" s="88" customFormat="1">
      <c r="A263" s="124"/>
      <c r="B263" s="123"/>
      <c r="C263" s="123"/>
      <c r="D263" s="123"/>
      <c r="E263" s="123"/>
      <c r="F263" s="123"/>
      <c r="H263" s="103">
        <v>258</v>
      </c>
      <c r="I263" s="104" t="str">
        <f t="shared" si="20"/>
        <v/>
      </c>
      <c r="J263" s="103">
        <f t="shared" si="21"/>
        <v>-4</v>
      </c>
      <c r="K263" s="103">
        <f t="shared" si="22"/>
        <v>-40</v>
      </c>
      <c r="L263" s="103"/>
      <c r="M263" s="105">
        <f t="shared" si="23"/>
        <v>0</v>
      </c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</row>
    <row r="264" spans="1:38" s="88" customFormat="1">
      <c r="A264" s="124"/>
      <c r="B264" s="123"/>
      <c r="C264" s="123"/>
      <c r="D264" s="123"/>
      <c r="E264" s="123"/>
      <c r="F264" s="123"/>
      <c r="H264" s="103">
        <v>259</v>
      </c>
      <c r="I264" s="104" t="str">
        <f t="shared" si="20"/>
        <v/>
      </c>
      <c r="J264" s="103">
        <f t="shared" si="21"/>
        <v>-4</v>
      </c>
      <c r="K264" s="103">
        <f t="shared" si="22"/>
        <v>-40</v>
      </c>
      <c r="L264" s="103"/>
      <c r="M264" s="105">
        <f t="shared" si="23"/>
        <v>0</v>
      </c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</row>
    <row r="265" spans="1:38" s="88" customFormat="1">
      <c r="A265" s="124"/>
      <c r="B265" s="123"/>
      <c r="C265" s="123"/>
      <c r="D265" s="123"/>
      <c r="E265" s="123"/>
      <c r="F265" s="123"/>
      <c r="H265" s="103">
        <v>260</v>
      </c>
      <c r="I265" s="104" t="str">
        <f t="shared" si="20"/>
        <v/>
      </c>
      <c r="J265" s="103">
        <f t="shared" si="21"/>
        <v>-4</v>
      </c>
      <c r="K265" s="103">
        <f t="shared" si="22"/>
        <v>-40</v>
      </c>
      <c r="L265" s="103"/>
      <c r="M265" s="105">
        <f t="shared" si="23"/>
        <v>0</v>
      </c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</row>
    <row r="266" spans="1:38" s="88" customFormat="1">
      <c r="A266" s="124"/>
      <c r="B266" s="123"/>
      <c r="C266" s="123"/>
      <c r="D266" s="123"/>
      <c r="E266" s="123"/>
      <c r="F266" s="123"/>
      <c r="H266" s="103">
        <v>261</v>
      </c>
      <c r="I266" s="104" t="str">
        <f t="shared" si="20"/>
        <v/>
      </c>
      <c r="J266" s="103">
        <f t="shared" si="21"/>
        <v>-4</v>
      </c>
      <c r="K266" s="103">
        <f t="shared" si="22"/>
        <v>-40</v>
      </c>
      <c r="L266" s="103"/>
      <c r="M266" s="105">
        <f t="shared" si="23"/>
        <v>0</v>
      </c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</row>
    <row r="267" spans="1:38" s="88" customFormat="1">
      <c r="A267" s="124"/>
      <c r="B267" s="123"/>
      <c r="C267" s="123"/>
      <c r="D267" s="123"/>
      <c r="E267" s="123"/>
      <c r="F267" s="123"/>
      <c r="H267" s="103">
        <v>262</v>
      </c>
      <c r="I267" s="104" t="str">
        <f t="shared" si="20"/>
        <v/>
      </c>
      <c r="J267" s="103">
        <f t="shared" si="21"/>
        <v>-4</v>
      </c>
      <c r="K267" s="103">
        <f t="shared" si="22"/>
        <v>-40</v>
      </c>
      <c r="L267" s="103"/>
      <c r="M267" s="105">
        <f t="shared" si="23"/>
        <v>0</v>
      </c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</row>
    <row r="268" spans="1:38" s="88" customFormat="1">
      <c r="A268" s="124"/>
      <c r="B268" s="123"/>
      <c r="C268" s="123"/>
      <c r="D268" s="123"/>
      <c r="E268" s="123"/>
      <c r="F268" s="123"/>
      <c r="H268" s="103">
        <v>263</v>
      </c>
      <c r="I268" s="104" t="str">
        <f t="shared" si="20"/>
        <v/>
      </c>
      <c r="J268" s="103">
        <f t="shared" si="21"/>
        <v>-4</v>
      </c>
      <c r="K268" s="103">
        <f t="shared" si="22"/>
        <v>-40</v>
      </c>
      <c r="L268" s="103"/>
      <c r="M268" s="105">
        <f t="shared" si="23"/>
        <v>0</v>
      </c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</row>
    <row r="269" spans="1:38" s="88" customFormat="1">
      <c r="A269" s="124"/>
      <c r="B269" s="123"/>
      <c r="C269" s="123"/>
      <c r="D269" s="123"/>
      <c r="E269" s="123"/>
      <c r="F269" s="123"/>
      <c r="H269" s="103">
        <v>264</v>
      </c>
      <c r="I269" s="104" t="str">
        <f t="shared" si="20"/>
        <v/>
      </c>
      <c r="J269" s="103">
        <f t="shared" si="21"/>
        <v>-4</v>
      </c>
      <c r="K269" s="103">
        <f t="shared" si="22"/>
        <v>-40</v>
      </c>
      <c r="L269" s="103"/>
      <c r="M269" s="105">
        <f t="shared" si="23"/>
        <v>0</v>
      </c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</row>
    <row r="270" spans="1:38" s="88" customFormat="1">
      <c r="A270" s="124"/>
      <c r="B270" s="123"/>
      <c r="C270" s="123"/>
      <c r="D270" s="123"/>
      <c r="E270" s="123"/>
      <c r="F270" s="123"/>
      <c r="H270" s="103">
        <v>265</v>
      </c>
      <c r="I270" s="104" t="str">
        <f t="shared" si="20"/>
        <v/>
      </c>
      <c r="J270" s="103">
        <f t="shared" si="21"/>
        <v>-4</v>
      </c>
      <c r="K270" s="103">
        <f t="shared" si="22"/>
        <v>-40</v>
      </c>
      <c r="L270" s="103"/>
      <c r="M270" s="105">
        <f t="shared" si="23"/>
        <v>0</v>
      </c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</row>
    <row r="271" spans="1:38" s="88" customFormat="1">
      <c r="A271" s="124"/>
      <c r="B271" s="123"/>
      <c r="C271" s="123"/>
      <c r="D271" s="123"/>
      <c r="E271" s="123"/>
      <c r="F271" s="123"/>
      <c r="H271" s="103">
        <v>266</v>
      </c>
      <c r="I271" s="104" t="str">
        <f t="shared" si="20"/>
        <v/>
      </c>
      <c r="J271" s="103">
        <f t="shared" si="21"/>
        <v>-4</v>
      </c>
      <c r="K271" s="103">
        <f t="shared" si="22"/>
        <v>-40</v>
      </c>
      <c r="L271" s="103"/>
      <c r="M271" s="105">
        <f t="shared" si="23"/>
        <v>0</v>
      </c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</row>
    <row r="272" spans="1:38" s="88" customFormat="1">
      <c r="A272" s="124"/>
      <c r="B272" s="123"/>
      <c r="C272" s="123"/>
      <c r="D272" s="123"/>
      <c r="E272" s="123"/>
      <c r="F272" s="123"/>
      <c r="H272" s="103">
        <v>267</v>
      </c>
      <c r="I272" s="104" t="str">
        <f t="shared" si="20"/>
        <v/>
      </c>
      <c r="J272" s="103">
        <f t="shared" si="21"/>
        <v>-4</v>
      </c>
      <c r="K272" s="103">
        <f t="shared" si="22"/>
        <v>-40</v>
      </c>
      <c r="L272" s="103"/>
      <c r="M272" s="105">
        <f t="shared" si="23"/>
        <v>0</v>
      </c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</row>
    <row r="273" spans="1:38" s="88" customFormat="1">
      <c r="A273" s="124"/>
      <c r="B273" s="123"/>
      <c r="C273" s="123"/>
      <c r="D273" s="123"/>
      <c r="E273" s="123"/>
      <c r="F273" s="123"/>
      <c r="H273" s="103">
        <v>268</v>
      </c>
      <c r="I273" s="104" t="str">
        <f t="shared" si="20"/>
        <v/>
      </c>
      <c r="J273" s="103">
        <f t="shared" si="21"/>
        <v>-4</v>
      </c>
      <c r="K273" s="103">
        <f t="shared" si="22"/>
        <v>-40</v>
      </c>
      <c r="L273" s="103"/>
      <c r="M273" s="105">
        <f t="shared" si="23"/>
        <v>0</v>
      </c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</row>
    <row r="274" spans="1:38" s="88" customFormat="1">
      <c r="A274" s="124"/>
      <c r="B274" s="123"/>
      <c r="C274" s="123"/>
      <c r="D274" s="123"/>
      <c r="E274" s="123"/>
      <c r="F274" s="123"/>
      <c r="H274" s="103">
        <v>269</v>
      </c>
      <c r="I274" s="104" t="str">
        <f t="shared" si="20"/>
        <v/>
      </c>
      <c r="J274" s="103">
        <f t="shared" si="21"/>
        <v>-4</v>
      </c>
      <c r="K274" s="103">
        <f t="shared" si="22"/>
        <v>-40</v>
      </c>
      <c r="L274" s="103"/>
      <c r="M274" s="105">
        <f t="shared" si="23"/>
        <v>0</v>
      </c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</row>
    <row r="275" spans="1:38" s="88" customFormat="1">
      <c r="A275" s="124"/>
      <c r="B275" s="123"/>
      <c r="C275" s="123"/>
      <c r="D275" s="123"/>
      <c r="E275" s="123"/>
      <c r="F275" s="123"/>
      <c r="H275" s="103">
        <v>270</v>
      </c>
      <c r="I275" s="104" t="str">
        <f t="shared" si="20"/>
        <v/>
      </c>
      <c r="J275" s="103">
        <f t="shared" si="21"/>
        <v>-4</v>
      </c>
      <c r="K275" s="103">
        <f t="shared" si="22"/>
        <v>-40</v>
      </c>
      <c r="L275" s="103"/>
      <c r="M275" s="105">
        <f t="shared" si="23"/>
        <v>0</v>
      </c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</row>
    <row r="276" spans="1:38" s="88" customFormat="1">
      <c r="A276" s="124"/>
      <c r="B276" s="123"/>
      <c r="C276" s="123"/>
      <c r="D276" s="123"/>
      <c r="E276" s="123"/>
      <c r="F276" s="123"/>
      <c r="H276" s="103">
        <v>271</v>
      </c>
      <c r="I276" s="104" t="str">
        <f t="shared" si="20"/>
        <v/>
      </c>
      <c r="J276" s="103">
        <f t="shared" si="21"/>
        <v>-4</v>
      </c>
      <c r="K276" s="103">
        <f t="shared" si="22"/>
        <v>-40</v>
      </c>
      <c r="L276" s="103"/>
      <c r="M276" s="105">
        <f t="shared" si="23"/>
        <v>0</v>
      </c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</row>
    <row r="277" spans="1:38" s="88" customFormat="1">
      <c r="A277" s="124"/>
      <c r="B277" s="123"/>
      <c r="C277" s="123"/>
      <c r="D277" s="123"/>
      <c r="E277" s="123"/>
      <c r="F277" s="123"/>
      <c r="H277" s="103">
        <v>272</v>
      </c>
      <c r="I277" s="104" t="str">
        <f t="shared" si="20"/>
        <v/>
      </c>
      <c r="J277" s="103">
        <f t="shared" si="21"/>
        <v>-4</v>
      </c>
      <c r="K277" s="103">
        <f t="shared" si="22"/>
        <v>-40</v>
      </c>
      <c r="L277" s="103"/>
      <c r="M277" s="105">
        <f t="shared" si="23"/>
        <v>0</v>
      </c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</row>
    <row r="278" spans="1:38" s="88" customFormat="1">
      <c r="A278" s="124"/>
      <c r="B278" s="123"/>
      <c r="C278" s="123"/>
      <c r="D278" s="123"/>
      <c r="E278" s="123"/>
      <c r="F278" s="123"/>
      <c r="H278" s="103">
        <v>273</v>
      </c>
      <c r="I278" s="104" t="str">
        <f t="shared" si="20"/>
        <v/>
      </c>
      <c r="J278" s="103">
        <f t="shared" si="21"/>
        <v>-4</v>
      </c>
      <c r="K278" s="103">
        <f t="shared" si="22"/>
        <v>-40</v>
      </c>
      <c r="L278" s="103"/>
      <c r="M278" s="105">
        <f t="shared" si="23"/>
        <v>0</v>
      </c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</row>
    <row r="279" spans="1:38" s="88" customFormat="1">
      <c r="A279" s="124"/>
      <c r="B279" s="123"/>
      <c r="C279" s="123"/>
      <c r="D279" s="123"/>
      <c r="E279" s="123"/>
      <c r="F279" s="123"/>
      <c r="H279" s="103">
        <v>274</v>
      </c>
      <c r="I279" s="104" t="str">
        <f t="shared" si="20"/>
        <v/>
      </c>
      <c r="J279" s="103">
        <f t="shared" si="21"/>
        <v>-4</v>
      </c>
      <c r="K279" s="103">
        <f t="shared" si="22"/>
        <v>-40</v>
      </c>
      <c r="L279" s="103"/>
      <c r="M279" s="105">
        <f t="shared" si="23"/>
        <v>0</v>
      </c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</row>
    <row r="280" spans="1:38" s="88" customFormat="1">
      <c r="A280" s="124"/>
      <c r="B280" s="123"/>
      <c r="C280" s="123"/>
      <c r="D280" s="123"/>
      <c r="E280" s="123"/>
      <c r="F280" s="123"/>
      <c r="H280" s="103">
        <v>275</v>
      </c>
      <c r="I280" s="104" t="str">
        <f t="shared" si="20"/>
        <v/>
      </c>
      <c r="J280" s="103">
        <f t="shared" si="21"/>
        <v>-4</v>
      </c>
      <c r="K280" s="103">
        <f t="shared" si="22"/>
        <v>-40</v>
      </c>
      <c r="L280" s="103"/>
      <c r="M280" s="105">
        <f t="shared" si="23"/>
        <v>0</v>
      </c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</row>
    <row r="281" spans="1:38" s="88" customFormat="1">
      <c r="A281" s="124"/>
      <c r="B281" s="123"/>
      <c r="C281" s="123"/>
      <c r="D281" s="123"/>
      <c r="E281" s="123"/>
      <c r="F281" s="123"/>
      <c r="H281" s="103">
        <v>276</v>
      </c>
      <c r="I281" s="104" t="str">
        <f t="shared" si="20"/>
        <v/>
      </c>
      <c r="J281" s="103">
        <f t="shared" si="21"/>
        <v>-4</v>
      </c>
      <c r="K281" s="103">
        <f t="shared" si="22"/>
        <v>-40</v>
      </c>
      <c r="L281" s="103"/>
      <c r="M281" s="105">
        <f t="shared" si="23"/>
        <v>0</v>
      </c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</row>
    <row r="282" spans="1:38" s="88" customFormat="1">
      <c r="A282" s="124"/>
      <c r="B282" s="123"/>
      <c r="C282" s="123"/>
      <c r="D282" s="123"/>
      <c r="E282" s="123"/>
      <c r="F282" s="123"/>
      <c r="H282" s="103">
        <v>277</v>
      </c>
      <c r="I282" s="104" t="str">
        <f t="shared" si="20"/>
        <v/>
      </c>
      <c r="J282" s="103">
        <f t="shared" si="21"/>
        <v>-4</v>
      </c>
      <c r="K282" s="103">
        <f t="shared" si="22"/>
        <v>-40</v>
      </c>
      <c r="L282" s="103"/>
      <c r="M282" s="105">
        <f t="shared" si="23"/>
        <v>0</v>
      </c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</row>
    <row r="283" spans="1:38" s="88" customFormat="1">
      <c r="A283" s="124"/>
      <c r="B283" s="123"/>
      <c r="C283" s="123"/>
      <c r="D283" s="123"/>
      <c r="E283" s="123"/>
      <c r="F283" s="123"/>
      <c r="H283" s="103">
        <v>278</v>
      </c>
      <c r="I283" s="104" t="str">
        <f t="shared" si="20"/>
        <v/>
      </c>
      <c r="J283" s="103">
        <f t="shared" si="21"/>
        <v>-4</v>
      </c>
      <c r="K283" s="103">
        <f t="shared" si="22"/>
        <v>-40</v>
      </c>
      <c r="L283" s="103"/>
      <c r="M283" s="105">
        <f t="shared" si="23"/>
        <v>0</v>
      </c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</row>
    <row r="284" spans="1:38" s="88" customFormat="1">
      <c r="A284" s="124"/>
      <c r="B284" s="123"/>
      <c r="C284" s="123"/>
      <c r="D284" s="123"/>
      <c r="E284" s="123"/>
      <c r="F284" s="123"/>
      <c r="H284" s="103">
        <v>279</v>
      </c>
      <c r="I284" s="104" t="str">
        <f t="shared" si="20"/>
        <v/>
      </c>
      <c r="J284" s="103">
        <f t="shared" si="21"/>
        <v>-4</v>
      </c>
      <c r="K284" s="103">
        <f t="shared" si="22"/>
        <v>-40</v>
      </c>
      <c r="L284" s="103"/>
      <c r="M284" s="105">
        <f t="shared" si="23"/>
        <v>0</v>
      </c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</row>
    <row r="285" spans="1:38" s="88" customFormat="1">
      <c r="A285" s="124"/>
      <c r="B285" s="123"/>
      <c r="C285" s="123"/>
      <c r="D285" s="123"/>
      <c r="E285" s="123"/>
      <c r="F285" s="123"/>
      <c r="H285" s="103">
        <v>280</v>
      </c>
      <c r="I285" s="104" t="str">
        <f t="shared" si="20"/>
        <v/>
      </c>
      <c r="J285" s="103">
        <f t="shared" si="21"/>
        <v>-4</v>
      </c>
      <c r="K285" s="103">
        <f t="shared" si="22"/>
        <v>-40</v>
      </c>
      <c r="L285" s="103"/>
      <c r="M285" s="105">
        <f t="shared" si="23"/>
        <v>0</v>
      </c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</row>
    <row r="286" spans="1:38" s="88" customFormat="1">
      <c r="A286" s="124"/>
      <c r="B286" s="123"/>
      <c r="C286" s="123"/>
      <c r="D286" s="123"/>
      <c r="E286" s="123"/>
      <c r="F286" s="123"/>
      <c r="H286" s="103">
        <v>281</v>
      </c>
      <c r="I286" s="104" t="str">
        <f t="shared" si="20"/>
        <v/>
      </c>
      <c r="J286" s="103">
        <f t="shared" si="21"/>
        <v>-4</v>
      </c>
      <c r="K286" s="103">
        <f t="shared" si="22"/>
        <v>-40</v>
      </c>
      <c r="L286" s="103"/>
      <c r="M286" s="105">
        <f t="shared" si="23"/>
        <v>0</v>
      </c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</row>
    <row r="287" spans="1:38" s="88" customFormat="1">
      <c r="A287" s="124"/>
      <c r="B287" s="123"/>
      <c r="C287" s="123"/>
      <c r="D287" s="123"/>
      <c r="E287" s="123"/>
      <c r="F287" s="123"/>
      <c r="H287" s="103">
        <v>282</v>
      </c>
      <c r="I287" s="104" t="str">
        <f t="shared" si="20"/>
        <v/>
      </c>
      <c r="J287" s="103">
        <f t="shared" si="21"/>
        <v>-4</v>
      </c>
      <c r="K287" s="103">
        <f t="shared" si="22"/>
        <v>-40</v>
      </c>
      <c r="L287" s="103"/>
      <c r="M287" s="105">
        <f t="shared" si="23"/>
        <v>0</v>
      </c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</row>
    <row r="288" spans="1:38" s="88" customFormat="1">
      <c r="A288" s="124"/>
      <c r="B288" s="123"/>
      <c r="C288" s="123"/>
      <c r="D288" s="123"/>
      <c r="E288" s="123"/>
      <c r="F288" s="123"/>
      <c r="H288" s="103">
        <v>283</v>
      </c>
      <c r="I288" s="104" t="str">
        <f t="shared" si="20"/>
        <v/>
      </c>
      <c r="J288" s="103">
        <f t="shared" si="21"/>
        <v>-4</v>
      </c>
      <c r="K288" s="103">
        <f t="shared" si="22"/>
        <v>-40</v>
      </c>
      <c r="L288" s="103"/>
      <c r="M288" s="105">
        <f t="shared" si="23"/>
        <v>0</v>
      </c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</row>
    <row r="289" spans="1:38" s="88" customFormat="1">
      <c r="A289" s="124"/>
      <c r="B289" s="123"/>
      <c r="C289" s="123"/>
      <c r="D289" s="123"/>
      <c r="E289" s="123"/>
      <c r="F289" s="123"/>
      <c r="H289" s="103">
        <v>284</v>
      </c>
      <c r="I289" s="104" t="str">
        <f t="shared" si="20"/>
        <v/>
      </c>
      <c r="J289" s="103">
        <f t="shared" si="21"/>
        <v>-4</v>
      </c>
      <c r="K289" s="103">
        <f t="shared" si="22"/>
        <v>-40</v>
      </c>
      <c r="L289" s="103"/>
      <c r="M289" s="105">
        <f t="shared" si="23"/>
        <v>0</v>
      </c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</row>
    <row r="290" spans="1:38" s="88" customFormat="1">
      <c r="A290" s="124"/>
      <c r="B290" s="123"/>
      <c r="C290" s="123"/>
      <c r="D290" s="123"/>
      <c r="E290" s="123"/>
      <c r="F290" s="123"/>
      <c r="H290" s="103">
        <v>285</v>
      </c>
      <c r="I290" s="104" t="str">
        <f t="shared" si="20"/>
        <v/>
      </c>
      <c r="J290" s="103">
        <f t="shared" si="21"/>
        <v>-4</v>
      </c>
      <c r="K290" s="103">
        <f t="shared" si="22"/>
        <v>-40</v>
      </c>
      <c r="L290" s="103"/>
      <c r="M290" s="105">
        <f t="shared" si="23"/>
        <v>0</v>
      </c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</row>
    <row r="291" spans="1:38" s="88" customFormat="1">
      <c r="A291" s="124"/>
      <c r="B291" s="123"/>
      <c r="C291" s="123"/>
      <c r="D291" s="123"/>
      <c r="E291" s="123"/>
      <c r="F291" s="123"/>
      <c r="H291" s="103">
        <v>286</v>
      </c>
      <c r="I291" s="104" t="str">
        <f t="shared" si="20"/>
        <v/>
      </c>
      <c r="J291" s="103">
        <f t="shared" si="21"/>
        <v>-4</v>
      </c>
      <c r="K291" s="103">
        <f t="shared" si="22"/>
        <v>-40</v>
      </c>
      <c r="L291" s="103"/>
      <c r="M291" s="105">
        <f t="shared" si="23"/>
        <v>0</v>
      </c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</row>
    <row r="292" spans="1:38" s="88" customFormat="1">
      <c r="A292" s="124"/>
      <c r="B292" s="123"/>
      <c r="C292" s="123"/>
      <c r="D292" s="123"/>
      <c r="E292" s="123"/>
      <c r="F292" s="123"/>
      <c r="H292" s="103">
        <v>287</v>
      </c>
      <c r="I292" s="104" t="str">
        <f t="shared" si="20"/>
        <v/>
      </c>
      <c r="J292" s="103">
        <f t="shared" si="21"/>
        <v>-4</v>
      </c>
      <c r="K292" s="103">
        <f t="shared" si="22"/>
        <v>-40</v>
      </c>
      <c r="L292" s="103"/>
      <c r="M292" s="105">
        <f t="shared" si="23"/>
        <v>0</v>
      </c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</row>
    <row r="293" spans="1:38" s="88" customFormat="1">
      <c r="A293" s="124"/>
      <c r="B293" s="123"/>
      <c r="C293" s="123"/>
      <c r="D293" s="123"/>
      <c r="E293" s="123"/>
      <c r="F293" s="123"/>
      <c r="H293" s="103">
        <v>288</v>
      </c>
      <c r="I293" s="104" t="str">
        <f t="shared" si="20"/>
        <v/>
      </c>
      <c r="J293" s="103">
        <f t="shared" si="21"/>
        <v>-4</v>
      </c>
      <c r="K293" s="103">
        <f t="shared" si="22"/>
        <v>-40</v>
      </c>
      <c r="L293" s="103"/>
      <c r="M293" s="105">
        <f t="shared" si="23"/>
        <v>0</v>
      </c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</row>
    <row r="294" spans="1:38" s="88" customFormat="1">
      <c r="A294" s="124"/>
      <c r="B294" s="123"/>
      <c r="C294" s="123"/>
      <c r="D294" s="123"/>
      <c r="E294" s="123"/>
      <c r="F294" s="123"/>
      <c r="H294" s="103">
        <v>289</v>
      </c>
      <c r="I294" s="104" t="str">
        <f t="shared" si="20"/>
        <v/>
      </c>
      <c r="J294" s="103">
        <f t="shared" si="21"/>
        <v>-4</v>
      </c>
      <c r="K294" s="103">
        <f t="shared" si="22"/>
        <v>-40</v>
      </c>
      <c r="L294" s="103"/>
      <c r="M294" s="105">
        <f t="shared" si="23"/>
        <v>0</v>
      </c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</row>
    <row r="295" spans="1:38" s="88" customFormat="1">
      <c r="A295" s="124"/>
      <c r="B295" s="123"/>
      <c r="C295" s="123"/>
      <c r="D295" s="123"/>
      <c r="E295" s="123"/>
      <c r="F295" s="123"/>
      <c r="H295" s="103">
        <v>290</v>
      </c>
      <c r="I295" s="104" t="str">
        <f t="shared" si="20"/>
        <v/>
      </c>
      <c r="J295" s="103">
        <f t="shared" si="21"/>
        <v>-4</v>
      </c>
      <c r="K295" s="103">
        <f t="shared" si="22"/>
        <v>-40</v>
      </c>
      <c r="L295" s="103"/>
      <c r="M295" s="105">
        <f t="shared" si="23"/>
        <v>0</v>
      </c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</row>
    <row r="296" spans="1:38" s="88" customFormat="1">
      <c r="A296" s="124"/>
      <c r="B296" s="123"/>
      <c r="C296" s="123"/>
      <c r="D296" s="123"/>
      <c r="E296" s="123"/>
      <c r="F296" s="123"/>
      <c r="H296" s="103">
        <v>291</v>
      </c>
      <c r="I296" s="104" t="str">
        <f t="shared" si="20"/>
        <v/>
      </c>
      <c r="J296" s="103">
        <f t="shared" si="21"/>
        <v>-4</v>
      </c>
      <c r="K296" s="103">
        <f t="shared" si="22"/>
        <v>-40</v>
      </c>
      <c r="L296" s="103"/>
      <c r="M296" s="105">
        <f t="shared" si="23"/>
        <v>0</v>
      </c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</row>
    <row r="297" spans="1:38" s="88" customFormat="1">
      <c r="A297" s="124"/>
      <c r="B297" s="123"/>
      <c r="C297" s="123"/>
      <c r="D297" s="123"/>
      <c r="E297" s="123"/>
      <c r="F297" s="123"/>
      <c r="H297" s="103">
        <v>292</v>
      </c>
      <c r="I297" s="104" t="str">
        <f t="shared" si="20"/>
        <v/>
      </c>
      <c r="J297" s="103">
        <f t="shared" si="21"/>
        <v>-4</v>
      </c>
      <c r="K297" s="103">
        <f t="shared" si="22"/>
        <v>-40</v>
      </c>
      <c r="L297" s="103"/>
      <c r="M297" s="105">
        <f t="shared" si="23"/>
        <v>0</v>
      </c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</row>
    <row r="298" spans="1:38" s="88" customFormat="1">
      <c r="A298" s="124"/>
      <c r="B298" s="123"/>
      <c r="C298" s="123"/>
      <c r="D298" s="123"/>
      <c r="E298" s="123"/>
      <c r="F298" s="123"/>
      <c r="H298" s="103">
        <v>293</v>
      </c>
      <c r="I298" s="104" t="str">
        <f t="shared" si="20"/>
        <v/>
      </c>
      <c r="J298" s="103">
        <f t="shared" si="21"/>
        <v>-4</v>
      </c>
      <c r="K298" s="103">
        <f t="shared" si="22"/>
        <v>-40</v>
      </c>
      <c r="L298" s="103"/>
      <c r="M298" s="105">
        <f t="shared" si="23"/>
        <v>0</v>
      </c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</row>
    <row r="299" spans="1:38" s="88" customFormat="1">
      <c r="A299" s="124"/>
      <c r="B299" s="123"/>
      <c r="C299" s="123"/>
      <c r="D299" s="123"/>
      <c r="E299" s="123"/>
      <c r="F299" s="123"/>
      <c r="H299" s="103">
        <v>294</v>
      </c>
      <c r="I299" s="104" t="str">
        <f t="shared" si="20"/>
        <v/>
      </c>
      <c r="J299" s="103">
        <f t="shared" si="21"/>
        <v>-4</v>
      </c>
      <c r="K299" s="103">
        <f t="shared" si="22"/>
        <v>-40</v>
      </c>
      <c r="L299" s="103"/>
      <c r="M299" s="105">
        <f t="shared" si="23"/>
        <v>0</v>
      </c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</row>
    <row r="300" spans="1:38" s="88" customFormat="1">
      <c r="A300" s="124"/>
      <c r="B300" s="123"/>
      <c r="C300" s="123"/>
      <c r="D300" s="123"/>
      <c r="E300" s="123"/>
      <c r="F300" s="123"/>
      <c r="H300" s="103">
        <v>295</v>
      </c>
      <c r="I300" s="104" t="str">
        <f t="shared" si="20"/>
        <v/>
      </c>
      <c r="J300" s="103">
        <f t="shared" si="21"/>
        <v>-4</v>
      </c>
      <c r="K300" s="103">
        <f t="shared" si="22"/>
        <v>-40</v>
      </c>
      <c r="L300" s="103"/>
      <c r="M300" s="105">
        <f t="shared" si="23"/>
        <v>0</v>
      </c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</row>
    <row r="301" spans="1:38" s="88" customFormat="1">
      <c r="A301" s="124"/>
      <c r="B301" s="123"/>
      <c r="C301" s="123"/>
      <c r="D301" s="123"/>
      <c r="E301" s="123"/>
      <c r="F301" s="123"/>
      <c r="H301" s="103">
        <v>296</v>
      </c>
      <c r="I301" s="104" t="str">
        <f t="shared" si="20"/>
        <v/>
      </c>
      <c r="J301" s="103">
        <f t="shared" si="21"/>
        <v>-4</v>
      </c>
      <c r="K301" s="103">
        <f t="shared" si="22"/>
        <v>-40</v>
      </c>
      <c r="L301" s="103"/>
      <c r="M301" s="105">
        <f t="shared" si="23"/>
        <v>0</v>
      </c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</row>
    <row r="302" spans="1:38" s="88" customFormat="1">
      <c r="A302" s="124"/>
      <c r="B302" s="123"/>
      <c r="C302" s="123"/>
      <c r="D302" s="123"/>
      <c r="E302" s="123"/>
      <c r="F302" s="123"/>
      <c r="H302" s="103">
        <v>297</v>
      </c>
      <c r="I302" s="104" t="str">
        <f t="shared" si="20"/>
        <v/>
      </c>
      <c r="J302" s="103">
        <f t="shared" si="21"/>
        <v>-4</v>
      </c>
      <c r="K302" s="103">
        <f t="shared" si="22"/>
        <v>-40</v>
      </c>
      <c r="L302" s="103"/>
      <c r="M302" s="105">
        <f t="shared" si="23"/>
        <v>0</v>
      </c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</row>
    <row r="303" spans="1:38" s="88" customFormat="1">
      <c r="A303" s="124"/>
      <c r="B303" s="123"/>
      <c r="C303" s="123"/>
      <c r="D303" s="123"/>
      <c r="E303" s="123"/>
      <c r="F303" s="123"/>
      <c r="H303" s="103">
        <v>298</v>
      </c>
      <c r="I303" s="104" t="str">
        <f t="shared" si="20"/>
        <v/>
      </c>
      <c r="J303" s="103">
        <f t="shared" si="21"/>
        <v>-4</v>
      </c>
      <c r="K303" s="103">
        <f t="shared" si="22"/>
        <v>-40</v>
      </c>
      <c r="L303" s="103"/>
      <c r="M303" s="105">
        <f t="shared" si="23"/>
        <v>0</v>
      </c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</row>
    <row r="304" spans="1:38" s="88" customFormat="1">
      <c r="A304" s="124"/>
      <c r="B304" s="123"/>
      <c r="C304" s="123"/>
      <c r="D304" s="123"/>
      <c r="E304" s="123"/>
      <c r="F304" s="123"/>
      <c r="H304" s="103">
        <v>299</v>
      </c>
      <c r="I304" s="104" t="str">
        <f t="shared" si="20"/>
        <v/>
      </c>
      <c r="J304" s="103">
        <f t="shared" si="21"/>
        <v>-4</v>
      </c>
      <c r="K304" s="103">
        <f t="shared" si="22"/>
        <v>-40</v>
      </c>
      <c r="L304" s="103"/>
      <c r="M304" s="105">
        <f t="shared" si="23"/>
        <v>0</v>
      </c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</row>
    <row r="305" spans="1:38" s="88" customFormat="1">
      <c r="A305" s="124"/>
      <c r="B305" s="123"/>
      <c r="C305" s="123"/>
      <c r="D305" s="123"/>
      <c r="E305" s="123"/>
      <c r="F305" s="123"/>
      <c r="H305" s="103">
        <v>300</v>
      </c>
      <c r="I305" s="104" t="str">
        <f t="shared" si="20"/>
        <v/>
      </c>
      <c r="J305" s="103">
        <f t="shared" si="21"/>
        <v>-4</v>
      </c>
      <c r="K305" s="103">
        <f t="shared" si="22"/>
        <v>-40</v>
      </c>
      <c r="L305" s="103"/>
      <c r="M305" s="105">
        <f t="shared" si="23"/>
        <v>0</v>
      </c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</row>
    <row r="306" spans="1:38" s="88" customFormat="1">
      <c r="A306" s="125"/>
      <c r="B306" s="123"/>
      <c r="C306" s="123"/>
      <c r="D306" s="123"/>
      <c r="E306" s="123"/>
      <c r="F306" s="123"/>
      <c r="G306" s="123"/>
      <c r="H306" s="126"/>
      <c r="I306" s="126"/>
      <c r="J306" s="126"/>
      <c r="K306" s="126"/>
      <c r="L306" s="126"/>
      <c r="M306" s="127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</row>
    <row r="314" spans="1:38" s="88" customFormat="1">
      <c r="A314" s="123"/>
      <c r="B314" s="123"/>
      <c r="C314" s="123"/>
      <c r="D314" s="123"/>
      <c r="E314" s="123"/>
      <c r="F314" s="123"/>
      <c r="G314" s="123"/>
      <c r="H314" s="126"/>
      <c r="I314" s="126"/>
      <c r="J314" s="126"/>
      <c r="K314" s="126"/>
      <c r="L314" s="128"/>
      <c r="M314" s="127"/>
      <c r="P314" s="115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</row>
    <row r="315" spans="1:38" s="88" customFormat="1">
      <c r="A315" s="123"/>
      <c r="B315" s="123"/>
      <c r="C315" s="123"/>
      <c r="D315" s="123"/>
      <c r="E315" s="123"/>
      <c r="F315" s="123"/>
      <c r="G315" s="123"/>
      <c r="H315" s="126"/>
      <c r="I315" s="126"/>
      <c r="J315" s="126"/>
      <c r="K315" s="126"/>
      <c r="L315" s="128"/>
      <c r="M315" s="127"/>
      <c r="P315" s="115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</row>
    <row r="316" spans="1:38" s="88" customFormat="1">
      <c r="A316" s="123"/>
      <c r="B316" s="123"/>
      <c r="C316" s="123"/>
      <c r="D316" s="123"/>
      <c r="E316" s="123"/>
      <c r="F316" s="123"/>
      <c r="G316" s="123"/>
      <c r="H316" s="126"/>
      <c r="I316" s="126"/>
      <c r="J316" s="126"/>
      <c r="K316" s="126"/>
      <c r="L316" s="128"/>
      <c r="M316" s="127"/>
      <c r="P316" s="115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</row>
    <row r="317" spans="1:38" s="88" customFormat="1">
      <c r="A317" s="123"/>
      <c r="B317" s="123"/>
      <c r="C317" s="123"/>
      <c r="D317" s="123"/>
      <c r="E317" s="123"/>
      <c r="F317" s="123"/>
      <c r="G317" s="123"/>
      <c r="H317" s="126"/>
      <c r="I317" s="126"/>
      <c r="J317" s="126"/>
      <c r="K317" s="126"/>
      <c r="L317" s="128"/>
      <c r="M317" s="127"/>
      <c r="P317" s="115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</row>
  </sheetData>
  <conditionalFormatting sqref="J6:K305">
    <cfRule type="cellIs" dxfId="14" priority="1" operator="lessThanOrEqual">
      <formula>0</formula>
    </cfRule>
  </conditionalFormatting>
  <dataValidations count="1">
    <dataValidation type="list" allowBlank="1" showInputMessage="1" showErrorMessage="1" sqref="C66:C69" xr:uid="{0ABFF784-F870-4875-829C-E80AD285D975}">
      <formula1>#REF!</formula1>
    </dataValidation>
  </dataValidations>
  <hyperlinks>
    <hyperlink ref="C2" r:id="rId1" display="https://engarde-service.com/?fbclid=IwAR1q8b20973WNdhLRYbl3vdP-rPK0cilvuHZi37KFNf-Dodoicffb3YOQeM" xr:uid="{001AEA61-4780-4FF2-ACB2-229FE018C170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469F7-4D4D-4DB7-B2F2-C29EAE9BECD7}">
  <sheetPr>
    <tabColor rgb="FF92D050"/>
  </sheetPr>
  <dimension ref="A1:AL317"/>
  <sheetViews>
    <sheetView workbookViewId="0">
      <selection activeCell="C20" sqref="C20"/>
    </sheetView>
  </sheetViews>
  <sheetFormatPr defaultColWidth="8.85546875" defaultRowHeight="14.25"/>
  <cols>
    <col min="1" max="1" width="8" style="123" customWidth="1"/>
    <col min="2" max="2" width="8.28515625" style="123" customWidth="1"/>
    <col min="3" max="3" width="34.7109375" style="123" customWidth="1"/>
    <col min="4" max="4" width="11.28515625" style="123" customWidth="1"/>
    <col min="5" max="6" width="8.85546875" style="123"/>
    <col min="7" max="7" width="0.85546875" style="123" customWidth="1"/>
    <col min="8" max="8" width="8.85546875" style="126"/>
    <col min="9" max="9" width="11" style="126" customWidth="1"/>
    <col min="10" max="10" width="15" style="126" customWidth="1"/>
    <col min="11" max="11" width="8.7109375" style="126" customWidth="1"/>
    <col min="12" max="12" width="11" style="126" customWidth="1"/>
    <col min="13" max="13" width="11.7109375" style="127" customWidth="1"/>
    <col min="14" max="15" width="13.85546875" style="88" customWidth="1"/>
    <col min="16" max="18" width="8.85546875" style="88"/>
    <col min="19" max="20" width="8.85546875" style="93"/>
    <col min="21" max="21" width="12.140625" style="93" customWidth="1"/>
    <col min="22" max="22" width="27.42578125" style="93" customWidth="1"/>
    <col min="23" max="38" width="8.85546875" style="93"/>
    <col min="39" max="16384" width="8.85546875" style="123"/>
  </cols>
  <sheetData>
    <row r="1" spans="1:36" s="93" customFormat="1">
      <c r="A1" s="88"/>
      <c r="B1" s="88"/>
      <c r="C1" s="88"/>
      <c r="D1" s="88"/>
      <c r="E1" s="88"/>
      <c r="F1" s="88"/>
      <c r="G1" s="88"/>
      <c r="H1" s="89" t="s">
        <v>34</v>
      </c>
      <c r="I1" s="90" t="s">
        <v>35</v>
      </c>
      <c r="J1" s="90" t="s">
        <v>36</v>
      </c>
      <c r="K1" s="91" t="s">
        <v>131</v>
      </c>
      <c r="L1" s="92"/>
      <c r="M1" s="92"/>
      <c r="N1" s="88"/>
      <c r="O1" s="88"/>
      <c r="P1" s="88"/>
      <c r="Q1" s="88"/>
      <c r="R1" s="88"/>
    </row>
    <row r="2" spans="1:36" s="93" customFormat="1">
      <c r="A2" s="88"/>
      <c r="B2" s="21" t="s">
        <v>38</v>
      </c>
      <c r="C2" s="306" t="s">
        <v>144</v>
      </c>
      <c r="D2" s="306"/>
      <c r="E2" s="22"/>
      <c r="F2" s="22"/>
      <c r="G2" s="22"/>
      <c r="H2" s="94">
        <v>13</v>
      </c>
      <c r="I2" s="95">
        <v>50</v>
      </c>
      <c r="J2" s="95">
        <v>10</v>
      </c>
      <c r="K2" s="129">
        <f>3*H2^(1/3)</f>
        <v>7.0540040631622718</v>
      </c>
      <c r="L2" s="92"/>
      <c r="M2" s="92"/>
      <c r="N2" s="88"/>
      <c r="O2" s="88"/>
      <c r="P2" s="88"/>
      <c r="Q2" s="88"/>
      <c r="R2" s="88"/>
    </row>
    <row r="3" spans="1:36" s="93" customFormat="1" ht="14.45" customHeight="1">
      <c r="A3" s="88"/>
      <c r="B3" s="97" t="s">
        <v>40</v>
      </c>
      <c r="C3" s="285" t="s">
        <v>145</v>
      </c>
      <c r="D3" s="285"/>
      <c r="E3" s="27"/>
      <c r="F3" s="27"/>
      <c r="G3" s="27"/>
      <c r="H3" s="92"/>
      <c r="I3" s="92"/>
      <c r="J3" s="92"/>
      <c r="K3" s="92"/>
      <c r="L3" s="92"/>
      <c r="M3" s="92"/>
      <c r="N3" s="88"/>
      <c r="O3" s="88"/>
      <c r="P3" s="88"/>
      <c r="Q3" s="88"/>
      <c r="R3" s="88"/>
    </row>
    <row r="4" spans="1:36" s="93" customFormat="1" ht="10.15" customHeight="1">
      <c r="A4" s="29"/>
      <c r="B4" s="27"/>
      <c r="C4" s="29"/>
      <c r="D4" s="29"/>
      <c r="E4" s="29"/>
      <c r="F4" s="29"/>
      <c r="G4" s="29"/>
      <c r="H4" s="92"/>
      <c r="I4" s="92"/>
      <c r="J4" s="92"/>
      <c r="K4" s="92"/>
      <c r="L4" s="92"/>
      <c r="M4" s="92"/>
      <c r="N4" s="88"/>
      <c r="O4" s="88"/>
      <c r="P4" s="88"/>
      <c r="Q4" s="88"/>
      <c r="R4" s="88"/>
    </row>
    <row r="5" spans="1:36" s="93" customFormat="1" ht="34.700000000000003">
      <c r="A5" s="1" t="s">
        <v>42</v>
      </c>
      <c r="B5" s="30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9"/>
      <c r="H5" s="99" t="s">
        <v>48</v>
      </c>
      <c r="I5" s="100" t="s">
        <v>49</v>
      </c>
      <c r="J5" s="100" t="s">
        <v>50</v>
      </c>
      <c r="K5" s="100" t="s">
        <v>51</v>
      </c>
      <c r="L5" s="100" t="s">
        <v>52</v>
      </c>
      <c r="M5" s="99" t="s">
        <v>53</v>
      </c>
      <c r="N5" s="88"/>
      <c r="O5" s="88"/>
      <c r="P5" s="88"/>
      <c r="Q5" s="88"/>
      <c r="R5" s="88"/>
    </row>
    <row r="6" spans="1:36" s="93" customFormat="1" ht="14.45" customHeight="1">
      <c r="A6" s="102">
        <f t="shared" ref="A6:A37" si="0">M6</f>
        <v>111.16201218948682</v>
      </c>
      <c r="B6" s="35">
        <f>IF(H6&gt;$H$2,"",(ROW()-5))</f>
        <v>1</v>
      </c>
      <c r="C6" s="36" t="s">
        <v>19</v>
      </c>
      <c r="D6" s="36"/>
      <c r="E6" s="36"/>
      <c r="F6" s="36"/>
      <c r="G6" s="29"/>
      <c r="H6" s="103">
        <v>1</v>
      </c>
      <c r="I6" s="104">
        <f t="shared" ref="I6:I69" si="1">IF(H6&lt;$H$2+1,($I$2-($I$2-1)*(LOG(H6)/LOG($H$2))),"")</f>
        <v>50</v>
      </c>
      <c r="J6" s="104">
        <f t="shared" ref="J6:J69" si="2">INT(LOG($H$2,2))-ROUNDUP(LOG(H6,2),0)+IF(OR($H$2=1,$H$2=2,$H$2=4,$H$2=8,$H$2=16,$H$2=32,$H$2=64,$H$2=128,$H$2=256),0,1)</f>
        <v>4</v>
      </c>
      <c r="K6" s="103">
        <f t="shared" ref="K6:K69" si="3">J6*$J$2</f>
        <v>40</v>
      </c>
      <c r="L6" s="105">
        <f>3*K2</f>
        <v>21.162012189486816</v>
      </c>
      <c r="M6" s="105">
        <f t="shared" ref="M6:M69" si="4">IF(I6&lt;&gt;"",K6+I6+L6,0)</f>
        <v>111.16201218948682</v>
      </c>
      <c r="N6" s="88"/>
      <c r="O6" s="88"/>
      <c r="P6" s="88"/>
      <c r="Q6" s="88"/>
      <c r="R6" s="88"/>
    </row>
    <row r="7" spans="1:36" s="93" customFormat="1" ht="14.45" customHeight="1">
      <c r="A7" s="106">
        <f t="shared" si="0"/>
        <v>80.866338559385881</v>
      </c>
      <c r="B7" s="41">
        <f>IF(H7&gt;$H$2,"",(ROW()-5))</f>
        <v>2</v>
      </c>
      <c r="C7" s="42" t="s">
        <v>57</v>
      </c>
      <c r="D7" s="42"/>
      <c r="E7" s="42"/>
      <c r="F7" s="42"/>
      <c r="G7" s="29"/>
      <c r="H7" s="107">
        <v>2</v>
      </c>
      <c r="I7" s="108">
        <f t="shared" si="1"/>
        <v>36.758330433061332</v>
      </c>
      <c r="J7" s="108">
        <f t="shared" si="2"/>
        <v>3</v>
      </c>
      <c r="K7" s="107">
        <f t="shared" si="3"/>
        <v>30</v>
      </c>
      <c r="L7" s="109">
        <f>2*K2</f>
        <v>14.108008126324544</v>
      </c>
      <c r="M7" s="109">
        <f t="shared" si="4"/>
        <v>80.866338559385881</v>
      </c>
      <c r="N7" s="88"/>
      <c r="O7" s="88"/>
      <c r="P7" s="88"/>
      <c r="Q7" s="88"/>
      <c r="R7" s="88"/>
    </row>
    <row r="8" spans="1:36" s="93" customFormat="1" ht="14.45" customHeight="1">
      <c r="A8" s="102">
        <f t="shared" si="0"/>
        <v>56.066454352623936</v>
      </c>
      <c r="B8" s="35">
        <f>IF(H8&gt;$H$2,"",(ROW()-5))</f>
        <v>3</v>
      </c>
      <c r="C8" s="36" t="s">
        <v>57</v>
      </c>
      <c r="D8" s="36"/>
      <c r="E8" s="36"/>
      <c r="F8" s="36"/>
      <c r="G8" s="29"/>
      <c r="H8" s="103">
        <v>3</v>
      </c>
      <c r="I8" s="104">
        <f t="shared" si="1"/>
        <v>29.012450289461661</v>
      </c>
      <c r="J8" s="104">
        <f t="shared" si="2"/>
        <v>2</v>
      </c>
      <c r="K8" s="103">
        <f t="shared" si="3"/>
        <v>20</v>
      </c>
      <c r="L8" s="105">
        <f>K2</f>
        <v>7.0540040631622718</v>
      </c>
      <c r="M8" s="105">
        <f t="shared" si="4"/>
        <v>56.066454352623936</v>
      </c>
      <c r="N8" s="88"/>
      <c r="O8" s="88"/>
      <c r="P8" s="88"/>
      <c r="Q8" s="88"/>
      <c r="R8" s="88"/>
    </row>
    <row r="9" spans="1:36" s="93" customFormat="1" ht="14.45" customHeight="1">
      <c r="A9" s="106">
        <f t="shared" si="0"/>
        <v>56.066454352623936</v>
      </c>
      <c r="B9" s="41">
        <f>IF(H9&gt;$H$2,"",3)</f>
        <v>3</v>
      </c>
      <c r="C9" s="42" t="s">
        <v>57</v>
      </c>
      <c r="D9" s="42"/>
      <c r="E9" s="42"/>
      <c r="F9" s="42"/>
      <c r="G9" s="29"/>
      <c r="H9" s="107">
        <v>3</v>
      </c>
      <c r="I9" s="108">
        <f t="shared" si="1"/>
        <v>29.012450289461661</v>
      </c>
      <c r="J9" s="107">
        <f t="shared" si="2"/>
        <v>2</v>
      </c>
      <c r="K9" s="107">
        <f t="shared" si="3"/>
        <v>20</v>
      </c>
      <c r="L9" s="109">
        <f>K2</f>
        <v>7.0540040631622718</v>
      </c>
      <c r="M9" s="109">
        <f t="shared" si="4"/>
        <v>56.066454352623936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57</v>
      </c>
      <c r="AI9" s="93">
        <v>23</v>
      </c>
    </row>
    <row r="10" spans="1:36" s="93" customFormat="1" ht="14.45" customHeight="1">
      <c r="A10" s="102">
        <f t="shared" si="0"/>
        <v>29.253795409310133</v>
      </c>
      <c r="B10" s="35">
        <f t="shared" ref="B10:B65" si="5">IF(H10&gt;$H$2,"",(ROW()-5))</f>
        <v>5</v>
      </c>
      <c r="C10" s="36" t="s">
        <v>57</v>
      </c>
      <c r="D10" s="36"/>
      <c r="E10" s="36"/>
      <c r="F10" s="36"/>
      <c r="G10" s="29"/>
      <c r="H10" s="103">
        <v>5</v>
      </c>
      <c r="I10" s="104">
        <f t="shared" si="1"/>
        <v>19.253795409310133</v>
      </c>
      <c r="J10" s="104">
        <f t="shared" si="2"/>
        <v>1</v>
      </c>
      <c r="K10" s="103">
        <f t="shared" si="3"/>
        <v>10</v>
      </c>
      <c r="L10" s="103"/>
      <c r="M10" s="105">
        <f t="shared" si="4"/>
        <v>29.253795409310133</v>
      </c>
      <c r="N10" s="88"/>
      <c r="O10" s="88"/>
      <c r="P10" s="88"/>
      <c r="Q10" s="88"/>
      <c r="R10" s="88"/>
      <c r="V10" s="110"/>
      <c r="Z10" s="111"/>
      <c r="AA10" s="111"/>
      <c r="AG10" s="112"/>
      <c r="AH10" s="93" t="s">
        <v>58</v>
      </c>
      <c r="AI10" s="93">
        <v>45</v>
      </c>
    </row>
    <row r="11" spans="1:36" s="93" customFormat="1" ht="14.45" customHeight="1">
      <c r="A11" s="106">
        <f t="shared" si="0"/>
        <v>25.770780722522993</v>
      </c>
      <c r="B11" s="41">
        <f t="shared" si="5"/>
        <v>6</v>
      </c>
      <c r="C11" s="42" t="s">
        <v>57</v>
      </c>
      <c r="D11" s="42"/>
      <c r="E11" s="42"/>
      <c r="F11" s="42"/>
      <c r="G11" s="29"/>
      <c r="H11" s="107">
        <v>6</v>
      </c>
      <c r="I11" s="108">
        <f t="shared" si="1"/>
        <v>15.770780722522993</v>
      </c>
      <c r="J11" s="108">
        <f t="shared" si="2"/>
        <v>1</v>
      </c>
      <c r="K11" s="107">
        <f t="shared" si="3"/>
        <v>10</v>
      </c>
      <c r="L11" s="107"/>
      <c r="M11" s="109">
        <f t="shared" si="4"/>
        <v>25.770780722522993</v>
      </c>
      <c r="N11" s="88"/>
      <c r="O11" s="88"/>
      <c r="P11" s="88"/>
      <c r="Q11" s="88"/>
      <c r="R11" s="88"/>
      <c r="V11" s="113"/>
      <c r="Z11" s="111"/>
      <c r="AA11" s="111"/>
      <c r="AG11" s="112"/>
      <c r="AH11" s="93" t="s">
        <v>60</v>
      </c>
      <c r="AI11" s="93">
        <v>50</v>
      </c>
    </row>
    <row r="12" spans="1:36" s="93" customFormat="1" ht="14.45" customHeight="1">
      <c r="A12" s="102">
        <f t="shared" si="0"/>
        <v>22.825933764994346</v>
      </c>
      <c r="B12" s="35">
        <f t="shared" si="5"/>
        <v>7</v>
      </c>
      <c r="C12" s="36" t="s">
        <v>21</v>
      </c>
      <c r="D12" s="36"/>
      <c r="E12" s="36"/>
      <c r="F12" s="36"/>
      <c r="G12" s="29"/>
      <c r="H12" s="103">
        <v>7</v>
      </c>
      <c r="I12" s="104">
        <f t="shared" si="1"/>
        <v>12.825933764994346</v>
      </c>
      <c r="J12" s="104">
        <f t="shared" si="2"/>
        <v>1</v>
      </c>
      <c r="K12" s="103">
        <f t="shared" si="3"/>
        <v>10</v>
      </c>
      <c r="L12" s="103"/>
      <c r="M12" s="105">
        <f t="shared" si="4"/>
        <v>22.825933764994346</v>
      </c>
      <c r="N12" s="88"/>
      <c r="O12" s="88"/>
      <c r="P12" s="88"/>
      <c r="Q12" s="88"/>
      <c r="R12" s="88"/>
      <c r="Z12" s="111"/>
      <c r="AA12" s="111"/>
      <c r="AG12" s="112"/>
      <c r="AH12" s="93" t="s">
        <v>61</v>
      </c>
      <c r="AI12" s="93">
        <f>AI11-1</f>
        <v>49</v>
      </c>
    </row>
    <row r="13" spans="1:36" s="93" customFormat="1" ht="14.45" customHeight="1">
      <c r="A13" s="106">
        <f t="shared" si="0"/>
        <v>20.274991299184002</v>
      </c>
      <c r="B13" s="41">
        <f t="shared" si="5"/>
        <v>8</v>
      </c>
      <c r="C13" s="42" t="s">
        <v>57</v>
      </c>
      <c r="D13" s="42"/>
      <c r="E13" s="42"/>
      <c r="F13" s="42"/>
      <c r="G13" s="29"/>
      <c r="H13" s="107">
        <v>8</v>
      </c>
      <c r="I13" s="108">
        <f t="shared" si="1"/>
        <v>10.274991299184002</v>
      </c>
      <c r="J13" s="108">
        <f t="shared" si="2"/>
        <v>1</v>
      </c>
      <c r="K13" s="107">
        <f t="shared" si="3"/>
        <v>10</v>
      </c>
      <c r="L13" s="107"/>
      <c r="M13" s="109">
        <f t="shared" si="4"/>
        <v>20.274991299184002</v>
      </c>
      <c r="N13" s="88"/>
      <c r="O13" s="88"/>
      <c r="P13" s="88"/>
      <c r="Q13" s="88"/>
      <c r="R13" s="88"/>
      <c r="X13" s="110"/>
      <c r="AG13" s="112"/>
      <c r="AH13" s="93" t="s">
        <v>62</v>
      </c>
      <c r="AI13" s="93">
        <f>LOG(AI9)</f>
        <v>1.3617278360175928</v>
      </c>
    </row>
    <row r="14" spans="1:36" s="93" customFormat="1">
      <c r="A14" s="102">
        <f t="shared" si="0"/>
        <v>8.0249005789233223</v>
      </c>
      <c r="B14" s="35">
        <f t="shared" si="5"/>
        <v>9</v>
      </c>
      <c r="C14" s="36" t="s">
        <v>57</v>
      </c>
      <c r="D14" s="36"/>
      <c r="E14" s="36"/>
      <c r="F14" s="36"/>
      <c r="G14" s="29"/>
      <c r="H14" s="103">
        <v>9</v>
      </c>
      <c r="I14" s="104">
        <f t="shared" si="1"/>
        <v>8.0249005789233223</v>
      </c>
      <c r="J14" s="104">
        <f t="shared" si="2"/>
        <v>0</v>
      </c>
      <c r="K14" s="103">
        <f t="shared" si="3"/>
        <v>0</v>
      </c>
      <c r="L14" s="103"/>
      <c r="M14" s="105">
        <f t="shared" si="4"/>
        <v>8.0249005789233223</v>
      </c>
      <c r="N14" s="88"/>
      <c r="O14" s="88"/>
      <c r="P14" s="88"/>
      <c r="Q14" s="88"/>
      <c r="R14" s="88"/>
      <c r="X14" s="114"/>
      <c r="Z14" s="111"/>
      <c r="AA14" s="111"/>
      <c r="AG14" s="112"/>
      <c r="AH14" s="93" t="s">
        <v>64</v>
      </c>
      <c r="AI14" s="93">
        <f>LOG(AI10)</f>
        <v>1.6532125137753437</v>
      </c>
    </row>
    <row r="15" spans="1:36" s="93" customFormat="1">
      <c r="A15" s="106">
        <f t="shared" si="0"/>
        <v>6.0121258423714679</v>
      </c>
      <c r="B15" s="41">
        <f t="shared" si="5"/>
        <v>10</v>
      </c>
      <c r="C15" s="42" t="s">
        <v>57</v>
      </c>
      <c r="D15" s="42"/>
      <c r="E15" s="42"/>
      <c r="F15" s="42"/>
      <c r="G15" s="29"/>
      <c r="H15" s="107">
        <v>10</v>
      </c>
      <c r="I15" s="108">
        <f t="shared" si="1"/>
        <v>6.0121258423714679</v>
      </c>
      <c r="J15" s="108">
        <f t="shared" si="2"/>
        <v>0</v>
      </c>
      <c r="K15" s="107">
        <f t="shared" si="3"/>
        <v>0</v>
      </c>
      <c r="L15" s="107"/>
      <c r="M15" s="109">
        <f t="shared" si="4"/>
        <v>6.0121258423714679</v>
      </c>
      <c r="N15" s="88"/>
      <c r="O15" s="88"/>
      <c r="P15" s="88"/>
      <c r="Q15" s="88"/>
      <c r="R15" s="88"/>
      <c r="X15" s="110"/>
      <c r="Z15" s="111"/>
      <c r="AA15" s="111"/>
    </row>
    <row r="16" spans="1:36" s="93" customFormat="1">
      <c r="A16" s="102">
        <f t="shared" si="0"/>
        <v>4.1913496165851214</v>
      </c>
      <c r="B16" s="35">
        <f t="shared" si="5"/>
        <v>11</v>
      </c>
      <c r="C16" s="36" t="s">
        <v>57</v>
      </c>
      <c r="D16" s="36"/>
      <c r="E16" s="36"/>
      <c r="F16" s="36"/>
      <c r="G16" s="29"/>
      <c r="H16" s="103">
        <v>11</v>
      </c>
      <c r="I16" s="104">
        <f t="shared" si="1"/>
        <v>4.1913496165851214</v>
      </c>
      <c r="J16" s="104">
        <f t="shared" si="2"/>
        <v>0</v>
      </c>
      <c r="K16" s="103">
        <f t="shared" si="3"/>
        <v>0</v>
      </c>
      <c r="L16" s="103"/>
      <c r="M16" s="105">
        <f t="shared" si="4"/>
        <v>4.1913496165851214</v>
      </c>
      <c r="N16" s="88"/>
      <c r="O16" s="88"/>
      <c r="P16" s="88"/>
      <c r="Q16" s="88"/>
      <c r="R16" s="115"/>
      <c r="Z16" s="111"/>
      <c r="AA16" s="111"/>
      <c r="AH16" s="116" t="s">
        <v>66</v>
      </c>
      <c r="AI16" s="93">
        <f>AI11-AI12*AI13/AI14</f>
        <v>9.6393909380186855</v>
      </c>
      <c r="AJ16" s="93" t="s">
        <v>67</v>
      </c>
    </row>
    <row r="17" spans="1:19" s="93" customFormat="1">
      <c r="A17" s="106">
        <f t="shared" si="0"/>
        <v>2.5291111555843244</v>
      </c>
      <c r="B17" s="41">
        <f t="shared" si="5"/>
        <v>12</v>
      </c>
      <c r="C17" s="42" t="s">
        <v>57</v>
      </c>
      <c r="D17" s="42"/>
      <c r="E17" s="42"/>
      <c r="F17" s="42"/>
      <c r="G17" s="29"/>
      <c r="H17" s="107">
        <v>12</v>
      </c>
      <c r="I17" s="108">
        <f t="shared" si="1"/>
        <v>2.5291111555843244</v>
      </c>
      <c r="J17" s="108">
        <f t="shared" si="2"/>
        <v>0</v>
      </c>
      <c r="K17" s="107">
        <f t="shared" si="3"/>
        <v>0</v>
      </c>
      <c r="L17" s="107"/>
      <c r="M17" s="109">
        <f t="shared" si="4"/>
        <v>2.5291111555843244</v>
      </c>
      <c r="N17" s="88"/>
      <c r="O17" s="88"/>
      <c r="P17" s="88"/>
      <c r="Q17" s="88"/>
      <c r="R17" s="88"/>
    </row>
    <row r="18" spans="1:19" s="93" customFormat="1">
      <c r="A18" s="102">
        <f t="shared" si="0"/>
        <v>1</v>
      </c>
      <c r="B18" s="35">
        <f t="shared" si="5"/>
        <v>13</v>
      </c>
      <c r="C18" s="36" t="s">
        <v>57</v>
      </c>
      <c r="D18" s="36"/>
      <c r="E18" s="36"/>
      <c r="F18" s="36"/>
      <c r="G18" s="29"/>
      <c r="H18" s="103">
        <v>13</v>
      </c>
      <c r="I18" s="104">
        <f t="shared" si="1"/>
        <v>1</v>
      </c>
      <c r="J18" s="104">
        <f t="shared" si="2"/>
        <v>0</v>
      </c>
      <c r="K18" s="103">
        <f t="shared" si="3"/>
        <v>0</v>
      </c>
      <c r="L18" s="103"/>
      <c r="M18" s="105">
        <f t="shared" si="4"/>
        <v>1</v>
      </c>
      <c r="N18" s="88"/>
      <c r="O18" s="88"/>
      <c r="P18" s="88"/>
      <c r="Q18" s="88"/>
      <c r="R18" s="88"/>
    </row>
    <row r="19" spans="1:19" s="93" customFormat="1">
      <c r="A19" s="106">
        <f t="shared" si="0"/>
        <v>0</v>
      </c>
      <c r="B19" s="41" t="str">
        <f t="shared" si="5"/>
        <v/>
      </c>
      <c r="C19" s="42"/>
      <c r="D19" s="42"/>
      <c r="E19" s="42"/>
      <c r="F19" s="42"/>
      <c r="G19" s="29"/>
      <c r="H19" s="107">
        <v>14</v>
      </c>
      <c r="I19" s="108" t="str">
        <f t="shared" si="1"/>
        <v/>
      </c>
      <c r="J19" s="108">
        <f t="shared" si="2"/>
        <v>0</v>
      </c>
      <c r="K19" s="107">
        <f t="shared" si="3"/>
        <v>0</v>
      </c>
      <c r="L19" s="107"/>
      <c r="M19" s="109">
        <f t="shared" si="4"/>
        <v>0</v>
      </c>
      <c r="N19" s="88"/>
      <c r="O19" s="88"/>
      <c r="P19" s="88"/>
      <c r="Q19" s="88"/>
      <c r="R19" s="88"/>
    </row>
    <row r="20" spans="1:19" s="93" customFormat="1">
      <c r="A20" s="102">
        <f t="shared" si="0"/>
        <v>0</v>
      </c>
      <c r="B20" s="35" t="str">
        <f t="shared" si="5"/>
        <v/>
      </c>
      <c r="C20" s="36"/>
      <c r="D20" s="36"/>
      <c r="E20" s="36"/>
      <c r="F20" s="36"/>
      <c r="G20" s="29"/>
      <c r="H20" s="103">
        <v>15</v>
      </c>
      <c r="I20" s="104" t="str">
        <f t="shared" si="1"/>
        <v/>
      </c>
      <c r="J20" s="104">
        <f t="shared" si="2"/>
        <v>0</v>
      </c>
      <c r="K20" s="103">
        <f t="shared" si="3"/>
        <v>0</v>
      </c>
      <c r="L20" s="103"/>
      <c r="M20" s="105">
        <f t="shared" si="4"/>
        <v>0</v>
      </c>
      <c r="N20" s="88"/>
      <c r="O20" s="88"/>
      <c r="P20" s="88"/>
      <c r="Q20" s="88"/>
      <c r="R20" s="117"/>
      <c r="S20" s="118"/>
    </row>
    <row r="21" spans="1:19" s="93" customFormat="1">
      <c r="A21" s="106">
        <f t="shared" si="0"/>
        <v>0</v>
      </c>
      <c r="B21" s="41" t="str">
        <f t="shared" si="5"/>
        <v/>
      </c>
      <c r="C21" s="42"/>
      <c r="D21" s="42"/>
      <c r="E21" s="42"/>
      <c r="F21" s="42"/>
      <c r="G21" s="29"/>
      <c r="H21" s="107">
        <v>16</v>
      </c>
      <c r="I21" s="108" t="str">
        <f t="shared" si="1"/>
        <v/>
      </c>
      <c r="J21" s="108">
        <f t="shared" si="2"/>
        <v>0</v>
      </c>
      <c r="K21" s="107">
        <f t="shared" si="3"/>
        <v>0</v>
      </c>
      <c r="L21" s="107"/>
      <c r="M21" s="109">
        <f t="shared" si="4"/>
        <v>0</v>
      </c>
      <c r="N21" s="88"/>
      <c r="O21" s="88"/>
      <c r="P21" s="88"/>
      <c r="Q21" s="88"/>
      <c r="R21" s="88"/>
    </row>
    <row r="22" spans="1:19" s="93" customFormat="1">
      <c r="A22" s="102">
        <f t="shared" si="0"/>
        <v>0</v>
      </c>
      <c r="B22" s="35" t="str">
        <f t="shared" si="5"/>
        <v/>
      </c>
      <c r="C22" s="36"/>
      <c r="D22" s="36"/>
      <c r="E22" s="36"/>
      <c r="F22" s="36"/>
      <c r="G22" s="29"/>
      <c r="H22" s="103">
        <v>17</v>
      </c>
      <c r="I22" s="104" t="str">
        <f t="shared" si="1"/>
        <v/>
      </c>
      <c r="J22" s="104">
        <f t="shared" si="2"/>
        <v>-1</v>
      </c>
      <c r="K22" s="103">
        <f t="shared" si="3"/>
        <v>-10</v>
      </c>
      <c r="L22" s="103"/>
      <c r="M22" s="105">
        <f t="shared" si="4"/>
        <v>0</v>
      </c>
      <c r="N22" s="88"/>
      <c r="O22" s="88"/>
      <c r="P22" s="88"/>
      <c r="Q22" s="88"/>
      <c r="R22" s="88"/>
    </row>
    <row r="23" spans="1:19" s="93" customFormat="1">
      <c r="A23" s="106">
        <f t="shared" si="0"/>
        <v>0</v>
      </c>
      <c r="B23" s="41" t="str">
        <f t="shared" si="5"/>
        <v/>
      </c>
      <c r="C23" s="42"/>
      <c r="D23" s="42"/>
      <c r="E23" s="42"/>
      <c r="F23" s="42"/>
      <c r="G23" s="29"/>
      <c r="H23" s="107">
        <v>18</v>
      </c>
      <c r="I23" s="108" t="str">
        <f t="shared" si="1"/>
        <v/>
      </c>
      <c r="J23" s="108">
        <f t="shared" si="2"/>
        <v>-1</v>
      </c>
      <c r="K23" s="107">
        <f t="shared" si="3"/>
        <v>-10</v>
      </c>
      <c r="L23" s="107"/>
      <c r="M23" s="109">
        <f t="shared" si="4"/>
        <v>0</v>
      </c>
      <c r="N23" s="88"/>
      <c r="O23" s="88"/>
      <c r="P23" s="88"/>
      <c r="Q23" s="88"/>
      <c r="R23" s="88"/>
    </row>
    <row r="24" spans="1:19" s="93" customFormat="1">
      <c r="A24" s="102">
        <f t="shared" si="0"/>
        <v>0</v>
      </c>
      <c r="B24" s="35" t="str">
        <f t="shared" si="5"/>
        <v/>
      </c>
      <c r="C24" s="36"/>
      <c r="D24" s="36"/>
      <c r="E24" s="36"/>
      <c r="F24" s="36"/>
      <c r="G24" s="29"/>
      <c r="H24" s="103">
        <v>19</v>
      </c>
      <c r="I24" s="104" t="str">
        <f t="shared" si="1"/>
        <v/>
      </c>
      <c r="J24" s="104">
        <f t="shared" si="2"/>
        <v>-1</v>
      </c>
      <c r="K24" s="103">
        <f t="shared" si="3"/>
        <v>-10</v>
      </c>
      <c r="L24" s="103"/>
      <c r="M24" s="105">
        <f t="shared" si="4"/>
        <v>0</v>
      </c>
      <c r="N24" s="88"/>
      <c r="O24" s="88"/>
      <c r="P24" s="88"/>
      <c r="Q24" s="88"/>
      <c r="R24" s="117"/>
      <c r="S24" s="118"/>
    </row>
    <row r="25" spans="1:19" s="93" customFormat="1">
      <c r="A25" s="106">
        <f t="shared" si="0"/>
        <v>0</v>
      </c>
      <c r="B25" s="41" t="str">
        <f t="shared" si="5"/>
        <v/>
      </c>
      <c r="C25" s="42"/>
      <c r="D25" s="42"/>
      <c r="E25" s="42"/>
      <c r="F25" s="42"/>
      <c r="G25" s="29"/>
      <c r="H25" s="107">
        <v>20</v>
      </c>
      <c r="I25" s="108" t="str">
        <f t="shared" si="1"/>
        <v/>
      </c>
      <c r="J25" s="108">
        <f t="shared" si="2"/>
        <v>-1</v>
      </c>
      <c r="K25" s="107">
        <f t="shared" si="3"/>
        <v>-10</v>
      </c>
      <c r="L25" s="107"/>
      <c r="M25" s="109">
        <f t="shared" si="4"/>
        <v>0</v>
      </c>
      <c r="N25" s="88"/>
      <c r="O25" s="88"/>
      <c r="P25" s="88"/>
      <c r="Q25" s="88"/>
      <c r="R25" s="88"/>
    </row>
    <row r="26" spans="1:19" s="93" customFormat="1">
      <c r="A26" s="102">
        <f t="shared" si="0"/>
        <v>0</v>
      </c>
      <c r="B26" s="35" t="str">
        <f t="shared" si="5"/>
        <v/>
      </c>
      <c r="C26" s="36"/>
      <c r="D26" s="36"/>
      <c r="E26" s="36"/>
      <c r="F26" s="36"/>
      <c r="G26" s="29"/>
      <c r="H26" s="103">
        <v>21</v>
      </c>
      <c r="I26" s="104" t="str">
        <f t="shared" si="1"/>
        <v/>
      </c>
      <c r="J26" s="104">
        <f t="shared" si="2"/>
        <v>-1</v>
      </c>
      <c r="K26" s="103">
        <f t="shared" si="3"/>
        <v>-10</v>
      </c>
      <c r="L26" s="103"/>
      <c r="M26" s="105">
        <f t="shared" si="4"/>
        <v>0</v>
      </c>
      <c r="N26" s="88"/>
      <c r="O26" s="88"/>
      <c r="P26" s="88"/>
      <c r="Q26" s="88"/>
      <c r="R26" s="88"/>
    </row>
    <row r="27" spans="1:19" s="93" customFormat="1">
      <c r="A27" s="106">
        <f t="shared" si="0"/>
        <v>0</v>
      </c>
      <c r="B27" s="41" t="str">
        <f t="shared" si="5"/>
        <v/>
      </c>
      <c r="C27" s="42"/>
      <c r="D27" s="42"/>
      <c r="E27" s="42"/>
      <c r="F27" s="42"/>
      <c r="G27" s="29"/>
      <c r="H27" s="107">
        <v>22</v>
      </c>
      <c r="I27" s="108" t="str">
        <f t="shared" si="1"/>
        <v/>
      </c>
      <c r="J27" s="108">
        <f t="shared" si="2"/>
        <v>-1</v>
      </c>
      <c r="K27" s="107">
        <f t="shared" si="3"/>
        <v>-10</v>
      </c>
      <c r="L27" s="107"/>
      <c r="M27" s="109">
        <f t="shared" si="4"/>
        <v>0</v>
      </c>
      <c r="N27" s="88"/>
      <c r="O27" s="88"/>
      <c r="P27" s="88"/>
      <c r="Q27" s="88"/>
      <c r="R27" s="88"/>
    </row>
    <row r="28" spans="1:19" s="93" customFormat="1">
      <c r="A28" s="102">
        <f t="shared" si="0"/>
        <v>0</v>
      </c>
      <c r="B28" s="35" t="str">
        <f t="shared" si="5"/>
        <v/>
      </c>
      <c r="C28" s="36"/>
      <c r="D28" s="36"/>
      <c r="E28" s="36"/>
      <c r="F28" s="36"/>
      <c r="G28" s="29"/>
      <c r="H28" s="103">
        <v>23</v>
      </c>
      <c r="I28" s="104" t="str">
        <f t="shared" si="1"/>
        <v/>
      </c>
      <c r="J28" s="104">
        <f t="shared" si="2"/>
        <v>-1</v>
      </c>
      <c r="K28" s="103">
        <f t="shared" si="3"/>
        <v>-10</v>
      </c>
      <c r="L28" s="103"/>
      <c r="M28" s="105">
        <f t="shared" si="4"/>
        <v>0</v>
      </c>
      <c r="N28" s="88"/>
      <c r="O28" s="88"/>
      <c r="P28" s="88"/>
      <c r="Q28" s="88"/>
      <c r="R28" s="117"/>
      <c r="S28" s="118"/>
    </row>
    <row r="29" spans="1:19" s="93" customFormat="1">
      <c r="A29" s="106">
        <f t="shared" si="0"/>
        <v>0</v>
      </c>
      <c r="B29" s="41" t="str">
        <f t="shared" si="5"/>
        <v/>
      </c>
      <c r="C29" s="42"/>
      <c r="D29" s="42"/>
      <c r="E29" s="42"/>
      <c r="F29" s="42"/>
      <c r="G29" s="88"/>
      <c r="H29" s="107">
        <v>24</v>
      </c>
      <c r="I29" s="108" t="str">
        <f t="shared" si="1"/>
        <v/>
      </c>
      <c r="J29" s="108">
        <f t="shared" si="2"/>
        <v>-1</v>
      </c>
      <c r="K29" s="107">
        <f t="shared" si="3"/>
        <v>-10</v>
      </c>
      <c r="L29" s="107"/>
      <c r="M29" s="109">
        <f t="shared" si="4"/>
        <v>0</v>
      </c>
      <c r="N29" s="88"/>
      <c r="O29" s="88"/>
      <c r="P29" s="88"/>
      <c r="Q29" s="88"/>
      <c r="R29" s="88"/>
    </row>
    <row r="30" spans="1:19" s="93" customFormat="1">
      <c r="A30" s="102">
        <f t="shared" si="0"/>
        <v>0</v>
      </c>
      <c r="B30" s="35" t="str">
        <f t="shared" si="5"/>
        <v/>
      </c>
      <c r="C30" s="36"/>
      <c r="D30" s="36"/>
      <c r="E30" s="36"/>
      <c r="F30" s="36"/>
      <c r="G30" s="88"/>
      <c r="H30" s="103">
        <v>25</v>
      </c>
      <c r="I30" s="104" t="str">
        <f t="shared" si="1"/>
        <v/>
      </c>
      <c r="J30" s="104">
        <f t="shared" si="2"/>
        <v>-1</v>
      </c>
      <c r="K30" s="103">
        <f t="shared" si="3"/>
        <v>-10</v>
      </c>
      <c r="L30" s="103"/>
      <c r="M30" s="105">
        <f t="shared" si="4"/>
        <v>0</v>
      </c>
      <c r="N30" s="88"/>
      <c r="O30" s="88"/>
      <c r="P30" s="88"/>
      <c r="Q30" s="88"/>
      <c r="R30" s="88"/>
    </row>
    <row r="31" spans="1:19" s="93" customFormat="1">
      <c r="A31" s="106">
        <f t="shared" si="0"/>
        <v>0</v>
      </c>
      <c r="B31" s="41" t="str">
        <f t="shared" si="5"/>
        <v/>
      </c>
      <c r="C31" s="42"/>
      <c r="D31" s="42"/>
      <c r="E31" s="42"/>
      <c r="F31" s="42"/>
      <c r="G31" s="88"/>
      <c r="H31" s="107">
        <v>26</v>
      </c>
      <c r="I31" s="108" t="str">
        <f t="shared" si="1"/>
        <v/>
      </c>
      <c r="J31" s="108">
        <f t="shared" si="2"/>
        <v>-1</v>
      </c>
      <c r="K31" s="107">
        <f t="shared" si="3"/>
        <v>-10</v>
      </c>
      <c r="L31" s="107"/>
      <c r="M31" s="109">
        <f t="shared" si="4"/>
        <v>0</v>
      </c>
      <c r="N31" s="88"/>
      <c r="O31" s="88"/>
      <c r="P31" s="88"/>
      <c r="Q31" s="88"/>
      <c r="R31" s="88"/>
    </row>
    <row r="32" spans="1:19" s="93" customFormat="1">
      <c r="A32" s="102">
        <f t="shared" si="0"/>
        <v>0</v>
      </c>
      <c r="B32" s="35" t="str">
        <f t="shared" si="5"/>
        <v/>
      </c>
      <c r="C32" s="36"/>
      <c r="D32" s="36"/>
      <c r="E32" s="36"/>
      <c r="F32" s="36"/>
      <c r="G32" s="88"/>
      <c r="H32" s="103">
        <v>27</v>
      </c>
      <c r="I32" s="104" t="str">
        <f t="shared" si="1"/>
        <v/>
      </c>
      <c r="J32" s="104">
        <f t="shared" si="2"/>
        <v>-1</v>
      </c>
      <c r="K32" s="103">
        <f t="shared" si="3"/>
        <v>-10</v>
      </c>
      <c r="L32" s="103"/>
      <c r="M32" s="105">
        <f t="shared" si="4"/>
        <v>0</v>
      </c>
      <c r="N32" s="88"/>
      <c r="O32" s="88"/>
      <c r="P32" s="88"/>
      <c r="Q32" s="88"/>
      <c r="R32" s="117"/>
      <c r="S32" s="118"/>
    </row>
    <row r="33" spans="1:21" s="93" customFormat="1">
      <c r="A33" s="106">
        <f t="shared" si="0"/>
        <v>0</v>
      </c>
      <c r="B33" s="41" t="str">
        <f t="shared" si="5"/>
        <v/>
      </c>
      <c r="C33" s="42"/>
      <c r="D33" s="42"/>
      <c r="E33" s="42"/>
      <c r="F33" s="42"/>
      <c r="G33" s="88"/>
      <c r="H33" s="107">
        <v>28</v>
      </c>
      <c r="I33" s="108" t="str">
        <f t="shared" si="1"/>
        <v/>
      </c>
      <c r="J33" s="108">
        <f t="shared" si="2"/>
        <v>-1</v>
      </c>
      <c r="K33" s="107">
        <f t="shared" si="3"/>
        <v>-10</v>
      </c>
      <c r="L33" s="107"/>
      <c r="M33" s="109">
        <f t="shared" si="4"/>
        <v>0</v>
      </c>
      <c r="N33" s="88"/>
      <c r="O33" s="88"/>
      <c r="P33" s="88"/>
      <c r="Q33" s="88"/>
      <c r="R33" s="88"/>
    </row>
    <row r="34" spans="1:21" s="93" customFormat="1">
      <c r="A34" s="102">
        <f t="shared" si="0"/>
        <v>0</v>
      </c>
      <c r="B34" s="35" t="str">
        <f t="shared" si="5"/>
        <v/>
      </c>
      <c r="C34" s="36"/>
      <c r="D34" s="36"/>
      <c r="E34" s="36"/>
      <c r="F34" s="36"/>
      <c r="G34" s="88"/>
      <c r="H34" s="103">
        <v>29</v>
      </c>
      <c r="I34" s="104" t="str">
        <f t="shared" si="1"/>
        <v/>
      </c>
      <c r="J34" s="104">
        <f t="shared" si="2"/>
        <v>-1</v>
      </c>
      <c r="K34" s="103">
        <f t="shared" si="3"/>
        <v>-10</v>
      </c>
      <c r="L34" s="103"/>
      <c r="M34" s="105">
        <f t="shared" si="4"/>
        <v>0</v>
      </c>
      <c r="N34" s="88"/>
      <c r="O34" s="88"/>
      <c r="P34" s="88"/>
      <c r="Q34" s="88"/>
      <c r="R34" s="88"/>
    </row>
    <row r="35" spans="1:21" s="93" customFormat="1">
      <c r="A35" s="106">
        <f t="shared" si="0"/>
        <v>0</v>
      </c>
      <c r="B35" s="41" t="str">
        <f t="shared" si="5"/>
        <v/>
      </c>
      <c r="C35" s="42"/>
      <c r="D35" s="42"/>
      <c r="E35" s="42"/>
      <c r="F35" s="42"/>
      <c r="G35" s="88"/>
      <c r="H35" s="107">
        <v>30</v>
      </c>
      <c r="I35" s="108" t="str">
        <f t="shared" si="1"/>
        <v/>
      </c>
      <c r="J35" s="108">
        <f t="shared" si="2"/>
        <v>-1</v>
      </c>
      <c r="K35" s="107">
        <f t="shared" si="3"/>
        <v>-10</v>
      </c>
      <c r="L35" s="107"/>
      <c r="M35" s="109">
        <f t="shared" si="4"/>
        <v>0</v>
      </c>
      <c r="N35" s="88"/>
      <c r="O35" s="88"/>
      <c r="P35" s="88"/>
      <c r="Q35" s="88"/>
      <c r="R35" s="88"/>
    </row>
    <row r="36" spans="1:21" s="93" customFormat="1">
      <c r="A36" s="102">
        <f t="shared" si="0"/>
        <v>0</v>
      </c>
      <c r="B36" s="35" t="str">
        <f t="shared" si="5"/>
        <v/>
      </c>
      <c r="C36" s="36"/>
      <c r="D36" s="36"/>
      <c r="E36" s="36"/>
      <c r="F36" s="36"/>
      <c r="G36" s="88"/>
      <c r="H36" s="103">
        <v>31</v>
      </c>
      <c r="I36" s="104" t="str">
        <f t="shared" si="1"/>
        <v/>
      </c>
      <c r="J36" s="104">
        <f t="shared" si="2"/>
        <v>-1</v>
      </c>
      <c r="K36" s="103">
        <f t="shared" si="3"/>
        <v>-10</v>
      </c>
      <c r="L36" s="103"/>
      <c r="M36" s="105">
        <f t="shared" si="4"/>
        <v>0</v>
      </c>
      <c r="N36" s="88"/>
      <c r="O36" s="88"/>
      <c r="P36" s="88"/>
      <c r="Q36" s="88"/>
      <c r="R36" s="117"/>
      <c r="S36" s="118"/>
    </row>
    <row r="37" spans="1:21" s="93" customFormat="1">
      <c r="A37" s="106">
        <f t="shared" si="0"/>
        <v>0</v>
      </c>
      <c r="B37" s="41" t="str">
        <f t="shared" si="5"/>
        <v/>
      </c>
      <c r="C37" s="42"/>
      <c r="D37" s="42"/>
      <c r="E37" s="42"/>
      <c r="F37" s="42"/>
      <c r="G37" s="88"/>
      <c r="H37" s="107">
        <v>32</v>
      </c>
      <c r="I37" s="108" t="str">
        <f t="shared" si="1"/>
        <v/>
      </c>
      <c r="J37" s="108">
        <f t="shared" si="2"/>
        <v>-1</v>
      </c>
      <c r="K37" s="107">
        <f t="shared" si="3"/>
        <v>-10</v>
      </c>
      <c r="L37" s="107"/>
      <c r="M37" s="109">
        <f t="shared" si="4"/>
        <v>0</v>
      </c>
      <c r="N37" s="88"/>
      <c r="O37" s="88"/>
      <c r="P37" s="88"/>
      <c r="Q37" s="88"/>
      <c r="R37" s="88"/>
    </row>
    <row r="38" spans="1:21" s="93" customFormat="1">
      <c r="A38" s="102"/>
      <c r="B38" s="35" t="str">
        <f t="shared" si="5"/>
        <v/>
      </c>
      <c r="C38" s="36"/>
      <c r="D38" s="36"/>
      <c r="E38" s="36"/>
      <c r="F38" s="36"/>
      <c r="G38" s="88"/>
      <c r="H38" s="103">
        <v>33</v>
      </c>
      <c r="I38" s="104" t="str">
        <f t="shared" si="1"/>
        <v/>
      </c>
      <c r="J38" s="104">
        <f t="shared" si="2"/>
        <v>-2</v>
      </c>
      <c r="K38" s="103">
        <f t="shared" si="3"/>
        <v>-20</v>
      </c>
      <c r="L38" s="103"/>
      <c r="M38" s="105">
        <f t="shared" si="4"/>
        <v>0</v>
      </c>
      <c r="N38" s="88"/>
      <c r="O38" s="88"/>
      <c r="P38" s="88"/>
      <c r="Q38" s="88"/>
      <c r="R38" s="88"/>
    </row>
    <row r="39" spans="1:21" s="93" customFormat="1">
      <c r="A39" s="106"/>
      <c r="B39" s="41" t="str">
        <f t="shared" si="5"/>
        <v/>
      </c>
      <c r="C39" s="42"/>
      <c r="D39" s="42"/>
      <c r="E39" s="42"/>
      <c r="F39" s="42"/>
      <c r="G39" s="88"/>
      <c r="H39" s="107">
        <v>34</v>
      </c>
      <c r="I39" s="108" t="str">
        <f t="shared" si="1"/>
        <v/>
      </c>
      <c r="J39" s="108">
        <f t="shared" si="2"/>
        <v>-2</v>
      </c>
      <c r="K39" s="107">
        <f t="shared" si="3"/>
        <v>-20</v>
      </c>
      <c r="L39" s="107"/>
      <c r="M39" s="109">
        <f t="shared" si="4"/>
        <v>0</v>
      </c>
      <c r="N39" s="88"/>
      <c r="O39" s="88"/>
      <c r="P39" s="88"/>
      <c r="Q39" s="88"/>
      <c r="R39" s="88"/>
    </row>
    <row r="40" spans="1:21" s="93" customFormat="1">
      <c r="A40" s="102"/>
      <c r="B40" s="35" t="str">
        <f t="shared" si="5"/>
        <v/>
      </c>
      <c r="C40" s="36"/>
      <c r="D40" s="36"/>
      <c r="E40" s="36"/>
      <c r="F40" s="36"/>
      <c r="G40" s="88"/>
      <c r="H40" s="103">
        <v>35</v>
      </c>
      <c r="I40" s="104" t="str">
        <f t="shared" si="1"/>
        <v/>
      </c>
      <c r="J40" s="104">
        <f t="shared" si="2"/>
        <v>-2</v>
      </c>
      <c r="K40" s="103">
        <f t="shared" si="3"/>
        <v>-20</v>
      </c>
      <c r="L40" s="103"/>
      <c r="M40" s="105">
        <f t="shared" si="4"/>
        <v>0</v>
      </c>
      <c r="N40" s="88"/>
      <c r="O40" s="88"/>
      <c r="P40" s="88"/>
      <c r="Q40" s="88"/>
      <c r="R40" s="88"/>
    </row>
    <row r="41" spans="1:21" s="93" customFormat="1">
      <c r="A41" s="106"/>
      <c r="B41" s="41" t="str">
        <f t="shared" si="5"/>
        <v/>
      </c>
      <c r="C41" s="42"/>
      <c r="D41" s="42"/>
      <c r="E41" s="42"/>
      <c r="F41" s="42"/>
      <c r="G41" s="88"/>
      <c r="H41" s="107">
        <v>36</v>
      </c>
      <c r="I41" s="108" t="str">
        <f t="shared" si="1"/>
        <v/>
      </c>
      <c r="J41" s="108">
        <f t="shared" si="2"/>
        <v>-2</v>
      </c>
      <c r="K41" s="107">
        <f t="shared" si="3"/>
        <v>-20</v>
      </c>
      <c r="L41" s="107"/>
      <c r="M41" s="109">
        <f t="shared" si="4"/>
        <v>0</v>
      </c>
      <c r="N41" s="88"/>
      <c r="O41" s="88"/>
      <c r="P41" s="88"/>
      <c r="Q41" s="88"/>
      <c r="R41" s="88"/>
      <c r="S41" s="119"/>
    </row>
    <row r="42" spans="1:21" s="93" customFormat="1">
      <c r="A42" s="102"/>
      <c r="B42" s="35" t="str">
        <f t="shared" si="5"/>
        <v/>
      </c>
      <c r="C42" s="36"/>
      <c r="D42" s="36"/>
      <c r="E42" s="36"/>
      <c r="F42" s="36"/>
      <c r="G42" s="88"/>
      <c r="H42" s="103">
        <v>37</v>
      </c>
      <c r="I42" s="104" t="str">
        <f t="shared" si="1"/>
        <v/>
      </c>
      <c r="J42" s="104">
        <f t="shared" si="2"/>
        <v>-2</v>
      </c>
      <c r="K42" s="103">
        <f t="shared" si="3"/>
        <v>-20</v>
      </c>
      <c r="L42" s="103"/>
      <c r="M42" s="105">
        <f t="shared" si="4"/>
        <v>0</v>
      </c>
      <c r="N42" s="88"/>
      <c r="O42" s="88"/>
      <c r="P42" s="88"/>
      <c r="Q42" s="88"/>
      <c r="R42" s="88"/>
    </row>
    <row r="43" spans="1:21" s="93" customFormat="1">
      <c r="A43" s="106"/>
      <c r="B43" s="41" t="str">
        <f t="shared" si="5"/>
        <v/>
      </c>
      <c r="C43" s="42"/>
      <c r="D43" s="42"/>
      <c r="E43" s="42"/>
      <c r="F43" s="42"/>
      <c r="G43" s="88"/>
      <c r="H43" s="107">
        <v>38</v>
      </c>
      <c r="I43" s="108" t="str">
        <f t="shared" si="1"/>
        <v/>
      </c>
      <c r="J43" s="108">
        <f t="shared" si="2"/>
        <v>-2</v>
      </c>
      <c r="K43" s="107">
        <f t="shared" si="3"/>
        <v>-20</v>
      </c>
      <c r="L43" s="107"/>
      <c r="M43" s="109">
        <f t="shared" si="4"/>
        <v>0</v>
      </c>
      <c r="N43" s="88"/>
      <c r="O43" s="88"/>
      <c r="P43" s="88"/>
      <c r="Q43" s="88"/>
      <c r="R43" s="88"/>
    </row>
    <row r="44" spans="1:21" s="93" customFormat="1">
      <c r="A44" s="102"/>
      <c r="B44" s="35" t="str">
        <f t="shared" si="5"/>
        <v/>
      </c>
      <c r="C44" s="36"/>
      <c r="D44" s="36"/>
      <c r="E44" s="36"/>
      <c r="F44" s="36"/>
      <c r="G44" s="88"/>
      <c r="H44" s="103">
        <v>39</v>
      </c>
      <c r="I44" s="104" t="str">
        <f t="shared" si="1"/>
        <v/>
      </c>
      <c r="J44" s="104">
        <f t="shared" si="2"/>
        <v>-2</v>
      </c>
      <c r="K44" s="103">
        <f t="shared" si="3"/>
        <v>-20</v>
      </c>
      <c r="L44" s="103"/>
      <c r="M44" s="105">
        <f t="shared" si="4"/>
        <v>0</v>
      </c>
      <c r="N44" s="88"/>
      <c r="O44" s="88"/>
      <c r="P44" s="88"/>
      <c r="Q44" s="88"/>
      <c r="R44" s="88"/>
    </row>
    <row r="45" spans="1:21" s="93" customFormat="1">
      <c r="A45" s="106"/>
      <c r="B45" s="41" t="str">
        <f t="shared" si="5"/>
        <v/>
      </c>
      <c r="C45" s="42"/>
      <c r="D45" s="42"/>
      <c r="E45" s="42"/>
      <c r="F45" s="42"/>
      <c r="G45" s="88"/>
      <c r="H45" s="107">
        <v>40</v>
      </c>
      <c r="I45" s="108" t="str">
        <f t="shared" si="1"/>
        <v/>
      </c>
      <c r="J45" s="108">
        <f t="shared" si="2"/>
        <v>-2</v>
      </c>
      <c r="K45" s="107">
        <f t="shared" si="3"/>
        <v>-20</v>
      </c>
      <c r="L45" s="107"/>
      <c r="M45" s="109">
        <f t="shared" si="4"/>
        <v>0</v>
      </c>
      <c r="N45" s="88"/>
      <c r="O45" s="88"/>
      <c r="P45" s="88"/>
      <c r="Q45" s="88"/>
      <c r="R45" s="88"/>
    </row>
    <row r="46" spans="1:21" s="93" customFormat="1">
      <c r="A46" s="102"/>
      <c r="B46" s="35" t="str">
        <f t="shared" si="5"/>
        <v/>
      </c>
      <c r="C46" s="36"/>
      <c r="D46" s="36"/>
      <c r="E46" s="36"/>
      <c r="F46" s="36"/>
      <c r="G46" s="88"/>
      <c r="H46" s="103">
        <v>41</v>
      </c>
      <c r="I46" s="104" t="str">
        <f t="shared" si="1"/>
        <v/>
      </c>
      <c r="J46" s="104">
        <f t="shared" si="2"/>
        <v>-2</v>
      </c>
      <c r="K46" s="103">
        <f t="shared" si="3"/>
        <v>-20</v>
      </c>
      <c r="L46" s="103"/>
      <c r="M46" s="105">
        <f t="shared" si="4"/>
        <v>0</v>
      </c>
      <c r="N46" s="88"/>
      <c r="O46" s="88"/>
      <c r="P46" s="88"/>
      <c r="Q46" s="88"/>
      <c r="R46" s="88">
        <f>LOG($H$2,2)</f>
        <v>3.7004397181410922</v>
      </c>
      <c r="T46" s="93">
        <f>LOG(H38,2)</f>
        <v>5.0443941193584534</v>
      </c>
      <c r="U46" s="93">
        <f>R46-T46</f>
        <v>-1.3439544012173612</v>
      </c>
    </row>
    <row r="47" spans="1:21" s="93" customFormat="1">
      <c r="A47" s="106"/>
      <c r="B47" s="41" t="str">
        <f t="shared" si="5"/>
        <v/>
      </c>
      <c r="C47" s="42"/>
      <c r="D47" s="42"/>
      <c r="E47" s="42"/>
      <c r="F47" s="42"/>
      <c r="G47" s="88"/>
      <c r="H47" s="107">
        <v>42</v>
      </c>
      <c r="I47" s="108" t="str">
        <f t="shared" si="1"/>
        <v/>
      </c>
      <c r="J47" s="108">
        <f t="shared" si="2"/>
        <v>-2</v>
      </c>
      <c r="K47" s="107">
        <f t="shared" si="3"/>
        <v>-20</v>
      </c>
      <c r="L47" s="107"/>
      <c r="M47" s="109">
        <f t="shared" si="4"/>
        <v>0</v>
      </c>
      <c r="N47" s="88"/>
      <c r="O47" s="88"/>
      <c r="P47" s="88"/>
      <c r="Q47" s="88"/>
      <c r="R47" s="88"/>
    </row>
    <row r="48" spans="1:21" s="93" customFormat="1">
      <c r="A48" s="102"/>
      <c r="B48" s="35" t="str">
        <f t="shared" si="5"/>
        <v/>
      </c>
      <c r="C48" s="36"/>
      <c r="D48" s="36"/>
      <c r="E48" s="36"/>
      <c r="F48" s="36"/>
      <c r="G48" s="88"/>
      <c r="H48" s="103">
        <v>43</v>
      </c>
      <c r="I48" s="104" t="str">
        <f t="shared" si="1"/>
        <v/>
      </c>
      <c r="J48" s="104">
        <f t="shared" si="2"/>
        <v>-2</v>
      </c>
      <c r="K48" s="103">
        <f t="shared" si="3"/>
        <v>-20</v>
      </c>
      <c r="L48" s="103"/>
      <c r="M48" s="105">
        <f t="shared" si="4"/>
        <v>0</v>
      </c>
      <c r="N48" s="88"/>
      <c r="O48" s="88"/>
      <c r="P48" s="88"/>
      <c r="Q48" s="88"/>
      <c r="R48" s="88"/>
    </row>
    <row r="49" spans="1:38" s="88" customFormat="1">
      <c r="A49" s="106"/>
      <c r="B49" s="41" t="str">
        <f t="shared" si="5"/>
        <v/>
      </c>
      <c r="C49" s="42"/>
      <c r="D49" s="42"/>
      <c r="E49" s="42"/>
      <c r="F49" s="42"/>
      <c r="H49" s="107">
        <v>44</v>
      </c>
      <c r="I49" s="108" t="str">
        <f t="shared" si="1"/>
        <v/>
      </c>
      <c r="J49" s="108">
        <f t="shared" si="2"/>
        <v>-2</v>
      </c>
      <c r="K49" s="107">
        <f t="shared" si="3"/>
        <v>-20</v>
      </c>
      <c r="L49" s="107"/>
      <c r="M49" s="109">
        <f t="shared" si="4"/>
        <v>0</v>
      </c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</row>
    <row r="50" spans="1:38" s="88" customFormat="1">
      <c r="A50" s="102"/>
      <c r="B50" s="35" t="str">
        <f t="shared" si="5"/>
        <v/>
      </c>
      <c r="C50" s="36"/>
      <c r="D50" s="36"/>
      <c r="E50" s="36"/>
      <c r="F50" s="36"/>
      <c r="H50" s="103">
        <v>45</v>
      </c>
      <c r="I50" s="104" t="str">
        <f t="shared" si="1"/>
        <v/>
      </c>
      <c r="J50" s="104">
        <f t="shared" si="2"/>
        <v>-2</v>
      </c>
      <c r="K50" s="103">
        <f t="shared" si="3"/>
        <v>-20</v>
      </c>
      <c r="L50" s="103"/>
      <c r="M50" s="105">
        <f t="shared" si="4"/>
        <v>0</v>
      </c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</row>
    <row r="51" spans="1:38" s="88" customFormat="1">
      <c r="A51" s="106"/>
      <c r="B51" s="41" t="str">
        <f t="shared" si="5"/>
        <v/>
      </c>
      <c r="C51" s="42"/>
      <c r="D51" s="42"/>
      <c r="E51" s="42"/>
      <c r="F51" s="42"/>
      <c r="H51" s="107">
        <v>46</v>
      </c>
      <c r="I51" s="108" t="str">
        <f t="shared" si="1"/>
        <v/>
      </c>
      <c r="J51" s="108">
        <f t="shared" si="2"/>
        <v>-2</v>
      </c>
      <c r="K51" s="107">
        <f t="shared" si="3"/>
        <v>-20</v>
      </c>
      <c r="L51" s="107"/>
      <c r="M51" s="109">
        <f t="shared" si="4"/>
        <v>0</v>
      </c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</row>
    <row r="52" spans="1:38" s="88" customFormat="1">
      <c r="A52" s="102"/>
      <c r="B52" s="35" t="str">
        <f t="shared" si="5"/>
        <v/>
      </c>
      <c r="C52" s="36"/>
      <c r="D52" s="36"/>
      <c r="E52" s="36"/>
      <c r="F52" s="36"/>
      <c r="H52" s="103">
        <v>47</v>
      </c>
      <c r="I52" s="104" t="str">
        <f t="shared" si="1"/>
        <v/>
      </c>
      <c r="J52" s="104">
        <f t="shared" si="2"/>
        <v>-2</v>
      </c>
      <c r="K52" s="103">
        <f t="shared" si="3"/>
        <v>-20</v>
      </c>
      <c r="L52" s="103"/>
      <c r="M52" s="105">
        <f t="shared" si="4"/>
        <v>0</v>
      </c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</row>
    <row r="53" spans="1:38" s="88" customFormat="1">
      <c r="A53" s="106"/>
      <c r="B53" s="41" t="str">
        <f t="shared" si="5"/>
        <v/>
      </c>
      <c r="C53" s="42"/>
      <c r="D53" s="42"/>
      <c r="E53" s="42"/>
      <c r="F53" s="42"/>
      <c r="H53" s="107">
        <v>48</v>
      </c>
      <c r="I53" s="108" t="str">
        <f t="shared" si="1"/>
        <v/>
      </c>
      <c r="J53" s="108">
        <f t="shared" si="2"/>
        <v>-2</v>
      </c>
      <c r="K53" s="107">
        <f t="shared" si="3"/>
        <v>-20</v>
      </c>
      <c r="L53" s="107"/>
      <c r="M53" s="109">
        <f t="shared" si="4"/>
        <v>0</v>
      </c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</row>
    <row r="54" spans="1:38" s="88" customFormat="1">
      <c r="A54" s="102"/>
      <c r="B54" s="35" t="str">
        <f t="shared" si="5"/>
        <v/>
      </c>
      <c r="C54" s="36"/>
      <c r="D54" s="36"/>
      <c r="E54" s="36"/>
      <c r="F54" s="36"/>
      <c r="H54" s="103">
        <v>49</v>
      </c>
      <c r="I54" s="104" t="str">
        <f t="shared" si="1"/>
        <v/>
      </c>
      <c r="J54" s="104">
        <f t="shared" si="2"/>
        <v>-2</v>
      </c>
      <c r="K54" s="103">
        <f t="shared" si="3"/>
        <v>-20</v>
      </c>
      <c r="L54" s="103"/>
      <c r="M54" s="105">
        <f t="shared" si="4"/>
        <v>0</v>
      </c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</row>
    <row r="55" spans="1:38" s="88" customFormat="1">
      <c r="A55" s="106"/>
      <c r="B55" s="41" t="str">
        <f t="shared" si="5"/>
        <v/>
      </c>
      <c r="C55" s="42"/>
      <c r="D55" s="42"/>
      <c r="E55" s="42"/>
      <c r="F55" s="42"/>
      <c r="H55" s="107">
        <v>50</v>
      </c>
      <c r="I55" s="108" t="str">
        <f t="shared" si="1"/>
        <v/>
      </c>
      <c r="J55" s="108">
        <f t="shared" si="2"/>
        <v>-2</v>
      </c>
      <c r="K55" s="107">
        <f t="shared" si="3"/>
        <v>-20</v>
      </c>
      <c r="L55" s="107"/>
      <c r="M55" s="109">
        <f t="shared" si="4"/>
        <v>0</v>
      </c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</row>
    <row r="56" spans="1:38" s="88" customFormat="1">
      <c r="A56" s="102"/>
      <c r="B56" s="35" t="str">
        <f t="shared" si="5"/>
        <v/>
      </c>
      <c r="C56" s="36"/>
      <c r="D56" s="36"/>
      <c r="E56" s="36"/>
      <c r="F56" s="36"/>
      <c r="H56" s="103">
        <v>51</v>
      </c>
      <c r="I56" s="104" t="str">
        <f t="shared" si="1"/>
        <v/>
      </c>
      <c r="J56" s="104">
        <f t="shared" si="2"/>
        <v>-2</v>
      </c>
      <c r="K56" s="103">
        <f t="shared" si="3"/>
        <v>-20</v>
      </c>
      <c r="L56" s="103"/>
      <c r="M56" s="105">
        <f t="shared" si="4"/>
        <v>0</v>
      </c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</row>
    <row r="57" spans="1:38" s="88" customFormat="1">
      <c r="A57" s="106"/>
      <c r="B57" s="41" t="str">
        <f t="shared" si="5"/>
        <v/>
      </c>
      <c r="C57" s="42"/>
      <c r="D57" s="42"/>
      <c r="E57" s="42"/>
      <c r="F57" s="42"/>
      <c r="H57" s="107">
        <v>52</v>
      </c>
      <c r="I57" s="108" t="str">
        <f t="shared" si="1"/>
        <v/>
      </c>
      <c r="J57" s="108">
        <f t="shared" si="2"/>
        <v>-2</v>
      </c>
      <c r="K57" s="107">
        <f t="shared" si="3"/>
        <v>-20</v>
      </c>
      <c r="L57" s="107"/>
      <c r="M57" s="109">
        <f t="shared" si="4"/>
        <v>0</v>
      </c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</row>
    <row r="58" spans="1:38" s="88" customFormat="1">
      <c r="A58" s="102"/>
      <c r="B58" s="35" t="str">
        <f t="shared" si="5"/>
        <v/>
      </c>
      <c r="C58" s="36"/>
      <c r="D58" s="36"/>
      <c r="E58" s="36"/>
      <c r="F58" s="36"/>
      <c r="H58" s="103">
        <v>53</v>
      </c>
      <c r="I58" s="104" t="str">
        <f t="shared" si="1"/>
        <v/>
      </c>
      <c r="J58" s="104">
        <f t="shared" si="2"/>
        <v>-2</v>
      </c>
      <c r="K58" s="103">
        <f t="shared" si="3"/>
        <v>-20</v>
      </c>
      <c r="L58" s="103"/>
      <c r="M58" s="105">
        <f t="shared" si="4"/>
        <v>0</v>
      </c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</row>
    <row r="59" spans="1:38" s="88" customFormat="1">
      <c r="A59" s="106"/>
      <c r="B59" s="41" t="str">
        <f t="shared" si="5"/>
        <v/>
      </c>
      <c r="C59" s="42"/>
      <c r="D59" s="42"/>
      <c r="E59" s="42"/>
      <c r="F59" s="42"/>
      <c r="H59" s="107">
        <v>54</v>
      </c>
      <c r="I59" s="108" t="str">
        <f t="shared" si="1"/>
        <v/>
      </c>
      <c r="J59" s="108">
        <f t="shared" si="2"/>
        <v>-2</v>
      </c>
      <c r="K59" s="107">
        <f t="shared" si="3"/>
        <v>-20</v>
      </c>
      <c r="L59" s="107"/>
      <c r="M59" s="109">
        <f t="shared" si="4"/>
        <v>0</v>
      </c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</row>
    <row r="60" spans="1:38" s="88" customFormat="1">
      <c r="A60" s="102"/>
      <c r="B60" s="35" t="str">
        <f t="shared" si="5"/>
        <v/>
      </c>
      <c r="C60" s="36"/>
      <c r="D60" s="36"/>
      <c r="E60" s="36"/>
      <c r="F60" s="36"/>
      <c r="H60" s="103">
        <v>55</v>
      </c>
      <c r="I60" s="104" t="str">
        <f t="shared" si="1"/>
        <v/>
      </c>
      <c r="J60" s="104">
        <f t="shared" si="2"/>
        <v>-2</v>
      </c>
      <c r="K60" s="103">
        <f t="shared" si="3"/>
        <v>-20</v>
      </c>
      <c r="L60" s="103"/>
      <c r="M60" s="105">
        <f t="shared" si="4"/>
        <v>0</v>
      </c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</row>
    <row r="61" spans="1:38" s="88" customFormat="1">
      <c r="A61" s="106"/>
      <c r="B61" s="41" t="str">
        <f t="shared" si="5"/>
        <v/>
      </c>
      <c r="C61" s="42"/>
      <c r="D61" s="42"/>
      <c r="E61" s="42"/>
      <c r="F61" s="42"/>
      <c r="H61" s="107">
        <v>56</v>
      </c>
      <c r="I61" s="108" t="str">
        <f t="shared" si="1"/>
        <v/>
      </c>
      <c r="J61" s="108">
        <f t="shared" si="2"/>
        <v>-2</v>
      </c>
      <c r="K61" s="107">
        <f t="shared" si="3"/>
        <v>-20</v>
      </c>
      <c r="L61" s="107"/>
      <c r="M61" s="109">
        <f t="shared" si="4"/>
        <v>0</v>
      </c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</row>
    <row r="62" spans="1:38" s="88" customFormat="1">
      <c r="A62" s="102"/>
      <c r="B62" s="35" t="str">
        <f t="shared" si="5"/>
        <v/>
      </c>
      <c r="C62" s="36"/>
      <c r="D62" s="36"/>
      <c r="E62" s="36"/>
      <c r="F62" s="36"/>
      <c r="H62" s="103">
        <v>57</v>
      </c>
      <c r="I62" s="104" t="str">
        <f t="shared" si="1"/>
        <v/>
      </c>
      <c r="J62" s="104">
        <f t="shared" si="2"/>
        <v>-2</v>
      </c>
      <c r="K62" s="103">
        <f t="shared" si="3"/>
        <v>-20</v>
      </c>
      <c r="L62" s="103"/>
      <c r="M62" s="105">
        <f t="shared" si="4"/>
        <v>0</v>
      </c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</row>
    <row r="63" spans="1:38" s="88" customFormat="1">
      <c r="A63" s="106"/>
      <c r="B63" s="41" t="str">
        <f t="shared" si="5"/>
        <v/>
      </c>
      <c r="C63" s="42"/>
      <c r="D63" s="42"/>
      <c r="E63" s="42"/>
      <c r="F63" s="42"/>
      <c r="H63" s="107">
        <v>58</v>
      </c>
      <c r="I63" s="108" t="str">
        <f t="shared" si="1"/>
        <v/>
      </c>
      <c r="J63" s="108">
        <f t="shared" si="2"/>
        <v>-2</v>
      </c>
      <c r="K63" s="107">
        <f t="shared" si="3"/>
        <v>-20</v>
      </c>
      <c r="L63" s="107"/>
      <c r="M63" s="109">
        <f t="shared" si="4"/>
        <v>0</v>
      </c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</row>
    <row r="64" spans="1:38" s="88" customFormat="1">
      <c r="A64" s="102"/>
      <c r="B64" s="35" t="str">
        <f t="shared" si="5"/>
        <v/>
      </c>
      <c r="C64" s="36"/>
      <c r="D64" s="36"/>
      <c r="E64" s="36"/>
      <c r="F64" s="36"/>
      <c r="H64" s="103">
        <v>59</v>
      </c>
      <c r="I64" s="104" t="str">
        <f t="shared" si="1"/>
        <v/>
      </c>
      <c r="J64" s="104">
        <f t="shared" si="2"/>
        <v>-2</v>
      </c>
      <c r="K64" s="103">
        <f t="shared" si="3"/>
        <v>-20</v>
      </c>
      <c r="L64" s="103"/>
      <c r="M64" s="105">
        <f t="shared" si="4"/>
        <v>0</v>
      </c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</row>
    <row r="65" spans="1:38" s="88" customFormat="1">
      <c r="A65" s="106"/>
      <c r="B65" s="41" t="str">
        <f t="shared" si="5"/>
        <v/>
      </c>
      <c r="C65" s="42"/>
      <c r="D65" s="42"/>
      <c r="E65" s="42"/>
      <c r="F65" s="42"/>
      <c r="H65" s="107">
        <v>60</v>
      </c>
      <c r="I65" s="108" t="str">
        <f t="shared" si="1"/>
        <v/>
      </c>
      <c r="J65" s="108">
        <f t="shared" si="2"/>
        <v>-2</v>
      </c>
      <c r="K65" s="107">
        <f t="shared" si="3"/>
        <v>-20</v>
      </c>
      <c r="L65" s="107"/>
      <c r="M65" s="109">
        <f t="shared" si="4"/>
        <v>0</v>
      </c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</row>
    <row r="66" spans="1:38" s="88" customFormat="1">
      <c r="A66" s="124"/>
      <c r="B66" s="35"/>
      <c r="C66" s="123"/>
      <c r="D66" s="123"/>
      <c r="E66" s="123"/>
      <c r="F66" s="123"/>
      <c r="H66" s="103">
        <v>61</v>
      </c>
      <c r="I66" s="104" t="str">
        <f t="shared" si="1"/>
        <v/>
      </c>
      <c r="J66" s="104">
        <f t="shared" si="2"/>
        <v>-2</v>
      </c>
      <c r="K66" s="103">
        <f t="shared" si="3"/>
        <v>-20</v>
      </c>
      <c r="L66" s="103"/>
      <c r="M66" s="105">
        <f t="shared" si="4"/>
        <v>0</v>
      </c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</row>
    <row r="67" spans="1:38" s="88" customFormat="1">
      <c r="A67" s="124"/>
      <c r="B67" s="41"/>
      <c r="C67" s="123"/>
      <c r="D67" s="123"/>
      <c r="E67" s="123"/>
      <c r="F67" s="123"/>
      <c r="H67" s="103">
        <v>62</v>
      </c>
      <c r="I67" s="104" t="str">
        <f t="shared" si="1"/>
        <v/>
      </c>
      <c r="J67" s="104">
        <f t="shared" si="2"/>
        <v>-2</v>
      </c>
      <c r="K67" s="103">
        <f t="shared" si="3"/>
        <v>-20</v>
      </c>
      <c r="L67" s="103"/>
      <c r="M67" s="105">
        <f t="shared" si="4"/>
        <v>0</v>
      </c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</row>
    <row r="68" spans="1:38" s="88" customFormat="1">
      <c r="A68" s="124"/>
      <c r="B68" s="35"/>
      <c r="C68" s="123"/>
      <c r="D68" s="123"/>
      <c r="E68" s="123"/>
      <c r="F68" s="123"/>
      <c r="H68" s="103">
        <v>63</v>
      </c>
      <c r="I68" s="104" t="str">
        <f t="shared" si="1"/>
        <v/>
      </c>
      <c r="J68" s="104">
        <f t="shared" si="2"/>
        <v>-2</v>
      </c>
      <c r="K68" s="103">
        <f t="shared" si="3"/>
        <v>-20</v>
      </c>
      <c r="L68" s="103"/>
      <c r="M68" s="105">
        <f t="shared" si="4"/>
        <v>0</v>
      </c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</row>
    <row r="69" spans="1:38" s="88" customFormat="1">
      <c r="A69" s="124"/>
      <c r="B69" s="41"/>
      <c r="C69" s="123"/>
      <c r="D69" s="123"/>
      <c r="E69" s="123"/>
      <c r="F69" s="123"/>
      <c r="H69" s="103">
        <v>64</v>
      </c>
      <c r="I69" s="104" t="str">
        <f t="shared" si="1"/>
        <v/>
      </c>
      <c r="J69" s="104">
        <f t="shared" si="2"/>
        <v>-2</v>
      </c>
      <c r="K69" s="103">
        <f t="shared" si="3"/>
        <v>-20</v>
      </c>
      <c r="L69" s="103"/>
      <c r="M69" s="105">
        <f t="shared" si="4"/>
        <v>0</v>
      </c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</row>
    <row r="70" spans="1:38" s="88" customFormat="1">
      <c r="A70" s="124"/>
      <c r="B70" s="123"/>
      <c r="C70" s="123"/>
      <c r="D70" s="123"/>
      <c r="E70" s="123"/>
      <c r="F70" s="123"/>
      <c r="H70" s="103">
        <v>65</v>
      </c>
      <c r="I70" s="104" t="str">
        <f t="shared" ref="I70:I133" si="6">IF(H70&lt;$H$2+1,($I$2-($I$2-1)*(LOG(H70)/LOG($H$2))),"")</f>
        <v/>
      </c>
      <c r="J70" s="104">
        <f t="shared" ref="J70:J133" si="7">INT(LOG($H$2,2))-ROUNDUP(LOG(H70,2),0)+IF(OR($H$2=1,$H$2=2,$H$2=4,$H$2=8,$H$2=16,$H$2=32,$H$2=64,$H$2=128,$H$2=256),0,1)</f>
        <v>-3</v>
      </c>
      <c r="K70" s="103">
        <f t="shared" ref="K70:K133" si="8">J70*$J$2</f>
        <v>-30</v>
      </c>
      <c r="L70" s="103"/>
      <c r="M70" s="105">
        <f t="shared" ref="M70:M133" si="9">IF(I70&lt;&gt;"",K70+I70+L70,0)</f>
        <v>0</v>
      </c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</row>
    <row r="71" spans="1:38" s="88" customFormat="1">
      <c r="A71" s="124"/>
      <c r="B71" s="123"/>
      <c r="C71" s="123"/>
      <c r="D71" s="123"/>
      <c r="E71" s="123"/>
      <c r="F71" s="123"/>
      <c r="H71" s="103">
        <v>66</v>
      </c>
      <c r="I71" s="104" t="str">
        <f t="shared" si="6"/>
        <v/>
      </c>
      <c r="J71" s="104">
        <f t="shared" si="7"/>
        <v>-3</v>
      </c>
      <c r="K71" s="103">
        <f t="shared" si="8"/>
        <v>-30</v>
      </c>
      <c r="L71" s="103"/>
      <c r="M71" s="105">
        <f t="shared" si="9"/>
        <v>0</v>
      </c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</row>
    <row r="72" spans="1:38" s="88" customFormat="1">
      <c r="A72" s="124"/>
      <c r="B72" s="123"/>
      <c r="C72" s="123"/>
      <c r="D72" s="123"/>
      <c r="E72" s="123"/>
      <c r="F72" s="123"/>
      <c r="H72" s="103">
        <v>67</v>
      </c>
      <c r="I72" s="104" t="str">
        <f t="shared" si="6"/>
        <v/>
      </c>
      <c r="J72" s="104">
        <f t="shared" si="7"/>
        <v>-3</v>
      </c>
      <c r="K72" s="103">
        <f t="shared" si="8"/>
        <v>-30</v>
      </c>
      <c r="L72" s="103"/>
      <c r="M72" s="105">
        <f t="shared" si="9"/>
        <v>0</v>
      </c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</row>
    <row r="73" spans="1:38" s="88" customFormat="1">
      <c r="A73" s="124"/>
      <c r="B73" s="123"/>
      <c r="C73" s="123"/>
      <c r="D73" s="123"/>
      <c r="E73" s="123"/>
      <c r="F73" s="123"/>
      <c r="H73" s="103">
        <v>68</v>
      </c>
      <c r="I73" s="104" t="str">
        <f t="shared" si="6"/>
        <v/>
      </c>
      <c r="J73" s="104">
        <f t="shared" si="7"/>
        <v>-3</v>
      </c>
      <c r="K73" s="103">
        <f t="shared" si="8"/>
        <v>-30</v>
      </c>
      <c r="L73" s="103"/>
      <c r="M73" s="105">
        <f t="shared" si="9"/>
        <v>0</v>
      </c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</row>
    <row r="74" spans="1:38" s="88" customFormat="1">
      <c r="A74" s="124"/>
      <c r="B74" s="123"/>
      <c r="C74" s="123"/>
      <c r="D74" s="123"/>
      <c r="E74" s="123"/>
      <c r="F74" s="123"/>
      <c r="H74" s="103">
        <v>69</v>
      </c>
      <c r="I74" s="104" t="str">
        <f t="shared" si="6"/>
        <v/>
      </c>
      <c r="J74" s="104">
        <f t="shared" si="7"/>
        <v>-3</v>
      </c>
      <c r="K74" s="103">
        <f t="shared" si="8"/>
        <v>-30</v>
      </c>
      <c r="L74" s="103"/>
      <c r="M74" s="105">
        <f t="shared" si="9"/>
        <v>0</v>
      </c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</row>
    <row r="75" spans="1:38" s="88" customFormat="1">
      <c r="A75" s="124"/>
      <c r="B75" s="123"/>
      <c r="C75" s="123"/>
      <c r="D75" s="123"/>
      <c r="E75" s="123"/>
      <c r="F75" s="123"/>
      <c r="H75" s="103">
        <v>70</v>
      </c>
      <c r="I75" s="104" t="str">
        <f t="shared" si="6"/>
        <v/>
      </c>
      <c r="J75" s="104">
        <f t="shared" si="7"/>
        <v>-3</v>
      </c>
      <c r="K75" s="103">
        <f t="shared" si="8"/>
        <v>-30</v>
      </c>
      <c r="L75" s="103"/>
      <c r="M75" s="105">
        <f t="shared" si="9"/>
        <v>0</v>
      </c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</row>
    <row r="76" spans="1:38" s="88" customFormat="1">
      <c r="A76" s="124"/>
      <c r="B76" s="123"/>
      <c r="C76" s="123"/>
      <c r="D76" s="123"/>
      <c r="E76" s="123"/>
      <c r="F76" s="123"/>
      <c r="H76" s="103">
        <v>71</v>
      </c>
      <c r="I76" s="104" t="str">
        <f t="shared" si="6"/>
        <v/>
      </c>
      <c r="J76" s="104">
        <f t="shared" si="7"/>
        <v>-3</v>
      </c>
      <c r="K76" s="103">
        <f t="shared" si="8"/>
        <v>-30</v>
      </c>
      <c r="L76" s="103"/>
      <c r="M76" s="105">
        <f t="shared" si="9"/>
        <v>0</v>
      </c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</row>
    <row r="77" spans="1:38" s="88" customFormat="1">
      <c r="A77" s="124"/>
      <c r="B77" s="123"/>
      <c r="C77" s="123"/>
      <c r="D77" s="123"/>
      <c r="E77" s="123"/>
      <c r="F77" s="123"/>
      <c r="H77" s="103">
        <v>72</v>
      </c>
      <c r="I77" s="104" t="str">
        <f t="shared" si="6"/>
        <v/>
      </c>
      <c r="J77" s="104">
        <f t="shared" si="7"/>
        <v>-3</v>
      </c>
      <c r="K77" s="103">
        <f t="shared" si="8"/>
        <v>-30</v>
      </c>
      <c r="L77" s="103"/>
      <c r="M77" s="105">
        <f t="shared" si="9"/>
        <v>0</v>
      </c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</row>
    <row r="78" spans="1:38" s="88" customFormat="1">
      <c r="A78" s="124"/>
      <c r="B78" s="123"/>
      <c r="C78" s="123"/>
      <c r="D78" s="123"/>
      <c r="E78" s="123"/>
      <c r="F78" s="123"/>
      <c r="H78" s="103">
        <v>73</v>
      </c>
      <c r="I78" s="104" t="str">
        <f t="shared" si="6"/>
        <v/>
      </c>
      <c r="J78" s="104">
        <f t="shared" si="7"/>
        <v>-3</v>
      </c>
      <c r="K78" s="103">
        <f t="shared" si="8"/>
        <v>-30</v>
      </c>
      <c r="L78" s="103"/>
      <c r="M78" s="105">
        <f t="shared" si="9"/>
        <v>0</v>
      </c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</row>
    <row r="79" spans="1:38" s="88" customFormat="1">
      <c r="A79" s="124"/>
      <c r="B79" s="123"/>
      <c r="C79" s="123"/>
      <c r="D79" s="123"/>
      <c r="E79" s="123"/>
      <c r="F79" s="123"/>
      <c r="H79" s="103">
        <v>74</v>
      </c>
      <c r="I79" s="104" t="str">
        <f t="shared" si="6"/>
        <v/>
      </c>
      <c r="J79" s="104">
        <f t="shared" si="7"/>
        <v>-3</v>
      </c>
      <c r="K79" s="103">
        <f t="shared" si="8"/>
        <v>-30</v>
      </c>
      <c r="L79" s="103"/>
      <c r="M79" s="105">
        <f t="shared" si="9"/>
        <v>0</v>
      </c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</row>
    <row r="80" spans="1:38" s="88" customFormat="1">
      <c r="A80" s="124"/>
      <c r="B80" s="123"/>
      <c r="C80" s="123"/>
      <c r="D80" s="123"/>
      <c r="E80" s="123"/>
      <c r="F80" s="123"/>
      <c r="H80" s="103">
        <v>75</v>
      </c>
      <c r="I80" s="104" t="str">
        <f t="shared" si="6"/>
        <v/>
      </c>
      <c r="J80" s="104">
        <f t="shared" si="7"/>
        <v>-3</v>
      </c>
      <c r="K80" s="103">
        <f t="shared" si="8"/>
        <v>-30</v>
      </c>
      <c r="L80" s="103"/>
      <c r="M80" s="105">
        <f t="shared" si="9"/>
        <v>0</v>
      </c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</row>
    <row r="81" spans="1:38" s="88" customFormat="1">
      <c r="A81" s="124"/>
      <c r="B81" s="123"/>
      <c r="C81" s="123"/>
      <c r="D81" s="123"/>
      <c r="E81" s="123"/>
      <c r="F81" s="123"/>
      <c r="H81" s="103">
        <v>76</v>
      </c>
      <c r="I81" s="104" t="str">
        <f t="shared" si="6"/>
        <v/>
      </c>
      <c r="J81" s="104">
        <f t="shared" si="7"/>
        <v>-3</v>
      </c>
      <c r="K81" s="103">
        <f t="shared" si="8"/>
        <v>-30</v>
      </c>
      <c r="L81" s="103"/>
      <c r="M81" s="105">
        <f t="shared" si="9"/>
        <v>0</v>
      </c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</row>
    <row r="82" spans="1:38" s="88" customFormat="1">
      <c r="A82" s="124"/>
      <c r="B82" s="123"/>
      <c r="C82" s="123"/>
      <c r="D82" s="123"/>
      <c r="E82" s="123"/>
      <c r="F82" s="123"/>
      <c r="H82" s="103">
        <v>77</v>
      </c>
      <c r="I82" s="104" t="str">
        <f t="shared" si="6"/>
        <v/>
      </c>
      <c r="J82" s="104">
        <f t="shared" si="7"/>
        <v>-3</v>
      </c>
      <c r="K82" s="103">
        <f t="shared" si="8"/>
        <v>-30</v>
      </c>
      <c r="L82" s="103"/>
      <c r="M82" s="105">
        <f t="shared" si="9"/>
        <v>0</v>
      </c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</row>
    <row r="83" spans="1:38" s="88" customFormat="1">
      <c r="A83" s="124"/>
      <c r="B83" s="123"/>
      <c r="C83" s="123"/>
      <c r="D83" s="123"/>
      <c r="E83" s="123"/>
      <c r="F83" s="123"/>
      <c r="H83" s="103">
        <v>78</v>
      </c>
      <c r="I83" s="104" t="str">
        <f t="shared" si="6"/>
        <v/>
      </c>
      <c r="J83" s="104">
        <f t="shared" si="7"/>
        <v>-3</v>
      </c>
      <c r="K83" s="103">
        <f t="shared" si="8"/>
        <v>-30</v>
      </c>
      <c r="L83" s="103"/>
      <c r="M83" s="105">
        <f t="shared" si="9"/>
        <v>0</v>
      </c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</row>
    <row r="84" spans="1:38" s="88" customFormat="1">
      <c r="A84" s="124"/>
      <c r="B84" s="123"/>
      <c r="C84" s="123"/>
      <c r="D84" s="123"/>
      <c r="E84" s="123"/>
      <c r="F84" s="123"/>
      <c r="H84" s="103">
        <v>79</v>
      </c>
      <c r="I84" s="104" t="str">
        <f t="shared" si="6"/>
        <v/>
      </c>
      <c r="J84" s="104">
        <f t="shared" si="7"/>
        <v>-3</v>
      </c>
      <c r="K84" s="103">
        <f t="shared" si="8"/>
        <v>-30</v>
      </c>
      <c r="L84" s="103"/>
      <c r="M84" s="105">
        <f t="shared" si="9"/>
        <v>0</v>
      </c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</row>
    <row r="85" spans="1:38" s="88" customFormat="1">
      <c r="A85" s="124"/>
      <c r="B85" s="123"/>
      <c r="C85" s="123"/>
      <c r="D85" s="123"/>
      <c r="E85" s="123"/>
      <c r="F85" s="123"/>
      <c r="H85" s="103">
        <v>80</v>
      </c>
      <c r="I85" s="104" t="str">
        <f t="shared" si="6"/>
        <v/>
      </c>
      <c r="J85" s="104">
        <f t="shared" si="7"/>
        <v>-3</v>
      </c>
      <c r="K85" s="103">
        <f t="shared" si="8"/>
        <v>-30</v>
      </c>
      <c r="L85" s="103"/>
      <c r="M85" s="105">
        <f t="shared" si="9"/>
        <v>0</v>
      </c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</row>
    <row r="86" spans="1:38" s="88" customFormat="1">
      <c r="A86" s="124"/>
      <c r="B86" s="123"/>
      <c r="C86" s="123"/>
      <c r="D86" s="123"/>
      <c r="E86" s="123"/>
      <c r="F86" s="123"/>
      <c r="H86" s="103">
        <v>81</v>
      </c>
      <c r="I86" s="104" t="str">
        <f t="shared" si="6"/>
        <v/>
      </c>
      <c r="J86" s="104">
        <f t="shared" si="7"/>
        <v>-3</v>
      </c>
      <c r="K86" s="103">
        <f t="shared" si="8"/>
        <v>-30</v>
      </c>
      <c r="L86" s="103"/>
      <c r="M86" s="105">
        <f t="shared" si="9"/>
        <v>0</v>
      </c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</row>
    <row r="87" spans="1:38" s="88" customFormat="1">
      <c r="A87" s="124"/>
      <c r="B87" s="123"/>
      <c r="C87" s="123"/>
      <c r="D87" s="123"/>
      <c r="E87" s="123"/>
      <c r="F87" s="123"/>
      <c r="H87" s="103">
        <v>82</v>
      </c>
      <c r="I87" s="104" t="str">
        <f t="shared" si="6"/>
        <v/>
      </c>
      <c r="J87" s="104">
        <f t="shared" si="7"/>
        <v>-3</v>
      </c>
      <c r="K87" s="103">
        <f t="shared" si="8"/>
        <v>-30</v>
      </c>
      <c r="L87" s="103"/>
      <c r="M87" s="105">
        <f t="shared" si="9"/>
        <v>0</v>
      </c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</row>
    <row r="88" spans="1:38" s="88" customFormat="1">
      <c r="A88" s="124"/>
      <c r="B88" s="123"/>
      <c r="C88" s="123"/>
      <c r="D88" s="123"/>
      <c r="E88" s="123"/>
      <c r="F88" s="123"/>
      <c r="H88" s="103">
        <v>83</v>
      </c>
      <c r="I88" s="104" t="str">
        <f t="shared" si="6"/>
        <v/>
      </c>
      <c r="J88" s="104">
        <f t="shared" si="7"/>
        <v>-3</v>
      </c>
      <c r="K88" s="103">
        <f t="shared" si="8"/>
        <v>-30</v>
      </c>
      <c r="L88" s="103"/>
      <c r="M88" s="105">
        <f t="shared" si="9"/>
        <v>0</v>
      </c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</row>
    <row r="89" spans="1:38" s="88" customFormat="1">
      <c r="A89" s="124"/>
      <c r="B89" s="123"/>
      <c r="C89" s="123"/>
      <c r="D89" s="123"/>
      <c r="E89" s="123"/>
      <c r="F89" s="123"/>
      <c r="H89" s="103">
        <v>84</v>
      </c>
      <c r="I89" s="104" t="str">
        <f t="shared" si="6"/>
        <v/>
      </c>
      <c r="J89" s="104">
        <f t="shared" si="7"/>
        <v>-3</v>
      </c>
      <c r="K89" s="103">
        <f t="shared" si="8"/>
        <v>-30</v>
      </c>
      <c r="L89" s="103"/>
      <c r="M89" s="105">
        <f t="shared" si="9"/>
        <v>0</v>
      </c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</row>
    <row r="90" spans="1:38" s="88" customFormat="1">
      <c r="A90" s="124"/>
      <c r="B90" s="123"/>
      <c r="C90" s="123"/>
      <c r="D90" s="123"/>
      <c r="E90" s="123"/>
      <c r="F90" s="123"/>
      <c r="H90" s="103">
        <v>85</v>
      </c>
      <c r="I90" s="104" t="str">
        <f t="shared" si="6"/>
        <v/>
      </c>
      <c r="J90" s="104">
        <f t="shared" si="7"/>
        <v>-3</v>
      </c>
      <c r="K90" s="103">
        <f t="shared" si="8"/>
        <v>-30</v>
      </c>
      <c r="L90" s="103"/>
      <c r="M90" s="105">
        <f t="shared" si="9"/>
        <v>0</v>
      </c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</row>
    <row r="91" spans="1:38" s="88" customFormat="1">
      <c r="A91" s="124"/>
      <c r="B91" s="123"/>
      <c r="C91" s="123"/>
      <c r="D91" s="123"/>
      <c r="E91" s="123"/>
      <c r="F91" s="123"/>
      <c r="H91" s="103">
        <v>86</v>
      </c>
      <c r="I91" s="104" t="str">
        <f t="shared" si="6"/>
        <v/>
      </c>
      <c r="J91" s="104">
        <f t="shared" si="7"/>
        <v>-3</v>
      </c>
      <c r="K91" s="103">
        <f t="shared" si="8"/>
        <v>-30</v>
      </c>
      <c r="L91" s="103"/>
      <c r="M91" s="105">
        <f t="shared" si="9"/>
        <v>0</v>
      </c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</row>
    <row r="92" spans="1:38" s="88" customFormat="1">
      <c r="A92" s="124"/>
      <c r="B92" s="123"/>
      <c r="C92" s="123"/>
      <c r="D92" s="123"/>
      <c r="E92" s="123"/>
      <c r="F92" s="123"/>
      <c r="H92" s="103">
        <v>87</v>
      </c>
      <c r="I92" s="104" t="str">
        <f t="shared" si="6"/>
        <v/>
      </c>
      <c r="J92" s="104">
        <f t="shared" si="7"/>
        <v>-3</v>
      </c>
      <c r="K92" s="103">
        <f t="shared" si="8"/>
        <v>-30</v>
      </c>
      <c r="L92" s="103"/>
      <c r="M92" s="105">
        <f t="shared" si="9"/>
        <v>0</v>
      </c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</row>
    <row r="93" spans="1:38" s="88" customFormat="1">
      <c r="A93" s="124"/>
      <c r="B93" s="123"/>
      <c r="C93" s="123"/>
      <c r="D93" s="123"/>
      <c r="E93" s="123"/>
      <c r="F93" s="123"/>
      <c r="H93" s="103">
        <v>88</v>
      </c>
      <c r="I93" s="104" t="str">
        <f t="shared" si="6"/>
        <v/>
      </c>
      <c r="J93" s="104">
        <f t="shared" si="7"/>
        <v>-3</v>
      </c>
      <c r="K93" s="103">
        <f t="shared" si="8"/>
        <v>-30</v>
      </c>
      <c r="L93" s="103"/>
      <c r="M93" s="105">
        <f t="shared" si="9"/>
        <v>0</v>
      </c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</row>
    <row r="94" spans="1:38" s="88" customFormat="1">
      <c r="A94" s="124"/>
      <c r="B94" s="123"/>
      <c r="C94" s="123"/>
      <c r="D94" s="123"/>
      <c r="E94" s="123"/>
      <c r="F94" s="123"/>
      <c r="H94" s="103">
        <v>89</v>
      </c>
      <c r="I94" s="104" t="str">
        <f t="shared" si="6"/>
        <v/>
      </c>
      <c r="J94" s="104">
        <f t="shared" si="7"/>
        <v>-3</v>
      </c>
      <c r="K94" s="103">
        <f t="shared" si="8"/>
        <v>-30</v>
      </c>
      <c r="L94" s="103"/>
      <c r="M94" s="105">
        <f t="shared" si="9"/>
        <v>0</v>
      </c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</row>
    <row r="95" spans="1:38" s="88" customFormat="1">
      <c r="A95" s="124"/>
      <c r="B95" s="123"/>
      <c r="C95" s="123"/>
      <c r="D95" s="123"/>
      <c r="E95" s="123"/>
      <c r="F95" s="123"/>
      <c r="H95" s="103">
        <v>90</v>
      </c>
      <c r="I95" s="104" t="str">
        <f t="shared" si="6"/>
        <v/>
      </c>
      <c r="J95" s="104">
        <f t="shared" si="7"/>
        <v>-3</v>
      </c>
      <c r="K95" s="103">
        <f t="shared" si="8"/>
        <v>-30</v>
      </c>
      <c r="L95" s="103"/>
      <c r="M95" s="105">
        <f t="shared" si="9"/>
        <v>0</v>
      </c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</row>
    <row r="96" spans="1:38" s="88" customFormat="1">
      <c r="A96" s="124"/>
      <c r="B96" s="123"/>
      <c r="C96" s="123"/>
      <c r="D96" s="123"/>
      <c r="E96" s="123"/>
      <c r="F96" s="123"/>
      <c r="H96" s="103">
        <v>91</v>
      </c>
      <c r="I96" s="104" t="str">
        <f t="shared" si="6"/>
        <v/>
      </c>
      <c r="J96" s="104">
        <f t="shared" si="7"/>
        <v>-3</v>
      </c>
      <c r="K96" s="103">
        <f t="shared" si="8"/>
        <v>-30</v>
      </c>
      <c r="L96" s="103"/>
      <c r="M96" s="105">
        <f t="shared" si="9"/>
        <v>0</v>
      </c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</row>
    <row r="97" spans="1:38" s="88" customFormat="1">
      <c r="A97" s="124"/>
      <c r="B97" s="123"/>
      <c r="C97" s="123"/>
      <c r="D97" s="123"/>
      <c r="E97" s="123"/>
      <c r="F97" s="123"/>
      <c r="H97" s="103">
        <v>92</v>
      </c>
      <c r="I97" s="104" t="str">
        <f t="shared" si="6"/>
        <v/>
      </c>
      <c r="J97" s="104">
        <f t="shared" si="7"/>
        <v>-3</v>
      </c>
      <c r="K97" s="103">
        <f t="shared" si="8"/>
        <v>-30</v>
      </c>
      <c r="L97" s="103"/>
      <c r="M97" s="105">
        <f t="shared" si="9"/>
        <v>0</v>
      </c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</row>
    <row r="98" spans="1:38" s="88" customFormat="1">
      <c r="A98" s="124"/>
      <c r="B98" s="123"/>
      <c r="C98" s="123"/>
      <c r="D98" s="123"/>
      <c r="E98" s="123"/>
      <c r="F98" s="123"/>
      <c r="H98" s="103">
        <v>93</v>
      </c>
      <c r="I98" s="104" t="str">
        <f t="shared" si="6"/>
        <v/>
      </c>
      <c r="J98" s="104">
        <f t="shared" si="7"/>
        <v>-3</v>
      </c>
      <c r="K98" s="103">
        <f t="shared" si="8"/>
        <v>-30</v>
      </c>
      <c r="L98" s="103"/>
      <c r="M98" s="105">
        <f t="shared" si="9"/>
        <v>0</v>
      </c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</row>
    <row r="99" spans="1:38" s="88" customFormat="1">
      <c r="A99" s="124"/>
      <c r="B99" s="123"/>
      <c r="C99" s="123"/>
      <c r="D99" s="123"/>
      <c r="E99" s="123"/>
      <c r="F99" s="123"/>
      <c r="H99" s="103">
        <v>94</v>
      </c>
      <c r="I99" s="104" t="str">
        <f t="shared" si="6"/>
        <v/>
      </c>
      <c r="J99" s="104">
        <f t="shared" si="7"/>
        <v>-3</v>
      </c>
      <c r="K99" s="103">
        <f t="shared" si="8"/>
        <v>-30</v>
      </c>
      <c r="L99" s="103"/>
      <c r="M99" s="105">
        <f t="shared" si="9"/>
        <v>0</v>
      </c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</row>
    <row r="100" spans="1:38" s="88" customFormat="1">
      <c r="A100" s="124"/>
      <c r="B100" s="123"/>
      <c r="C100" s="123"/>
      <c r="D100" s="123"/>
      <c r="E100" s="123"/>
      <c r="F100" s="123"/>
      <c r="H100" s="103">
        <v>95</v>
      </c>
      <c r="I100" s="104" t="str">
        <f t="shared" si="6"/>
        <v/>
      </c>
      <c r="J100" s="104">
        <f t="shared" si="7"/>
        <v>-3</v>
      </c>
      <c r="K100" s="103">
        <f t="shared" si="8"/>
        <v>-30</v>
      </c>
      <c r="L100" s="103"/>
      <c r="M100" s="105">
        <f t="shared" si="9"/>
        <v>0</v>
      </c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</row>
    <row r="101" spans="1:38" s="88" customFormat="1">
      <c r="A101" s="124"/>
      <c r="B101" s="123"/>
      <c r="C101" s="123"/>
      <c r="D101" s="123"/>
      <c r="E101" s="123"/>
      <c r="F101" s="123"/>
      <c r="H101" s="103">
        <v>96</v>
      </c>
      <c r="I101" s="104" t="str">
        <f t="shared" si="6"/>
        <v/>
      </c>
      <c r="J101" s="104">
        <f t="shared" si="7"/>
        <v>-3</v>
      </c>
      <c r="K101" s="103">
        <f t="shared" si="8"/>
        <v>-30</v>
      </c>
      <c r="L101" s="103"/>
      <c r="M101" s="105">
        <f t="shared" si="9"/>
        <v>0</v>
      </c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</row>
    <row r="102" spans="1:38" s="88" customFormat="1">
      <c r="A102" s="124"/>
      <c r="B102" s="123"/>
      <c r="C102" s="123"/>
      <c r="D102" s="123"/>
      <c r="E102" s="123"/>
      <c r="F102" s="123"/>
      <c r="H102" s="103">
        <v>97</v>
      </c>
      <c r="I102" s="104" t="str">
        <f t="shared" si="6"/>
        <v/>
      </c>
      <c r="J102" s="104">
        <f t="shared" si="7"/>
        <v>-3</v>
      </c>
      <c r="K102" s="103">
        <f t="shared" si="8"/>
        <v>-30</v>
      </c>
      <c r="L102" s="103"/>
      <c r="M102" s="105">
        <f t="shared" si="9"/>
        <v>0</v>
      </c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</row>
    <row r="103" spans="1:38" s="88" customFormat="1">
      <c r="A103" s="124"/>
      <c r="B103" s="123"/>
      <c r="C103" s="123"/>
      <c r="D103" s="123"/>
      <c r="E103" s="123"/>
      <c r="F103" s="123"/>
      <c r="H103" s="103">
        <v>98</v>
      </c>
      <c r="I103" s="104" t="str">
        <f t="shared" si="6"/>
        <v/>
      </c>
      <c r="J103" s="104">
        <f t="shared" si="7"/>
        <v>-3</v>
      </c>
      <c r="K103" s="103">
        <f t="shared" si="8"/>
        <v>-30</v>
      </c>
      <c r="L103" s="103"/>
      <c r="M103" s="105">
        <f t="shared" si="9"/>
        <v>0</v>
      </c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</row>
    <row r="104" spans="1:38" s="88" customFormat="1">
      <c r="A104" s="124"/>
      <c r="B104" s="123"/>
      <c r="C104" s="123"/>
      <c r="D104" s="123"/>
      <c r="E104" s="123"/>
      <c r="F104" s="123"/>
      <c r="H104" s="103">
        <v>99</v>
      </c>
      <c r="I104" s="104" t="str">
        <f t="shared" si="6"/>
        <v/>
      </c>
      <c r="J104" s="104">
        <f t="shared" si="7"/>
        <v>-3</v>
      </c>
      <c r="K104" s="103">
        <f t="shared" si="8"/>
        <v>-30</v>
      </c>
      <c r="L104" s="103"/>
      <c r="M104" s="105">
        <f t="shared" si="9"/>
        <v>0</v>
      </c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</row>
    <row r="105" spans="1:38" s="88" customFormat="1">
      <c r="A105" s="124"/>
      <c r="B105" s="123"/>
      <c r="C105" s="123"/>
      <c r="D105" s="123"/>
      <c r="E105" s="123"/>
      <c r="F105" s="123"/>
      <c r="H105" s="103">
        <v>100</v>
      </c>
      <c r="I105" s="104" t="str">
        <f t="shared" si="6"/>
        <v/>
      </c>
      <c r="J105" s="104">
        <f t="shared" si="7"/>
        <v>-3</v>
      </c>
      <c r="K105" s="103">
        <f t="shared" si="8"/>
        <v>-30</v>
      </c>
      <c r="L105" s="103"/>
      <c r="M105" s="105">
        <f t="shared" si="9"/>
        <v>0</v>
      </c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</row>
    <row r="106" spans="1:38" s="88" customFormat="1">
      <c r="A106" s="124"/>
      <c r="B106" s="123"/>
      <c r="C106" s="123"/>
      <c r="D106" s="123"/>
      <c r="E106" s="123"/>
      <c r="F106" s="123"/>
      <c r="H106" s="103">
        <v>101</v>
      </c>
      <c r="I106" s="104" t="str">
        <f t="shared" si="6"/>
        <v/>
      </c>
      <c r="J106" s="104">
        <f t="shared" si="7"/>
        <v>-3</v>
      </c>
      <c r="K106" s="103">
        <f t="shared" si="8"/>
        <v>-30</v>
      </c>
      <c r="L106" s="103"/>
      <c r="M106" s="105">
        <f t="shared" si="9"/>
        <v>0</v>
      </c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</row>
    <row r="107" spans="1:38" s="88" customFormat="1">
      <c r="A107" s="124"/>
      <c r="B107" s="123"/>
      <c r="C107" s="123"/>
      <c r="D107" s="123"/>
      <c r="E107" s="123"/>
      <c r="F107" s="123"/>
      <c r="H107" s="103">
        <v>102</v>
      </c>
      <c r="I107" s="104" t="str">
        <f t="shared" si="6"/>
        <v/>
      </c>
      <c r="J107" s="104">
        <f t="shared" si="7"/>
        <v>-3</v>
      </c>
      <c r="K107" s="103">
        <f t="shared" si="8"/>
        <v>-30</v>
      </c>
      <c r="L107" s="103"/>
      <c r="M107" s="105">
        <f t="shared" si="9"/>
        <v>0</v>
      </c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</row>
    <row r="108" spans="1:38" s="88" customFormat="1">
      <c r="A108" s="124"/>
      <c r="B108" s="123"/>
      <c r="C108" s="123"/>
      <c r="D108" s="123"/>
      <c r="E108" s="123"/>
      <c r="F108" s="123"/>
      <c r="H108" s="103">
        <v>103</v>
      </c>
      <c r="I108" s="104" t="str">
        <f t="shared" si="6"/>
        <v/>
      </c>
      <c r="J108" s="104">
        <f t="shared" si="7"/>
        <v>-3</v>
      </c>
      <c r="K108" s="103">
        <f t="shared" si="8"/>
        <v>-30</v>
      </c>
      <c r="L108" s="103"/>
      <c r="M108" s="105">
        <f t="shared" si="9"/>
        <v>0</v>
      </c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</row>
    <row r="109" spans="1:38" s="88" customFormat="1">
      <c r="A109" s="124"/>
      <c r="B109" s="123"/>
      <c r="C109" s="123"/>
      <c r="D109" s="123"/>
      <c r="E109" s="123"/>
      <c r="F109" s="123"/>
      <c r="H109" s="103">
        <v>104</v>
      </c>
      <c r="I109" s="104" t="str">
        <f t="shared" si="6"/>
        <v/>
      </c>
      <c r="J109" s="104">
        <f t="shared" si="7"/>
        <v>-3</v>
      </c>
      <c r="K109" s="103">
        <f t="shared" si="8"/>
        <v>-30</v>
      </c>
      <c r="L109" s="103"/>
      <c r="M109" s="105">
        <f t="shared" si="9"/>
        <v>0</v>
      </c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</row>
    <row r="110" spans="1:38" s="88" customFormat="1">
      <c r="A110" s="124"/>
      <c r="B110" s="123"/>
      <c r="C110" s="123"/>
      <c r="D110" s="123"/>
      <c r="E110" s="123"/>
      <c r="F110" s="123"/>
      <c r="H110" s="103">
        <v>105</v>
      </c>
      <c r="I110" s="104" t="str">
        <f t="shared" si="6"/>
        <v/>
      </c>
      <c r="J110" s="104">
        <f t="shared" si="7"/>
        <v>-3</v>
      </c>
      <c r="K110" s="103">
        <f t="shared" si="8"/>
        <v>-30</v>
      </c>
      <c r="L110" s="103"/>
      <c r="M110" s="105">
        <f t="shared" si="9"/>
        <v>0</v>
      </c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</row>
    <row r="111" spans="1:38" s="88" customFormat="1">
      <c r="A111" s="124"/>
      <c r="B111" s="123"/>
      <c r="C111" s="123"/>
      <c r="D111" s="123"/>
      <c r="E111" s="123"/>
      <c r="F111" s="123"/>
      <c r="H111" s="103">
        <v>106</v>
      </c>
      <c r="I111" s="104" t="str">
        <f t="shared" si="6"/>
        <v/>
      </c>
      <c r="J111" s="104">
        <f t="shared" si="7"/>
        <v>-3</v>
      </c>
      <c r="K111" s="103">
        <f t="shared" si="8"/>
        <v>-30</v>
      </c>
      <c r="L111" s="103"/>
      <c r="M111" s="105">
        <f t="shared" si="9"/>
        <v>0</v>
      </c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</row>
    <row r="112" spans="1:38" s="88" customFormat="1">
      <c r="A112" s="124"/>
      <c r="B112" s="123"/>
      <c r="C112" s="123"/>
      <c r="D112" s="123"/>
      <c r="E112" s="123"/>
      <c r="F112" s="123"/>
      <c r="H112" s="103">
        <v>107</v>
      </c>
      <c r="I112" s="104" t="str">
        <f t="shared" si="6"/>
        <v/>
      </c>
      <c r="J112" s="104">
        <f t="shared" si="7"/>
        <v>-3</v>
      </c>
      <c r="K112" s="103">
        <f t="shared" si="8"/>
        <v>-30</v>
      </c>
      <c r="L112" s="103"/>
      <c r="M112" s="105">
        <f t="shared" si="9"/>
        <v>0</v>
      </c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</row>
    <row r="113" spans="1:38" s="88" customFormat="1">
      <c r="A113" s="124"/>
      <c r="B113" s="123"/>
      <c r="C113" s="123"/>
      <c r="D113" s="123"/>
      <c r="E113" s="123"/>
      <c r="F113" s="123"/>
      <c r="H113" s="103">
        <v>108</v>
      </c>
      <c r="I113" s="104" t="str">
        <f t="shared" si="6"/>
        <v/>
      </c>
      <c r="J113" s="104">
        <f t="shared" si="7"/>
        <v>-3</v>
      </c>
      <c r="K113" s="103">
        <f t="shared" si="8"/>
        <v>-30</v>
      </c>
      <c r="L113" s="103"/>
      <c r="M113" s="105">
        <f t="shared" si="9"/>
        <v>0</v>
      </c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</row>
    <row r="114" spans="1:38" s="88" customFormat="1">
      <c r="A114" s="124"/>
      <c r="B114" s="123"/>
      <c r="C114" s="123"/>
      <c r="D114" s="123"/>
      <c r="E114" s="123"/>
      <c r="F114" s="123"/>
      <c r="H114" s="103">
        <v>109</v>
      </c>
      <c r="I114" s="104" t="str">
        <f t="shared" si="6"/>
        <v/>
      </c>
      <c r="J114" s="104">
        <f t="shared" si="7"/>
        <v>-3</v>
      </c>
      <c r="K114" s="103">
        <f t="shared" si="8"/>
        <v>-30</v>
      </c>
      <c r="L114" s="103"/>
      <c r="M114" s="105">
        <f t="shared" si="9"/>
        <v>0</v>
      </c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</row>
    <row r="115" spans="1:38" s="88" customFormat="1">
      <c r="A115" s="124"/>
      <c r="B115" s="123"/>
      <c r="C115" s="123"/>
      <c r="D115" s="123"/>
      <c r="E115" s="123"/>
      <c r="F115" s="123"/>
      <c r="H115" s="103">
        <v>110</v>
      </c>
      <c r="I115" s="104" t="str">
        <f t="shared" si="6"/>
        <v/>
      </c>
      <c r="J115" s="104">
        <f t="shared" si="7"/>
        <v>-3</v>
      </c>
      <c r="K115" s="103">
        <f t="shared" si="8"/>
        <v>-30</v>
      </c>
      <c r="L115" s="103"/>
      <c r="M115" s="105">
        <f t="shared" si="9"/>
        <v>0</v>
      </c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</row>
    <row r="116" spans="1:38" s="88" customFormat="1">
      <c r="A116" s="124"/>
      <c r="B116" s="123"/>
      <c r="C116" s="123"/>
      <c r="D116" s="123"/>
      <c r="E116" s="123"/>
      <c r="F116" s="123"/>
      <c r="H116" s="103">
        <v>111</v>
      </c>
      <c r="I116" s="104" t="str">
        <f t="shared" si="6"/>
        <v/>
      </c>
      <c r="J116" s="104">
        <f t="shared" si="7"/>
        <v>-3</v>
      </c>
      <c r="K116" s="103">
        <f t="shared" si="8"/>
        <v>-30</v>
      </c>
      <c r="L116" s="103"/>
      <c r="M116" s="105">
        <f t="shared" si="9"/>
        <v>0</v>
      </c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</row>
    <row r="117" spans="1:38" s="88" customFormat="1">
      <c r="A117" s="124"/>
      <c r="B117" s="123"/>
      <c r="C117" s="123"/>
      <c r="D117" s="123"/>
      <c r="E117" s="123"/>
      <c r="F117" s="123"/>
      <c r="H117" s="103">
        <v>112</v>
      </c>
      <c r="I117" s="104" t="str">
        <f t="shared" si="6"/>
        <v/>
      </c>
      <c r="J117" s="104">
        <f t="shared" si="7"/>
        <v>-3</v>
      </c>
      <c r="K117" s="103">
        <f t="shared" si="8"/>
        <v>-30</v>
      </c>
      <c r="L117" s="103"/>
      <c r="M117" s="105">
        <f t="shared" si="9"/>
        <v>0</v>
      </c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</row>
    <row r="118" spans="1:38" s="88" customFormat="1">
      <c r="A118" s="124"/>
      <c r="B118" s="123"/>
      <c r="C118" s="123"/>
      <c r="D118" s="123"/>
      <c r="E118" s="123"/>
      <c r="F118" s="123"/>
      <c r="H118" s="103">
        <v>113</v>
      </c>
      <c r="I118" s="104" t="str">
        <f t="shared" si="6"/>
        <v/>
      </c>
      <c r="J118" s="104">
        <f t="shared" si="7"/>
        <v>-3</v>
      </c>
      <c r="K118" s="103">
        <f t="shared" si="8"/>
        <v>-30</v>
      </c>
      <c r="L118" s="103"/>
      <c r="M118" s="105">
        <f t="shared" si="9"/>
        <v>0</v>
      </c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</row>
    <row r="119" spans="1:38" s="88" customFormat="1">
      <c r="A119" s="124"/>
      <c r="B119" s="123"/>
      <c r="C119" s="123"/>
      <c r="D119" s="123"/>
      <c r="E119" s="123"/>
      <c r="F119" s="123"/>
      <c r="H119" s="103">
        <v>114</v>
      </c>
      <c r="I119" s="104" t="str">
        <f t="shared" si="6"/>
        <v/>
      </c>
      <c r="J119" s="104">
        <f t="shared" si="7"/>
        <v>-3</v>
      </c>
      <c r="K119" s="103">
        <f t="shared" si="8"/>
        <v>-30</v>
      </c>
      <c r="L119" s="103"/>
      <c r="M119" s="105">
        <f t="shared" si="9"/>
        <v>0</v>
      </c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</row>
    <row r="120" spans="1:38" s="88" customFormat="1">
      <c r="A120" s="124"/>
      <c r="B120" s="123"/>
      <c r="C120" s="123"/>
      <c r="D120" s="123"/>
      <c r="E120" s="123"/>
      <c r="F120" s="123"/>
      <c r="H120" s="103">
        <v>115</v>
      </c>
      <c r="I120" s="104" t="str">
        <f t="shared" si="6"/>
        <v/>
      </c>
      <c r="J120" s="104">
        <f t="shared" si="7"/>
        <v>-3</v>
      </c>
      <c r="K120" s="103">
        <f t="shared" si="8"/>
        <v>-30</v>
      </c>
      <c r="L120" s="103"/>
      <c r="M120" s="105">
        <f t="shared" si="9"/>
        <v>0</v>
      </c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</row>
    <row r="121" spans="1:38" s="88" customFormat="1">
      <c r="A121" s="124"/>
      <c r="B121" s="123"/>
      <c r="C121" s="123"/>
      <c r="D121" s="123"/>
      <c r="E121" s="123"/>
      <c r="F121" s="123"/>
      <c r="H121" s="103">
        <v>116</v>
      </c>
      <c r="I121" s="104" t="str">
        <f t="shared" si="6"/>
        <v/>
      </c>
      <c r="J121" s="104">
        <f t="shared" si="7"/>
        <v>-3</v>
      </c>
      <c r="K121" s="103">
        <f t="shared" si="8"/>
        <v>-30</v>
      </c>
      <c r="L121" s="103"/>
      <c r="M121" s="105">
        <f t="shared" si="9"/>
        <v>0</v>
      </c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</row>
    <row r="122" spans="1:38" s="88" customFormat="1">
      <c r="A122" s="124"/>
      <c r="B122" s="123"/>
      <c r="C122" s="123"/>
      <c r="D122" s="123"/>
      <c r="E122" s="123"/>
      <c r="F122" s="123"/>
      <c r="H122" s="103">
        <v>117</v>
      </c>
      <c r="I122" s="104" t="str">
        <f t="shared" si="6"/>
        <v/>
      </c>
      <c r="J122" s="104">
        <f t="shared" si="7"/>
        <v>-3</v>
      </c>
      <c r="K122" s="103">
        <f t="shared" si="8"/>
        <v>-30</v>
      </c>
      <c r="L122" s="103"/>
      <c r="M122" s="105">
        <f t="shared" si="9"/>
        <v>0</v>
      </c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</row>
    <row r="123" spans="1:38" s="88" customFormat="1">
      <c r="A123" s="124"/>
      <c r="B123" s="123"/>
      <c r="C123" s="123"/>
      <c r="D123" s="123"/>
      <c r="E123" s="123"/>
      <c r="F123" s="123"/>
      <c r="H123" s="103">
        <v>118</v>
      </c>
      <c r="I123" s="104" t="str">
        <f t="shared" si="6"/>
        <v/>
      </c>
      <c r="J123" s="104">
        <f t="shared" si="7"/>
        <v>-3</v>
      </c>
      <c r="K123" s="103">
        <f t="shared" si="8"/>
        <v>-30</v>
      </c>
      <c r="L123" s="103"/>
      <c r="M123" s="105">
        <f t="shared" si="9"/>
        <v>0</v>
      </c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</row>
    <row r="124" spans="1:38" s="88" customFormat="1">
      <c r="A124" s="124"/>
      <c r="B124" s="123"/>
      <c r="C124" s="123"/>
      <c r="D124" s="123"/>
      <c r="E124" s="123"/>
      <c r="F124" s="123"/>
      <c r="H124" s="103">
        <v>119</v>
      </c>
      <c r="I124" s="104" t="str">
        <f t="shared" si="6"/>
        <v/>
      </c>
      <c r="J124" s="104">
        <f t="shared" si="7"/>
        <v>-3</v>
      </c>
      <c r="K124" s="103">
        <f t="shared" si="8"/>
        <v>-30</v>
      </c>
      <c r="L124" s="103"/>
      <c r="M124" s="105">
        <f t="shared" si="9"/>
        <v>0</v>
      </c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</row>
    <row r="125" spans="1:38" s="88" customFormat="1">
      <c r="A125" s="124"/>
      <c r="B125" s="123"/>
      <c r="C125" s="123"/>
      <c r="D125" s="123"/>
      <c r="E125" s="123"/>
      <c r="F125" s="123"/>
      <c r="H125" s="103">
        <v>120</v>
      </c>
      <c r="I125" s="104" t="str">
        <f t="shared" si="6"/>
        <v/>
      </c>
      <c r="J125" s="104">
        <f t="shared" si="7"/>
        <v>-3</v>
      </c>
      <c r="K125" s="103">
        <f t="shared" si="8"/>
        <v>-30</v>
      </c>
      <c r="L125" s="103"/>
      <c r="M125" s="105">
        <f t="shared" si="9"/>
        <v>0</v>
      </c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</row>
    <row r="126" spans="1:38" s="88" customFormat="1">
      <c r="A126" s="124"/>
      <c r="B126" s="123"/>
      <c r="C126" s="123"/>
      <c r="D126" s="123"/>
      <c r="E126" s="123"/>
      <c r="F126" s="123"/>
      <c r="H126" s="103">
        <v>121</v>
      </c>
      <c r="I126" s="104" t="str">
        <f t="shared" si="6"/>
        <v/>
      </c>
      <c r="J126" s="104">
        <f t="shared" si="7"/>
        <v>-3</v>
      </c>
      <c r="K126" s="103">
        <f t="shared" si="8"/>
        <v>-30</v>
      </c>
      <c r="L126" s="103"/>
      <c r="M126" s="105">
        <f t="shared" si="9"/>
        <v>0</v>
      </c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</row>
    <row r="127" spans="1:38" s="88" customFormat="1">
      <c r="A127" s="124"/>
      <c r="B127" s="123"/>
      <c r="C127" s="123"/>
      <c r="D127" s="123"/>
      <c r="E127" s="123"/>
      <c r="F127" s="123"/>
      <c r="H127" s="103">
        <v>122</v>
      </c>
      <c r="I127" s="104" t="str">
        <f t="shared" si="6"/>
        <v/>
      </c>
      <c r="J127" s="104">
        <f t="shared" si="7"/>
        <v>-3</v>
      </c>
      <c r="K127" s="103">
        <f t="shared" si="8"/>
        <v>-30</v>
      </c>
      <c r="L127" s="103"/>
      <c r="M127" s="105">
        <f t="shared" si="9"/>
        <v>0</v>
      </c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</row>
    <row r="128" spans="1:38" s="88" customFormat="1">
      <c r="A128" s="124"/>
      <c r="B128" s="123"/>
      <c r="C128" s="123"/>
      <c r="D128" s="123"/>
      <c r="E128" s="123"/>
      <c r="F128" s="123"/>
      <c r="H128" s="103">
        <v>123</v>
      </c>
      <c r="I128" s="104" t="str">
        <f t="shared" si="6"/>
        <v/>
      </c>
      <c r="J128" s="104">
        <f t="shared" si="7"/>
        <v>-3</v>
      </c>
      <c r="K128" s="103">
        <f t="shared" si="8"/>
        <v>-30</v>
      </c>
      <c r="L128" s="103"/>
      <c r="M128" s="105">
        <f t="shared" si="9"/>
        <v>0</v>
      </c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</row>
    <row r="129" spans="1:38" s="88" customFormat="1">
      <c r="A129" s="124"/>
      <c r="B129" s="123"/>
      <c r="C129" s="123"/>
      <c r="D129" s="123"/>
      <c r="E129" s="123"/>
      <c r="F129" s="123"/>
      <c r="H129" s="103">
        <v>124</v>
      </c>
      <c r="I129" s="104" t="str">
        <f t="shared" si="6"/>
        <v/>
      </c>
      <c r="J129" s="104">
        <f t="shared" si="7"/>
        <v>-3</v>
      </c>
      <c r="K129" s="103">
        <f t="shared" si="8"/>
        <v>-30</v>
      </c>
      <c r="L129" s="103"/>
      <c r="M129" s="105">
        <f t="shared" si="9"/>
        <v>0</v>
      </c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</row>
    <row r="130" spans="1:38" s="88" customFormat="1">
      <c r="A130" s="124"/>
      <c r="B130" s="123"/>
      <c r="C130" s="123"/>
      <c r="D130" s="123"/>
      <c r="E130" s="123"/>
      <c r="F130" s="123"/>
      <c r="H130" s="103">
        <v>125</v>
      </c>
      <c r="I130" s="104" t="str">
        <f t="shared" si="6"/>
        <v/>
      </c>
      <c r="J130" s="104">
        <f t="shared" si="7"/>
        <v>-3</v>
      </c>
      <c r="K130" s="103">
        <f t="shared" si="8"/>
        <v>-30</v>
      </c>
      <c r="L130" s="103"/>
      <c r="M130" s="105">
        <f t="shared" si="9"/>
        <v>0</v>
      </c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</row>
    <row r="131" spans="1:38" s="88" customFormat="1">
      <c r="A131" s="124"/>
      <c r="B131" s="123"/>
      <c r="C131" s="123"/>
      <c r="D131" s="123"/>
      <c r="E131" s="123"/>
      <c r="F131" s="123"/>
      <c r="H131" s="103">
        <v>126</v>
      </c>
      <c r="I131" s="104" t="str">
        <f t="shared" si="6"/>
        <v/>
      </c>
      <c r="J131" s="104">
        <f t="shared" si="7"/>
        <v>-3</v>
      </c>
      <c r="K131" s="103">
        <f t="shared" si="8"/>
        <v>-30</v>
      </c>
      <c r="L131" s="103"/>
      <c r="M131" s="105">
        <f t="shared" si="9"/>
        <v>0</v>
      </c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</row>
    <row r="132" spans="1:38" s="88" customFormat="1">
      <c r="A132" s="124"/>
      <c r="B132" s="123"/>
      <c r="C132" s="123"/>
      <c r="D132" s="123"/>
      <c r="E132" s="123"/>
      <c r="F132" s="123"/>
      <c r="H132" s="103">
        <v>127</v>
      </c>
      <c r="I132" s="104" t="str">
        <f t="shared" si="6"/>
        <v/>
      </c>
      <c r="J132" s="104">
        <f t="shared" si="7"/>
        <v>-3</v>
      </c>
      <c r="K132" s="103">
        <f t="shared" si="8"/>
        <v>-30</v>
      </c>
      <c r="L132" s="103"/>
      <c r="M132" s="105">
        <f t="shared" si="9"/>
        <v>0</v>
      </c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</row>
    <row r="133" spans="1:38" s="88" customFormat="1">
      <c r="A133" s="124"/>
      <c r="B133" s="123"/>
      <c r="C133" s="123"/>
      <c r="D133" s="123"/>
      <c r="E133" s="123"/>
      <c r="F133" s="123"/>
      <c r="H133" s="103">
        <v>128</v>
      </c>
      <c r="I133" s="104" t="str">
        <f t="shared" si="6"/>
        <v/>
      </c>
      <c r="J133" s="104">
        <f t="shared" si="7"/>
        <v>-3</v>
      </c>
      <c r="K133" s="103">
        <f t="shared" si="8"/>
        <v>-30</v>
      </c>
      <c r="L133" s="103"/>
      <c r="M133" s="105">
        <f t="shared" si="9"/>
        <v>0</v>
      </c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</row>
    <row r="134" spans="1:38" s="88" customFormat="1">
      <c r="A134" s="124"/>
      <c r="B134" s="123"/>
      <c r="C134" s="123"/>
      <c r="D134" s="123"/>
      <c r="E134" s="123"/>
      <c r="F134" s="123"/>
      <c r="H134" s="103">
        <v>129</v>
      </c>
      <c r="I134" s="104" t="str">
        <f t="shared" ref="I134:I197" si="10">IF(H134&lt;$H$2+1,($I$2-($I$2-1)*(LOG(H134)/LOG($H$2))),"")</f>
        <v/>
      </c>
      <c r="J134" s="104">
        <f t="shared" ref="J134:J197" si="11">INT(LOG($H$2,2))-ROUNDUP(LOG(H134,2),0)+IF(OR($H$2=1,$H$2=2,$H$2=4,$H$2=8,$H$2=16,$H$2=32,$H$2=64,$H$2=128,$H$2=256),0,1)</f>
        <v>-4</v>
      </c>
      <c r="K134" s="103">
        <f t="shared" ref="K134:K197" si="12">J134*$J$2</f>
        <v>-40</v>
      </c>
      <c r="L134" s="103"/>
      <c r="M134" s="105">
        <f t="shared" ref="M134:M197" si="13">IF(I134&lt;&gt;"",K134+I134+L134,0)</f>
        <v>0</v>
      </c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</row>
    <row r="135" spans="1:38" s="88" customFormat="1">
      <c r="A135" s="124"/>
      <c r="B135" s="123"/>
      <c r="C135" s="123"/>
      <c r="D135" s="123"/>
      <c r="E135" s="123"/>
      <c r="F135" s="123"/>
      <c r="H135" s="103">
        <v>130</v>
      </c>
      <c r="I135" s="104" t="str">
        <f t="shared" si="10"/>
        <v/>
      </c>
      <c r="J135" s="104">
        <f t="shared" si="11"/>
        <v>-4</v>
      </c>
      <c r="K135" s="103">
        <f t="shared" si="12"/>
        <v>-40</v>
      </c>
      <c r="L135" s="103"/>
      <c r="M135" s="105">
        <f t="shared" si="13"/>
        <v>0</v>
      </c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</row>
    <row r="136" spans="1:38" s="88" customFormat="1">
      <c r="A136" s="124"/>
      <c r="B136" s="123"/>
      <c r="C136" s="123"/>
      <c r="D136" s="123"/>
      <c r="E136" s="123"/>
      <c r="F136" s="123"/>
      <c r="H136" s="103">
        <v>131</v>
      </c>
      <c r="I136" s="104" t="str">
        <f t="shared" si="10"/>
        <v/>
      </c>
      <c r="J136" s="104">
        <f t="shared" si="11"/>
        <v>-4</v>
      </c>
      <c r="K136" s="103">
        <f t="shared" si="12"/>
        <v>-40</v>
      </c>
      <c r="L136" s="103"/>
      <c r="M136" s="105">
        <f t="shared" si="13"/>
        <v>0</v>
      </c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</row>
    <row r="137" spans="1:38" s="88" customFormat="1">
      <c r="A137" s="124"/>
      <c r="B137" s="123"/>
      <c r="C137" s="123"/>
      <c r="D137" s="123"/>
      <c r="E137" s="123"/>
      <c r="F137" s="123"/>
      <c r="H137" s="103">
        <v>132</v>
      </c>
      <c r="I137" s="104" t="str">
        <f t="shared" si="10"/>
        <v/>
      </c>
      <c r="J137" s="104">
        <f t="shared" si="11"/>
        <v>-4</v>
      </c>
      <c r="K137" s="103">
        <f t="shared" si="12"/>
        <v>-40</v>
      </c>
      <c r="L137" s="103"/>
      <c r="M137" s="105">
        <f t="shared" si="13"/>
        <v>0</v>
      </c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</row>
    <row r="138" spans="1:38" s="88" customFormat="1">
      <c r="A138" s="124"/>
      <c r="B138" s="123"/>
      <c r="C138" s="123"/>
      <c r="D138" s="123"/>
      <c r="E138" s="123"/>
      <c r="F138" s="123"/>
      <c r="H138" s="103">
        <v>133</v>
      </c>
      <c r="I138" s="104" t="str">
        <f t="shared" si="10"/>
        <v/>
      </c>
      <c r="J138" s="104">
        <f t="shared" si="11"/>
        <v>-4</v>
      </c>
      <c r="K138" s="103">
        <f t="shared" si="12"/>
        <v>-40</v>
      </c>
      <c r="L138" s="103"/>
      <c r="M138" s="105">
        <f t="shared" si="13"/>
        <v>0</v>
      </c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</row>
    <row r="139" spans="1:38" s="88" customFormat="1">
      <c r="A139" s="124"/>
      <c r="B139" s="123"/>
      <c r="C139" s="123"/>
      <c r="D139" s="123"/>
      <c r="E139" s="123"/>
      <c r="F139" s="123"/>
      <c r="H139" s="103">
        <v>134</v>
      </c>
      <c r="I139" s="104" t="str">
        <f t="shared" si="10"/>
        <v/>
      </c>
      <c r="J139" s="104">
        <f t="shared" si="11"/>
        <v>-4</v>
      </c>
      <c r="K139" s="103">
        <f t="shared" si="12"/>
        <v>-40</v>
      </c>
      <c r="L139" s="103"/>
      <c r="M139" s="105">
        <f t="shared" si="13"/>
        <v>0</v>
      </c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</row>
    <row r="140" spans="1:38" s="88" customFormat="1">
      <c r="A140" s="124"/>
      <c r="B140" s="123"/>
      <c r="C140" s="123"/>
      <c r="D140" s="123"/>
      <c r="E140" s="123"/>
      <c r="F140" s="123"/>
      <c r="H140" s="103">
        <v>135</v>
      </c>
      <c r="I140" s="104" t="str">
        <f t="shared" si="10"/>
        <v/>
      </c>
      <c r="J140" s="104">
        <f t="shared" si="11"/>
        <v>-4</v>
      </c>
      <c r="K140" s="103">
        <f t="shared" si="12"/>
        <v>-40</v>
      </c>
      <c r="L140" s="103"/>
      <c r="M140" s="105">
        <f t="shared" si="13"/>
        <v>0</v>
      </c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</row>
    <row r="141" spans="1:38" s="88" customFormat="1">
      <c r="A141" s="124"/>
      <c r="B141" s="123"/>
      <c r="C141" s="123"/>
      <c r="D141" s="123"/>
      <c r="E141" s="123"/>
      <c r="F141" s="123"/>
      <c r="H141" s="103">
        <v>136</v>
      </c>
      <c r="I141" s="104" t="str">
        <f t="shared" si="10"/>
        <v/>
      </c>
      <c r="J141" s="104">
        <f t="shared" si="11"/>
        <v>-4</v>
      </c>
      <c r="K141" s="103">
        <f t="shared" si="12"/>
        <v>-40</v>
      </c>
      <c r="L141" s="103"/>
      <c r="M141" s="105">
        <f t="shared" si="13"/>
        <v>0</v>
      </c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</row>
    <row r="142" spans="1:38" s="88" customFormat="1">
      <c r="A142" s="124"/>
      <c r="B142" s="123"/>
      <c r="C142" s="123"/>
      <c r="D142" s="123"/>
      <c r="E142" s="123"/>
      <c r="F142" s="123"/>
      <c r="H142" s="103">
        <v>137</v>
      </c>
      <c r="I142" s="104" t="str">
        <f t="shared" si="10"/>
        <v/>
      </c>
      <c r="J142" s="104">
        <f t="shared" si="11"/>
        <v>-4</v>
      </c>
      <c r="K142" s="103">
        <f t="shared" si="12"/>
        <v>-40</v>
      </c>
      <c r="L142" s="103"/>
      <c r="M142" s="105">
        <f t="shared" si="13"/>
        <v>0</v>
      </c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</row>
    <row r="143" spans="1:38" s="88" customFormat="1">
      <c r="A143" s="124"/>
      <c r="B143" s="123"/>
      <c r="C143" s="123"/>
      <c r="D143" s="123"/>
      <c r="E143" s="123"/>
      <c r="F143" s="123"/>
      <c r="H143" s="103">
        <v>138</v>
      </c>
      <c r="I143" s="104" t="str">
        <f t="shared" si="10"/>
        <v/>
      </c>
      <c r="J143" s="104">
        <f t="shared" si="11"/>
        <v>-4</v>
      </c>
      <c r="K143" s="103">
        <f t="shared" si="12"/>
        <v>-40</v>
      </c>
      <c r="L143" s="103"/>
      <c r="M143" s="105">
        <f t="shared" si="13"/>
        <v>0</v>
      </c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</row>
    <row r="144" spans="1:38" s="88" customFormat="1">
      <c r="A144" s="124"/>
      <c r="B144" s="123"/>
      <c r="C144" s="123"/>
      <c r="D144" s="123"/>
      <c r="E144" s="123"/>
      <c r="F144" s="123"/>
      <c r="H144" s="103">
        <v>139</v>
      </c>
      <c r="I144" s="104" t="str">
        <f t="shared" si="10"/>
        <v/>
      </c>
      <c r="J144" s="104">
        <f t="shared" si="11"/>
        <v>-4</v>
      </c>
      <c r="K144" s="103">
        <f t="shared" si="12"/>
        <v>-40</v>
      </c>
      <c r="L144" s="103"/>
      <c r="M144" s="105">
        <f t="shared" si="13"/>
        <v>0</v>
      </c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</row>
    <row r="145" spans="1:38" s="88" customFormat="1">
      <c r="A145" s="124"/>
      <c r="B145" s="123"/>
      <c r="C145" s="123"/>
      <c r="D145" s="123"/>
      <c r="E145" s="123"/>
      <c r="F145" s="123"/>
      <c r="H145" s="103">
        <v>140</v>
      </c>
      <c r="I145" s="104" t="str">
        <f t="shared" si="10"/>
        <v/>
      </c>
      <c r="J145" s="104">
        <f t="shared" si="11"/>
        <v>-4</v>
      </c>
      <c r="K145" s="103">
        <f t="shared" si="12"/>
        <v>-40</v>
      </c>
      <c r="L145" s="103"/>
      <c r="M145" s="105">
        <f t="shared" si="13"/>
        <v>0</v>
      </c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</row>
    <row r="146" spans="1:38" s="88" customFormat="1">
      <c r="A146" s="124"/>
      <c r="B146" s="123"/>
      <c r="C146" s="123"/>
      <c r="D146" s="123"/>
      <c r="E146" s="123"/>
      <c r="F146" s="123"/>
      <c r="H146" s="103">
        <v>141</v>
      </c>
      <c r="I146" s="104" t="str">
        <f t="shared" si="10"/>
        <v/>
      </c>
      <c r="J146" s="104">
        <f t="shared" si="11"/>
        <v>-4</v>
      </c>
      <c r="K146" s="103">
        <f t="shared" si="12"/>
        <v>-40</v>
      </c>
      <c r="L146" s="103"/>
      <c r="M146" s="105">
        <f t="shared" si="13"/>
        <v>0</v>
      </c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</row>
    <row r="147" spans="1:38" s="88" customFormat="1">
      <c r="A147" s="124"/>
      <c r="B147" s="123"/>
      <c r="C147" s="123"/>
      <c r="D147" s="123"/>
      <c r="E147" s="123"/>
      <c r="F147" s="123"/>
      <c r="H147" s="103">
        <v>142</v>
      </c>
      <c r="I147" s="104" t="str">
        <f t="shared" si="10"/>
        <v/>
      </c>
      <c r="J147" s="104">
        <f t="shared" si="11"/>
        <v>-4</v>
      </c>
      <c r="K147" s="103">
        <f t="shared" si="12"/>
        <v>-40</v>
      </c>
      <c r="L147" s="103"/>
      <c r="M147" s="105">
        <f t="shared" si="13"/>
        <v>0</v>
      </c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</row>
    <row r="148" spans="1:38" s="88" customFormat="1">
      <c r="A148" s="124"/>
      <c r="B148" s="123"/>
      <c r="C148" s="123"/>
      <c r="D148" s="123"/>
      <c r="E148" s="123"/>
      <c r="F148" s="123"/>
      <c r="H148" s="103">
        <v>143</v>
      </c>
      <c r="I148" s="104" t="str">
        <f t="shared" si="10"/>
        <v/>
      </c>
      <c r="J148" s="104">
        <f t="shared" si="11"/>
        <v>-4</v>
      </c>
      <c r="K148" s="103">
        <f t="shared" si="12"/>
        <v>-40</v>
      </c>
      <c r="L148" s="103"/>
      <c r="M148" s="105">
        <f t="shared" si="13"/>
        <v>0</v>
      </c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</row>
    <row r="149" spans="1:38" s="88" customFormat="1">
      <c r="A149" s="124"/>
      <c r="B149" s="123"/>
      <c r="C149" s="123"/>
      <c r="D149" s="123"/>
      <c r="E149" s="123"/>
      <c r="F149" s="123"/>
      <c r="H149" s="103">
        <v>144</v>
      </c>
      <c r="I149" s="104" t="str">
        <f t="shared" si="10"/>
        <v/>
      </c>
      <c r="J149" s="104">
        <f t="shared" si="11"/>
        <v>-4</v>
      </c>
      <c r="K149" s="103">
        <f t="shared" si="12"/>
        <v>-40</v>
      </c>
      <c r="L149" s="103"/>
      <c r="M149" s="105">
        <f t="shared" si="13"/>
        <v>0</v>
      </c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</row>
    <row r="150" spans="1:38" s="88" customFormat="1">
      <c r="A150" s="124"/>
      <c r="B150" s="123"/>
      <c r="C150" s="123"/>
      <c r="D150" s="123"/>
      <c r="E150" s="123"/>
      <c r="F150" s="123"/>
      <c r="H150" s="103">
        <v>145</v>
      </c>
      <c r="I150" s="104" t="str">
        <f t="shared" si="10"/>
        <v/>
      </c>
      <c r="J150" s="104">
        <f t="shared" si="11"/>
        <v>-4</v>
      </c>
      <c r="K150" s="103">
        <f t="shared" si="12"/>
        <v>-40</v>
      </c>
      <c r="L150" s="103"/>
      <c r="M150" s="105">
        <f t="shared" si="13"/>
        <v>0</v>
      </c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</row>
    <row r="151" spans="1:38" s="88" customFormat="1">
      <c r="A151" s="124"/>
      <c r="B151" s="123"/>
      <c r="C151" s="123"/>
      <c r="D151" s="123"/>
      <c r="E151" s="123"/>
      <c r="F151" s="123"/>
      <c r="H151" s="103">
        <v>146</v>
      </c>
      <c r="I151" s="104" t="str">
        <f t="shared" si="10"/>
        <v/>
      </c>
      <c r="J151" s="104">
        <f t="shared" si="11"/>
        <v>-4</v>
      </c>
      <c r="K151" s="103">
        <f t="shared" si="12"/>
        <v>-40</v>
      </c>
      <c r="L151" s="103"/>
      <c r="M151" s="105">
        <f t="shared" si="13"/>
        <v>0</v>
      </c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</row>
    <row r="152" spans="1:38" s="88" customFormat="1">
      <c r="A152" s="124"/>
      <c r="B152" s="123"/>
      <c r="C152" s="123"/>
      <c r="D152" s="123"/>
      <c r="E152" s="123"/>
      <c r="F152" s="123"/>
      <c r="H152" s="103">
        <v>147</v>
      </c>
      <c r="I152" s="104" t="str">
        <f t="shared" si="10"/>
        <v/>
      </c>
      <c r="J152" s="104">
        <f t="shared" si="11"/>
        <v>-4</v>
      </c>
      <c r="K152" s="103">
        <f t="shared" si="12"/>
        <v>-40</v>
      </c>
      <c r="L152" s="103"/>
      <c r="M152" s="105">
        <f t="shared" si="13"/>
        <v>0</v>
      </c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</row>
    <row r="153" spans="1:38" s="88" customFormat="1">
      <c r="A153" s="124"/>
      <c r="B153" s="123"/>
      <c r="C153" s="123"/>
      <c r="D153" s="123"/>
      <c r="E153" s="123"/>
      <c r="F153" s="123"/>
      <c r="H153" s="103">
        <v>148</v>
      </c>
      <c r="I153" s="104" t="str">
        <f t="shared" si="10"/>
        <v/>
      </c>
      <c r="J153" s="104">
        <f t="shared" si="11"/>
        <v>-4</v>
      </c>
      <c r="K153" s="103">
        <f t="shared" si="12"/>
        <v>-40</v>
      </c>
      <c r="L153" s="103"/>
      <c r="M153" s="105">
        <f t="shared" si="13"/>
        <v>0</v>
      </c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</row>
    <row r="154" spans="1:38" s="88" customFormat="1">
      <c r="A154" s="124"/>
      <c r="B154" s="123"/>
      <c r="C154" s="123"/>
      <c r="D154" s="123"/>
      <c r="E154" s="123"/>
      <c r="F154" s="123"/>
      <c r="H154" s="103">
        <v>149</v>
      </c>
      <c r="I154" s="104" t="str">
        <f t="shared" si="10"/>
        <v/>
      </c>
      <c r="J154" s="104">
        <f t="shared" si="11"/>
        <v>-4</v>
      </c>
      <c r="K154" s="103">
        <f t="shared" si="12"/>
        <v>-40</v>
      </c>
      <c r="L154" s="103"/>
      <c r="M154" s="105">
        <f t="shared" si="13"/>
        <v>0</v>
      </c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</row>
    <row r="155" spans="1:38" s="88" customFormat="1">
      <c r="A155" s="124"/>
      <c r="B155" s="123"/>
      <c r="C155" s="123"/>
      <c r="D155" s="123"/>
      <c r="E155" s="123"/>
      <c r="F155" s="123"/>
      <c r="H155" s="103">
        <v>150</v>
      </c>
      <c r="I155" s="104" t="str">
        <f t="shared" si="10"/>
        <v/>
      </c>
      <c r="J155" s="104">
        <f t="shared" si="11"/>
        <v>-4</v>
      </c>
      <c r="K155" s="103">
        <f t="shared" si="12"/>
        <v>-40</v>
      </c>
      <c r="L155" s="103"/>
      <c r="M155" s="105">
        <f t="shared" si="13"/>
        <v>0</v>
      </c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</row>
    <row r="156" spans="1:38" s="88" customFormat="1">
      <c r="A156" s="124"/>
      <c r="B156" s="123"/>
      <c r="C156" s="123"/>
      <c r="D156" s="123"/>
      <c r="E156" s="123"/>
      <c r="F156" s="123"/>
      <c r="H156" s="103">
        <v>151</v>
      </c>
      <c r="I156" s="104" t="str">
        <f t="shared" si="10"/>
        <v/>
      </c>
      <c r="J156" s="104">
        <f t="shared" si="11"/>
        <v>-4</v>
      </c>
      <c r="K156" s="103">
        <f t="shared" si="12"/>
        <v>-40</v>
      </c>
      <c r="L156" s="103"/>
      <c r="M156" s="105">
        <f t="shared" si="13"/>
        <v>0</v>
      </c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</row>
    <row r="157" spans="1:38" s="88" customFormat="1">
      <c r="A157" s="124"/>
      <c r="B157" s="123"/>
      <c r="C157" s="123"/>
      <c r="D157" s="123"/>
      <c r="E157" s="123"/>
      <c r="F157" s="123"/>
      <c r="H157" s="103">
        <v>152</v>
      </c>
      <c r="I157" s="104" t="str">
        <f t="shared" si="10"/>
        <v/>
      </c>
      <c r="J157" s="104">
        <f t="shared" si="11"/>
        <v>-4</v>
      </c>
      <c r="K157" s="103">
        <f t="shared" si="12"/>
        <v>-40</v>
      </c>
      <c r="L157" s="103"/>
      <c r="M157" s="105">
        <f t="shared" si="13"/>
        <v>0</v>
      </c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</row>
    <row r="158" spans="1:38" s="88" customFormat="1">
      <c r="A158" s="124"/>
      <c r="B158" s="123"/>
      <c r="C158" s="123"/>
      <c r="D158" s="123"/>
      <c r="E158" s="123"/>
      <c r="F158" s="123"/>
      <c r="H158" s="103">
        <v>153</v>
      </c>
      <c r="I158" s="104" t="str">
        <f t="shared" si="10"/>
        <v/>
      </c>
      <c r="J158" s="104">
        <f t="shared" si="11"/>
        <v>-4</v>
      </c>
      <c r="K158" s="103">
        <f t="shared" si="12"/>
        <v>-40</v>
      </c>
      <c r="L158" s="103"/>
      <c r="M158" s="105">
        <f t="shared" si="13"/>
        <v>0</v>
      </c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</row>
    <row r="159" spans="1:38" s="88" customFormat="1">
      <c r="A159" s="124"/>
      <c r="B159" s="123"/>
      <c r="C159" s="123"/>
      <c r="D159" s="123"/>
      <c r="E159" s="123"/>
      <c r="F159" s="123"/>
      <c r="H159" s="103">
        <v>154</v>
      </c>
      <c r="I159" s="104" t="str">
        <f t="shared" si="10"/>
        <v/>
      </c>
      <c r="J159" s="104">
        <f t="shared" si="11"/>
        <v>-4</v>
      </c>
      <c r="K159" s="103">
        <f t="shared" si="12"/>
        <v>-40</v>
      </c>
      <c r="L159" s="103"/>
      <c r="M159" s="105">
        <f t="shared" si="13"/>
        <v>0</v>
      </c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</row>
    <row r="160" spans="1:38" s="88" customFormat="1">
      <c r="A160" s="124"/>
      <c r="B160" s="123"/>
      <c r="C160" s="123"/>
      <c r="D160" s="123"/>
      <c r="E160" s="123"/>
      <c r="F160" s="123"/>
      <c r="H160" s="103">
        <v>155</v>
      </c>
      <c r="I160" s="104" t="str">
        <f t="shared" si="10"/>
        <v/>
      </c>
      <c r="J160" s="104">
        <f t="shared" si="11"/>
        <v>-4</v>
      </c>
      <c r="K160" s="103">
        <f t="shared" si="12"/>
        <v>-40</v>
      </c>
      <c r="L160" s="103"/>
      <c r="M160" s="105">
        <f t="shared" si="13"/>
        <v>0</v>
      </c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</row>
    <row r="161" spans="1:38" s="88" customFormat="1">
      <c r="A161" s="124"/>
      <c r="B161" s="123"/>
      <c r="C161" s="123"/>
      <c r="D161" s="123"/>
      <c r="E161" s="123"/>
      <c r="F161" s="123"/>
      <c r="H161" s="103">
        <v>156</v>
      </c>
      <c r="I161" s="104" t="str">
        <f t="shared" si="10"/>
        <v/>
      </c>
      <c r="J161" s="104">
        <f t="shared" si="11"/>
        <v>-4</v>
      </c>
      <c r="K161" s="103">
        <f t="shared" si="12"/>
        <v>-40</v>
      </c>
      <c r="L161" s="103"/>
      <c r="M161" s="105">
        <f t="shared" si="13"/>
        <v>0</v>
      </c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</row>
    <row r="162" spans="1:38" s="88" customFormat="1">
      <c r="A162" s="124"/>
      <c r="B162" s="123"/>
      <c r="C162" s="123"/>
      <c r="D162" s="123"/>
      <c r="E162" s="123"/>
      <c r="F162" s="123"/>
      <c r="H162" s="103">
        <v>157</v>
      </c>
      <c r="I162" s="104" t="str">
        <f t="shared" si="10"/>
        <v/>
      </c>
      <c r="J162" s="104">
        <f t="shared" si="11"/>
        <v>-4</v>
      </c>
      <c r="K162" s="103">
        <f t="shared" si="12"/>
        <v>-40</v>
      </c>
      <c r="L162" s="103"/>
      <c r="M162" s="105">
        <f t="shared" si="13"/>
        <v>0</v>
      </c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</row>
    <row r="163" spans="1:38" s="88" customFormat="1">
      <c r="A163" s="124"/>
      <c r="B163" s="123"/>
      <c r="C163" s="123"/>
      <c r="D163" s="123"/>
      <c r="E163" s="123"/>
      <c r="F163" s="123"/>
      <c r="H163" s="103">
        <v>158</v>
      </c>
      <c r="I163" s="104" t="str">
        <f t="shared" si="10"/>
        <v/>
      </c>
      <c r="J163" s="104">
        <f t="shared" si="11"/>
        <v>-4</v>
      </c>
      <c r="K163" s="103">
        <f t="shared" si="12"/>
        <v>-40</v>
      </c>
      <c r="L163" s="103"/>
      <c r="M163" s="105">
        <f t="shared" si="13"/>
        <v>0</v>
      </c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</row>
    <row r="164" spans="1:38" s="88" customFormat="1">
      <c r="A164" s="124"/>
      <c r="B164" s="123"/>
      <c r="C164" s="123"/>
      <c r="D164" s="123"/>
      <c r="E164" s="123"/>
      <c r="F164" s="123"/>
      <c r="H164" s="103">
        <v>159</v>
      </c>
      <c r="I164" s="104" t="str">
        <f t="shared" si="10"/>
        <v/>
      </c>
      <c r="J164" s="104">
        <f t="shared" si="11"/>
        <v>-4</v>
      </c>
      <c r="K164" s="103">
        <f t="shared" si="12"/>
        <v>-40</v>
      </c>
      <c r="L164" s="103"/>
      <c r="M164" s="105">
        <f t="shared" si="13"/>
        <v>0</v>
      </c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</row>
    <row r="165" spans="1:38" s="88" customFormat="1">
      <c r="A165" s="124"/>
      <c r="B165" s="123"/>
      <c r="C165" s="123"/>
      <c r="D165" s="123"/>
      <c r="E165" s="123"/>
      <c r="F165" s="123"/>
      <c r="H165" s="103">
        <v>160</v>
      </c>
      <c r="I165" s="104" t="str">
        <f t="shared" si="10"/>
        <v/>
      </c>
      <c r="J165" s="104">
        <f t="shared" si="11"/>
        <v>-4</v>
      </c>
      <c r="K165" s="103">
        <f t="shared" si="12"/>
        <v>-40</v>
      </c>
      <c r="L165" s="103"/>
      <c r="M165" s="105">
        <f t="shared" si="13"/>
        <v>0</v>
      </c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</row>
    <row r="166" spans="1:38" s="88" customFormat="1">
      <c r="A166" s="124"/>
      <c r="B166" s="123"/>
      <c r="C166" s="123"/>
      <c r="D166" s="123"/>
      <c r="E166" s="123"/>
      <c r="F166" s="123"/>
      <c r="H166" s="103">
        <v>161</v>
      </c>
      <c r="I166" s="104" t="str">
        <f t="shared" si="10"/>
        <v/>
      </c>
      <c r="J166" s="104">
        <f t="shared" si="11"/>
        <v>-4</v>
      </c>
      <c r="K166" s="103">
        <f t="shared" si="12"/>
        <v>-40</v>
      </c>
      <c r="L166" s="103"/>
      <c r="M166" s="105">
        <f t="shared" si="13"/>
        <v>0</v>
      </c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</row>
    <row r="167" spans="1:38" s="88" customFormat="1">
      <c r="A167" s="124"/>
      <c r="B167" s="123"/>
      <c r="C167" s="123"/>
      <c r="D167" s="123"/>
      <c r="E167" s="123"/>
      <c r="F167" s="123"/>
      <c r="H167" s="103">
        <v>162</v>
      </c>
      <c r="I167" s="104" t="str">
        <f t="shared" si="10"/>
        <v/>
      </c>
      <c r="J167" s="104">
        <f t="shared" si="11"/>
        <v>-4</v>
      </c>
      <c r="K167" s="103">
        <f t="shared" si="12"/>
        <v>-40</v>
      </c>
      <c r="L167" s="103"/>
      <c r="M167" s="105">
        <f t="shared" si="13"/>
        <v>0</v>
      </c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</row>
    <row r="168" spans="1:38" s="88" customFormat="1">
      <c r="A168" s="124"/>
      <c r="B168" s="123"/>
      <c r="C168" s="123"/>
      <c r="D168" s="123"/>
      <c r="E168" s="123"/>
      <c r="F168" s="123"/>
      <c r="H168" s="103">
        <v>163</v>
      </c>
      <c r="I168" s="104" t="str">
        <f t="shared" si="10"/>
        <v/>
      </c>
      <c r="J168" s="104">
        <f t="shared" si="11"/>
        <v>-4</v>
      </c>
      <c r="K168" s="103">
        <f t="shared" si="12"/>
        <v>-40</v>
      </c>
      <c r="L168" s="103"/>
      <c r="M168" s="105">
        <f t="shared" si="13"/>
        <v>0</v>
      </c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</row>
    <row r="169" spans="1:38" s="88" customFormat="1">
      <c r="A169" s="124"/>
      <c r="B169" s="123"/>
      <c r="C169" s="123" t="s">
        <v>57</v>
      </c>
      <c r="D169" s="123"/>
      <c r="E169" s="123"/>
      <c r="F169" s="123"/>
      <c r="H169" s="103">
        <v>164</v>
      </c>
      <c r="I169" s="104" t="str">
        <f t="shared" si="10"/>
        <v/>
      </c>
      <c r="J169" s="104">
        <f t="shared" si="11"/>
        <v>-4</v>
      </c>
      <c r="K169" s="103">
        <f t="shared" si="12"/>
        <v>-40</v>
      </c>
      <c r="L169" s="103"/>
      <c r="M169" s="105">
        <f t="shared" si="13"/>
        <v>0</v>
      </c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</row>
    <row r="170" spans="1:38" s="88" customFormat="1">
      <c r="A170" s="124"/>
      <c r="B170" s="123"/>
      <c r="C170" s="123"/>
      <c r="D170" s="123"/>
      <c r="E170" s="123"/>
      <c r="F170" s="123"/>
      <c r="H170" s="103">
        <v>165</v>
      </c>
      <c r="I170" s="104" t="str">
        <f t="shared" si="10"/>
        <v/>
      </c>
      <c r="J170" s="104">
        <f t="shared" si="11"/>
        <v>-4</v>
      </c>
      <c r="K170" s="103">
        <f t="shared" si="12"/>
        <v>-40</v>
      </c>
      <c r="L170" s="103"/>
      <c r="M170" s="105">
        <f t="shared" si="13"/>
        <v>0</v>
      </c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</row>
    <row r="171" spans="1:38" s="88" customFormat="1">
      <c r="A171" s="124"/>
      <c r="B171" s="123"/>
      <c r="C171" s="123"/>
      <c r="D171" s="123"/>
      <c r="E171" s="123"/>
      <c r="F171" s="123"/>
      <c r="H171" s="103">
        <v>166</v>
      </c>
      <c r="I171" s="104" t="str">
        <f t="shared" si="10"/>
        <v/>
      </c>
      <c r="J171" s="104">
        <f t="shared" si="11"/>
        <v>-4</v>
      </c>
      <c r="K171" s="103">
        <f t="shared" si="12"/>
        <v>-40</v>
      </c>
      <c r="L171" s="103"/>
      <c r="M171" s="105">
        <f t="shared" si="13"/>
        <v>0</v>
      </c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</row>
    <row r="172" spans="1:38" s="88" customFormat="1">
      <c r="A172" s="124"/>
      <c r="B172" s="123"/>
      <c r="C172" s="123"/>
      <c r="D172" s="123"/>
      <c r="E172" s="123"/>
      <c r="F172" s="123"/>
      <c r="H172" s="103">
        <v>167</v>
      </c>
      <c r="I172" s="104" t="str">
        <f t="shared" si="10"/>
        <v/>
      </c>
      <c r="J172" s="104">
        <f t="shared" si="11"/>
        <v>-4</v>
      </c>
      <c r="K172" s="103">
        <f t="shared" si="12"/>
        <v>-40</v>
      </c>
      <c r="L172" s="103"/>
      <c r="M172" s="105">
        <f t="shared" si="13"/>
        <v>0</v>
      </c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</row>
    <row r="173" spans="1:38" s="88" customFormat="1">
      <c r="A173" s="124"/>
      <c r="B173" s="123"/>
      <c r="C173" s="123"/>
      <c r="D173" s="123"/>
      <c r="E173" s="123"/>
      <c r="F173" s="123"/>
      <c r="H173" s="103">
        <v>168</v>
      </c>
      <c r="I173" s="104" t="str">
        <f t="shared" si="10"/>
        <v/>
      </c>
      <c r="J173" s="104">
        <f t="shared" si="11"/>
        <v>-4</v>
      </c>
      <c r="K173" s="103">
        <f t="shared" si="12"/>
        <v>-40</v>
      </c>
      <c r="L173" s="103"/>
      <c r="M173" s="105">
        <f t="shared" si="13"/>
        <v>0</v>
      </c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</row>
    <row r="174" spans="1:38" s="88" customFormat="1">
      <c r="A174" s="124"/>
      <c r="B174" s="123"/>
      <c r="C174" s="123"/>
      <c r="D174" s="123"/>
      <c r="E174" s="123"/>
      <c r="F174" s="123"/>
      <c r="H174" s="103">
        <v>169</v>
      </c>
      <c r="I174" s="104" t="str">
        <f t="shared" si="10"/>
        <v/>
      </c>
      <c r="J174" s="104">
        <f t="shared" si="11"/>
        <v>-4</v>
      </c>
      <c r="K174" s="103">
        <f t="shared" si="12"/>
        <v>-40</v>
      </c>
      <c r="L174" s="103"/>
      <c r="M174" s="105">
        <f t="shared" si="13"/>
        <v>0</v>
      </c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</row>
    <row r="175" spans="1:38" s="88" customFormat="1">
      <c r="A175" s="124"/>
      <c r="B175" s="123"/>
      <c r="C175" s="123"/>
      <c r="D175" s="123"/>
      <c r="E175" s="123"/>
      <c r="F175" s="123"/>
      <c r="H175" s="103">
        <v>170</v>
      </c>
      <c r="I175" s="104" t="str">
        <f t="shared" si="10"/>
        <v/>
      </c>
      <c r="J175" s="104">
        <f t="shared" si="11"/>
        <v>-4</v>
      </c>
      <c r="K175" s="103">
        <f t="shared" si="12"/>
        <v>-40</v>
      </c>
      <c r="L175" s="103"/>
      <c r="M175" s="105">
        <f t="shared" si="13"/>
        <v>0</v>
      </c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</row>
    <row r="176" spans="1:38" s="88" customFormat="1">
      <c r="A176" s="124"/>
      <c r="B176" s="123"/>
      <c r="C176" s="123"/>
      <c r="D176" s="123"/>
      <c r="E176" s="123"/>
      <c r="F176" s="123"/>
      <c r="H176" s="103">
        <v>171</v>
      </c>
      <c r="I176" s="104" t="str">
        <f t="shared" si="10"/>
        <v/>
      </c>
      <c r="J176" s="104">
        <f t="shared" si="11"/>
        <v>-4</v>
      </c>
      <c r="K176" s="103">
        <f t="shared" si="12"/>
        <v>-40</v>
      </c>
      <c r="L176" s="103"/>
      <c r="M176" s="105">
        <f t="shared" si="13"/>
        <v>0</v>
      </c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</row>
    <row r="177" spans="1:38" s="88" customFormat="1">
      <c r="A177" s="124"/>
      <c r="B177" s="123"/>
      <c r="C177" s="123"/>
      <c r="D177" s="123"/>
      <c r="E177" s="123"/>
      <c r="F177" s="123"/>
      <c r="H177" s="103">
        <v>172</v>
      </c>
      <c r="I177" s="104" t="str">
        <f t="shared" si="10"/>
        <v/>
      </c>
      <c r="J177" s="104">
        <f t="shared" si="11"/>
        <v>-4</v>
      </c>
      <c r="K177" s="103">
        <f t="shared" si="12"/>
        <v>-40</v>
      </c>
      <c r="L177" s="103"/>
      <c r="M177" s="105">
        <f t="shared" si="13"/>
        <v>0</v>
      </c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</row>
    <row r="178" spans="1:38" s="88" customFormat="1">
      <c r="A178" s="124"/>
      <c r="B178" s="123"/>
      <c r="C178" s="123"/>
      <c r="D178" s="123"/>
      <c r="E178" s="123"/>
      <c r="F178" s="123"/>
      <c r="H178" s="103">
        <v>173</v>
      </c>
      <c r="I178" s="104" t="str">
        <f t="shared" si="10"/>
        <v/>
      </c>
      <c r="J178" s="104">
        <f t="shared" si="11"/>
        <v>-4</v>
      </c>
      <c r="K178" s="103">
        <f t="shared" si="12"/>
        <v>-40</v>
      </c>
      <c r="L178" s="103"/>
      <c r="M178" s="105">
        <f t="shared" si="13"/>
        <v>0</v>
      </c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</row>
    <row r="179" spans="1:38" s="88" customFormat="1">
      <c r="A179" s="124"/>
      <c r="B179" s="123"/>
      <c r="C179" s="123"/>
      <c r="D179" s="123"/>
      <c r="E179" s="123"/>
      <c r="F179" s="123"/>
      <c r="H179" s="103">
        <v>174</v>
      </c>
      <c r="I179" s="104" t="str">
        <f t="shared" si="10"/>
        <v/>
      </c>
      <c r="J179" s="104">
        <f t="shared" si="11"/>
        <v>-4</v>
      </c>
      <c r="K179" s="103">
        <f t="shared" si="12"/>
        <v>-40</v>
      </c>
      <c r="L179" s="103"/>
      <c r="M179" s="105">
        <f t="shared" si="13"/>
        <v>0</v>
      </c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</row>
    <row r="180" spans="1:38" s="88" customFormat="1">
      <c r="A180" s="124"/>
      <c r="B180" s="123"/>
      <c r="C180" s="123"/>
      <c r="D180" s="123"/>
      <c r="E180" s="123"/>
      <c r="F180" s="123"/>
      <c r="H180" s="103">
        <v>175</v>
      </c>
      <c r="I180" s="104" t="str">
        <f t="shared" si="10"/>
        <v/>
      </c>
      <c r="J180" s="104">
        <f t="shared" si="11"/>
        <v>-4</v>
      </c>
      <c r="K180" s="103">
        <f t="shared" si="12"/>
        <v>-40</v>
      </c>
      <c r="L180" s="103"/>
      <c r="M180" s="105">
        <f t="shared" si="13"/>
        <v>0</v>
      </c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</row>
    <row r="181" spans="1:38" s="88" customFormat="1">
      <c r="A181" s="124"/>
      <c r="B181" s="123"/>
      <c r="C181" s="123"/>
      <c r="D181" s="123"/>
      <c r="E181" s="123"/>
      <c r="F181" s="123"/>
      <c r="H181" s="103">
        <v>176</v>
      </c>
      <c r="I181" s="104" t="str">
        <f t="shared" si="10"/>
        <v/>
      </c>
      <c r="J181" s="104">
        <f t="shared" si="11"/>
        <v>-4</v>
      </c>
      <c r="K181" s="103">
        <f t="shared" si="12"/>
        <v>-40</v>
      </c>
      <c r="L181" s="103"/>
      <c r="M181" s="105">
        <f t="shared" si="13"/>
        <v>0</v>
      </c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</row>
    <row r="182" spans="1:38" s="88" customFormat="1">
      <c r="A182" s="124"/>
      <c r="B182" s="123"/>
      <c r="C182" s="123"/>
      <c r="D182" s="123"/>
      <c r="E182" s="123"/>
      <c r="F182" s="123"/>
      <c r="H182" s="103">
        <v>177</v>
      </c>
      <c r="I182" s="104" t="str">
        <f t="shared" si="10"/>
        <v/>
      </c>
      <c r="J182" s="104">
        <f t="shared" si="11"/>
        <v>-4</v>
      </c>
      <c r="K182" s="103">
        <f t="shared" si="12"/>
        <v>-40</v>
      </c>
      <c r="L182" s="103"/>
      <c r="M182" s="105">
        <f t="shared" si="13"/>
        <v>0</v>
      </c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</row>
    <row r="183" spans="1:38" s="88" customFormat="1">
      <c r="A183" s="124"/>
      <c r="B183" s="123"/>
      <c r="C183" s="123"/>
      <c r="D183" s="123"/>
      <c r="E183" s="123"/>
      <c r="F183" s="123"/>
      <c r="H183" s="103">
        <v>178</v>
      </c>
      <c r="I183" s="104" t="str">
        <f t="shared" si="10"/>
        <v/>
      </c>
      <c r="J183" s="104">
        <f t="shared" si="11"/>
        <v>-4</v>
      </c>
      <c r="K183" s="103">
        <f t="shared" si="12"/>
        <v>-40</v>
      </c>
      <c r="L183" s="103"/>
      <c r="M183" s="105">
        <f t="shared" si="13"/>
        <v>0</v>
      </c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</row>
    <row r="184" spans="1:38" s="88" customFormat="1">
      <c r="A184" s="124"/>
      <c r="B184" s="123"/>
      <c r="C184" s="123"/>
      <c r="D184" s="123"/>
      <c r="E184" s="123"/>
      <c r="F184" s="123"/>
      <c r="H184" s="103">
        <v>179</v>
      </c>
      <c r="I184" s="104" t="str">
        <f t="shared" si="10"/>
        <v/>
      </c>
      <c r="J184" s="104">
        <f t="shared" si="11"/>
        <v>-4</v>
      </c>
      <c r="K184" s="103">
        <f t="shared" si="12"/>
        <v>-40</v>
      </c>
      <c r="L184" s="103"/>
      <c r="M184" s="105">
        <f t="shared" si="13"/>
        <v>0</v>
      </c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</row>
    <row r="185" spans="1:38" s="88" customFormat="1">
      <c r="A185" s="124"/>
      <c r="B185" s="123"/>
      <c r="C185" s="123"/>
      <c r="D185" s="123"/>
      <c r="E185" s="123"/>
      <c r="F185" s="123"/>
      <c r="H185" s="103">
        <v>180</v>
      </c>
      <c r="I185" s="104" t="str">
        <f t="shared" si="10"/>
        <v/>
      </c>
      <c r="J185" s="104">
        <f t="shared" si="11"/>
        <v>-4</v>
      </c>
      <c r="K185" s="103">
        <f t="shared" si="12"/>
        <v>-40</v>
      </c>
      <c r="L185" s="103"/>
      <c r="M185" s="105">
        <f t="shared" si="13"/>
        <v>0</v>
      </c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</row>
    <row r="186" spans="1:38" s="88" customFormat="1">
      <c r="A186" s="124"/>
      <c r="B186" s="123"/>
      <c r="C186" s="123"/>
      <c r="D186" s="123"/>
      <c r="E186" s="123"/>
      <c r="F186" s="123"/>
      <c r="H186" s="103">
        <v>181</v>
      </c>
      <c r="I186" s="104" t="str">
        <f t="shared" si="10"/>
        <v/>
      </c>
      <c r="J186" s="104">
        <f t="shared" si="11"/>
        <v>-4</v>
      </c>
      <c r="K186" s="103">
        <f t="shared" si="12"/>
        <v>-40</v>
      </c>
      <c r="L186" s="103"/>
      <c r="M186" s="105">
        <f t="shared" si="13"/>
        <v>0</v>
      </c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</row>
    <row r="187" spans="1:38" s="88" customFormat="1">
      <c r="A187" s="124"/>
      <c r="B187" s="123"/>
      <c r="C187" s="123"/>
      <c r="D187" s="123"/>
      <c r="E187" s="123"/>
      <c r="F187" s="123"/>
      <c r="H187" s="103">
        <v>182</v>
      </c>
      <c r="I187" s="104" t="str">
        <f t="shared" si="10"/>
        <v/>
      </c>
      <c r="J187" s="104">
        <f t="shared" si="11"/>
        <v>-4</v>
      </c>
      <c r="K187" s="103">
        <f t="shared" si="12"/>
        <v>-40</v>
      </c>
      <c r="L187" s="103"/>
      <c r="M187" s="105">
        <f t="shared" si="13"/>
        <v>0</v>
      </c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</row>
    <row r="188" spans="1:38" s="88" customFormat="1">
      <c r="A188" s="124"/>
      <c r="B188" s="123"/>
      <c r="C188" s="123"/>
      <c r="D188" s="123"/>
      <c r="E188" s="123"/>
      <c r="F188" s="123"/>
      <c r="H188" s="103">
        <v>183</v>
      </c>
      <c r="I188" s="104" t="str">
        <f t="shared" si="10"/>
        <v/>
      </c>
      <c r="J188" s="104">
        <f t="shared" si="11"/>
        <v>-4</v>
      </c>
      <c r="K188" s="103">
        <f t="shared" si="12"/>
        <v>-40</v>
      </c>
      <c r="L188" s="103"/>
      <c r="M188" s="105">
        <f t="shared" si="13"/>
        <v>0</v>
      </c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</row>
    <row r="189" spans="1:38" s="88" customFormat="1">
      <c r="A189" s="124"/>
      <c r="B189" s="123"/>
      <c r="C189" s="123"/>
      <c r="D189" s="123"/>
      <c r="E189" s="123"/>
      <c r="F189" s="123"/>
      <c r="H189" s="103">
        <v>184</v>
      </c>
      <c r="I189" s="104" t="str">
        <f t="shared" si="10"/>
        <v/>
      </c>
      <c r="J189" s="104">
        <f t="shared" si="11"/>
        <v>-4</v>
      </c>
      <c r="K189" s="103">
        <f t="shared" si="12"/>
        <v>-40</v>
      </c>
      <c r="L189" s="103"/>
      <c r="M189" s="105">
        <f t="shared" si="13"/>
        <v>0</v>
      </c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</row>
    <row r="190" spans="1:38" s="88" customFormat="1">
      <c r="A190" s="124"/>
      <c r="B190" s="123"/>
      <c r="C190" s="123"/>
      <c r="D190" s="123"/>
      <c r="E190" s="123"/>
      <c r="F190" s="123"/>
      <c r="H190" s="103">
        <v>185</v>
      </c>
      <c r="I190" s="104" t="str">
        <f t="shared" si="10"/>
        <v/>
      </c>
      <c r="J190" s="104">
        <f t="shared" si="11"/>
        <v>-4</v>
      </c>
      <c r="K190" s="103">
        <f t="shared" si="12"/>
        <v>-40</v>
      </c>
      <c r="L190" s="103"/>
      <c r="M190" s="105">
        <f t="shared" si="13"/>
        <v>0</v>
      </c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</row>
    <row r="191" spans="1:38" s="88" customFormat="1">
      <c r="A191" s="124"/>
      <c r="B191" s="123"/>
      <c r="C191" s="123"/>
      <c r="D191" s="123"/>
      <c r="E191" s="123"/>
      <c r="F191" s="123"/>
      <c r="H191" s="103">
        <v>186</v>
      </c>
      <c r="I191" s="104" t="str">
        <f t="shared" si="10"/>
        <v/>
      </c>
      <c r="J191" s="104">
        <f t="shared" si="11"/>
        <v>-4</v>
      </c>
      <c r="K191" s="103">
        <f t="shared" si="12"/>
        <v>-40</v>
      </c>
      <c r="L191" s="103"/>
      <c r="M191" s="105">
        <f t="shared" si="13"/>
        <v>0</v>
      </c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</row>
    <row r="192" spans="1:38" s="88" customFormat="1">
      <c r="A192" s="124"/>
      <c r="B192" s="123"/>
      <c r="C192" s="123"/>
      <c r="D192" s="123"/>
      <c r="E192" s="123"/>
      <c r="F192" s="123"/>
      <c r="H192" s="103">
        <v>187</v>
      </c>
      <c r="I192" s="104" t="str">
        <f t="shared" si="10"/>
        <v/>
      </c>
      <c r="J192" s="104">
        <f t="shared" si="11"/>
        <v>-4</v>
      </c>
      <c r="K192" s="103">
        <f t="shared" si="12"/>
        <v>-40</v>
      </c>
      <c r="L192" s="103"/>
      <c r="M192" s="105">
        <f t="shared" si="13"/>
        <v>0</v>
      </c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</row>
    <row r="193" spans="1:38" s="88" customFormat="1">
      <c r="A193" s="124"/>
      <c r="B193" s="123"/>
      <c r="C193" s="123"/>
      <c r="D193" s="123"/>
      <c r="E193" s="123"/>
      <c r="F193" s="123"/>
      <c r="H193" s="103">
        <v>188</v>
      </c>
      <c r="I193" s="104" t="str">
        <f t="shared" si="10"/>
        <v/>
      </c>
      <c r="J193" s="104">
        <f t="shared" si="11"/>
        <v>-4</v>
      </c>
      <c r="K193" s="103">
        <f t="shared" si="12"/>
        <v>-40</v>
      </c>
      <c r="L193" s="103"/>
      <c r="M193" s="105">
        <f t="shared" si="13"/>
        <v>0</v>
      </c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</row>
    <row r="194" spans="1:38" s="88" customFormat="1">
      <c r="A194" s="124"/>
      <c r="B194" s="123"/>
      <c r="C194" s="123"/>
      <c r="D194" s="123"/>
      <c r="E194" s="123"/>
      <c r="F194" s="123"/>
      <c r="H194" s="103">
        <v>189</v>
      </c>
      <c r="I194" s="104" t="str">
        <f t="shared" si="10"/>
        <v/>
      </c>
      <c r="J194" s="104">
        <f t="shared" si="11"/>
        <v>-4</v>
      </c>
      <c r="K194" s="103">
        <f t="shared" si="12"/>
        <v>-40</v>
      </c>
      <c r="L194" s="103"/>
      <c r="M194" s="105">
        <f t="shared" si="13"/>
        <v>0</v>
      </c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</row>
    <row r="195" spans="1:38" s="88" customFormat="1">
      <c r="A195" s="124"/>
      <c r="B195" s="123"/>
      <c r="C195" s="123"/>
      <c r="D195" s="123"/>
      <c r="E195" s="123"/>
      <c r="F195" s="123"/>
      <c r="H195" s="103">
        <v>190</v>
      </c>
      <c r="I195" s="104" t="str">
        <f t="shared" si="10"/>
        <v/>
      </c>
      <c r="J195" s="104">
        <f t="shared" si="11"/>
        <v>-4</v>
      </c>
      <c r="K195" s="103">
        <f t="shared" si="12"/>
        <v>-40</v>
      </c>
      <c r="L195" s="103"/>
      <c r="M195" s="105">
        <f t="shared" si="13"/>
        <v>0</v>
      </c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</row>
    <row r="196" spans="1:38" s="88" customFormat="1">
      <c r="A196" s="124"/>
      <c r="B196" s="123"/>
      <c r="C196" s="123"/>
      <c r="D196" s="123"/>
      <c r="E196" s="123"/>
      <c r="F196" s="123"/>
      <c r="H196" s="103">
        <v>191</v>
      </c>
      <c r="I196" s="104" t="str">
        <f t="shared" si="10"/>
        <v/>
      </c>
      <c r="J196" s="104">
        <f t="shared" si="11"/>
        <v>-4</v>
      </c>
      <c r="K196" s="103">
        <f t="shared" si="12"/>
        <v>-40</v>
      </c>
      <c r="L196" s="103"/>
      <c r="M196" s="105">
        <f t="shared" si="13"/>
        <v>0</v>
      </c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</row>
    <row r="197" spans="1:38" s="88" customFormat="1">
      <c r="A197" s="124"/>
      <c r="B197" s="123"/>
      <c r="C197" s="123"/>
      <c r="D197" s="123"/>
      <c r="E197" s="123"/>
      <c r="F197" s="123"/>
      <c r="H197" s="103">
        <v>192</v>
      </c>
      <c r="I197" s="104" t="str">
        <f t="shared" si="10"/>
        <v/>
      </c>
      <c r="J197" s="104">
        <f t="shared" si="11"/>
        <v>-4</v>
      </c>
      <c r="K197" s="103">
        <f t="shared" si="12"/>
        <v>-40</v>
      </c>
      <c r="L197" s="103"/>
      <c r="M197" s="105">
        <f t="shared" si="13"/>
        <v>0</v>
      </c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</row>
    <row r="198" spans="1:38" s="88" customFormat="1">
      <c r="A198" s="124"/>
      <c r="B198" s="123"/>
      <c r="C198" s="123"/>
      <c r="D198" s="123"/>
      <c r="E198" s="123"/>
      <c r="F198" s="123"/>
      <c r="H198" s="103">
        <v>193</v>
      </c>
      <c r="I198" s="104" t="str">
        <f t="shared" ref="I198:I261" si="14">IF(H198&lt;$H$2+1,($I$2-($I$2-1)*(LOG(H198)/LOG($H$2))),"")</f>
        <v/>
      </c>
      <c r="J198" s="104">
        <f t="shared" ref="J198:J261" si="15">INT(LOG($H$2,2))-ROUNDUP(LOG(H198,2),0)+IF(OR($H$2=1,$H$2=2,$H$2=4,$H$2=8,$H$2=16,$H$2=32,$H$2=64,$H$2=128,$H$2=256),0,1)</f>
        <v>-4</v>
      </c>
      <c r="K198" s="103">
        <f t="shared" ref="K198:K261" si="16">J198*$J$2</f>
        <v>-40</v>
      </c>
      <c r="L198" s="103"/>
      <c r="M198" s="105">
        <f t="shared" ref="M198:M261" si="17">IF(I198&lt;&gt;"",K198+I198+L198,0)</f>
        <v>0</v>
      </c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</row>
    <row r="199" spans="1:38" s="88" customFormat="1">
      <c r="A199" s="124"/>
      <c r="B199" s="123"/>
      <c r="C199" s="123"/>
      <c r="D199" s="123"/>
      <c r="E199" s="123"/>
      <c r="F199" s="123"/>
      <c r="H199" s="103">
        <v>194</v>
      </c>
      <c r="I199" s="104" t="str">
        <f t="shared" si="14"/>
        <v/>
      </c>
      <c r="J199" s="104">
        <f t="shared" si="15"/>
        <v>-4</v>
      </c>
      <c r="K199" s="103">
        <f t="shared" si="16"/>
        <v>-40</v>
      </c>
      <c r="L199" s="103"/>
      <c r="M199" s="105">
        <f t="shared" si="17"/>
        <v>0</v>
      </c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</row>
    <row r="200" spans="1:38" s="88" customFormat="1">
      <c r="A200" s="124"/>
      <c r="B200" s="123"/>
      <c r="C200" s="123"/>
      <c r="D200" s="123"/>
      <c r="E200" s="123"/>
      <c r="F200" s="123"/>
      <c r="H200" s="103">
        <v>195</v>
      </c>
      <c r="I200" s="104" t="str">
        <f t="shared" si="14"/>
        <v/>
      </c>
      <c r="J200" s="104">
        <f t="shared" si="15"/>
        <v>-4</v>
      </c>
      <c r="K200" s="103">
        <f t="shared" si="16"/>
        <v>-40</v>
      </c>
      <c r="L200" s="103"/>
      <c r="M200" s="105">
        <f t="shared" si="17"/>
        <v>0</v>
      </c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</row>
    <row r="201" spans="1:38" s="88" customFormat="1">
      <c r="A201" s="124"/>
      <c r="B201" s="123"/>
      <c r="C201" s="123"/>
      <c r="D201" s="123"/>
      <c r="E201" s="123"/>
      <c r="F201" s="123"/>
      <c r="H201" s="103">
        <v>196</v>
      </c>
      <c r="I201" s="104" t="str">
        <f t="shared" si="14"/>
        <v/>
      </c>
      <c r="J201" s="104">
        <f t="shared" si="15"/>
        <v>-4</v>
      </c>
      <c r="K201" s="103">
        <f t="shared" si="16"/>
        <v>-40</v>
      </c>
      <c r="L201" s="103"/>
      <c r="M201" s="105">
        <f t="shared" si="17"/>
        <v>0</v>
      </c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</row>
    <row r="202" spans="1:38" s="88" customFormat="1">
      <c r="A202" s="124"/>
      <c r="B202" s="123"/>
      <c r="C202" s="123"/>
      <c r="D202" s="123"/>
      <c r="E202" s="123"/>
      <c r="F202" s="123"/>
      <c r="H202" s="103">
        <v>197</v>
      </c>
      <c r="I202" s="104" t="str">
        <f t="shared" si="14"/>
        <v/>
      </c>
      <c r="J202" s="104">
        <f t="shared" si="15"/>
        <v>-4</v>
      </c>
      <c r="K202" s="103">
        <f t="shared" si="16"/>
        <v>-40</v>
      </c>
      <c r="L202" s="103"/>
      <c r="M202" s="105">
        <f t="shared" si="17"/>
        <v>0</v>
      </c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</row>
    <row r="203" spans="1:38" s="88" customFormat="1">
      <c r="A203" s="124"/>
      <c r="B203" s="123"/>
      <c r="C203" s="123"/>
      <c r="D203" s="123"/>
      <c r="E203" s="123"/>
      <c r="F203" s="123"/>
      <c r="H203" s="103">
        <v>198</v>
      </c>
      <c r="I203" s="104" t="str">
        <f t="shared" si="14"/>
        <v/>
      </c>
      <c r="J203" s="104">
        <f t="shared" si="15"/>
        <v>-4</v>
      </c>
      <c r="K203" s="103">
        <f t="shared" si="16"/>
        <v>-40</v>
      </c>
      <c r="L203" s="103"/>
      <c r="M203" s="105">
        <f t="shared" si="17"/>
        <v>0</v>
      </c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</row>
    <row r="204" spans="1:38" s="88" customFormat="1">
      <c r="A204" s="124"/>
      <c r="B204" s="123"/>
      <c r="C204" s="123"/>
      <c r="D204" s="123"/>
      <c r="E204" s="123"/>
      <c r="F204" s="123"/>
      <c r="H204" s="103">
        <v>199</v>
      </c>
      <c r="I204" s="104" t="str">
        <f t="shared" si="14"/>
        <v/>
      </c>
      <c r="J204" s="104">
        <f t="shared" si="15"/>
        <v>-4</v>
      </c>
      <c r="K204" s="103">
        <f t="shared" si="16"/>
        <v>-40</v>
      </c>
      <c r="L204" s="103"/>
      <c r="M204" s="105">
        <f t="shared" si="17"/>
        <v>0</v>
      </c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</row>
    <row r="205" spans="1:38" s="88" customFormat="1">
      <c r="A205" s="124"/>
      <c r="B205" s="123"/>
      <c r="C205" s="123"/>
      <c r="D205" s="123"/>
      <c r="E205" s="123"/>
      <c r="F205" s="123"/>
      <c r="H205" s="103">
        <v>200</v>
      </c>
      <c r="I205" s="104" t="str">
        <f t="shared" si="14"/>
        <v/>
      </c>
      <c r="J205" s="104">
        <f t="shared" si="15"/>
        <v>-4</v>
      </c>
      <c r="K205" s="103">
        <f t="shared" si="16"/>
        <v>-40</v>
      </c>
      <c r="L205" s="103"/>
      <c r="M205" s="105">
        <f t="shared" si="17"/>
        <v>0</v>
      </c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</row>
    <row r="206" spans="1:38" s="88" customFormat="1">
      <c r="A206" s="124"/>
      <c r="B206" s="123"/>
      <c r="C206" s="123"/>
      <c r="D206" s="123"/>
      <c r="E206" s="123"/>
      <c r="F206" s="123"/>
      <c r="H206" s="103">
        <v>201</v>
      </c>
      <c r="I206" s="104" t="str">
        <f t="shared" si="14"/>
        <v/>
      </c>
      <c r="J206" s="104">
        <f t="shared" si="15"/>
        <v>-4</v>
      </c>
      <c r="K206" s="103">
        <f t="shared" si="16"/>
        <v>-40</v>
      </c>
      <c r="L206" s="103"/>
      <c r="M206" s="105">
        <f t="shared" si="17"/>
        <v>0</v>
      </c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</row>
    <row r="207" spans="1:38" s="88" customFormat="1">
      <c r="A207" s="124"/>
      <c r="B207" s="123"/>
      <c r="C207" s="123"/>
      <c r="D207" s="123"/>
      <c r="E207" s="123"/>
      <c r="F207" s="123"/>
      <c r="H207" s="103">
        <v>202</v>
      </c>
      <c r="I207" s="104" t="str">
        <f t="shared" si="14"/>
        <v/>
      </c>
      <c r="J207" s="104">
        <f t="shared" si="15"/>
        <v>-4</v>
      </c>
      <c r="K207" s="103">
        <f t="shared" si="16"/>
        <v>-40</v>
      </c>
      <c r="L207" s="103"/>
      <c r="M207" s="105">
        <f t="shared" si="17"/>
        <v>0</v>
      </c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</row>
    <row r="208" spans="1:38" s="88" customFormat="1">
      <c r="A208" s="124"/>
      <c r="B208" s="123"/>
      <c r="C208" s="123"/>
      <c r="D208" s="123"/>
      <c r="E208" s="123"/>
      <c r="F208" s="123"/>
      <c r="H208" s="103">
        <v>203</v>
      </c>
      <c r="I208" s="104" t="str">
        <f t="shared" si="14"/>
        <v/>
      </c>
      <c r="J208" s="104">
        <f t="shared" si="15"/>
        <v>-4</v>
      </c>
      <c r="K208" s="103">
        <f t="shared" si="16"/>
        <v>-40</v>
      </c>
      <c r="L208" s="103"/>
      <c r="M208" s="105">
        <f t="shared" si="17"/>
        <v>0</v>
      </c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</row>
    <row r="209" spans="1:38" s="88" customFormat="1">
      <c r="A209" s="124"/>
      <c r="B209" s="123"/>
      <c r="C209" s="123"/>
      <c r="D209" s="123"/>
      <c r="E209" s="123"/>
      <c r="F209" s="123"/>
      <c r="H209" s="103">
        <v>204</v>
      </c>
      <c r="I209" s="104" t="str">
        <f t="shared" si="14"/>
        <v/>
      </c>
      <c r="J209" s="104">
        <f t="shared" si="15"/>
        <v>-4</v>
      </c>
      <c r="K209" s="103">
        <f t="shared" si="16"/>
        <v>-40</v>
      </c>
      <c r="L209" s="103"/>
      <c r="M209" s="105">
        <f t="shared" si="17"/>
        <v>0</v>
      </c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</row>
    <row r="210" spans="1:38" s="88" customFormat="1">
      <c r="A210" s="124"/>
      <c r="B210" s="123"/>
      <c r="C210" s="123"/>
      <c r="D210" s="123"/>
      <c r="E210" s="123"/>
      <c r="F210" s="123"/>
      <c r="H210" s="103">
        <v>205</v>
      </c>
      <c r="I210" s="104" t="str">
        <f t="shared" si="14"/>
        <v/>
      </c>
      <c r="J210" s="104">
        <f t="shared" si="15"/>
        <v>-4</v>
      </c>
      <c r="K210" s="103">
        <f t="shared" si="16"/>
        <v>-40</v>
      </c>
      <c r="L210" s="103"/>
      <c r="M210" s="105">
        <f t="shared" si="17"/>
        <v>0</v>
      </c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</row>
    <row r="211" spans="1:38" s="88" customFormat="1">
      <c r="A211" s="124"/>
      <c r="B211" s="123"/>
      <c r="C211" s="123"/>
      <c r="D211" s="123"/>
      <c r="E211" s="123"/>
      <c r="F211" s="123"/>
      <c r="H211" s="103">
        <v>206</v>
      </c>
      <c r="I211" s="104" t="str">
        <f t="shared" si="14"/>
        <v/>
      </c>
      <c r="J211" s="104">
        <f t="shared" si="15"/>
        <v>-4</v>
      </c>
      <c r="K211" s="103">
        <f t="shared" si="16"/>
        <v>-40</v>
      </c>
      <c r="L211" s="103"/>
      <c r="M211" s="105">
        <f t="shared" si="17"/>
        <v>0</v>
      </c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</row>
    <row r="212" spans="1:38" s="88" customFormat="1">
      <c r="A212" s="124"/>
      <c r="B212" s="123"/>
      <c r="C212" s="123"/>
      <c r="D212" s="123"/>
      <c r="E212" s="123"/>
      <c r="F212" s="123"/>
      <c r="H212" s="103">
        <v>207</v>
      </c>
      <c r="I212" s="104" t="str">
        <f t="shared" si="14"/>
        <v/>
      </c>
      <c r="J212" s="104">
        <f t="shared" si="15"/>
        <v>-4</v>
      </c>
      <c r="K212" s="103">
        <f t="shared" si="16"/>
        <v>-40</v>
      </c>
      <c r="L212" s="103"/>
      <c r="M212" s="105">
        <f t="shared" si="17"/>
        <v>0</v>
      </c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</row>
    <row r="213" spans="1:38" s="88" customFormat="1">
      <c r="A213" s="124"/>
      <c r="B213" s="123"/>
      <c r="C213" s="123"/>
      <c r="D213" s="123"/>
      <c r="E213" s="123"/>
      <c r="F213" s="123"/>
      <c r="H213" s="103">
        <v>208</v>
      </c>
      <c r="I213" s="104" t="str">
        <f t="shared" si="14"/>
        <v/>
      </c>
      <c r="J213" s="104">
        <f t="shared" si="15"/>
        <v>-4</v>
      </c>
      <c r="K213" s="103">
        <f t="shared" si="16"/>
        <v>-40</v>
      </c>
      <c r="L213" s="103"/>
      <c r="M213" s="105">
        <f t="shared" si="17"/>
        <v>0</v>
      </c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</row>
    <row r="214" spans="1:38" s="88" customFormat="1">
      <c r="A214" s="124"/>
      <c r="B214" s="123"/>
      <c r="C214" s="123"/>
      <c r="D214" s="123"/>
      <c r="E214" s="123"/>
      <c r="F214" s="123"/>
      <c r="H214" s="103">
        <v>209</v>
      </c>
      <c r="I214" s="104" t="str">
        <f t="shared" si="14"/>
        <v/>
      </c>
      <c r="J214" s="104">
        <f t="shared" si="15"/>
        <v>-4</v>
      </c>
      <c r="K214" s="103">
        <f t="shared" si="16"/>
        <v>-40</v>
      </c>
      <c r="L214" s="103"/>
      <c r="M214" s="105">
        <f t="shared" si="17"/>
        <v>0</v>
      </c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</row>
    <row r="215" spans="1:38" s="88" customFormat="1">
      <c r="A215" s="124"/>
      <c r="B215" s="123"/>
      <c r="C215" s="123"/>
      <c r="D215" s="123"/>
      <c r="E215" s="123"/>
      <c r="F215" s="123"/>
      <c r="H215" s="103">
        <v>210</v>
      </c>
      <c r="I215" s="104" t="str">
        <f t="shared" si="14"/>
        <v/>
      </c>
      <c r="J215" s="104">
        <f t="shared" si="15"/>
        <v>-4</v>
      </c>
      <c r="K215" s="103">
        <f t="shared" si="16"/>
        <v>-40</v>
      </c>
      <c r="L215" s="103"/>
      <c r="M215" s="105">
        <f t="shared" si="17"/>
        <v>0</v>
      </c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</row>
    <row r="216" spans="1:38" s="88" customFormat="1">
      <c r="A216" s="124"/>
      <c r="B216" s="123"/>
      <c r="C216" s="123"/>
      <c r="D216" s="123"/>
      <c r="E216" s="123"/>
      <c r="F216" s="123"/>
      <c r="H216" s="103">
        <v>211</v>
      </c>
      <c r="I216" s="104" t="str">
        <f t="shared" si="14"/>
        <v/>
      </c>
      <c r="J216" s="104">
        <f t="shared" si="15"/>
        <v>-4</v>
      </c>
      <c r="K216" s="103">
        <f t="shared" si="16"/>
        <v>-40</v>
      </c>
      <c r="L216" s="103"/>
      <c r="M216" s="105">
        <f t="shared" si="17"/>
        <v>0</v>
      </c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</row>
    <row r="217" spans="1:38" s="88" customFormat="1">
      <c r="A217" s="124"/>
      <c r="B217" s="123"/>
      <c r="C217" s="123"/>
      <c r="D217" s="123"/>
      <c r="E217" s="123"/>
      <c r="F217" s="123"/>
      <c r="H217" s="103">
        <v>212</v>
      </c>
      <c r="I217" s="104" t="str">
        <f t="shared" si="14"/>
        <v/>
      </c>
      <c r="J217" s="104">
        <f t="shared" si="15"/>
        <v>-4</v>
      </c>
      <c r="K217" s="103">
        <f t="shared" si="16"/>
        <v>-40</v>
      </c>
      <c r="L217" s="103"/>
      <c r="M217" s="105">
        <f t="shared" si="17"/>
        <v>0</v>
      </c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</row>
    <row r="218" spans="1:38" s="88" customFormat="1">
      <c r="A218" s="124"/>
      <c r="B218" s="123"/>
      <c r="C218" s="123"/>
      <c r="D218" s="123"/>
      <c r="E218" s="123"/>
      <c r="F218" s="123"/>
      <c r="H218" s="103">
        <v>213</v>
      </c>
      <c r="I218" s="104" t="str">
        <f t="shared" si="14"/>
        <v/>
      </c>
      <c r="J218" s="104">
        <f t="shared" si="15"/>
        <v>-4</v>
      </c>
      <c r="K218" s="103">
        <f t="shared" si="16"/>
        <v>-40</v>
      </c>
      <c r="L218" s="103"/>
      <c r="M218" s="105">
        <f t="shared" si="17"/>
        <v>0</v>
      </c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</row>
    <row r="219" spans="1:38" s="88" customFormat="1">
      <c r="A219" s="124"/>
      <c r="B219" s="123"/>
      <c r="C219" s="123"/>
      <c r="D219" s="123"/>
      <c r="E219" s="123"/>
      <c r="F219" s="123"/>
      <c r="H219" s="103">
        <v>214</v>
      </c>
      <c r="I219" s="104" t="str">
        <f t="shared" si="14"/>
        <v/>
      </c>
      <c r="J219" s="104">
        <f t="shared" si="15"/>
        <v>-4</v>
      </c>
      <c r="K219" s="103">
        <f t="shared" si="16"/>
        <v>-40</v>
      </c>
      <c r="L219" s="103"/>
      <c r="M219" s="105">
        <f t="shared" si="17"/>
        <v>0</v>
      </c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</row>
    <row r="220" spans="1:38" s="88" customFormat="1">
      <c r="A220" s="124"/>
      <c r="B220" s="123"/>
      <c r="C220" s="123"/>
      <c r="D220" s="123"/>
      <c r="E220" s="123"/>
      <c r="F220" s="123"/>
      <c r="H220" s="103">
        <v>215</v>
      </c>
      <c r="I220" s="104" t="str">
        <f t="shared" si="14"/>
        <v/>
      </c>
      <c r="J220" s="104">
        <f t="shared" si="15"/>
        <v>-4</v>
      </c>
      <c r="K220" s="103">
        <f t="shared" si="16"/>
        <v>-40</v>
      </c>
      <c r="L220" s="103"/>
      <c r="M220" s="105">
        <f t="shared" si="17"/>
        <v>0</v>
      </c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</row>
    <row r="221" spans="1:38" s="88" customFormat="1">
      <c r="A221" s="124"/>
      <c r="B221" s="123"/>
      <c r="C221" s="123"/>
      <c r="D221" s="123"/>
      <c r="E221" s="123"/>
      <c r="F221" s="123"/>
      <c r="H221" s="103">
        <v>216</v>
      </c>
      <c r="I221" s="104" t="str">
        <f t="shared" si="14"/>
        <v/>
      </c>
      <c r="J221" s="104">
        <f t="shared" si="15"/>
        <v>-4</v>
      </c>
      <c r="K221" s="103">
        <f t="shared" si="16"/>
        <v>-40</v>
      </c>
      <c r="L221" s="103"/>
      <c r="M221" s="105">
        <f t="shared" si="17"/>
        <v>0</v>
      </c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</row>
    <row r="222" spans="1:38" s="88" customFormat="1">
      <c r="A222" s="124"/>
      <c r="B222" s="123"/>
      <c r="C222" s="123"/>
      <c r="D222" s="123"/>
      <c r="E222" s="123"/>
      <c r="F222" s="123"/>
      <c r="H222" s="103">
        <v>217</v>
      </c>
      <c r="I222" s="104" t="str">
        <f t="shared" si="14"/>
        <v/>
      </c>
      <c r="J222" s="104">
        <f t="shared" si="15"/>
        <v>-4</v>
      </c>
      <c r="K222" s="103">
        <f t="shared" si="16"/>
        <v>-40</v>
      </c>
      <c r="L222" s="103"/>
      <c r="M222" s="105">
        <f t="shared" si="17"/>
        <v>0</v>
      </c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</row>
    <row r="223" spans="1:38" s="88" customFormat="1">
      <c r="A223" s="124"/>
      <c r="B223" s="123"/>
      <c r="C223" s="123"/>
      <c r="D223" s="123"/>
      <c r="E223" s="123"/>
      <c r="F223" s="123"/>
      <c r="H223" s="103">
        <v>218</v>
      </c>
      <c r="I223" s="104" t="str">
        <f t="shared" si="14"/>
        <v/>
      </c>
      <c r="J223" s="104">
        <f t="shared" si="15"/>
        <v>-4</v>
      </c>
      <c r="K223" s="103">
        <f t="shared" si="16"/>
        <v>-40</v>
      </c>
      <c r="L223" s="103"/>
      <c r="M223" s="105">
        <f t="shared" si="17"/>
        <v>0</v>
      </c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</row>
    <row r="224" spans="1:38" s="88" customFormat="1">
      <c r="A224" s="124"/>
      <c r="B224" s="123"/>
      <c r="C224" s="123"/>
      <c r="D224" s="123"/>
      <c r="E224" s="123"/>
      <c r="F224" s="123"/>
      <c r="H224" s="103">
        <v>219</v>
      </c>
      <c r="I224" s="104" t="str">
        <f t="shared" si="14"/>
        <v/>
      </c>
      <c r="J224" s="104">
        <f t="shared" si="15"/>
        <v>-4</v>
      </c>
      <c r="K224" s="103">
        <f t="shared" si="16"/>
        <v>-40</v>
      </c>
      <c r="L224" s="103"/>
      <c r="M224" s="105">
        <f t="shared" si="17"/>
        <v>0</v>
      </c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</row>
    <row r="225" spans="1:38" s="88" customFormat="1">
      <c r="A225" s="124"/>
      <c r="B225" s="123"/>
      <c r="C225" s="123"/>
      <c r="D225" s="123"/>
      <c r="E225" s="123"/>
      <c r="F225" s="123"/>
      <c r="H225" s="103">
        <v>220</v>
      </c>
      <c r="I225" s="104" t="str">
        <f t="shared" si="14"/>
        <v/>
      </c>
      <c r="J225" s="104">
        <f t="shared" si="15"/>
        <v>-4</v>
      </c>
      <c r="K225" s="103">
        <f t="shared" si="16"/>
        <v>-40</v>
      </c>
      <c r="L225" s="103"/>
      <c r="M225" s="105">
        <f t="shared" si="17"/>
        <v>0</v>
      </c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</row>
    <row r="226" spans="1:38" s="88" customFormat="1">
      <c r="A226" s="124"/>
      <c r="B226" s="123"/>
      <c r="C226" s="123"/>
      <c r="D226" s="123"/>
      <c r="E226" s="123"/>
      <c r="F226" s="123"/>
      <c r="H226" s="103">
        <v>221</v>
      </c>
      <c r="I226" s="104" t="str">
        <f t="shared" si="14"/>
        <v/>
      </c>
      <c r="J226" s="104">
        <f t="shared" si="15"/>
        <v>-4</v>
      </c>
      <c r="K226" s="103">
        <f t="shared" si="16"/>
        <v>-40</v>
      </c>
      <c r="L226" s="103"/>
      <c r="M226" s="105">
        <f t="shared" si="17"/>
        <v>0</v>
      </c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</row>
    <row r="227" spans="1:38" s="88" customFormat="1">
      <c r="A227" s="124"/>
      <c r="B227" s="123"/>
      <c r="C227" s="123"/>
      <c r="D227" s="123"/>
      <c r="E227" s="123"/>
      <c r="F227" s="123"/>
      <c r="H227" s="103">
        <v>222</v>
      </c>
      <c r="I227" s="104" t="str">
        <f t="shared" si="14"/>
        <v/>
      </c>
      <c r="J227" s="104">
        <f t="shared" si="15"/>
        <v>-4</v>
      </c>
      <c r="K227" s="103">
        <f t="shared" si="16"/>
        <v>-40</v>
      </c>
      <c r="L227" s="103"/>
      <c r="M227" s="105">
        <f t="shared" si="17"/>
        <v>0</v>
      </c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</row>
    <row r="228" spans="1:38" s="88" customFormat="1">
      <c r="A228" s="124"/>
      <c r="B228" s="123"/>
      <c r="C228" s="123"/>
      <c r="D228" s="123"/>
      <c r="E228" s="123"/>
      <c r="F228" s="123"/>
      <c r="H228" s="103">
        <v>223</v>
      </c>
      <c r="I228" s="104" t="str">
        <f t="shared" si="14"/>
        <v/>
      </c>
      <c r="J228" s="104">
        <f t="shared" si="15"/>
        <v>-4</v>
      </c>
      <c r="K228" s="103">
        <f t="shared" si="16"/>
        <v>-40</v>
      </c>
      <c r="L228" s="103"/>
      <c r="M228" s="105">
        <f t="shared" si="17"/>
        <v>0</v>
      </c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</row>
    <row r="229" spans="1:38" s="88" customFormat="1">
      <c r="A229" s="124"/>
      <c r="B229" s="123"/>
      <c r="C229" s="123"/>
      <c r="D229" s="123"/>
      <c r="E229" s="123"/>
      <c r="F229" s="123"/>
      <c r="H229" s="103">
        <v>224</v>
      </c>
      <c r="I229" s="104" t="str">
        <f t="shared" si="14"/>
        <v/>
      </c>
      <c r="J229" s="104">
        <f t="shared" si="15"/>
        <v>-4</v>
      </c>
      <c r="K229" s="103">
        <f t="shared" si="16"/>
        <v>-40</v>
      </c>
      <c r="L229" s="103"/>
      <c r="M229" s="105">
        <f t="shared" si="17"/>
        <v>0</v>
      </c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</row>
    <row r="230" spans="1:38" s="88" customFormat="1">
      <c r="A230" s="124"/>
      <c r="B230" s="123"/>
      <c r="C230" s="123"/>
      <c r="D230" s="123"/>
      <c r="E230" s="123"/>
      <c r="F230" s="123"/>
      <c r="H230" s="103">
        <v>225</v>
      </c>
      <c r="I230" s="104" t="str">
        <f t="shared" si="14"/>
        <v/>
      </c>
      <c r="J230" s="104">
        <f t="shared" si="15"/>
        <v>-4</v>
      </c>
      <c r="K230" s="103">
        <f t="shared" si="16"/>
        <v>-40</v>
      </c>
      <c r="L230" s="103"/>
      <c r="M230" s="105">
        <f t="shared" si="17"/>
        <v>0</v>
      </c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</row>
    <row r="231" spans="1:38" s="88" customFormat="1">
      <c r="A231" s="124"/>
      <c r="B231" s="123"/>
      <c r="C231" s="123"/>
      <c r="D231" s="123"/>
      <c r="E231" s="123"/>
      <c r="F231" s="123"/>
      <c r="H231" s="103">
        <v>226</v>
      </c>
      <c r="I231" s="104" t="str">
        <f t="shared" si="14"/>
        <v/>
      </c>
      <c r="J231" s="104">
        <f t="shared" si="15"/>
        <v>-4</v>
      </c>
      <c r="K231" s="103">
        <f t="shared" si="16"/>
        <v>-40</v>
      </c>
      <c r="L231" s="103"/>
      <c r="M231" s="105">
        <f t="shared" si="17"/>
        <v>0</v>
      </c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</row>
    <row r="232" spans="1:38" s="88" customFormat="1">
      <c r="A232" s="124"/>
      <c r="B232" s="123"/>
      <c r="C232" s="123"/>
      <c r="D232" s="123"/>
      <c r="E232" s="123"/>
      <c r="F232" s="123"/>
      <c r="H232" s="103">
        <v>227</v>
      </c>
      <c r="I232" s="104" t="str">
        <f t="shared" si="14"/>
        <v/>
      </c>
      <c r="J232" s="104">
        <f t="shared" si="15"/>
        <v>-4</v>
      </c>
      <c r="K232" s="103">
        <f t="shared" si="16"/>
        <v>-40</v>
      </c>
      <c r="L232" s="103"/>
      <c r="M232" s="105">
        <f t="shared" si="17"/>
        <v>0</v>
      </c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</row>
    <row r="233" spans="1:38" s="88" customFormat="1">
      <c r="A233" s="124"/>
      <c r="B233" s="123"/>
      <c r="C233" s="123"/>
      <c r="D233" s="123"/>
      <c r="E233" s="123"/>
      <c r="F233" s="123"/>
      <c r="H233" s="103">
        <v>228</v>
      </c>
      <c r="I233" s="104" t="str">
        <f t="shared" si="14"/>
        <v/>
      </c>
      <c r="J233" s="104">
        <f t="shared" si="15"/>
        <v>-4</v>
      </c>
      <c r="K233" s="103">
        <f t="shared" si="16"/>
        <v>-40</v>
      </c>
      <c r="L233" s="103"/>
      <c r="M233" s="105">
        <f t="shared" si="17"/>
        <v>0</v>
      </c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</row>
    <row r="234" spans="1:38" s="88" customFormat="1">
      <c r="A234" s="124"/>
      <c r="B234" s="123"/>
      <c r="C234" s="123"/>
      <c r="D234" s="123"/>
      <c r="E234" s="123"/>
      <c r="F234" s="123"/>
      <c r="H234" s="103">
        <v>229</v>
      </c>
      <c r="I234" s="104" t="str">
        <f t="shared" si="14"/>
        <v/>
      </c>
      <c r="J234" s="104">
        <f t="shared" si="15"/>
        <v>-4</v>
      </c>
      <c r="K234" s="103">
        <f t="shared" si="16"/>
        <v>-40</v>
      </c>
      <c r="L234" s="103"/>
      <c r="M234" s="105">
        <f t="shared" si="17"/>
        <v>0</v>
      </c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</row>
    <row r="235" spans="1:38" s="88" customFormat="1">
      <c r="A235" s="124"/>
      <c r="B235" s="123"/>
      <c r="C235" s="123"/>
      <c r="D235" s="123"/>
      <c r="E235" s="123"/>
      <c r="F235" s="123"/>
      <c r="H235" s="103">
        <v>230</v>
      </c>
      <c r="I235" s="104" t="str">
        <f t="shared" si="14"/>
        <v/>
      </c>
      <c r="J235" s="104">
        <f t="shared" si="15"/>
        <v>-4</v>
      </c>
      <c r="K235" s="103">
        <f t="shared" si="16"/>
        <v>-40</v>
      </c>
      <c r="L235" s="103"/>
      <c r="M235" s="105">
        <f t="shared" si="17"/>
        <v>0</v>
      </c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</row>
    <row r="236" spans="1:38" s="88" customFormat="1">
      <c r="A236" s="124"/>
      <c r="B236" s="123"/>
      <c r="C236" s="123"/>
      <c r="D236" s="123"/>
      <c r="E236" s="123"/>
      <c r="F236" s="123"/>
      <c r="H236" s="103">
        <v>231</v>
      </c>
      <c r="I236" s="104" t="str">
        <f t="shared" si="14"/>
        <v/>
      </c>
      <c r="J236" s="104">
        <f t="shared" si="15"/>
        <v>-4</v>
      </c>
      <c r="K236" s="103">
        <f t="shared" si="16"/>
        <v>-40</v>
      </c>
      <c r="L236" s="103"/>
      <c r="M236" s="105">
        <f t="shared" si="17"/>
        <v>0</v>
      </c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</row>
    <row r="237" spans="1:38" s="88" customFormat="1">
      <c r="A237" s="124"/>
      <c r="B237" s="123"/>
      <c r="C237" s="123"/>
      <c r="D237" s="123"/>
      <c r="E237" s="123"/>
      <c r="F237" s="123"/>
      <c r="H237" s="103">
        <v>232</v>
      </c>
      <c r="I237" s="104" t="str">
        <f t="shared" si="14"/>
        <v/>
      </c>
      <c r="J237" s="104">
        <f t="shared" si="15"/>
        <v>-4</v>
      </c>
      <c r="K237" s="103">
        <f t="shared" si="16"/>
        <v>-40</v>
      </c>
      <c r="L237" s="103"/>
      <c r="M237" s="105">
        <f t="shared" si="17"/>
        <v>0</v>
      </c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</row>
    <row r="238" spans="1:38" s="88" customFormat="1">
      <c r="A238" s="124"/>
      <c r="B238" s="123"/>
      <c r="C238" s="123"/>
      <c r="D238" s="123"/>
      <c r="E238" s="123"/>
      <c r="F238" s="123"/>
      <c r="H238" s="103">
        <v>233</v>
      </c>
      <c r="I238" s="104" t="str">
        <f t="shared" si="14"/>
        <v/>
      </c>
      <c r="J238" s="104">
        <f t="shared" si="15"/>
        <v>-4</v>
      </c>
      <c r="K238" s="103">
        <f t="shared" si="16"/>
        <v>-40</v>
      </c>
      <c r="L238" s="103"/>
      <c r="M238" s="105">
        <f t="shared" si="17"/>
        <v>0</v>
      </c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</row>
    <row r="239" spans="1:38" s="88" customFormat="1">
      <c r="A239" s="124"/>
      <c r="B239" s="123"/>
      <c r="C239" s="123"/>
      <c r="D239" s="123"/>
      <c r="E239" s="123"/>
      <c r="F239" s="123"/>
      <c r="H239" s="103">
        <v>234</v>
      </c>
      <c r="I239" s="104" t="str">
        <f t="shared" si="14"/>
        <v/>
      </c>
      <c r="J239" s="104">
        <f t="shared" si="15"/>
        <v>-4</v>
      </c>
      <c r="K239" s="103">
        <f t="shared" si="16"/>
        <v>-40</v>
      </c>
      <c r="L239" s="103"/>
      <c r="M239" s="105">
        <f t="shared" si="17"/>
        <v>0</v>
      </c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</row>
    <row r="240" spans="1:38" s="88" customFormat="1">
      <c r="A240" s="124"/>
      <c r="B240" s="123"/>
      <c r="C240" s="123"/>
      <c r="D240" s="123"/>
      <c r="E240" s="123"/>
      <c r="F240" s="123"/>
      <c r="H240" s="103">
        <v>235</v>
      </c>
      <c r="I240" s="104" t="str">
        <f t="shared" si="14"/>
        <v/>
      </c>
      <c r="J240" s="104">
        <f t="shared" si="15"/>
        <v>-4</v>
      </c>
      <c r="K240" s="103">
        <f t="shared" si="16"/>
        <v>-40</v>
      </c>
      <c r="L240" s="103"/>
      <c r="M240" s="105">
        <f t="shared" si="17"/>
        <v>0</v>
      </c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</row>
    <row r="241" spans="1:38" s="88" customFormat="1">
      <c r="A241" s="124"/>
      <c r="B241" s="123"/>
      <c r="C241" s="123"/>
      <c r="D241" s="123"/>
      <c r="E241" s="123"/>
      <c r="F241" s="123"/>
      <c r="H241" s="103">
        <v>236</v>
      </c>
      <c r="I241" s="104" t="str">
        <f t="shared" si="14"/>
        <v/>
      </c>
      <c r="J241" s="104">
        <f t="shared" si="15"/>
        <v>-4</v>
      </c>
      <c r="K241" s="103">
        <f t="shared" si="16"/>
        <v>-40</v>
      </c>
      <c r="L241" s="103"/>
      <c r="M241" s="105">
        <f t="shared" si="17"/>
        <v>0</v>
      </c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</row>
    <row r="242" spans="1:38" s="88" customFormat="1">
      <c r="A242" s="124"/>
      <c r="B242" s="123"/>
      <c r="C242" s="123"/>
      <c r="D242" s="123"/>
      <c r="E242" s="123"/>
      <c r="F242" s="123"/>
      <c r="H242" s="103">
        <v>237</v>
      </c>
      <c r="I242" s="104" t="str">
        <f t="shared" si="14"/>
        <v/>
      </c>
      <c r="J242" s="104">
        <f t="shared" si="15"/>
        <v>-4</v>
      </c>
      <c r="K242" s="103">
        <f t="shared" si="16"/>
        <v>-40</v>
      </c>
      <c r="L242" s="103"/>
      <c r="M242" s="105">
        <f t="shared" si="17"/>
        <v>0</v>
      </c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</row>
    <row r="243" spans="1:38" s="88" customFormat="1">
      <c r="A243" s="124"/>
      <c r="B243" s="123"/>
      <c r="C243" s="123"/>
      <c r="D243" s="123"/>
      <c r="E243" s="123"/>
      <c r="F243" s="123"/>
      <c r="H243" s="103">
        <v>238</v>
      </c>
      <c r="I243" s="104" t="str">
        <f t="shared" si="14"/>
        <v/>
      </c>
      <c r="J243" s="104">
        <f t="shared" si="15"/>
        <v>-4</v>
      </c>
      <c r="K243" s="103">
        <f t="shared" si="16"/>
        <v>-40</v>
      </c>
      <c r="L243" s="103"/>
      <c r="M243" s="105">
        <f t="shared" si="17"/>
        <v>0</v>
      </c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</row>
    <row r="244" spans="1:38" s="88" customFormat="1">
      <c r="A244" s="124"/>
      <c r="B244" s="123"/>
      <c r="C244" s="123"/>
      <c r="D244" s="123"/>
      <c r="E244" s="123"/>
      <c r="F244" s="123"/>
      <c r="H244" s="103">
        <v>239</v>
      </c>
      <c r="I244" s="104" t="str">
        <f t="shared" si="14"/>
        <v/>
      </c>
      <c r="J244" s="104">
        <f t="shared" si="15"/>
        <v>-4</v>
      </c>
      <c r="K244" s="103">
        <f t="shared" si="16"/>
        <v>-40</v>
      </c>
      <c r="L244" s="103"/>
      <c r="M244" s="105">
        <f t="shared" si="17"/>
        <v>0</v>
      </c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</row>
    <row r="245" spans="1:38" s="88" customFormat="1">
      <c r="A245" s="124"/>
      <c r="B245" s="123"/>
      <c r="C245" s="123"/>
      <c r="D245" s="123"/>
      <c r="E245" s="123"/>
      <c r="F245" s="123"/>
      <c r="H245" s="103">
        <v>240</v>
      </c>
      <c r="I245" s="104" t="str">
        <f t="shared" si="14"/>
        <v/>
      </c>
      <c r="J245" s="104">
        <f t="shared" si="15"/>
        <v>-4</v>
      </c>
      <c r="K245" s="103">
        <f t="shared" si="16"/>
        <v>-40</v>
      </c>
      <c r="L245" s="103"/>
      <c r="M245" s="105">
        <f t="shared" si="17"/>
        <v>0</v>
      </c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</row>
    <row r="246" spans="1:38" s="88" customFormat="1">
      <c r="A246" s="124"/>
      <c r="B246" s="123"/>
      <c r="C246" s="123"/>
      <c r="D246" s="123"/>
      <c r="E246" s="123"/>
      <c r="F246" s="123"/>
      <c r="H246" s="103">
        <v>241</v>
      </c>
      <c r="I246" s="104" t="str">
        <f t="shared" si="14"/>
        <v/>
      </c>
      <c r="J246" s="104">
        <f t="shared" si="15"/>
        <v>-4</v>
      </c>
      <c r="K246" s="103">
        <f t="shared" si="16"/>
        <v>-40</v>
      </c>
      <c r="L246" s="103"/>
      <c r="M246" s="105">
        <f t="shared" si="17"/>
        <v>0</v>
      </c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</row>
    <row r="247" spans="1:38" s="88" customFormat="1">
      <c r="A247" s="124"/>
      <c r="B247" s="123"/>
      <c r="C247" s="123"/>
      <c r="D247" s="123"/>
      <c r="E247" s="123"/>
      <c r="F247" s="123"/>
      <c r="H247" s="103">
        <v>242</v>
      </c>
      <c r="I247" s="104" t="str">
        <f t="shared" si="14"/>
        <v/>
      </c>
      <c r="J247" s="104">
        <f t="shared" si="15"/>
        <v>-4</v>
      </c>
      <c r="K247" s="103">
        <f t="shared" si="16"/>
        <v>-40</v>
      </c>
      <c r="L247" s="103"/>
      <c r="M247" s="105">
        <f t="shared" si="17"/>
        <v>0</v>
      </c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</row>
    <row r="248" spans="1:38" s="88" customFormat="1">
      <c r="A248" s="124"/>
      <c r="B248" s="123"/>
      <c r="C248" s="123"/>
      <c r="D248" s="123"/>
      <c r="E248" s="123"/>
      <c r="F248" s="123"/>
      <c r="H248" s="103">
        <v>243</v>
      </c>
      <c r="I248" s="104" t="str">
        <f t="shared" si="14"/>
        <v/>
      </c>
      <c r="J248" s="104">
        <f t="shared" si="15"/>
        <v>-4</v>
      </c>
      <c r="K248" s="103">
        <f t="shared" si="16"/>
        <v>-40</v>
      </c>
      <c r="L248" s="103"/>
      <c r="M248" s="105">
        <f t="shared" si="17"/>
        <v>0</v>
      </c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</row>
    <row r="249" spans="1:38" s="88" customFormat="1">
      <c r="A249" s="124"/>
      <c r="B249" s="123"/>
      <c r="C249" s="123"/>
      <c r="D249" s="123"/>
      <c r="E249" s="123"/>
      <c r="F249" s="123"/>
      <c r="H249" s="103">
        <v>244</v>
      </c>
      <c r="I249" s="104" t="str">
        <f t="shared" si="14"/>
        <v/>
      </c>
      <c r="J249" s="104">
        <f t="shared" si="15"/>
        <v>-4</v>
      </c>
      <c r="K249" s="103">
        <f t="shared" si="16"/>
        <v>-40</v>
      </c>
      <c r="L249" s="103"/>
      <c r="M249" s="105">
        <f t="shared" si="17"/>
        <v>0</v>
      </c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</row>
    <row r="250" spans="1:38" s="88" customFormat="1">
      <c r="A250" s="124"/>
      <c r="B250" s="123"/>
      <c r="C250" s="123"/>
      <c r="D250" s="123"/>
      <c r="E250" s="123"/>
      <c r="F250" s="123"/>
      <c r="H250" s="103">
        <v>245</v>
      </c>
      <c r="I250" s="104" t="str">
        <f t="shared" si="14"/>
        <v/>
      </c>
      <c r="J250" s="104">
        <f t="shared" si="15"/>
        <v>-4</v>
      </c>
      <c r="K250" s="103">
        <f t="shared" si="16"/>
        <v>-40</v>
      </c>
      <c r="L250" s="103"/>
      <c r="M250" s="105">
        <f t="shared" si="17"/>
        <v>0</v>
      </c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</row>
    <row r="251" spans="1:38" s="88" customFormat="1">
      <c r="A251" s="124"/>
      <c r="B251" s="123"/>
      <c r="C251" s="123"/>
      <c r="D251" s="123"/>
      <c r="E251" s="123"/>
      <c r="F251" s="123"/>
      <c r="H251" s="103">
        <v>246</v>
      </c>
      <c r="I251" s="104" t="str">
        <f t="shared" si="14"/>
        <v/>
      </c>
      <c r="J251" s="104">
        <f t="shared" si="15"/>
        <v>-4</v>
      </c>
      <c r="K251" s="103">
        <f t="shared" si="16"/>
        <v>-40</v>
      </c>
      <c r="L251" s="103"/>
      <c r="M251" s="105">
        <f t="shared" si="17"/>
        <v>0</v>
      </c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</row>
    <row r="252" spans="1:38" s="88" customFormat="1">
      <c r="A252" s="124"/>
      <c r="B252" s="123"/>
      <c r="C252" s="123"/>
      <c r="D252" s="123"/>
      <c r="E252" s="123"/>
      <c r="F252" s="123"/>
      <c r="H252" s="103">
        <v>247</v>
      </c>
      <c r="I252" s="104" t="str">
        <f t="shared" si="14"/>
        <v/>
      </c>
      <c r="J252" s="104">
        <f t="shared" si="15"/>
        <v>-4</v>
      </c>
      <c r="K252" s="103">
        <f t="shared" si="16"/>
        <v>-40</v>
      </c>
      <c r="L252" s="103"/>
      <c r="M252" s="105">
        <f t="shared" si="17"/>
        <v>0</v>
      </c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</row>
    <row r="253" spans="1:38" s="88" customFormat="1">
      <c r="A253" s="124"/>
      <c r="B253" s="123"/>
      <c r="C253" s="123"/>
      <c r="D253" s="123"/>
      <c r="E253" s="123"/>
      <c r="F253" s="123"/>
      <c r="H253" s="103">
        <v>248</v>
      </c>
      <c r="I253" s="104" t="str">
        <f t="shared" si="14"/>
        <v/>
      </c>
      <c r="J253" s="104">
        <f t="shared" si="15"/>
        <v>-4</v>
      </c>
      <c r="K253" s="103">
        <f t="shared" si="16"/>
        <v>-40</v>
      </c>
      <c r="L253" s="103"/>
      <c r="M253" s="105">
        <f t="shared" si="17"/>
        <v>0</v>
      </c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</row>
    <row r="254" spans="1:38" s="88" customFormat="1">
      <c r="A254" s="124"/>
      <c r="B254" s="123"/>
      <c r="C254" s="123"/>
      <c r="D254" s="123"/>
      <c r="E254" s="123"/>
      <c r="F254" s="123"/>
      <c r="H254" s="103">
        <v>249</v>
      </c>
      <c r="I254" s="104" t="str">
        <f t="shared" si="14"/>
        <v/>
      </c>
      <c r="J254" s="104">
        <f t="shared" si="15"/>
        <v>-4</v>
      </c>
      <c r="K254" s="103">
        <f t="shared" si="16"/>
        <v>-40</v>
      </c>
      <c r="L254" s="103"/>
      <c r="M254" s="105">
        <f t="shared" si="17"/>
        <v>0</v>
      </c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</row>
    <row r="255" spans="1:38" s="88" customFormat="1">
      <c r="A255" s="124"/>
      <c r="B255" s="123"/>
      <c r="C255" s="123"/>
      <c r="D255" s="123"/>
      <c r="E255" s="123"/>
      <c r="F255" s="123"/>
      <c r="H255" s="103">
        <v>250</v>
      </c>
      <c r="I255" s="104" t="str">
        <f t="shared" si="14"/>
        <v/>
      </c>
      <c r="J255" s="104">
        <f t="shared" si="15"/>
        <v>-4</v>
      </c>
      <c r="K255" s="103">
        <f t="shared" si="16"/>
        <v>-40</v>
      </c>
      <c r="L255" s="103"/>
      <c r="M255" s="105">
        <f t="shared" si="17"/>
        <v>0</v>
      </c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</row>
    <row r="256" spans="1:38" s="88" customFormat="1">
      <c r="A256" s="124"/>
      <c r="B256" s="123"/>
      <c r="C256" s="123"/>
      <c r="D256" s="123"/>
      <c r="E256" s="123"/>
      <c r="F256" s="123"/>
      <c r="H256" s="103">
        <v>251</v>
      </c>
      <c r="I256" s="104" t="str">
        <f t="shared" si="14"/>
        <v/>
      </c>
      <c r="J256" s="104">
        <f t="shared" si="15"/>
        <v>-4</v>
      </c>
      <c r="K256" s="103">
        <f t="shared" si="16"/>
        <v>-40</v>
      </c>
      <c r="L256" s="103"/>
      <c r="M256" s="105">
        <f t="shared" si="17"/>
        <v>0</v>
      </c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</row>
    <row r="257" spans="1:38" s="88" customFormat="1">
      <c r="A257" s="124"/>
      <c r="B257" s="123"/>
      <c r="C257" s="123"/>
      <c r="D257" s="123"/>
      <c r="E257" s="123"/>
      <c r="F257" s="123"/>
      <c r="H257" s="103">
        <v>252</v>
      </c>
      <c r="I257" s="104" t="str">
        <f t="shared" si="14"/>
        <v/>
      </c>
      <c r="J257" s="104">
        <f t="shared" si="15"/>
        <v>-4</v>
      </c>
      <c r="K257" s="103">
        <f t="shared" si="16"/>
        <v>-40</v>
      </c>
      <c r="L257" s="103"/>
      <c r="M257" s="105">
        <f t="shared" si="17"/>
        <v>0</v>
      </c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</row>
    <row r="258" spans="1:38" s="88" customFormat="1">
      <c r="A258" s="124"/>
      <c r="B258" s="123"/>
      <c r="C258" s="123"/>
      <c r="D258" s="123"/>
      <c r="E258" s="123"/>
      <c r="F258" s="123"/>
      <c r="H258" s="103">
        <v>253</v>
      </c>
      <c r="I258" s="104" t="str">
        <f t="shared" si="14"/>
        <v/>
      </c>
      <c r="J258" s="104">
        <f t="shared" si="15"/>
        <v>-4</v>
      </c>
      <c r="K258" s="103">
        <f t="shared" si="16"/>
        <v>-40</v>
      </c>
      <c r="L258" s="103"/>
      <c r="M258" s="105">
        <f t="shared" si="17"/>
        <v>0</v>
      </c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</row>
    <row r="259" spans="1:38" s="88" customFormat="1">
      <c r="A259" s="124"/>
      <c r="B259" s="123"/>
      <c r="C259" s="123"/>
      <c r="D259" s="123"/>
      <c r="E259" s="123"/>
      <c r="F259" s="123"/>
      <c r="H259" s="103">
        <v>254</v>
      </c>
      <c r="I259" s="104" t="str">
        <f t="shared" si="14"/>
        <v/>
      </c>
      <c r="J259" s="104">
        <f t="shared" si="15"/>
        <v>-4</v>
      </c>
      <c r="K259" s="103">
        <f t="shared" si="16"/>
        <v>-40</v>
      </c>
      <c r="L259" s="103"/>
      <c r="M259" s="105">
        <f t="shared" si="17"/>
        <v>0</v>
      </c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</row>
    <row r="260" spans="1:38" s="88" customFormat="1">
      <c r="A260" s="124"/>
      <c r="B260" s="123"/>
      <c r="C260" s="123"/>
      <c r="D260" s="123"/>
      <c r="E260" s="123"/>
      <c r="F260" s="123"/>
      <c r="H260" s="103">
        <v>255</v>
      </c>
      <c r="I260" s="104" t="str">
        <f t="shared" si="14"/>
        <v/>
      </c>
      <c r="J260" s="104">
        <f t="shared" si="15"/>
        <v>-4</v>
      </c>
      <c r="K260" s="103">
        <f t="shared" si="16"/>
        <v>-40</v>
      </c>
      <c r="L260" s="103"/>
      <c r="M260" s="105">
        <f t="shared" si="17"/>
        <v>0</v>
      </c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</row>
    <row r="261" spans="1:38" s="88" customFormat="1">
      <c r="A261" s="124"/>
      <c r="B261" s="123"/>
      <c r="C261" s="123"/>
      <c r="D261" s="123"/>
      <c r="E261" s="123"/>
      <c r="F261" s="123"/>
      <c r="H261" s="103">
        <v>256</v>
      </c>
      <c r="I261" s="104" t="str">
        <f t="shared" si="14"/>
        <v/>
      </c>
      <c r="J261" s="104">
        <f t="shared" si="15"/>
        <v>-4</v>
      </c>
      <c r="K261" s="103">
        <f t="shared" si="16"/>
        <v>-40</v>
      </c>
      <c r="L261" s="103"/>
      <c r="M261" s="105">
        <f t="shared" si="17"/>
        <v>0</v>
      </c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</row>
    <row r="262" spans="1:38" s="88" customFormat="1">
      <c r="A262" s="124"/>
      <c r="B262" s="123"/>
      <c r="C262" s="123"/>
      <c r="D262" s="123"/>
      <c r="E262" s="123"/>
      <c r="F262" s="123"/>
      <c r="H262" s="103">
        <v>257</v>
      </c>
      <c r="I262" s="104" t="str">
        <f t="shared" ref="I262:I305" si="18">IF(H262&lt;$H$2+1,($I$2-($I$2-1)*(LOG(H262)/LOG($H$2))),"")</f>
        <v/>
      </c>
      <c r="J262" s="104">
        <f t="shared" ref="J262:J305" si="19">INT(LOG($H$2,2))-ROUNDUP(LOG(H262,2),0)+IF(OR($H$2=1,$H$2=2,$H$2=4,$H$2=8,$H$2=16,$H$2=32,$H$2=64,$H$2=128,$H$2=256),0,1)</f>
        <v>-5</v>
      </c>
      <c r="K262" s="103">
        <f t="shared" ref="K262:K305" si="20">J262*$J$2</f>
        <v>-50</v>
      </c>
      <c r="L262" s="103"/>
      <c r="M262" s="105">
        <f t="shared" ref="M262:M305" si="21">IF(I262&lt;&gt;"",K262+I262+L262,0)</f>
        <v>0</v>
      </c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</row>
    <row r="263" spans="1:38" s="88" customFormat="1">
      <c r="A263" s="124"/>
      <c r="B263" s="123"/>
      <c r="C263" s="123"/>
      <c r="D263" s="123"/>
      <c r="E263" s="123"/>
      <c r="F263" s="123"/>
      <c r="H263" s="103">
        <v>258</v>
      </c>
      <c r="I263" s="104" t="str">
        <f t="shared" si="18"/>
        <v/>
      </c>
      <c r="J263" s="104">
        <f t="shared" si="19"/>
        <v>-5</v>
      </c>
      <c r="K263" s="103">
        <f t="shared" si="20"/>
        <v>-50</v>
      </c>
      <c r="L263" s="103"/>
      <c r="M263" s="105">
        <f t="shared" si="21"/>
        <v>0</v>
      </c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</row>
    <row r="264" spans="1:38" s="88" customFormat="1">
      <c r="A264" s="124"/>
      <c r="B264" s="123"/>
      <c r="C264" s="123"/>
      <c r="D264" s="123"/>
      <c r="E264" s="123"/>
      <c r="F264" s="123"/>
      <c r="H264" s="103">
        <v>259</v>
      </c>
      <c r="I264" s="104" t="str">
        <f t="shared" si="18"/>
        <v/>
      </c>
      <c r="J264" s="104">
        <f t="shared" si="19"/>
        <v>-5</v>
      </c>
      <c r="K264" s="103">
        <f t="shared" si="20"/>
        <v>-50</v>
      </c>
      <c r="L264" s="103"/>
      <c r="M264" s="105">
        <f t="shared" si="21"/>
        <v>0</v>
      </c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</row>
    <row r="265" spans="1:38" s="88" customFormat="1">
      <c r="A265" s="124"/>
      <c r="B265" s="123"/>
      <c r="C265" s="123"/>
      <c r="D265" s="123"/>
      <c r="E265" s="123"/>
      <c r="F265" s="123"/>
      <c r="H265" s="103">
        <v>260</v>
      </c>
      <c r="I265" s="104" t="str">
        <f t="shared" si="18"/>
        <v/>
      </c>
      <c r="J265" s="104">
        <f t="shared" si="19"/>
        <v>-5</v>
      </c>
      <c r="K265" s="103">
        <f t="shared" si="20"/>
        <v>-50</v>
      </c>
      <c r="L265" s="103"/>
      <c r="M265" s="105">
        <f t="shared" si="21"/>
        <v>0</v>
      </c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</row>
    <row r="266" spans="1:38" s="88" customFormat="1">
      <c r="A266" s="124"/>
      <c r="B266" s="123"/>
      <c r="C266" s="123"/>
      <c r="D266" s="123"/>
      <c r="E266" s="123"/>
      <c r="F266" s="123"/>
      <c r="H266" s="103">
        <v>261</v>
      </c>
      <c r="I266" s="104" t="str">
        <f t="shared" si="18"/>
        <v/>
      </c>
      <c r="J266" s="104">
        <f t="shared" si="19"/>
        <v>-5</v>
      </c>
      <c r="K266" s="103">
        <f t="shared" si="20"/>
        <v>-50</v>
      </c>
      <c r="L266" s="103"/>
      <c r="M266" s="105">
        <f t="shared" si="21"/>
        <v>0</v>
      </c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</row>
    <row r="267" spans="1:38" s="88" customFormat="1">
      <c r="A267" s="124"/>
      <c r="B267" s="123"/>
      <c r="C267" s="123"/>
      <c r="D267" s="123"/>
      <c r="E267" s="123"/>
      <c r="F267" s="123"/>
      <c r="H267" s="103">
        <v>262</v>
      </c>
      <c r="I267" s="104" t="str">
        <f t="shared" si="18"/>
        <v/>
      </c>
      <c r="J267" s="104">
        <f t="shared" si="19"/>
        <v>-5</v>
      </c>
      <c r="K267" s="103">
        <f t="shared" si="20"/>
        <v>-50</v>
      </c>
      <c r="L267" s="103"/>
      <c r="M267" s="105">
        <f t="shared" si="21"/>
        <v>0</v>
      </c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</row>
    <row r="268" spans="1:38" s="88" customFormat="1">
      <c r="A268" s="124"/>
      <c r="B268" s="123"/>
      <c r="C268" s="123"/>
      <c r="D268" s="123"/>
      <c r="E268" s="123"/>
      <c r="F268" s="123"/>
      <c r="H268" s="103">
        <v>263</v>
      </c>
      <c r="I268" s="104" t="str">
        <f t="shared" si="18"/>
        <v/>
      </c>
      <c r="J268" s="104">
        <f t="shared" si="19"/>
        <v>-5</v>
      </c>
      <c r="K268" s="103">
        <f t="shared" si="20"/>
        <v>-50</v>
      </c>
      <c r="L268" s="103"/>
      <c r="M268" s="105">
        <f t="shared" si="21"/>
        <v>0</v>
      </c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</row>
    <row r="269" spans="1:38" s="88" customFormat="1">
      <c r="A269" s="124"/>
      <c r="B269" s="123"/>
      <c r="C269" s="123"/>
      <c r="D269" s="123"/>
      <c r="E269" s="123"/>
      <c r="F269" s="123"/>
      <c r="H269" s="103">
        <v>264</v>
      </c>
      <c r="I269" s="104" t="str">
        <f t="shared" si="18"/>
        <v/>
      </c>
      <c r="J269" s="104">
        <f t="shared" si="19"/>
        <v>-5</v>
      </c>
      <c r="K269" s="103">
        <f t="shared" si="20"/>
        <v>-50</v>
      </c>
      <c r="L269" s="103"/>
      <c r="M269" s="105">
        <f t="shared" si="21"/>
        <v>0</v>
      </c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</row>
    <row r="270" spans="1:38" s="88" customFormat="1">
      <c r="A270" s="124"/>
      <c r="B270" s="123"/>
      <c r="C270" s="123"/>
      <c r="D270" s="123"/>
      <c r="E270" s="123"/>
      <c r="F270" s="123"/>
      <c r="H270" s="103">
        <v>265</v>
      </c>
      <c r="I270" s="104" t="str">
        <f t="shared" si="18"/>
        <v/>
      </c>
      <c r="J270" s="104">
        <f t="shared" si="19"/>
        <v>-5</v>
      </c>
      <c r="K270" s="103">
        <f t="shared" si="20"/>
        <v>-50</v>
      </c>
      <c r="L270" s="103"/>
      <c r="M270" s="105">
        <f t="shared" si="21"/>
        <v>0</v>
      </c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</row>
    <row r="271" spans="1:38" s="88" customFormat="1">
      <c r="A271" s="124"/>
      <c r="B271" s="123"/>
      <c r="C271" s="123"/>
      <c r="D271" s="123"/>
      <c r="E271" s="123"/>
      <c r="F271" s="123"/>
      <c r="H271" s="103">
        <v>266</v>
      </c>
      <c r="I271" s="104" t="str">
        <f t="shared" si="18"/>
        <v/>
      </c>
      <c r="J271" s="104">
        <f t="shared" si="19"/>
        <v>-5</v>
      </c>
      <c r="K271" s="103">
        <f t="shared" si="20"/>
        <v>-50</v>
      </c>
      <c r="L271" s="103"/>
      <c r="M271" s="105">
        <f t="shared" si="21"/>
        <v>0</v>
      </c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</row>
    <row r="272" spans="1:38" s="88" customFormat="1">
      <c r="A272" s="124"/>
      <c r="B272" s="123"/>
      <c r="C272" s="123"/>
      <c r="D272" s="123"/>
      <c r="E272" s="123"/>
      <c r="F272" s="123"/>
      <c r="H272" s="103">
        <v>267</v>
      </c>
      <c r="I272" s="104" t="str">
        <f t="shared" si="18"/>
        <v/>
      </c>
      <c r="J272" s="104">
        <f t="shared" si="19"/>
        <v>-5</v>
      </c>
      <c r="K272" s="103">
        <f t="shared" si="20"/>
        <v>-50</v>
      </c>
      <c r="L272" s="103"/>
      <c r="M272" s="105">
        <f t="shared" si="21"/>
        <v>0</v>
      </c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</row>
    <row r="273" spans="1:38" s="88" customFormat="1">
      <c r="A273" s="124"/>
      <c r="B273" s="123"/>
      <c r="C273" s="123"/>
      <c r="D273" s="123"/>
      <c r="E273" s="123"/>
      <c r="F273" s="123"/>
      <c r="H273" s="103">
        <v>268</v>
      </c>
      <c r="I273" s="104" t="str">
        <f t="shared" si="18"/>
        <v/>
      </c>
      <c r="J273" s="104">
        <f t="shared" si="19"/>
        <v>-5</v>
      </c>
      <c r="K273" s="103">
        <f t="shared" si="20"/>
        <v>-50</v>
      </c>
      <c r="L273" s="103"/>
      <c r="M273" s="105">
        <f t="shared" si="21"/>
        <v>0</v>
      </c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</row>
    <row r="274" spans="1:38" s="88" customFormat="1">
      <c r="A274" s="124"/>
      <c r="B274" s="123"/>
      <c r="C274" s="123"/>
      <c r="D274" s="123"/>
      <c r="E274" s="123"/>
      <c r="F274" s="123"/>
      <c r="H274" s="103">
        <v>269</v>
      </c>
      <c r="I274" s="104" t="str">
        <f t="shared" si="18"/>
        <v/>
      </c>
      <c r="J274" s="104">
        <f t="shared" si="19"/>
        <v>-5</v>
      </c>
      <c r="K274" s="103">
        <f t="shared" si="20"/>
        <v>-50</v>
      </c>
      <c r="L274" s="103"/>
      <c r="M274" s="105">
        <f t="shared" si="21"/>
        <v>0</v>
      </c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</row>
    <row r="275" spans="1:38" s="88" customFormat="1">
      <c r="A275" s="124"/>
      <c r="B275" s="123"/>
      <c r="C275" s="123"/>
      <c r="D275" s="123"/>
      <c r="E275" s="123"/>
      <c r="F275" s="123"/>
      <c r="H275" s="103">
        <v>270</v>
      </c>
      <c r="I275" s="104" t="str">
        <f t="shared" si="18"/>
        <v/>
      </c>
      <c r="J275" s="104">
        <f t="shared" si="19"/>
        <v>-5</v>
      </c>
      <c r="K275" s="103">
        <f t="shared" si="20"/>
        <v>-50</v>
      </c>
      <c r="L275" s="103"/>
      <c r="M275" s="105">
        <f t="shared" si="21"/>
        <v>0</v>
      </c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</row>
    <row r="276" spans="1:38" s="88" customFormat="1">
      <c r="A276" s="124"/>
      <c r="B276" s="123"/>
      <c r="C276" s="123"/>
      <c r="D276" s="123"/>
      <c r="E276" s="123"/>
      <c r="F276" s="123"/>
      <c r="H276" s="103">
        <v>271</v>
      </c>
      <c r="I276" s="104" t="str">
        <f t="shared" si="18"/>
        <v/>
      </c>
      <c r="J276" s="104">
        <f t="shared" si="19"/>
        <v>-5</v>
      </c>
      <c r="K276" s="103">
        <f t="shared" si="20"/>
        <v>-50</v>
      </c>
      <c r="L276" s="103"/>
      <c r="M276" s="105">
        <f t="shared" si="21"/>
        <v>0</v>
      </c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</row>
    <row r="277" spans="1:38" s="88" customFormat="1">
      <c r="A277" s="124"/>
      <c r="B277" s="123"/>
      <c r="C277" s="123"/>
      <c r="D277" s="123"/>
      <c r="E277" s="123"/>
      <c r="F277" s="123"/>
      <c r="H277" s="103">
        <v>272</v>
      </c>
      <c r="I277" s="104" t="str">
        <f t="shared" si="18"/>
        <v/>
      </c>
      <c r="J277" s="104">
        <f t="shared" si="19"/>
        <v>-5</v>
      </c>
      <c r="K277" s="103">
        <f t="shared" si="20"/>
        <v>-50</v>
      </c>
      <c r="L277" s="103"/>
      <c r="M277" s="105">
        <f t="shared" si="21"/>
        <v>0</v>
      </c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</row>
    <row r="278" spans="1:38" s="88" customFormat="1">
      <c r="A278" s="124"/>
      <c r="B278" s="123"/>
      <c r="C278" s="123"/>
      <c r="D278" s="123"/>
      <c r="E278" s="123"/>
      <c r="F278" s="123"/>
      <c r="H278" s="103">
        <v>273</v>
      </c>
      <c r="I278" s="104" t="str">
        <f t="shared" si="18"/>
        <v/>
      </c>
      <c r="J278" s="104">
        <f t="shared" si="19"/>
        <v>-5</v>
      </c>
      <c r="K278" s="103">
        <f t="shared" si="20"/>
        <v>-50</v>
      </c>
      <c r="L278" s="103"/>
      <c r="M278" s="105">
        <f t="shared" si="21"/>
        <v>0</v>
      </c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</row>
    <row r="279" spans="1:38" s="88" customFormat="1">
      <c r="A279" s="124"/>
      <c r="B279" s="123"/>
      <c r="C279" s="123"/>
      <c r="D279" s="123"/>
      <c r="E279" s="123"/>
      <c r="F279" s="123"/>
      <c r="H279" s="103">
        <v>274</v>
      </c>
      <c r="I279" s="104" t="str">
        <f t="shared" si="18"/>
        <v/>
      </c>
      <c r="J279" s="104">
        <f t="shared" si="19"/>
        <v>-5</v>
      </c>
      <c r="K279" s="103">
        <f t="shared" si="20"/>
        <v>-50</v>
      </c>
      <c r="L279" s="103"/>
      <c r="M279" s="105">
        <f t="shared" si="21"/>
        <v>0</v>
      </c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</row>
    <row r="280" spans="1:38" s="88" customFormat="1">
      <c r="A280" s="124"/>
      <c r="B280" s="123"/>
      <c r="C280" s="123"/>
      <c r="D280" s="123"/>
      <c r="E280" s="123"/>
      <c r="F280" s="123"/>
      <c r="H280" s="103">
        <v>275</v>
      </c>
      <c r="I280" s="104" t="str">
        <f t="shared" si="18"/>
        <v/>
      </c>
      <c r="J280" s="104">
        <f t="shared" si="19"/>
        <v>-5</v>
      </c>
      <c r="K280" s="103">
        <f t="shared" si="20"/>
        <v>-50</v>
      </c>
      <c r="L280" s="103"/>
      <c r="M280" s="105">
        <f t="shared" si="21"/>
        <v>0</v>
      </c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</row>
    <row r="281" spans="1:38" s="88" customFormat="1">
      <c r="A281" s="124"/>
      <c r="B281" s="123"/>
      <c r="C281" s="123"/>
      <c r="D281" s="123"/>
      <c r="E281" s="123"/>
      <c r="F281" s="123"/>
      <c r="H281" s="103">
        <v>276</v>
      </c>
      <c r="I281" s="104" t="str">
        <f t="shared" si="18"/>
        <v/>
      </c>
      <c r="J281" s="104">
        <f t="shared" si="19"/>
        <v>-5</v>
      </c>
      <c r="K281" s="103">
        <f t="shared" si="20"/>
        <v>-50</v>
      </c>
      <c r="L281" s="103"/>
      <c r="M281" s="105">
        <f t="shared" si="21"/>
        <v>0</v>
      </c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</row>
    <row r="282" spans="1:38" s="88" customFormat="1">
      <c r="A282" s="124"/>
      <c r="B282" s="123"/>
      <c r="C282" s="123"/>
      <c r="D282" s="123"/>
      <c r="E282" s="123"/>
      <c r="F282" s="123"/>
      <c r="H282" s="103">
        <v>277</v>
      </c>
      <c r="I282" s="104" t="str">
        <f t="shared" si="18"/>
        <v/>
      </c>
      <c r="J282" s="104">
        <f t="shared" si="19"/>
        <v>-5</v>
      </c>
      <c r="K282" s="103">
        <f t="shared" si="20"/>
        <v>-50</v>
      </c>
      <c r="L282" s="103"/>
      <c r="M282" s="105">
        <f t="shared" si="21"/>
        <v>0</v>
      </c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</row>
    <row r="283" spans="1:38" s="88" customFormat="1">
      <c r="A283" s="124"/>
      <c r="B283" s="123"/>
      <c r="C283" s="123"/>
      <c r="D283" s="123"/>
      <c r="E283" s="123"/>
      <c r="F283" s="123"/>
      <c r="H283" s="103">
        <v>278</v>
      </c>
      <c r="I283" s="104" t="str">
        <f t="shared" si="18"/>
        <v/>
      </c>
      <c r="J283" s="104">
        <f t="shared" si="19"/>
        <v>-5</v>
      </c>
      <c r="K283" s="103">
        <f t="shared" si="20"/>
        <v>-50</v>
      </c>
      <c r="L283" s="103"/>
      <c r="M283" s="105">
        <f t="shared" si="21"/>
        <v>0</v>
      </c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</row>
    <row r="284" spans="1:38" s="88" customFormat="1">
      <c r="A284" s="124"/>
      <c r="B284" s="123"/>
      <c r="C284" s="123"/>
      <c r="D284" s="123"/>
      <c r="E284" s="123"/>
      <c r="F284" s="123"/>
      <c r="H284" s="103">
        <v>279</v>
      </c>
      <c r="I284" s="104" t="str">
        <f t="shared" si="18"/>
        <v/>
      </c>
      <c r="J284" s="104">
        <f t="shared" si="19"/>
        <v>-5</v>
      </c>
      <c r="K284" s="103">
        <f t="shared" si="20"/>
        <v>-50</v>
      </c>
      <c r="L284" s="103"/>
      <c r="M284" s="105">
        <f t="shared" si="21"/>
        <v>0</v>
      </c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</row>
    <row r="285" spans="1:38" s="88" customFormat="1">
      <c r="A285" s="124"/>
      <c r="B285" s="123"/>
      <c r="C285" s="123"/>
      <c r="D285" s="123"/>
      <c r="E285" s="123"/>
      <c r="F285" s="123"/>
      <c r="H285" s="103">
        <v>280</v>
      </c>
      <c r="I285" s="104" t="str">
        <f t="shared" si="18"/>
        <v/>
      </c>
      <c r="J285" s="104">
        <f t="shared" si="19"/>
        <v>-5</v>
      </c>
      <c r="K285" s="103">
        <f t="shared" si="20"/>
        <v>-50</v>
      </c>
      <c r="L285" s="103"/>
      <c r="M285" s="105">
        <f t="shared" si="21"/>
        <v>0</v>
      </c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</row>
    <row r="286" spans="1:38" s="88" customFormat="1">
      <c r="A286" s="124"/>
      <c r="B286" s="123"/>
      <c r="C286" s="123"/>
      <c r="D286" s="123"/>
      <c r="E286" s="123"/>
      <c r="F286" s="123"/>
      <c r="H286" s="103">
        <v>281</v>
      </c>
      <c r="I286" s="104" t="str">
        <f t="shared" si="18"/>
        <v/>
      </c>
      <c r="J286" s="104">
        <f t="shared" si="19"/>
        <v>-5</v>
      </c>
      <c r="K286" s="103">
        <f t="shared" si="20"/>
        <v>-50</v>
      </c>
      <c r="L286" s="103"/>
      <c r="M286" s="105">
        <f t="shared" si="21"/>
        <v>0</v>
      </c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</row>
    <row r="287" spans="1:38" s="88" customFormat="1">
      <c r="A287" s="124"/>
      <c r="B287" s="123"/>
      <c r="C287" s="123"/>
      <c r="D287" s="123"/>
      <c r="E287" s="123"/>
      <c r="F287" s="123"/>
      <c r="H287" s="103">
        <v>282</v>
      </c>
      <c r="I287" s="104" t="str">
        <f t="shared" si="18"/>
        <v/>
      </c>
      <c r="J287" s="104">
        <f t="shared" si="19"/>
        <v>-5</v>
      </c>
      <c r="K287" s="103">
        <f t="shared" si="20"/>
        <v>-50</v>
      </c>
      <c r="L287" s="103"/>
      <c r="M287" s="105">
        <f t="shared" si="21"/>
        <v>0</v>
      </c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</row>
    <row r="288" spans="1:38" s="88" customFormat="1">
      <c r="A288" s="124"/>
      <c r="B288" s="123"/>
      <c r="C288" s="123"/>
      <c r="D288" s="123"/>
      <c r="E288" s="123"/>
      <c r="F288" s="123"/>
      <c r="H288" s="103">
        <v>283</v>
      </c>
      <c r="I288" s="104" t="str">
        <f t="shared" si="18"/>
        <v/>
      </c>
      <c r="J288" s="104">
        <f t="shared" si="19"/>
        <v>-5</v>
      </c>
      <c r="K288" s="103">
        <f t="shared" si="20"/>
        <v>-50</v>
      </c>
      <c r="L288" s="103"/>
      <c r="M288" s="105">
        <f t="shared" si="21"/>
        <v>0</v>
      </c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</row>
    <row r="289" spans="1:38" s="88" customFormat="1">
      <c r="A289" s="124"/>
      <c r="B289" s="123"/>
      <c r="C289" s="123"/>
      <c r="D289" s="123"/>
      <c r="E289" s="123"/>
      <c r="F289" s="123"/>
      <c r="H289" s="103">
        <v>284</v>
      </c>
      <c r="I289" s="104" t="str">
        <f t="shared" si="18"/>
        <v/>
      </c>
      <c r="J289" s="104">
        <f t="shared" si="19"/>
        <v>-5</v>
      </c>
      <c r="K289" s="103">
        <f t="shared" si="20"/>
        <v>-50</v>
      </c>
      <c r="L289" s="103"/>
      <c r="M289" s="105">
        <f t="shared" si="21"/>
        <v>0</v>
      </c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</row>
    <row r="290" spans="1:38" s="88" customFormat="1">
      <c r="A290" s="124"/>
      <c r="B290" s="123"/>
      <c r="C290" s="123"/>
      <c r="D290" s="123"/>
      <c r="E290" s="123"/>
      <c r="F290" s="123"/>
      <c r="H290" s="103">
        <v>285</v>
      </c>
      <c r="I290" s="104" t="str">
        <f t="shared" si="18"/>
        <v/>
      </c>
      <c r="J290" s="104">
        <f t="shared" si="19"/>
        <v>-5</v>
      </c>
      <c r="K290" s="103">
        <f t="shared" si="20"/>
        <v>-50</v>
      </c>
      <c r="L290" s="103"/>
      <c r="M290" s="105">
        <f t="shared" si="21"/>
        <v>0</v>
      </c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</row>
    <row r="291" spans="1:38" s="88" customFormat="1">
      <c r="A291" s="124"/>
      <c r="B291" s="123"/>
      <c r="C291" s="123"/>
      <c r="D291" s="123"/>
      <c r="E291" s="123"/>
      <c r="F291" s="123"/>
      <c r="H291" s="103">
        <v>286</v>
      </c>
      <c r="I291" s="104" t="str">
        <f t="shared" si="18"/>
        <v/>
      </c>
      <c r="J291" s="104">
        <f t="shared" si="19"/>
        <v>-5</v>
      </c>
      <c r="K291" s="103">
        <f t="shared" si="20"/>
        <v>-50</v>
      </c>
      <c r="L291" s="103"/>
      <c r="M291" s="105">
        <f t="shared" si="21"/>
        <v>0</v>
      </c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</row>
    <row r="292" spans="1:38" s="88" customFormat="1">
      <c r="A292" s="124"/>
      <c r="B292" s="123"/>
      <c r="C292" s="123"/>
      <c r="D292" s="123"/>
      <c r="E292" s="123"/>
      <c r="F292" s="123"/>
      <c r="H292" s="103">
        <v>287</v>
      </c>
      <c r="I292" s="104" t="str">
        <f t="shared" si="18"/>
        <v/>
      </c>
      <c r="J292" s="104">
        <f t="shared" si="19"/>
        <v>-5</v>
      </c>
      <c r="K292" s="103">
        <f t="shared" si="20"/>
        <v>-50</v>
      </c>
      <c r="L292" s="103"/>
      <c r="M292" s="105">
        <f t="shared" si="21"/>
        <v>0</v>
      </c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</row>
    <row r="293" spans="1:38" s="88" customFormat="1">
      <c r="A293" s="124"/>
      <c r="B293" s="123"/>
      <c r="C293" s="123"/>
      <c r="D293" s="123"/>
      <c r="E293" s="123"/>
      <c r="F293" s="123"/>
      <c r="H293" s="103">
        <v>288</v>
      </c>
      <c r="I293" s="104" t="str">
        <f t="shared" si="18"/>
        <v/>
      </c>
      <c r="J293" s="104">
        <f t="shared" si="19"/>
        <v>-5</v>
      </c>
      <c r="K293" s="103">
        <f t="shared" si="20"/>
        <v>-50</v>
      </c>
      <c r="L293" s="103"/>
      <c r="M293" s="105">
        <f t="shared" si="21"/>
        <v>0</v>
      </c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</row>
    <row r="294" spans="1:38" s="88" customFormat="1">
      <c r="A294" s="124"/>
      <c r="B294" s="123"/>
      <c r="C294" s="123"/>
      <c r="D294" s="123"/>
      <c r="E294" s="123"/>
      <c r="F294" s="123"/>
      <c r="H294" s="103">
        <v>289</v>
      </c>
      <c r="I294" s="104" t="str">
        <f t="shared" si="18"/>
        <v/>
      </c>
      <c r="J294" s="104">
        <f t="shared" si="19"/>
        <v>-5</v>
      </c>
      <c r="K294" s="103">
        <f t="shared" si="20"/>
        <v>-50</v>
      </c>
      <c r="L294" s="103"/>
      <c r="M294" s="105">
        <f t="shared" si="21"/>
        <v>0</v>
      </c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</row>
    <row r="295" spans="1:38" s="88" customFormat="1">
      <c r="A295" s="124"/>
      <c r="B295" s="123"/>
      <c r="C295" s="123"/>
      <c r="D295" s="123"/>
      <c r="E295" s="123"/>
      <c r="F295" s="123"/>
      <c r="H295" s="103">
        <v>290</v>
      </c>
      <c r="I295" s="104" t="str">
        <f t="shared" si="18"/>
        <v/>
      </c>
      <c r="J295" s="104">
        <f t="shared" si="19"/>
        <v>-5</v>
      </c>
      <c r="K295" s="103">
        <f t="shared" si="20"/>
        <v>-50</v>
      </c>
      <c r="L295" s="103"/>
      <c r="M295" s="105">
        <f t="shared" si="21"/>
        <v>0</v>
      </c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</row>
    <row r="296" spans="1:38" s="88" customFormat="1">
      <c r="A296" s="124"/>
      <c r="B296" s="123"/>
      <c r="C296" s="123"/>
      <c r="D296" s="123"/>
      <c r="E296" s="123"/>
      <c r="F296" s="123"/>
      <c r="H296" s="103">
        <v>291</v>
      </c>
      <c r="I296" s="104" t="str">
        <f t="shared" si="18"/>
        <v/>
      </c>
      <c r="J296" s="104">
        <f t="shared" si="19"/>
        <v>-5</v>
      </c>
      <c r="K296" s="103">
        <f t="shared" si="20"/>
        <v>-50</v>
      </c>
      <c r="L296" s="103"/>
      <c r="M296" s="105">
        <f t="shared" si="21"/>
        <v>0</v>
      </c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</row>
    <row r="297" spans="1:38" s="88" customFormat="1">
      <c r="A297" s="124"/>
      <c r="B297" s="123"/>
      <c r="C297" s="123"/>
      <c r="D297" s="123"/>
      <c r="E297" s="123"/>
      <c r="F297" s="123"/>
      <c r="H297" s="103">
        <v>292</v>
      </c>
      <c r="I297" s="104" t="str">
        <f t="shared" si="18"/>
        <v/>
      </c>
      <c r="J297" s="104">
        <f t="shared" si="19"/>
        <v>-5</v>
      </c>
      <c r="K297" s="103">
        <f t="shared" si="20"/>
        <v>-50</v>
      </c>
      <c r="L297" s="103"/>
      <c r="M297" s="105">
        <f t="shared" si="21"/>
        <v>0</v>
      </c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</row>
    <row r="298" spans="1:38" s="88" customFormat="1">
      <c r="A298" s="124"/>
      <c r="B298" s="123"/>
      <c r="C298" s="123"/>
      <c r="D298" s="123"/>
      <c r="E298" s="123"/>
      <c r="F298" s="123"/>
      <c r="H298" s="103">
        <v>293</v>
      </c>
      <c r="I298" s="104" t="str">
        <f t="shared" si="18"/>
        <v/>
      </c>
      <c r="J298" s="104">
        <f t="shared" si="19"/>
        <v>-5</v>
      </c>
      <c r="K298" s="103">
        <f t="shared" si="20"/>
        <v>-50</v>
      </c>
      <c r="L298" s="103"/>
      <c r="M298" s="105">
        <f t="shared" si="21"/>
        <v>0</v>
      </c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</row>
    <row r="299" spans="1:38" s="88" customFormat="1">
      <c r="A299" s="124"/>
      <c r="B299" s="123"/>
      <c r="C299" s="123"/>
      <c r="D299" s="123"/>
      <c r="E299" s="123"/>
      <c r="F299" s="123"/>
      <c r="H299" s="103">
        <v>294</v>
      </c>
      <c r="I299" s="104" t="str">
        <f t="shared" si="18"/>
        <v/>
      </c>
      <c r="J299" s="104">
        <f t="shared" si="19"/>
        <v>-5</v>
      </c>
      <c r="K299" s="103">
        <f t="shared" si="20"/>
        <v>-50</v>
      </c>
      <c r="L299" s="103"/>
      <c r="M299" s="105">
        <f t="shared" si="21"/>
        <v>0</v>
      </c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</row>
    <row r="300" spans="1:38" s="88" customFormat="1">
      <c r="A300" s="124"/>
      <c r="B300" s="123"/>
      <c r="C300" s="123"/>
      <c r="D300" s="123"/>
      <c r="E300" s="123"/>
      <c r="F300" s="123"/>
      <c r="H300" s="103">
        <v>295</v>
      </c>
      <c r="I300" s="104" t="str">
        <f t="shared" si="18"/>
        <v/>
      </c>
      <c r="J300" s="104">
        <f t="shared" si="19"/>
        <v>-5</v>
      </c>
      <c r="K300" s="103">
        <f t="shared" si="20"/>
        <v>-50</v>
      </c>
      <c r="L300" s="103"/>
      <c r="M300" s="105">
        <f t="shared" si="21"/>
        <v>0</v>
      </c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</row>
    <row r="301" spans="1:38" s="88" customFormat="1">
      <c r="A301" s="124"/>
      <c r="B301" s="123"/>
      <c r="C301" s="123"/>
      <c r="D301" s="123"/>
      <c r="E301" s="123"/>
      <c r="F301" s="123"/>
      <c r="H301" s="103">
        <v>296</v>
      </c>
      <c r="I301" s="104" t="str">
        <f t="shared" si="18"/>
        <v/>
      </c>
      <c r="J301" s="104">
        <f t="shared" si="19"/>
        <v>-5</v>
      </c>
      <c r="K301" s="103">
        <f t="shared" si="20"/>
        <v>-50</v>
      </c>
      <c r="L301" s="103"/>
      <c r="M301" s="105">
        <f t="shared" si="21"/>
        <v>0</v>
      </c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</row>
    <row r="302" spans="1:38" s="88" customFormat="1">
      <c r="A302" s="124"/>
      <c r="B302" s="123"/>
      <c r="C302" s="123"/>
      <c r="D302" s="123"/>
      <c r="E302" s="123"/>
      <c r="F302" s="123"/>
      <c r="H302" s="103">
        <v>297</v>
      </c>
      <c r="I302" s="104" t="str">
        <f t="shared" si="18"/>
        <v/>
      </c>
      <c r="J302" s="104">
        <f t="shared" si="19"/>
        <v>-5</v>
      </c>
      <c r="K302" s="103">
        <f t="shared" si="20"/>
        <v>-50</v>
      </c>
      <c r="L302" s="103"/>
      <c r="M302" s="105">
        <f t="shared" si="21"/>
        <v>0</v>
      </c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</row>
    <row r="303" spans="1:38" s="88" customFormat="1">
      <c r="A303" s="124"/>
      <c r="B303" s="123"/>
      <c r="C303" s="123"/>
      <c r="D303" s="123"/>
      <c r="E303" s="123"/>
      <c r="F303" s="123"/>
      <c r="H303" s="103">
        <v>298</v>
      </c>
      <c r="I303" s="104" t="str">
        <f t="shared" si="18"/>
        <v/>
      </c>
      <c r="J303" s="104">
        <f t="shared" si="19"/>
        <v>-5</v>
      </c>
      <c r="K303" s="103">
        <f t="shared" si="20"/>
        <v>-50</v>
      </c>
      <c r="L303" s="103"/>
      <c r="M303" s="105">
        <f t="shared" si="21"/>
        <v>0</v>
      </c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</row>
    <row r="304" spans="1:38" s="88" customFormat="1">
      <c r="A304" s="124"/>
      <c r="B304" s="123"/>
      <c r="C304" s="123"/>
      <c r="D304" s="123"/>
      <c r="E304" s="123"/>
      <c r="F304" s="123"/>
      <c r="H304" s="103">
        <v>299</v>
      </c>
      <c r="I304" s="104" t="str">
        <f t="shared" si="18"/>
        <v/>
      </c>
      <c r="J304" s="104">
        <f t="shared" si="19"/>
        <v>-5</v>
      </c>
      <c r="K304" s="103">
        <f t="shared" si="20"/>
        <v>-50</v>
      </c>
      <c r="L304" s="103"/>
      <c r="M304" s="105">
        <f t="shared" si="21"/>
        <v>0</v>
      </c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</row>
    <row r="305" spans="1:38" s="88" customFormat="1">
      <c r="A305" s="124"/>
      <c r="B305" s="123"/>
      <c r="C305" s="123"/>
      <c r="D305" s="123"/>
      <c r="E305" s="123"/>
      <c r="F305" s="123"/>
      <c r="H305" s="103">
        <v>300</v>
      </c>
      <c r="I305" s="104" t="str">
        <f t="shared" si="18"/>
        <v/>
      </c>
      <c r="J305" s="104">
        <f t="shared" si="19"/>
        <v>-5</v>
      </c>
      <c r="K305" s="103">
        <f t="shared" si="20"/>
        <v>-50</v>
      </c>
      <c r="L305" s="103"/>
      <c r="M305" s="105">
        <f t="shared" si="21"/>
        <v>0</v>
      </c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</row>
    <row r="306" spans="1:38" s="88" customFormat="1">
      <c r="A306" s="125"/>
      <c r="B306" s="123"/>
      <c r="C306" s="123"/>
      <c r="D306" s="123"/>
      <c r="E306" s="123"/>
      <c r="F306" s="123"/>
      <c r="G306" s="123"/>
      <c r="H306" s="126"/>
      <c r="I306" s="126"/>
      <c r="J306" s="126"/>
      <c r="K306" s="126"/>
      <c r="L306" s="126"/>
      <c r="M306" s="127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</row>
    <row r="314" spans="1:38" s="88" customFormat="1">
      <c r="A314" s="123"/>
      <c r="B314" s="123"/>
      <c r="C314" s="123"/>
      <c r="D314" s="123"/>
      <c r="E314" s="123"/>
      <c r="F314" s="123"/>
      <c r="G314" s="123"/>
      <c r="H314" s="126"/>
      <c r="I314" s="126"/>
      <c r="J314" s="126"/>
      <c r="K314" s="126"/>
      <c r="L314" s="128"/>
      <c r="M314" s="127"/>
      <c r="P314" s="115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</row>
    <row r="315" spans="1:38" s="88" customFormat="1">
      <c r="A315" s="123"/>
      <c r="B315" s="123"/>
      <c r="C315" s="123"/>
      <c r="D315" s="123"/>
      <c r="E315" s="123"/>
      <c r="F315" s="123"/>
      <c r="G315" s="123"/>
      <c r="H315" s="126"/>
      <c r="I315" s="126"/>
      <c r="J315" s="126"/>
      <c r="K315" s="126"/>
      <c r="L315" s="128"/>
      <c r="M315" s="127"/>
      <c r="P315" s="115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</row>
    <row r="316" spans="1:38" s="88" customFormat="1">
      <c r="A316" s="123"/>
      <c r="B316" s="123"/>
      <c r="C316" s="123"/>
      <c r="D316" s="123"/>
      <c r="E316" s="123"/>
      <c r="F316" s="123"/>
      <c r="G316" s="123"/>
      <c r="H316" s="126"/>
      <c r="I316" s="126"/>
      <c r="J316" s="126"/>
      <c r="K316" s="126"/>
      <c r="L316" s="128"/>
      <c r="M316" s="127"/>
      <c r="P316" s="115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</row>
    <row r="317" spans="1:38" s="88" customFormat="1">
      <c r="A317" s="123"/>
      <c r="B317" s="123"/>
      <c r="C317" s="123"/>
      <c r="D317" s="123"/>
      <c r="E317" s="123"/>
      <c r="F317" s="123"/>
      <c r="G317" s="123"/>
      <c r="H317" s="126"/>
      <c r="I317" s="126"/>
      <c r="J317" s="126"/>
      <c r="K317" s="126"/>
      <c r="L317" s="128"/>
      <c r="M317" s="127"/>
      <c r="P317" s="115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</row>
  </sheetData>
  <mergeCells count="2">
    <mergeCell ref="C2:D2"/>
    <mergeCell ref="C3:D3"/>
  </mergeCells>
  <conditionalFormatting sqref="J9:K9">
    <cfRule type="cellIs" dxfId="13" priority="1" operator="lessThanOrEqual">
      <formula>0</formula>
    </cfRule>
  </conditionalFormatting>
  <conditionalFormatting sqref="K6:K8 K10:K305">
    <cfRule type="cellIs" dxfId="12" priority="2" operator="lessThanOrEqual">
      <formula>0</formula>
    </cfRule>
  </conditionalFormatting>
  <dataValidations count="1">
    <dataValidation type="list" allowBlank="1" showInputMessage="1" showErrorMessage="1" sqref="C38:C69" xr:uid="{DAFC3525-F6AE-431F-A03F-AB5459EB2700}">
      <formula1>#REF!</formula1>
    </dataValidation>
  </dataValidations>
  <hyperlinks>
    <hyperlink ref="C2:D2" r:id="rId1" display="Madrid" xr:uid="{C3ACA0A6-C05E-4635-AE79-0236CA4FA4A3}"/>
  </hyperlinks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6F840-C46C-47AD-A163-50758FC7823D}">
  <sheetPr>
    <tabColor rgb="FF92D050"/>
  </sheetPr>
  <dimension ref="A1:AL317"/>
  <sheetViews>
    <sheetView workbookViewId="0">
      <selection activeCell="E23" sqref="E23"/>
    </sheetView>
  </sheetViews>
  <sheetFormatPr defaultColWidth="8.85546875" defaultRowHeight="14.25"/>
  <cols>
    <col min="1" max="1" width="8" style="123" customWidth="1"/>
    <col min="2" max="2" width="8.28515625" style="123" customWidth="1"/>
    <col min="3" max="3" width="34.7109375" style="123" customWidth="1"/>
    <col min="4" max="4" width="11.28515625" style="123" customWidth="1"/>
    <col min="5" max="6" width="8.85546875" style="123"/>
    <col min="7" max="7" width="0.85546875" style="123" customWidth="1"/>
    <col min="8" max="8" width="8.85546875" style="126"/>
    <col min="9" max="9" width="11" style="126" customWidth="1"/>
    <col min="10" max="10" width="15" style="126" customWidth="1"/>
    <col min="11" max="11" width="8.7109375" style="126" customWidth="1"/>
    <col min="12" max="12" width="11" style="126" customWidth="1"/>
    <col min="13" max="13" width="11.7109375" style="127" customWidth="1"/>
    <col min="14" max="15" width="13.85546875" style="88" customWidth="1"/>
    <col min="16" max="18" width="8.85546875" style="88"/>
    <col min="19" max="20" width="8.85546875" style="93"/>
    <col min="21" max="21" width="12.140625" style="93" customWidth="1"/>
    <col min="22" max="22" width="27.42578125" style="93" customWidth="1"/>
    <col min="23" max="38" width="8.85546875" style="93"/>
    <col min="39" max="16384" width="8.85546875" style="123"/>
  </cols>
  <sheetData>
    <row r="1" spans="1:36" s="93" customFormat="1">
      <c r="A1" s="88"/>
      <c r="B1" s="88"/>
      <c r="C1" s="88"/>
      <c r="D1" s="88"/>
      <c r="E1" s="88"/>
      <c r="F1" s="88"/>
      <c r="G1" s="88"/>
      <c r="H1" s="89" t="s">
        <v>34</v>
      </c>
      <c r="I1" s="90" t="s">
        <v>35</v>
      </c>
      <c r="J1" s="90" t="s">
        <v>36</v>
      </c>
      <c r="K1" s="91" t="s">
        <v>131</v>
      </c>
      <c r="L1" s="92"/>
      <c r="M1" s="92"/>
      <c r="N1" s="88"/>
      <c r="O1" s="88"/>
      <c r="P1" s="88"/>
      <c r="Q1" s="88"/>
      <c r="R1" s="88"/>
    </row>
    <row r="2" spans="1:36" s="93" customFormat="1">
      <c r="A2" s="88"/>
      <c r="B2" s="21" t="s">
        <v>38</v>
      </c>
      <c r="C2" s="306" t="s">
        <v>146</v>
      </c>
      <c r="D2" s="306"/>
      <c r="E2" s="22"/>
      <c r="F2" s="22"/>
      <c r="G2" s="22"/>
      <c r="H2" s="94">
        <v>14</v>
      </c>
      <c r="I2" s="95">
        <v>50</v>
      </c>
      <c r="J2" s="95">
        <v>10</v>
      </c>
      <c r="K2" s="129">
        <f>3*H2^(1/3)</f>
        <v>7.2304267925256891</v>
      </c>
      <c r="L2" s="92"/>
      <c r="M2" s="92"/>
      <c r="N2" s="88"/>
      <c r="O2" s="88"/>
      <c r="P2" s="88"/>
      <c r="Q2" s="88"/>
      <c r="R2" s="88"/>
    </row>
    <row r="3" spans="1:36" s="93" customFormat="1" ht="14.45" customHeight="1">
      <c r="A3" s="88"/>
      <c r="B3" s="97" t="s">
        <v>40</v>
      </c>
      <c r="C3" s="285">
        <v>45208</v>
      </c>
      <c r="D3" s="285"/>
      <c r="E3" s="27"/>
      <c r="F3" s="27"/>
      <c r="G3" s="27"/>
      <c r="H3" s="92"/>
      <c r="I3" s="92"/>
      <c r="J3" s="92"/>
      <c r="K3" s="92"/>
      <c r="L3" s="92"/>
      <c r="M3" s="92"/>
      <c r="N3" s="88"/>
      <c r="O3" s="88"/>
      <c r="P3" s="88"/>
      <c r="Q3" s="88"/>
      <c r="R3" s="88"/>
    </row>
    <row r="4" spans="1:36" s="93" customFormat="1" ht="10.15" customHeight="1">
      <c r="A4" s="29"/>
      <c r="B4" s="27"/>
      <c r="C4" s="29"/>
      <c r="D4" s="29"/>
      <c r="E4" s="29"/>
      <c r="F4" s="29"/>
      <c r="G4" s="29"/>
      <c r="H4" s="92"/>
      <c r="I4" s="92"/>
      <c r="J4" s="92"/>
      <c r="K4" s="92"/>
      <c r="L4" s="92"/>
      <c r="M4" s="92"/>
      <c r="N4" s="88"/>
      <c r="O4" s="88"/>
      <c r="P4" s="88"/>
      <c r="Q4" s="88"/>
      <c r="R4" s="88"/>
    </row>
    <row r="5" spans="1:36" s="93" customFormat="1" ht="34.700000000000003">
      <c r="A5" s="1" t="s">
        <v>42</v>
      </c>
      <c r="B5" s="30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9"/>
      <c r="H5" s="99" t="s">
        <v>48</v>
      </c>
      <c r="I5" s="100" t="s">
        <v>49</v>
      </c>
      <c r="J5" s="100" t="s">
        <v>50</v>
      </c>
      <c r="K5" s="100" t="s">
        <v>51</v>
      </c>
      <c r="L5" s="100" t="s">
        <v>52</v>
      </c>
      <c r="M5" s="99" t="s">
        <v>53</v>
      </c>
      <c r="N5" s="88"/>
      <c r="O5" s="88"/>
      <c r="P5" s="88"/>
      <c r="Q5" s="88"/>
      <c r="R5" s="88"/>
    </row>
    <row r="6" spans="1:36" s="93" customFormat="1" ht="14.45" customHeight="1">
      <c r="A6" s="102">
        <f t="shared" ref="A6:A69" si="0">M6</f>
        <v>111.69128037757707</v>
      </c>
      <c r="B6" s="35">
        <f>IF(H6&gt;$H$2,"",(ROW()-5))</f>
        <v>1</v>
      </c>
      <c r="C6" s="36" t="s">
        <v>57</v>
      </c>
      <c r="D6" s="36"/>
      <c r="E6" s="36"/>
      <c r="F6" s="36"/>
      <c r="G6" s="29"/>
      <c r="H6" s="103">
        <v>1</v>
      </c>
      <c r="I6" s="104">
        <f t="shared" ref="I6:I69" si="1">IF(H6&lt;$H$2+1,($I$2-($I$2-1)*(LOG(H6)/LOG($H$2))),"")</f>
        <v>50</v>
      </c>
      <c r="J6" s="104">
        <f t="shared" ref="J6:J69" si="2">INT(LOG($H$2,2))-ROUNDUP(LOG(H6,2),0)+IF(OR($H$2=1,$H$2=2,$H$2=4,$H$2=8,$H$2=16,$H$2=32,$H$2=64,$H$2=128,$H$2=256),0,1)</f>
        <v>4</v>
      </c>
      <c r="K6" s="103">
        <f t="shared" ref="K6:K69" si="3">J6*$J$2</f>
        <v>40</v>
      </c>
      <c r="L6" s="105">
        <f>3*K2</f>
        <v>21.691280377577066</v>
      </c>
      <c r="M6" s="105">
        <f t="shared" ref="M6:M69" si="4">IF(I6&lt;&gt;"",K6+I6+L6,0)</f>
        <v>111.69128037757707</v>
      </c>
      <c r="N6" s="88"/>
      <c r="O6" s="88"/>
      <c r="P6" s="88"/>
      <c r="Q6" s="88"/>
      <c r="R6" s="88"/>
    </row>
    <row r="7" spans="1:36" s="93" customFormat="1" ht="14.45" customHeight="1">
      <c r="A7" s="106">
        <f t="shared" si="0"/>
        <v>81.591026368228896</v>
      </c>
      <c r="B7" s="41">
        <f>IF(H7&gt;$H$2,"",(ROW()-5))</f>
        <v>2</v>
      </c>
      <c r="C7" s="42" t="s">
        <v>57</v>
      </c>
      <c r="D7" s="42"/>
      <c r="E7" s="42"/>
      <c r="F7" s="42"/>
      <c r="G7" s="29"/>
      <c r="H7" s="107">
        <v>2</v>
      </c>
      <c r="I7" s="108">
        <f t="shared" si="1"/>
        <v>37.130172783177514</v>
      </c>
      <c r="J7" s="108">
        <f t="shared" si="2"/>
        <v>3</v>
      </c>
      <c r="K7" s="107">
        <f t="shared" si="3"/>
        <v>30</v>
      </c>
      <c r="L7" s="109">
        <f>2*K2</f>
        <v>14.460853585051378</v>
      </c>
      <c r="M7" s="109">
        <f t="shared" si="4"/>
        <v>81.591026368228896</v>
      </c>
      <c r="N7" s="88"/>
      <c r="O7" s="88"/>
      <c r="P7" s="88"/>
      <c r="Q7" s="88"/>
      <c r="R7" s="88"/>
    </row>
    <row r="8" spans="1:36" s="93" customFormat="1" ht="14.45" customHeight="1">
      <c r="A8" s="102">
        <f t="shared" si="0"/>
        <v>56.832233263101529</v>
      </c>
      <c r="B8" s="35">
        <f>IF(H8&gt;$H$2,"",(ROW()-5))</f>
        <v>3</v>
      </c>
      <c r="C8" s="36" t="s">
        <v>57</v>
      </c>
      <c r="D8" s="36"/>
      <c r="E8" s="36"/>
      <c r="F8" s="36"/>
      <c r="G8" s="29"/>
      <c r="H8" s="103">
        <v>3</v>
      </c>
      <c r="I8" s="104">
        <f t="shared" si="1"/>
        <v>29.601806470575838</v>
      </c>
      <c r="J8" s="104">
        <f t="shared" si="2"/>
        <v>2</v>
      </c>
      <c r="K8" s="103">
        <f t="shared" si="3"/>
        <v>20</v>
      </c>
      <c r="L8" s="105">
        <f>K2</f>
        <v>7.2304267925256891</v>
      </c>
      <c r="M8" s="105">
        <f t="shared" si="4"/>
        <v>56.832233263101529</v>
      </c>
      <c r="N8" s="88"/>
      <c r="O8" s="88"/>
      <c r="P8" s="88"/>
      <c r="Q8" s="88"/>
      <c r="R8" s="88"/>
    </row>
    <row r="9" spans="1:36" s="93" customFormat="1" ht="14.45" customHeight="1">
      <c r="A9" s="106">
        <f t="shared" si="0"/>
        <v>56.832233263101529</v>
      </c>
      <c r="B9" s="41">
        <f>IF(H9&gt;$H$2,"",3)</f>
        <v>3</v>
      </c>
      <c r="C9" s="42" t="s">
        <v>57</v>
      </c>
      <c r="D9" s="42"/>
      <c r="E9" s="42"/>
      <c r="F9" s="42"/>
      <c r="G9" s="29"/>
      <c r="H9" s="107">
        <v>3</v>
      </c>
      <c r="I9" s="108">
        <f t="shared" si="1"/>
        <v>29.601806470575838</v>
      </c>
      <c r="J9" s="107">
        <f t="shared" si="2"/>
        <v>2</v>
      </c>
      <c r="K9" s="107">
        <f t="shared" si="3"/>
        <v>20</v>
      </c>
      <c r="L9" s="109">
        <f>K2</f>
        <v>7.2304267925256891</v>
      </c>
      <c r="M9" s="109">
        <f t="shared" si="4"/>
        <v>56.832233263101529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57</v>
      </c>
      <c r="AI9" s="93">
        <v>23</v>
      </c>
    </row>
    <row r="10" spans="1:36" s="93" customFormat="1" ht="14.45" customHeight="1">
      <c r="A10" s="102">
        <f t="shared" si="0"/>
        <v>30.11718660891384</v>
      </c>
      <c r="B10" s="35">
        <f t="shared" ref="B10:B65" si="5">IF(H10&gt;$H$2,"",(ROW()-5))</f>
        <v>5</v>
      </c>
      <c r="C10" s="36" t="s">
        <v>57</v>
      </c>
      <c r="D10" s="36"/>
      <c r="E10" s="36"/>
      <c r="F10" s="36"/>
      <c r="G10" s="29"/>
      <c r="H10" s="103">
        <v>5</v>
      </c>
      <c r="I10" s="104">
        <f t="shared" si="1"/>
        <v>20.11718660891384</v>
      </c>
      <c r="J10" s="104">
        <f t="shared" si="2"/>
        <v>1</v>
      </c>
      <c r="K10" s="103">
        <f t="shared" si="3"/>
        <v>10</v>
      </c>
      <c r="L10" s="103"/>
      <c r="M10" s="105">
        <f t="shared" si="4"/>
        <v>30.11718660891384</v>
      </c>
      <c r="N10" s="88"/>
      <c r="O10" s="88"/>
      <c r="P10" s="88"/>
      <c r="Q10" s="88"/>
      <c r="R10" s="88"/>
      <c r="V10" s="110"/>
      <c r="Z10" s="111"/>
      <c r="AA10" s="111"/>
      <c r="AG10" s="112"/>
      <c r="AH10" s="93" t="s">
        <v>58</v>
      </c>
      <c r="AI10" s="93">
        <v>45</v>
      </c>
    </row>
    <row r="11" spans="1:36" s="93" customFormat="1" ht="14.45" customHeight="1">
      <c r="A11" s="106">
        <f t="shared" si="0"/>
        <v>26.731979253753352</v>
      </c>
      <c r="B11" s="41">
        <f t="shared" si="5"/>
        <v>6</v>
      </c>
      <c r="C11" s="42" t="s">
        <v>57</v>
      </c>
      <c r="D11" s="42"/>
      <c r="E11" s="42"/>
      <c r="F11" s="42"/>
      <c r="G11" s="29"/>
      <c r="H11" s="107">
        <v>6</v>
      </c>
      <c r="I11" s="108">
        <f t="shared" si="1"/>
        <v>16.731979253753352</v>
      </c>
      <c r="J11" s="108">
        <f t="shared" si="2"/>
        <v>1</v>
      </c>
      <c r="K11" s="107">
        <f t="shared" si="3"/>
        <v>10</v>
      </c>
      <c r="L11" s="107"/>
      <c r="M11" s="109">
        <f t="shared" si="4"/>
        <v>26.731979253753352</v>
      </c>
      <c r="N11" s="88"/>
      <c r="O11" s="88"/>
      <c r="P11" s="88"/>
      <c r="Q11" s="88"/>
      <c r="R11" s="88"/>
      <c r="V11" s="113"/>
      <c r="Z11" s="111"/>
      <c r="AA11" s="111"/>
      <c r="AG11" s="112"/>
      <c r="AH11" s="93" t="s">
        <v>60</v>
      </c>
      <c r="AI11" s="93">
        <v>50</v>
      </c>
    </row>
    <row r="12" spans="1:36" s="93" customFormat="1" ht="14.45" customHeight="1">
      <c r="A12" s="102">
        <f t="shared" si="0"/>
        <v>23.869827216822486</v>
      </c>
      <c r="B12" s="35">
        <f t="shared" si="5"/>
        <v>7</v>
      </c>
      <c r="C12" s="36" t="s">
        <v>57</v>
      </c>
      <c r="D12" s="36"/>
      <c r="E12" s="36"/>
      <c r="F12" s="36"/>
      <c r="G12" s="29"/>
      <c r="H12" s="103">
        <v>7</v>
      </c>
      <c r="I12" s="104">
        <f t="shared" si="1"/>
        <v>13.869827216822486</v>
      </c>
      <c r="J12" s="104">
        <f t="shared" si="2"/>
        <v>1</v>
      </c>
      <c r="K12" s="103">
        <f t="shared" si="3"/>
        <v>10</v>
      </c>
      <c r="L12" s="103"/>
      <c r="M12" s="105">
        <f t="shared" si="4"/>
        <v>23.869827216822486</v>
      </c>
      <c r="N12" s="88"/>
      <c r="O12" s="88"/>
      <c r="P12" s="88"/>
      <c r="Q12" s="88"/>
      <c r="R12" s="88"/>
      <c r="Z12" s="111"/>
      <c r="AA12" s="111"/>
      <c r="AG12" s="112"/>
      <c r="AH12" s="93" t="s">
        <v>61</v>
      </c>
      <c r="AI12" s="93">
        <f>AI11-1</f>
        <v>49</v>
      </c>
    </row>
    <row r="13" spans="1:36" s="93" customFormat="1" ht="14.45" customHeight="1">
      <c r="A13" s="106">
        <f t="shared" si="0"/>
        <v>21.390518349532549</v>
      </c>
      <c r="B13" s="41">
        <f t="shared" si="5"/>
        <v>8</v>
      </c>
      <c r="C13" s="42" t="s">
        <v>57</v>
      </c>
      <c r="D13" s="42"/>
      <c r="E13" s="42"/>
      <c r="F13" s="42"/>
      <c r="G13" s="29"/>
      <c r="H13" s="107">
        <v>8</v>
      </c>
      <c r="I13" s="108">
        <f t="shared" si="1"/>
        <v>11.390518349532549</v>
      </c>
      <c r="J13" s="108">
        <f t="shared" si="2"/>
        <v>1</v>
      </c>
      <c r="K13" s="107">
        <f t="shared" si="3"/>
        <v>10</v>
      </c>
      <c r="L13" s="107"/>
      <c r="M13" s="109">
        <f t="shared" si="4"/>
        <v>21.390518349532549</v>
      </c>
      <c r="N13" s="88"/>
      <c r="O13" s="88"/>
      <c r="P13" s="88"/>
      <c r="Q13" s="88"/>
      <c r="R13" s="88"/>
      <c r="X13" s="110"/>
      <c r="AG13" s="112"/>
      <c r="AH13" s="93" t="s">
        <v>62</v>
      </c>
      <c r="AI13" s="93">
        <f>LOG(AI9)</f>
        <v>1.3617278360175928</v>
      </c>
    </row>
    <row r="14" spans="1:36" s="93" customFormat="1">
      <c r="A14" s="102">
        <f t="shared" si="0"/>
        <v>9.2036129411516754</v>
      </c>
      <c r="B14" s="35">
        <f t="shared" si="5"/>
        <v>9</v>
      </c>
      <c r="C14" s="36" t="s">
        <v>57</v>
      </c>
      <c r="D14" s="36"/>
      <c r="E14" s="36"/>
      <c r="F14" s="36"/>
      <c r="G14" s="29"/>
      <c r="H14" s="103">
        <v>9</v>
      </c>
      <c r="I14" s="104">
        <f t="shared" si="1"/>
        <v>9.2036129411516754</v>
      </c>
      <c r="J14" s="104">
        <f t="shared" si="2"/>
        <v>0</v>
      </c>
      <c r="K14" s="103">
        <f t="shared" si="3"/>
        <v>0</v>
      </c>
      <c r="L14" s="103"/>
      <c r="M14" s="105">
        <f t="shared" si="4"/>
        <v>9.2036129411516754</v>
      </c>
      <c r="N14" s="88"/>
      <c r="O14" s="88"/>
      <c r="P14" s="88"/>
      <c r="Q14" s="88"/>
      <c r="R14" s="88"/>
      <c r="X14" s="114"/>
      <c r="Z14" s="111"/>
      <c r="AA14" s="111"/>
      <c r="AG14" s="112"/>
      <c r="AH14" s="93" t="s">
        <v>64</v>
      </c>
      <c r="AI14" s="93">
        <f>LOG(AI10)</f>
        <v>1.6532125137753437</v>
      </c>
    </row>
    <row r="15" spans="1:36" s="93" customFormat="1">
      <c r="A15" s="106">
        <f t="shared" si="0"/>
        <v>7.2473593920913615</v>
      </c>
      <c r="B15" s="41">
        <f t="shared" si="5"/>
        <v>10</v>
      </c>
      <c r="C15" s="42" t="s">
        <v>57</v>
      </c>
      <c r="D15" s="42"/>
      <c r="E15" s="42"/>
      <c r="F15" s="42"/>
      <c r="G15" s="29"/>
      <c r="H15" s="107">
        <v>10</v>
      </c>
      <c r="I15" s="108">
        <f t="shared" si="1"/>
        <v>7.2473593920913615</v>
      </c>
      <c r="J15" s="108">
        <f t="shared" si="2"/>
        <v>0</v>
      </c>
      <c r="K15" s="107">
        <f t="shared" si="3"/>
        <v>0</v>
      </c>
      <c r="L15" s="107"/>
      <c r="M15" s="109">
        <f t="shared" si="4"/>
        <v>7.2473593920913615</v>
      </c>
      <c r="N15" s="88"/>
      <c r="O15" s="88"/>
      <c r="P15" s="88"/>
      <c r="Q15" s="88"/>
      <c r="R15" s="88"/>
      <c r="X15" s="110"/>
      <c r="Z15" s="111"/>
      <c r="AA15" s="111"/>
    </row>
    <row r="16" spans="1:36" s="93" customFormat="1">
      <c r="A16" s="102">
        <f t="shared" si="0"/>
        <v>5.4777127997254453</v>
      </c>
      <c r="B16" s="35">
        <f t="shared" si="5"/>
        <v>11</v>
      </c>
      <c r="C16" s="36" t="s">
        <v>57</v>
      </c>
      <c r="D16" s="36"/>
      <c r="E16" s="36"/>
      <c r="F16" s="36"/>
      <c r="G16" s="29"/>
      <c r="H16" s="103">
        <v>11</v>
      </c>
      <c r="I16" s="104">
        <f t="shared" si="1"/>
        <v>5.4777127997254453</v>
      </c>
      <c r="J16" s="104">
        <f t="shared" si="2"/>
        <v>0</v>
      </c>
      <c r="K16" s="103">
        <f t="shared" si="3"/>
        <v>0</v>
      </c>
      <c r="L16" s="103"/>
      <c r="M16" s="105">
        <f t="shared" si="4"/>
        <v>5.4777127997254453</v>
      </c>
      <c r="N16" s="88"/>
      <c r="O16" s="88"/>
      <c r="P16" s="88"/>
      <c r="Q16" s="88"/>
      <c r="R16" s="115"/>
      <c r="Z16" s="111"/>
      <c r="AA16" s="111"/>
      <c r="AH16" s="116" t="s">
        <v>66</v>
      </c>
      <c r="AI16" s="93">
        <f>AI11-AI12*AI13/AI14</f>
        <v>9.6393909380186855</v>
      </c>
      <c r="AJ16" s="93" t="s">
        <v>67</v>
      </c>
    </row>
    <row r="17" spans="1:19" s="93" customFormat="1">
      <c r="A17" s="106">
        <f t="shared" si="0"/>
        <v>3.8621520369308655</v>
      </c>
      <c r="B17" s="41">
        <f t="shared" si="5"/>
        <v>12</v>
      </c>
      <c r="C17" s="42" t="s">
        <v>19</v>
      </c>
      <c r="D17" s="42"/>
      <c r="E17" s="42"/>
      <c r="F17" s="42"/>
      <c r="G17" s="29"/>
      <c r="H17" s="107">
        <v>12</v>
      </c>
      <c r="I17" s="108">
        <f t="shared" si="1"/>
        <v>3.8621520369308655</v>
      </c>
      <c r="J17" s="108">
        <f t="shared" si="2"/>
        <v>0</v>
      </c>
      <c r="K17" s="107">
        <f t="shared" si="3"/>
        <v>0</v>
      </c>
      <c r="L17" s="107"/>
      <c r="M17" s="109">
        <f t="shared" si="4"/>
        <v>3.8621520369308655</v>
      </c>
      <c r="N17" s="88"/>
      <c r="O17" s="88"/>
      <c r="P17" s="88"/>
      <c r="Q17" s="88"/>
      <c r="R17" s="88"/>
    </row>
    <row r="18" spans="1:19" s="93" customFormat="1">
      <c r="A18" s="102">
        <f t="shared" si="0"/>
        <v>2.3759802012568514</v>
      </c>
      <c r="B18" s="35">
        <f t="shared" si="5"/>
        <v>13</v>
      </c>
      <c r="C18" s="36" t="s">
        <v>57</v>
      </c>
      <c r="D18" s="36"/>
      <c r="E18" s="36"/>
      <c r="F18" s="36"/>
      <c r="G18" s="29"/>
      <c r="H18" s="103">
        <v>13</v>
      </c>
      <c r="I18" s="104">
        <f t="shared" si="1"/>
        <v>2.3759802012568514</v>
      </c>
      <c r="J18" s="104">
        <f t="shared" si="2"/>
        <v>0</v>
      </c>
      <c r="K18" s="103">
        <f t="shared" si="3"/>
        <v>0</v>
      </c>
      <c r="L18" s="103"/>
      <c r="M18" s="105">
        <f t="shared" si="4"/>
        <v>2.3759802012568514</v>
      </c>
      <c r="N18" s="88"/>
      <c r="O18" s="88"/>
      <c r="P18" s="88"/>
      <c r="Q18" s="88"/>
      <c r="R18" s="88"/>
    </row>
    <row r="19" spans="1:19" s="93" customFormat="1">
      <c r="A19" s="106">
        <f t="shared" si="0"/>
        <v>1</v>
      </c>
      <c r="B19" s="41">
        <f t="shared" si="5"/>
        <v>14</v>
      </c>
      <c r="C19" s="42" t="s">
        <v>57</v>
      </c>
      <c r="D19" s="42"/>
      <c r="E19" s="42"/>
      <c r="F19" s="42"/>
      <c r="G19" s="29"/>
      <c r="H19" s="107">
        <v>14</v>
      </c>
      <c r="I19" s="108">
        <f t="shared" si="1"/>
        <v>1</v>
      </c>
      <c r="J19" s="108">
        <f t="shared" si="2"/>
        <v>0</v>
      </c>
      <c r="K19" s="107">
        <f t="shared" si="3"/>
        <v>0</v>
      </c>
      <c r="L19" s="107"/>
      <c r="M19" s="109">
        <f t="shared" si="4"/>
        <v>1</v>
      </c>
      <c r="N19" s="88"/>
      <c r="O19" s="88"/>
      <c r="P19" s="88"/>
      <c r="Q19" s="88"/>
      <c r="R19" s="88"/>
    </row>
    <row r="20" spans="1:19" s="93" customFormat="1">
      <c r="A20" s="102">
        <f t="shared" si="0"/>
        <v>0</v>
      </c>
      <c r="B20" s="35" t="str">
        <f t="shared" si="5"/>
        <v/>
      </c>
      <c r="C20" s="36"/>
      <c r="D20" s="36"/>
      <c r="E20" s="36"/>
      <c r="F20" s="36"/>
      <c r="G20" s="29"/>
      <c r="H20" s="103">
        <v>15</v>
      </c>
      <c r="I20" s="104" t="str">
        <f t="shared" si="1"/>
        <v/>
      </c>
      <c r="J20" s="104">
        <f t="shared" si="2"/>
        <v>0</v>
      </c>
      <c r="K20" s="103">
        <f t="shared" si="3"/>
        <v>0</v>
      </c>
      <c r="L20" s="103"/>
      <c r="M20" s="105">
        <f t="shared" si="4"/>
        <v>0</v>
      </c>
      <c r="N20" s="88"/>
      <c r="O20" s="88"/>
      <c r="P20" s="88"/>
      <c r="Q20" s="88"/>
      <c r="R20" s="117"/>
      <c r="S20" s="118"/>
    </row>
    <row r="21" spans="1:19" s="93" customFormat="1">
      <c r="A21" s="106">
        <f t="shared" si="0"/>
        <v>0</v>
      </c>
      <c r="B21" s="41" t="str">
        <f t="shared" si="5"/>
        <v/>
      </c>
      <c r="C21" s="42"/>
      <c r="D21" s="42"/>
      <c r="E21" s="42"/>
      <c r="F21" s="42"/>
      <c r="G21" s="29"/>
      <c r="H21" s="107">
        <v>16</v>
      </c>
      <c r="I21" s="108" t="str">
        <f t="shared" si="1"/>
        <v/>
      </c>
      <c r="J21" s="108">
        <f t="shared" si="2"/>
        <v>0</v>
      </c>
      <c r="K21" s="107">
        <f t="shared" si="3"/>
        <v>0</v>
      </c>
      <c r="L21" s="107"/>
      <c r="M21" s="109">
        <f t="shared" si="4"/>
        <v>0</v>
      </c>
      <c r="N21" s="88"/>
      <c r="O21" s="88"/>
      <c r="P21" s="88"/>
      <c r="Q21" s="88"/>
      <c r="R21" s="88"/>
    </row>
    <row r="22" spans="1:19" s="93" customFormat="1">
      <c r="A22" s="102">
        <f t="shared" si="0"/>
        <v>0</v>
      </c>
      <c r="B22" s="35" t="str">
        <f t="shared" si="5"/>
        <v/>
      </c>
      <c r="C22" s="36"/>
      <c r="D22" s="36"/>
      <c r="E22" s="36"/>
      <c r="F22" s="36"/>
      <c r="G22" s="29"/>
      <c r="H22" s="103">
        <v>17</v>
      </c>
      <c r="I22" s="104" t="str">
        <f t="shared" si="1"/>
        <v/>
      </c>
      <c r="J22" s="104">
        <f t="shared" si="2"/>
        <v>-1</v>
      </c>
      <c r="K22" s="103">
        <f t="shared" si="3"/>
        <v>-10</v>
      </c>
      <c r="L22" s="103"/>
      <c r="M22" s="105">
        <f t="shared" si="4"/>
        <v>0</v>
      </c>
      <c r="N22" s="88"/>
      <c r="O22" s="88"/>
      <c r="P22" s="88"/>
      <c r="Q22" s="88"/>
      <c r="R22" s="88"/>
    </row>
    <row r="23" spans="1:19" s="93" customFormat="1">
      <c r="A23" s="106">
        <f t="shared" si="0"/>
        <v>0</v>
      </c>
      <c r="B23" s="41" t="str">
        <f t="shared" si="5"/>
        <v/>
      </c>
      <c r="C23" s="42"/>
      <c r="D23" s="42"/>
      <c r="E23" s="42"/>
      <c r="F23" s="42"/>
      <c r="G23" s="29"/>
      <c r="H23" s="107">
        <v>18</v>
      </c>
      <c r="I23" s="108" t="str">
        <f t="shared" si="1"/>
        <v/>
      </c>
      <c r="J23" s="108">
        <f t="shared" si="2"/>
        <v>-1</v>
      </c>
      <c r="K23" s="107">
        <f t="shared" si="3"/>
        <v>-10</v>
      </c>
      <c r="L23" s="107"/>
      <c r="M23" s="109">
        <f t="shared" si="4"/>
        <v>0</v>
      </c>
      <c r="N23" s="88"/>
      <c r="O23" s="88"/>
      <c r="P23" s="88"/>
      <c r="Q23" s="88"/>
      <c r="R23" s="88"/>
    </row>
    <row r="24" spans="1:19" s="93" customFormat="1">
      <c r="A24" s="102">
        <f t="shared" si="0"/>
        <v>0</v>
      </c>
      <c r="B24" s="35" t="str">
        <f t="shared" si="5"/>
        <v/>
      </c>
      <c r="C24" s="36"/>
      <c r="D24" s="36"/>
      <c r="E24" s="36"/>
      <c r="F24" s="36"/>
      <c r="G24" s="29"/>
      <c r="H24" s="103">
        <v>19</v>
      </c>
      <c r="I24" s="104" t="str">
        <f t="shared" si="1"/>
        <v/>
      </c>
      <c r="J24" s="104">
        <f t="shared" si="2"/>
        <v>-1</v>
      </c>
      <c r="K24" s="103">
        <f t="shared" si="3"/>
        <v>-10</v>
      </c>
      <c r="L24" s="103"/>
      <c r="M24" s="105">
        <f t="shared" si="4"/>
        <v>0</v>
      </c>
      <c r="N24" s="88"/>
      <c r="O24" s="88"/>
      <c r="P24" s="88"/>
      <c r="Q24" s="88"/>
      <c r="R24" s="117"/>
      <c r="S24" s="118"/>
    </row>
    <row r="25" spans="1:19" s="93" customFormat="1">
      <c r="A25" s="106">
        <f t="shared" si="0"/>
        <v>0</v>
      </c>
      <c r="B25" s="41" t="str">
        <f t="shared" si="5"/>
        <v/>
      </c>
      <c r="C25" s="42"/>
      <c r="D25" s="42"/>
      <c r="E25" s="42"/>
      <c r="F25" s="42"/>
      <c r="G25" s="29"/>
      <c r="H25" s="107">
        <v>20</v>
      </c>
      <c r="I25" s="108" t="str">
        <f t="shared" si="1"/>
        <v/>
      </c>
      <c r="J25" s="108">
        <f t="shared" si="2"/>
        <v>-1</v>
      </c>
      <c r="K25" s="107">
        <f t="shared" si="3"/>
        <v>-10</v>
      </c>
      <c r="L25" s="107"/>
      <c r="M25" s="109">
        <f t="shared" si="4"/>
        <v>0</v>
      </c>
      <c r="N25" s="88"/>
      <c r="O25" s="88"/>
      <c r="P25" s="88"/>
      <c r="Q25" s="88"/>
      <c r="R25" s="88"/>
    </row>
    <row r="26" spans="1:19" s="93" customFormat="1">
      <c r="A26" s="102">
        <f t="shared" si="0"/>
        <v>0</v>
      </c>
      <c r="B26" s="35" t="str">
        <f t="shared" si="5"/>
        <v/>
      </c>
      <c r="C26" s="36"/>
      <c r="D26" s="36"/>
      <c r="E26" s="36"/>
      <c r="F26" s="36"/>
      <c r="G26" s="29"/>
      <c r="H26" s="103">
        <v>21</v>
      </c>
      <c r="I26" s="104" t="str">
        <f t="shared" si="1"/>
        <v/>
      </c>
      <c r="J26" s="104">
        <f t="shared" si="2"/>
        <v>-1</v>
      </c>
      <c r="K26" s="103">
        <f t="shared" si="3"/>
        <v>-10</v>
      </c>
      <c r="L26" s="103"/>
      <c r="M26" s="105">
        <f t="shared" si="4"/>
        <v>0</v>
      </c>
      <c r="N26" s="88"/>
      <c r="O26" s="88"/>
      <c r="P26" s="88"/>
      <c r="Q26" s="88"/>
      <c r="R26" s="88"/>
    </row>
    <row r="27" spans="1:19" s="93" customFormat="1">
      <c r="A27" s="106">
        <f t="shared" si="0"/>
        <v>0</v>
      </c>
      <c r="B27" s="41" t="str">
        <f t="shared" si="5"/>
        <v/>
      </c>
      <c r="C27" s="42"/>
      <c r="D27" s="42"/>
      <c r="E27" s="42"/>
      <c r="F27" s="42"/>
      <c r="G27" s="29"/>
      <c r="H27" s="107">
        <v>22</v>
      </c>
      <c r="I27" s="108" t="str">
        <f t="shared" si="1"/>
        <v/>
      </c>
      <c r="J27" s="108">
        <f t="shared" si="2"/>
        <v>-1</v>
      </c>
      <c r="K27" s="107">
        <f t="shared" si="3"/>
        <v>-10</v>
      </c>
      <c r="L27" s="107"/>
      <c r="M27" s="109">
        <f t="shared" si="4"/>
        <v>0</v>
      </c>
      <c r="N27" s="88"/>
      <c r="O27" s="88"/>
      <c r="P27" s="88"/>
      <c r="Q27" s="88"/>
      <c r="R27" s="88"/>
    </row>
    <row r="28" spans="1:19" s="93" customFormat="1">
      <c r="A28" s="102">
        <f t="shared" ref="A28" si="6">M28</f>
        <v>0</v>
      </c>
      <c r="B28" s="35" t="str">
        <f t="shared" ref="B28" si="7">IF(H28&gt;$H$2,"",(ROW()-5))</f>
        <v/>
      </c>
      <c r="C28" s="36"/>
      <c r="D28" s="36"/>
      <c r="E28" s="36"/>
      <c r="F28" s="36"/>
      <c r="G28" s="29"/>
      <c r="H28" s="103">
        <v>23</v>
      </c>
      <c r="I28" s="104" t="str">
        <f t="shared" si="1"/>
        <v/>
      </c>
      <c r="J28" s="104">
        <f t="shared" si="2"/>
        <v>-1</v>
      </c>
      <c r="K28" s="103">
        <f t="shared" si="3"/>
        <v>-10</v>
      </c>
      <c r="L28" s="103"/>
      <c r="M28" s="105">
        <f t="shared" si="4"/>
        <v>0</v>
      </c>
      <c r="N28" s="88"/>
      <c r="O28" s="88"/>
      <c r="P28" s="88"/>
      <c r="Q28" s="88"/>
      <c r="R28" s="117"/>
      <c r="S28" s="118"/>
    </row>
    <row r="29" spans="1:19" s="93" customFormat="1">
      <c r="A29" s="106">
        <f t="shared" si="0"/>
        <v>0</v>
      </c>
      <c r="B29" s="41" t="str">
        <f t="shared" si="5"/>
        <v/>
      </c>
      <c r="C29" s="42"/>
      <c r="D29" s="42"/>
      <c r="E29" s="42"/>
      <c r="F29" s="42"/>
      <c r="G29" s="88"/>
      <c r="H29" s="107">
        <v>24</v>
      </c>
      <c r="I29" s="108" t="str">
        <f t="shared" si="1"/>
        <v/>
      </c>
      <c r="J29" s="108">
        <f t="shared" si="2"/>
        <v>-1</v>
      </c>
      <c r="K29" s="107">
        <f t="shared" si="3"/>
        <v>-10</v>
      </c>
      <c r="L29" s="107"/>
      <c r="M29" s="109">
        <f t="shared" si="4"/>
        <v>0</v>
      </c>
      <c r="N29" s="88"/>
      <c r="O29" s="88"/>
      <c r="P29" s="88"/>
      <c r="Q29" s="88"/>
      <c r="R29" s="88"/>
    </row>
    <row r="30" spans="1:19" s="93" customFormat="1">
      <c r="A30" s="102">
        <f t="shared" si="0"/>
        <v>0</v>
      </c>
      <c r="B30" s="35" t="str">
        <f t="shared" si="5"/>
        <v/>
      </c>
      <c r="C30" s="36"/>
      <c r="D30" s="36"/>
      <c r="E30" s="36"/>
      <c r="F30" s="36"/>
      <c r="G30" s="88"/>
      <c r="H30" s="103">
        <v>25</v>
      </c>
      <c r="I30" s="104" t="str">
        <f t="shared" si="1"/>
        <v/>
      </c>
      <c r="J30" s="104">
        <f t="shared" si="2"/>
        <v>-1</v>
      </c>
      <c r="K30" s="103">
        <f t="shared" si="3"/>
        <v>-10</v>
      </c>
      <c r="L30" s="103"/>
      <c r="M30" s="105">
        <f t="shared" si="4"/>
        <v>0</v>
      </c>
      <c r="N30" s="88"/>
      <c r="O30" s="88"/>
      <c r="P30" s="88"/>
      <c r="Q30" s="88"/>
      <c r="R30" s="88"/>
    </row>
    <row r="31" spans="1:19" s="93" customFormat="1">
      <c r="A31" s="106">
        <f t="shared" si="0"/>
        <v>0</v>
      </c>
      <c r="B31" s="41" t="str">
        <f t="shared" si="5"/>
        <v/>
      </c>
      <c r="C31" s="42"/>
      <c r="D31" s="42"/>
      <c r="E31" s="42"/>
      <c r="F31" s="42"/>
      <c r="G31" s="88"/>
      <c r="H31" s="107">
        <v>26</v>
      </c>
      <c r="I31" s="108" t="str">
        <f t="shared" si="1"/>
        <v/>
      </c>
      <c r="J31" s="108">
        <f t="shared" si="2"/>
        <v>-1</v>
      </c>
      <c r="K31" s="107">
        <f t="shared" si="3"/>
        <v>-10</v>
      </c>
      <c r="L31" s="107"/>
      <c r="M31" s="109">
        <f t="shared" si="4"/>
        <v>0</v>
      </c>
      <c r="N31" s="88"/>
      <c r="O31" s="88"/>
      <c r="P31" s="88"/>
      <c r="Q31" s="88"/>
      <c r="R31" s="88"/>
    </row>
    <row r="32" spans="1:19" s="93" customFormat="1">
      <c r="A32" s="102">
        <f t="shared" si="0"/>
        <v>0</v>
      </c>
      <c r="B32" s="35" t="str">
        <f t="shared" si="5"/>
        <v/>
      </c>
      <c r="C32" s="36"/>
      <c r="D32" s="36"/>
      <c r="E32" s="36"/>
      <c r="F32" s="36"/>
      <c r="G32" s="88"/>
      <c r="H32" s="103">
        <v>27</v>
      </c>
      <c r="I32" s="104" t="str">
        <f t="shared" si="1"/>
        <v/>
      </c>
      <c r="J32" s="104">
        <f t="shared" si="2"/>
        <v>-1</v>
      </c>
      <c r="K32" s="103">
        <f t="shared" si="3"/>
        <v>-10</v>
      </c>
      <c r="L32" s="103"/>
      <c r="M32" s="105">
        <f t="shared" si="4"/>
        <v>0</v>
      </c>
      <c r="N32" s="88"/>
      <c r="O32" s="88"/>
      <c r="P32" s="88"/>
      <c r="Q32" s="88"/>
      <c r="R32" s="117"/>
      <c r="S32" s="118"/>
    </row>
    <row r="33" spans="1:21" s="93" customFormat="1">
      <c r="A33" s="106">
        <f t="shared" si="0"/>
        <v>0</v>
      </c>
      <c r="B33" s="41" t="str">
        <f t="shared" si="5"/>
        <v/>
      </c>
      <c r="C33" s="42"/>
      <c r="D33" s="42"/>
      <c r="E33" s="42"/>
      <c r="F33" s="42"/>
      <c r="G33" s="88"/>
      <c r="H33" s="107">
        <v>28</v>
      </c>
      <c r="I33" s="108" t="str">
        <f t="shared" si="1"/>
        <v/>
      </c>
      <c r="J33" s="108">
        <f t="shared" si="2"/>
        <v>-1</v>
      </c>
      <c r="K33" s="107">
        <f t="shared" si="3"/>
        <v>-10</v>
      </c>
      <c r="L33" s="107"/>
      <c r="M33" s="109">
        <f t="shared" si="4"/>
        <v>0</v>
      </c>
      <c r="N33" s="88"/>
      <c r="O33" s="88"/>
      <c r="P33" s="88"/>
      <c r="Q33" s="88"/>
      <c r="R33" s="88"/>
    </row>
    <row r="34" spans="1:21" s="93" customFormat="1">
      <c r="A34" s="102">
        <f t="shared" si="0"/>
        <v>0</v>
      </c>
      <c r="B34" s="35" t="str">
        <f t="shared" si="5"/>
        <v/>
      </c>
      <c r="C34" s="36"/>
      <c r="D34" s="36"/>
      <c r="E34" s="36"/>
      <c r="F34" s="36"/>
      <c r="G34" s="88"/>
      <c r="H34" s="103">
        <v>29</v>
      </c>
      <c r="I34" s="104" t="str">
        <f t="shared" si="1"/>
        <v/>
      </c>
      <c r="J34" s="104">
        <f t="shared" si="2"/>
        <v>-1</v>
      </c>
      <c r="K34" s="103">
        <f t="shared" si="3"/>
        <v>-10</v>
      </c>
      <c r="L34" s="103"/>
      <c r="M34" s="105">
        <f t="shared" si="4"/>
        <v>0</v>
      </c>
      <c r="N34" s="88"/>
      <c r="O34" s="88"/>
      <c r="P34" s="88"/>
      <c r="Q34" s="88"/>
      <c r="R34" s="88"/>
    </row>
    <row r="35" spans="1:21" s="93" customFormat="1">
      <c r="A35" s="106">
        <f t="shared" si="0"/>
        <v>0</v>
      </c>
      <c r="B35" s="41" t="str">
        <f t="shared" si="5"/>
        <v/>
      </c>
      <c r="C35" s="42"/>
      <c r="D35" s="42"/>
      <c r="E35" s="42"/>
      <c r="F35" s="42"/>
      <c r="G35" s="88"/>
      <c r="H35" s="107">
        <v>30</v>
      </c>
      <c r="I35" s="108" t="str">
        <f t="shared" si="1"/>
        <v/>
      </c>
      <c r="J35" s="108">
        <f t="shared" si="2"/>
        <v>-1</v>
      </c>
      <c r="K35" s="107">
        <f t="shared" si="3"/>
        <v>-10</v>
      </c>
      <c r="L35" s="107"/>
      <c r="M35" s="109">
        <f t="shared" si="4"/>
        <v>0</v>
      </c>
      <c r="N35" s="88"/>
      <c r="O35" s="88"/>
      <c r="P35" s="88"/>
      <c r="Q35" s="88"/>
      <c r="R35" s="88"/>
    </row>
    <row r="36" spans="1:21" s="93" customFormat="1">
      <c r="A36" s="102">
        <f t="shared" si="0"/>
        <v>0</v>
      </c>
      <c r="B36" s="35" t="str">
        <f t="shared" si="5"/>
        <v/>
      </c>
      <c r="C36" s="36"/>
      <c r="D36" s="36"/>
      <c r="E36" s="36"/>
      <c r="F36" s="36"/>
      <c r="G36" s="88"/>
      <c r="H36" s="103">
        <v>31</v>
      </c>
      <c r="I36" s="104" t="str">
        <f t="shared" si="1"/>
        <v/>
      </c>
      <c r="J36" s="104">
        <f t="shared" si="2"/>
        <v>-1</v>
      </c>
      <c r="K36" s="103">
        <f t="shared" si="3"/>
        <v>-10</v>
      </c>
      <c r="L36" s="103"/>
      <c r="M36" s="105">
        <f t="shared" si="4"/>
        <v>0</v>
      </c>
      <c r="N36" s="88"/>
      <c r="O36" s="88"/>
      <c r="P36" s="88"/>
      <c r="Q36" s="88"/>
      <c r="R36" s="117"/>
      <c r="S36" s="118"/>
    </row>
    <row r="37" spans="1:21" s="93" customFormat="1">
      <c r="A37" s="106">
        <f t="shared" si="0"/>
        <v>0</v>
      </c>
      <c r="B37" s="41" t="str">
        <f t="shared" si="5"/>
        <v/>
      </c>
      <c r="C37" s="42"/>
      <c r="D37" s="42"/>
      <c r="E37" s="42"/>
      <c r="F37" s="42"/>
      <c r="G37" s="88"/>
      <c r="H37" s="107">
        <v>32</v>
      </c>
      <c r="I37" s="108" t="str">
        <f t="shared" si="1"/>
        <v/>
      </c>
      <c r="J37" s="108">
        <f t="shared" si="2"/>
        <v>-1</v>
      </c>
      <c r="K37" s="107">
        <f t="shared" si="3"/>
        <v>-10</v>
      </c>
      <c r="L37" s="107"/>
      <c r="M37" s="109">
        <f t="shared" si="4"/>
        <v>0</v>
      </c>
      <c r="N37" s="88"/>
      <c r="O37" s="88"/>
      <c r="P37" s="88"/>
      <c r="Q37" s="88"/>
      <c r="R37" s="88"/>
    </row>
    <row r="38" spans="1:21" s="93" customFormat="1">
      <c r="A38" s="106">
        <f t="shared" si="0"/>
        <v>0</v>
      </c>
      <c r="B38" s="35" t="str">
        <f t="shared" si="5"/>
        <v/>
      </c>
      <c r="C38" s="36"/>
      <c r="D38" s="36"/>
      <c r="E38" s="36"/>
      <c r="F38" s="36"/>
      <c r="G38" s="88"/>
      <c r="H38" s="103">
        <v>33</v>
      </c>
      <c r="I38" s="104" t="str">
        <f t="shared" si="1"/>
        <v/>
      </c>
      <c r="J38" s="104">
        <f t="shared" si="2"/>
        <v>-2</v>
      </c>
      <c r="K38" s="103">
        <f t="shared" si="3"/>
        <v>-20</v>
      </c>
      <c r="L38" s="103"/>
      <c r="M38" s="105">
        <f t="shared" si="4"/>
        <v>0</v>
      </c>
      <c r="N38" s="88"/>
      <c r="O38" s="88"/>
      <c r="P38" s="88"/>
      <c r="Q38" s="88"/>
      <c r="R38" s="88"/>
    </row>
    <row r="39" spans="1:21" s="93" customFormat="1">
      <c r="A39" s="106">
        <f t="shared" si="0"/>
        <v>0</v>
      </c>
      <c r="B39" s="41" t="str">
        <f t="shared" si="5"/>
        <v/>
      </c>
      <c r="C39" s="42"/>
      <c r="D39" s="42"/>
      <c r="E39" s="42"/>
      <c r="F39" s="42"/>
      <c r="G39" s="88"/>
      <c r="H39" s="107">
        <v>34</v>
      </c>
      <c r="I39" s="108" t="str">
        <f t="shared" si="1"/>
        <v/>
      </c>
      <c r="J39" s="108">
        <f t="shared" si="2"/>
        <v>-2</v>
      </c>
      <c r="K39" s="107">
        <f t="shared" si="3"/>
        <v>-20</v>
      </c>
      <c r="L39" s="107"/>
      <c r="M39" s="109">
        <f t="shared" si="4"/>
        <v>0</v>
      </c>
      <c r="N39" s="88"/>
      <c r="O39" s="88"/>
      <c r="P39" s="88"/>
      <c r="Q39" s="88"/>
      <c r="R39" s="88"/>
    </row>
    <row r="40" spans="1:21" s="93" customFormat="1">
      <c r="A40" s="106">
        <f t="shared" si="0"/>
        <v>0</v>
      </c>
      <c r="B40" s="35" t="str">
        <f t="shared" si="5"/>
        <v/>
      </c>
      <c r="C40" s="36"/>
      <c r="D40" s="36"/>
      <c r="E40" s="36"/>
      <c r="F40" s="36"/>
      <c r="G40" s="88"/>
      <c r="H40" s="103">
        <v>35</v>
      </c>
      <c r="I40" s="104" t="str">
        <f t="shared" si="1"/>
        <v/>
      </c>
      <c r="J40" s="104">
        <f t="shared" si="2"/>
        <v>-2</v>
      </c>
      <c r="K40" s="103">
        <f t="shared" si="3"/>
        <v>-20</v>
      </c>
      <c r="L40" s="103"/>
      <c r="M40" s="105">
        <f t="shared" si="4"/>
        <v>0</v>
      </c>
      <c r="N40" s="88"/>
      <c r="O40" s="88"/>
      <c r="P40" s="88"/>
      <c r="Q40" s="88"/>
      <c r="R40" s="88"/>
    </row>
    <row r="41" spans="1:21" s="93" customFormat="1">
      <c r="A41" s="106">
        <f t="shared" si="0"/>
        <v>0</v>
      </c>
      <c r="B41" s="41" t="str">
        <f t="shared" si="5"/>
        <v/>
      </c>
      <c r="C41" s="42"/>
      <c r="D41" s="42"/>
      <c r="E41" s="42"/>
      <c r="F41" s="42"/>
      <c r="G41" s="88"/>
      <c r="H41" s="107">
        <v>36</v>
      </c>
      <c r="I41" s="108" t="str">
        <f t="shared" si="1"/>
        <v/>
      </c>
      <c r="J41" s="108">
        <f t="shared" si="2"/>
        <v>-2</v>
      </c>
      <c r="K41" s="107">
        <f t="shared" si="3"/>
        <v>-20</v>
      </c>
      <c r="L41" s="107"/>
      <c r="M41" s="109">
        <f t="shared" si="4"/>
        <v>0</v>
      </c>
      <c r="N41" s="88"/>
      <c r="O41" s="88"/>
      <c r="P41" s="88"/>
      <c r="Q41" s="88"/>
      <c r="R41" s="88"/>
      <c r="S41" s="119"/>
    </row>
    <row r="42" spans="1:21" s="93" customFormat="1">
      <c r="A42" s="106">
        <f t="shared" si="0"/>
        <v>0</v>
      </c>
      <c r="B42" s="35" t="str">
        <f t="shared" si="5"/>
        <v/>
      </c>
      <c r="C42" s="36"/>
      <c r="D42" s="36"/>
      <c r="E42" s="36"/>
      <c r="F42" s="36"/>
      <c r="G42" s="88"/>
      <c r="H42" s="103">
        <v>37</v>
      </c>
      <c r="I42" s="104" t="str">
        <f t="shared" si="1"/>
        <v/>
      </c>
      <c r="J42" s="104">
        <f t="shared" si="2"/>
        <v>-2</v>
      </c>
      <c r="K42" s="103">
        <f t="shared" si="3"/>
        <v>-20</v>
      </c>
      <c r="L42" s="103"/>
      <c r="M42" s="105">
        <f t="shared" si="4"/>
        <v>0</v>
      </c>
      <c r="N42" s="88"/>
      <c r="O42" s="88"/>
      <c r="P42" s="88"/>
      <c r="Q42" s="88"/>
      <c r="R42" s="88"/>
    </row>
    <row r="43" spans="1:21" s="93" customFormat="1">
      <c r="A43" s="106">
        <f t="shared" si="0"/>
        <v>0</v>
      </c>
      <c r="B43" s="41" t="str">
        <f t="shared" si="5"/>
        <v/>
      </c>
      <c r="C43" s="42"/>
      <c r="D43" s="42"/>
      <c r="E43" s="42"/>
      <c r="F43" s="42"/>
      <c r="G43" s="88"/>
      <c r="H43" s="107">
        <v>38</v>
      </c>
      <c r="I43" s="108" t="str">
        <f t="shared" si="1"/>
        <v/>
      </c>
      <c r="J43" s="108">
        <f t="shared" si="2"/>
        <v>-2</v>
      </c>
      <c r="K43" s="107">
        <f t="shared" si="3"/>
        <v>-20</v>
      </c>
      <c r="L43" s="107"/>
      <c r="M43" s="109">
        <f t="shared" si="4"/>
        <v>0</v>
      </c>
      <c r="N43" s="88"/>
      <c r="O43" s="88"/>
      <c r="P43" s="88"/>
      <c r="Q43" s="88"/>
      <c r="R43" s="88"/>
    </row>
    <row r="44" spans="1:21" s="93" customFormat="1">
      <c r="A44" s="106">
        <f t="shared" si="0"/>
        <v>0</v>
      </c>
      <c r="B44" s="35" t="str">
        <f t="shared" si="5"/>
        <v/>
      </c>
      <c r="C44" s="36"/>
      <c r="D44" s="36"/>
      <c r="E44" s="36"/>
      <c r="F44" s="36"/>
      <c r="G44" s="88"/>
      <c r="H44" s="103">
        <v>39</v>
      </c>
      <c r="I44" s="104" t="str">
        <f t="shared" si="1"/>
        <v/>
      </c>
      <c r="J44" s="104">
        <f t="shared" si="2"/>
        <v>-2</v>
      </c>
      <c r="K44" s="103">
        <f t="shared" si="3"/>
        <v>-20</v>
      </c>
      <c r="L44" s="103"/>
      <c r="M44" s="105">
        <f t="shared" si="4"/>
        <v>0</v>
      </c>
      <c r="N44" s="88"/>
      <c r="O44" s="88"/>
      <c r="P44" s="88"/>
      <c r="Q44" s="88"/>
      <c r="R44" s="88"/>
    </row>
    <row r="45" spans="1:21" s="93" customFormat="1">
      <c r="A45" s="106">
        <f t="shared" si="0"/>
        <v>0</v>
      </c>
      <c r="B45" s="41" t="str">
        <f t="shared" si="5"/>
        <v/>
      </c>
      <c r="C45" s="42"/>
      <c r="D45" s="42"/>
      <c r="E45" s="42"/>
      <c r="F45" s="42"/>
      <c r="G45" s="88"/>
      <c r="H45" s="107">
        <v>40</v>
      </c>
      <c r="I45" s="108" t="str">
        <f t="shared" si="1"/>
        <v/>
      </c>
      <c r="J45" s="108">
        <f t="shared" si="2"/>
        <v>-2</v>
      </c>
      <c r="K45" s="107">
        <f t="shared" si="3"/>
        <v>-20</v>
      </c>
      <c r="L45" s="107"/>
      <c r="M45" s="109">
        <f t="shared" si="4"/>
        <v>0</v>
      </c>
      <c r="N45" s="88"/>
      <c r="O45" s="88"/>
      <c r="P45" s="88"/>
      <c r="Q45" s="88"/>
      <c r="R45" s="88"/>
    </row>
    <row r="46" spans="1:21" s="93" customFormat="1">
      <c r="A46" s="106">
        <f t="shared" si="0"/>
        <v>0</v>
      </c>
      <c r="B46" s="35" t="str">
        <f t="shared" si="5"/>
        <v/>
      </c>
      <c r="C46" s="36"/>
      <c r="D46" s="36"/>
      <c r="E46" s="36"/>
      <c r="F46" s="36"/>
      <c r="G46" s="88"/>
      <c r="H46" s="103">
        <v>41</v>
      </c>
      <c r="I46" s="104" t="str">
        <f t="shared" si="1"/>
        <v/>
      </c>
      <c r="J46" s="104">
        <f t="shared" si="2"/>
        <v>-2</v>
      </c>
      <c r="K46" s="103">
        <f t="shared" si="3"/>
        <v>-20</v>
      </c>
      <c r="L46" s="103"/>
      <c r="M46" s="105">
        <f t="shared" si="4"/>
        <v>0</v>
      </c>
      <c r="N46" s="88"/>
      <c r="O46" s="88"/>
      <c r="P46" s="88"/>
      <c r="Q46" s="88"/>
      <c r="R46" s="88">
        <f>LOG($H$2,2)</f>
        <v>3.8073549220576037</v>
      </c>
      <c r="T46" s="93">
        <f>LOG(H38,2)</f>
        <v>5.0443941193584534</v>
      </c>
      <c r="U46" s="93">
        <f>R46-T46</f>
        <v>-1.2370391973008497</v>
      </c>
    </row>
    <row r="47" spans="1:21" s="93" customFormat="1">
      <c r="A47" s="106">
        <f t="shared" si="0"/>
        <v>0</v>
      </c>
      <c r="B47" s="41" t="str">
        <f t="shared" si="5"/>
        <v/>
      </c>
      <c r="C47" s="42"/>
      <c r="D47" s="42"/>
      <c r="E47" s="42"/>
      <c r="F47" s="42"/>
      <c r="G47" s="88"/>
      <c r="H47" s="107">
        <v>42</v>
      </c>
      <c r="I47" s="108" t="str">
        <f t="shared" si="1"/>
        <v/>
      </c>
      <c r="J47" s="108">
        <f t="shared" si="2"/>
        <v>-2</v>
      </c>
      <c r="K47" s="107">
        <f t="shared" si="3"/>
        <v>-20</v>
      </c>
      <c r="L47" s="107"/>
      <c r="M47" s="109">
        <f t="shared" si="4"/>
        <v>0</v>
      </c>
      <c r="N47" s="88"/>
      <c r="O47" s="88"/>
      <c r="P47" s="88"/>
      <c r="Q47" s="88"/>
      <c r="R47" s="88"/>
    </row>
    <row r="48" spans="1:21" s="93" customFormat="1">
      <c r="A48" s="106">
        <f t="shared" si="0"/>
        <v>0</v>
      </c>
      <c r="B48" s="35" t="str">
        <f t="shared" si="5"/>
        <v/>
      </c>
      <c r="C48" s="36"/>
      <c r="D48" s="36"/>
      <c r="E48" s="36"/>
      <c r="F48" s="36"/>
      <c r="G48" s="88"/>
      <c r="H48" s="103">
        <v>43</v>
      </c>
      <c r="I48" s="104" t="str">
        <f t="shared" si="1"/>
        <v/>
      </c>
      <c r="J48" s="104">
        <f t="shared" si="2"/>
        <v>-2</v>
      </c>
      <c r="K48" s="103">
        <f t="shared" si="3"/>
        <v>-20</v>
      </c>
      <c r="L48" s="103"/>
      <c r="M48" s="105">
        <f t="shared" si="4"/>
        <v>0</v>
      </c>
      <c r="N48" s="88"/>
      <c r="O48" s="88"/>
      <c r="P48" s="88"/>
      <c r="Q48" s="88"/>
      <c r="R48" s="88"/>
    </row>
    <row r="49" spans="1:38" s="88" customFormat="1">
      <c r="A49" s="106">
        <f t="shared" si="0"/>
        <v>0</v>
      </c>
      <c r="B49" s="41" t="str">
        <f t="shared" si="5"/>
        <v/>
      </c>
      <c r="C49" s="42"/>
      <c r="D49" s="42"/>
      <c r="E49" s="42"/>
      <c r="F49" s="42"/>
      <c r="H49" s="107">
        <v>44</v>
      </c>
      <c r="I49" s="108" t="str">
        <f t="shared" si="1"/>
        <v/>
      </c>
      <c r="J49" s="108">
        <f t="shared" si="2"/>
        <v>-2</v>
      </c>
      <c r="K49" s="107">
        <f t="shared" si="3"/>
        <v>-20</v>
      </c>
      <c r="L49" s="107"/>
      <c r="M49" s="109">
        <f t="shared" si="4"/>
        <v>0</v>
      </c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</row>
    <row r="50" spans="1:38" s="88" customFormat="1">
      <c r="A50" s="106">
        <f t="shared" si="0"/>
        <v>0</v>
      </c>
      <c r="B50" s="35" t="str">
        <f t="shared" si="5"/>
        <v/>
      </c>
      <c r="C50" s="36"/>
      <c r="D50" s="36"/>
      <c r="E50" s="36"/>
      <c r="F50" s="36"/>
      <c r="H50" s="103">
        <v>45</v>
      </c>
      <c r="I50" s="104" t="str">
        <f t="shared" si="1"/>
        <v/>
      </c>
      <c r="J50" s="104">
        <f t="shared" si="2"/>
        <v>-2</v>
      </c>
      <c r="K50" s="103">
        <f t="shared" si="3"/>
        <v>-20</v>
      </c>
      <c r="L50" s="103"/>
      <c r="M50" s="105">
        <f t="shared" si="4"/>
        <v>0</v>
      </c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</row>
    <row r="51" spans="1:38" s="88" customFormat="1">
      <c r="A51" s="106">
        <f t="shared" si="0"/>
        <v>0</v>
      </c>
      <c r="B51" s="41" t="str">
        <f t="shared" si="5"/>
        <v/>
      </c>
      <c r="C51" s="42"/>
      <c r="D51" s="42"/>
      <c r="E51" s="42"/>
      <c r="F51" s="42"/>
      <c r="H51" s="107">
        <v>46</v>
      </c>
      <c r="I51" s="108" t="str">
        <f t="shared" si="1"/>
        <v/>
      </c>
      <c r="J51" s="108">
        <f t="shared" si="2"/>
        <v>-2</v>
      </c>
      <c r="K51" s="107">
        <f t="shared" si="3"/>
        <v>-20</v>
      </c>
      <c r="L51" s="107"/>
      <c r="M51" s="109">
        <f t="shared" si="4"/>
        <v>0</v>
      </c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</row>
    <row r="52" spans="1:38" s="88" customFormat="1">
      <c r="A52" s="106">
        <f t="shared" si="0"/>
        <v>0</v>
      </c>
      <c r="B52" s="35" t="str">
        <f t="shared" si="5"/>
        <v/>
      </c>
      <c r="C52" s="36"/>
      <c r="D52" s="36"/>
      <c r="E52" s="36"/>
      <c r="F52" s="36"/>
      <c r="H52" s="103">
        <v>47</v>
      </c>
      <c r="I52" s="104" t="str">
        <f t="shared" si="1"/>
        <v/>
      </c>
      <c r="J52" s="104">
        <f t="shared" si="2"/>
        <v>-2</v>
      </c>
      <c r="K52" s="103">
        <f t="shared" si="3"/>
        <v>-20</v>
      </c>
      <c r="L52" s="103"/>
      <c r="M52" s="105">
        <f t="shared" si="4"/>
        <v>0</v>
      </c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</row>
    <row r="53" spans="1:38" s="88" customFormat="1">
      <c r="A53" s="106">
        <f t="shared" si="0"/>
        <v>0</v>
      </c>
      <c r="B53" s="41" t="str">
        <f t="shared" si="5"/>
        <v/>
      </c>
      <c r="C53" s="42"/>
      <c r="D53" s="42"/>
      <c r="E53" s="42"/>
      <c r="F53" s="42"/>
      <c r="H53" s="107">
        <v>48</v>
      </c>
      <c r="I53" s="108" t="str">
        <f t="shared" si="1"/>
        <v/>
      </c>
      <c r="J53" s="108">
        <f t="shared" si="2"/>
        <v>-2</v>
      </c>
      <c r="K53" s="107">
        <f t="shared" si="3"/>
        <v>-20</v>
      </c>
      <c r="L53" s="107"/>
      <c r="M53" s="109">
        <f t="shared" si="4"/>
        <v>0</v>
      </c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</row>
    <row r="54" spans="1:38" s="88" customFormat="1">
      <c r="A54" s="106">
        <f t="shared" si="0"/>
        <v>0</v>
      </c>
      <c r="B54" s="35" t="str">
        <f t="shared" si="5"/>
        <v/>
      </c>
      <c r="C54" s="36"/>
      <c r="D54" s="36"/>
      <c r="E54" s="36"/>
      <c r="F54" s="36"/>
      <c r="H54" s="103">
        <v>49</v>
      </c>
      <c r="I54" s="104" t="str">
        <f t="shared" si="1"/>
        <v/>
      </c>
      <c r="J54" s="104">
        <f t="shared" si="2"/>
        <v>-2</v>
      </c>
      <c r="K54" s="103">
        <f t="shared" si="3"/>
        <v>-20</v>
      </c>
      <c r="L54" s="103"/>
      <c r="M54" s="105">
        <f t="shared" si="4"/>
        <v>0</v>
      </c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</row>
    <row r="55" spans="1:38" s="88" customFormat="1">
      <c r="A55" s="106">
        <f t="shared" si="0"/>
        <v>0</v>
      </c>
      <c r="B55" s="41" t="str">
        <f t="shared" si="5"/>
        <v/>
      </c>
      <c r="C55" s="42"/>
      <c r="D55" s="42"/>
      <c r="E55" s="42"/>
      <c r="F55" s="42"/>
      <c r="H55" s="107">
        <v>50</v>
      </c>
      <c r="I55" s="108" t="str">
        <f t="shared" si="1"/>
        <v/>
      </c>
      <c r="J55" s="108">
        <f t="shared" si="2"/>
        <v>-2</v>
      </c>
      <c r="K55" s="107">
        <f t="shared" si="3"/>
        <v>-20</v>
      </c>
      <c r="L55" s="107"/>
      <c r="M55" s="109">
        <f t="shared" si="4"/>
        <v>0</v>
      </c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</row>
    <row r="56" spans="1:38" s="88" customFormat="1">
      <c r="A56" s="106">
        <f t="shared" si="0"/>
        <v>0</v>
      </c>
      <c r="B56" s="35" t="str">
        <f t="shared" si="5"/>
        <v/>
      </c>
      <c r="C56" s="36"/>
      <c r="D56" s="36"/>
      <c r="E56" s="36"/>
      <c r="F56" s="36"/>
      <c r="H56" s="103">
        <v>51</v>
      </c>
      <c r="I56" s="104" t="str">
        <f t="shared" si="1"/>
        <v/>
      </c>
      <c r="J56" s="104">
        <f t="shared" si="2"/>
        <v>-2</v>
      </c>
      <c r="K56" s="103">
        <f t="shared" si="3"/>
        <v>-20</v>
      </c>
      <c r="L56" s="103"/>
      <c r="M56" s="105">
        <f t="shared" si="4"/>
        <v>0</v>
      </c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</row>
    <row r="57" spans="1:38" s="88" customFormat="1">
      <c r="A57" s="106">
        <f t="shared" si="0"/>
        <v>0</v>
      </c>
      <c r="B57" s="41" t="str">
        <f t="shared" si="5"/>
        <v/>
      </c>
      <c r="C57" s="42"/>
      <c r="D57" s="42"/>
      <c r="E57" s="42"/>
      <c r="F57" s="42"/>
      <c r="H57" s="107">
        <v>52</v>
      </c>
      <c r="I57" s="108" t="str">
        <f t="shared" si="1"/>
        <v/>
      </c>
      <c r="J57" s="108">
        <f t="shared" si="2"/>
        <v>-2</v>
      </c>
      <c r="K57" s="107">
        <f t="shared" si="3"/>
        <v>-20</v>
      </c>
      <c r="L57" s="107"/>
      <c r="M57" s="109">
        <f t="shared" si="4"/>
        <v>0</v>
      </c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</row>
    <row r="58" spans="1:38" s="88" customFormat="1">
      <c r="A58" s="106">
        <f t="shared" si="0"/>
        <v>0</v>
      </c>
      <c r="B58" s="35" t="str">
        <f t="shared" si="5"/>
        <v/>
      </c>
      <c r="C58" s="36"/>
      <c r="D58" s="36"/>
      <c r="E58" s="36"/>
      <c r="F58" s="36"/>
      <c r="H58" s="103">
        <v>53</v>
      </c>
      <c r="I58" s="104" t="str">
        <f t="shared" si="1"/>
        <v/>
      </c>
      <c r="J58" s="104">
        <f t="shared" si="2"/>
        <v>-2</v>
      </c>
      <c r="K58" s="103">
        <f t="shared" si="3"/>
        <v>-20</v>
      </c>
      <c r="L58" s="103"/>
      <c r="M58" s="105">
        <f t="shared" si="4"/>
        <v>0</v>
      </c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</row>
    <row r="59" spans="1:38" s="88" customFormat="1">
      <c r="A59" s="106">
        <f t="shared" si="0"/>
        <v>0</v>
      </c>
      <c r="B59" s="41" t="str">
        <f t="shared" si="5"/>
        <v/>
      </c>
      <c r="C59" s="42"/>
      <c r="D59" s="42"/>
      <c r="E59" s="42"/>
      <c r="F59" s="42"/>
      <c r="H59" s="107">
        <v>54</v>
      </c>
      <c r="I59" s="108" t="str">
        <f t="shared" si="1"/>
        <v/>
      </c>
      <c r="J59" s="108">
        <f t="shared" si="2"/>
        <v>-2</v>
      </c>
      <c r="K59" s="107">
        <f t="shared" si="3"/>
        <v>-20</v>
      </c>
      <c r="L59" s="107"/>
      <c r="M59" s="109">
        <f t="shared" si="4"/>
        <v>0</v>
      </c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</row>
    <row r="60" spans="1:38" s="88" customFormat="1">
      <c r="A60" s="106">
        <f t="shared" si="0"/>
        <v>0</v>
      </c>
      <c r="B60" s="35" t="str">
        <f t="shared" si="5"/>
        <v/>
      </c>
      <c r="C60" s="36"/>
      <c r="D60" s="36"/>
      <c r="E60" s="36"/>
      <c r="F60" s="36"/>
      <c r="H60" s="103">
        <v>55</v>
      </c>
      <c r="I60" s="104" t="str">
        <f t="shared" si="1"/>
        <v/>
      </c>
      <c r="J60" s="104">
        <f t="shared" si="2"/>
        <v>-2</v>
      </c>
      <c r="K60" s="103">
        <f t="shared" si="3"/>
        <v>-20</v>
      </c>
      <c r="L60" s="103"/>
      <c r="M60" s="105">
        <f t="shared" si="4"/>
        <v>0</v>
      </c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</row>
    <row r="61" spans="1:38" s="88" customFormat="1">
      <c r="A61" s="106">
        <f t="shared" si="0"/>
        <v>0</v>
      </c>
      <c r="B61" s="41" t="str">
        <f t="shared" si="5"/>
        <v/>
      </c>
      <c r="C61" s="42"/>
      <c r="D61" s="42"/>
      <c r="E61" s="42"/>
      <c r="F61" s="42"/>
      <c r="H61" s="107">
        <v>56</v>
      </c>
      <c r="I61" s="108" t="str">
        <f t="shared" si="1"/>
        <v/>
      </c>
      <c r="J61" s="108">
        <f t="shared" si="2"/>
        <v>-2</v>
      </c>
      <c r="K61" s="107">
        <f t="shared" si="3"/>
        <v>-20</v>
      </c>
      <c r="L61" s="107"/>
      <c r="M61" s="109">
        <f t="shared" si="4"/>
        <v>0</v>
      </c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</row>
    <row r="62" spans="1:38" s="88" customFormat="1">
      <c r="A62" s="106">
        <f t="shared" si="0"/>
        <v>0</v>
      </c>
      <c r="B62" s="35" t="str">
        <f t="shared" si="5"/>
        <v/>
      </c>
      <c r="C62" s="36"/>
      <c r="D62" s="36"/>
      <c r="E62" s="36"/>
      <c r="F62" s="36"/>
      <c r="H62" s="103">
        <v>57</v>
      </c>
      <c r="I62" s="104" t="str">
        <f t="shared" si="1"/>
        <v/>
      </c>
      <c r="J62" s="104">
        <f t="shared" si="2"/>
        <v>-2</v>
      </c>
      <c r="K62" s="103">
        <f t="shared" si="3"/>
        <v>-20</v>
      </c>
      <c r="L62" s="103"/>
      <c r="M62" s="105">
        <f t="shared" si="4"/>
        <v>0</v>
      </c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</row>
    <row r="63" spans="1:38" s="88" customFormat="1">
      <c r="A63" s="106">
        <f t="shared" si="0"/>
        <v>0</v>
      </c>
      <c r="B63" s="41" t="str">
        <f t="shared" si="5"/>
        <v/>
      </c>
      <c r="C63" s="42"/>
      <c r="D63" s="42"/>
      <c r="E63" s="42"/>
      <c r="F63" s="42"/>
      <c r="H63" s="107">
        <v>58</v>
      </c>
      <c r="I63" s="108" t="str">
        <f t="shared" si="1"/>
        <v/>
      </c>
      <c r="J63" s="108">
        <f t="shared" si="2"/>
        <v>-2</v>
      </c>
      <c r="K63" s="107">
        <f t="shared" si="3"/>
        <v>-20</v>
      </c>
      <c r="L63" s="107"/>
      <c r="M63" s="109">
        <f t="shared" si="4"/>
        <v>0</v>
      </c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</row>
    <row r="64" spans="1:38" s="88" customFormat="1">
      <c r="A64" s="106">
        <f t="shared" si="0"/>
        <v>0</v>
      </c>
      <c r="B64" s="35" t="str">
        <f t="shared" si="5"/>
        <v/>
      </c>
      <c r="C64" s="36"/>
      <c r="D64" s="36"/>
      <c r="E64" s="36"/>
      <c r="F64" s="36"/>
      <c r="H64" s="103">
        <v>59</v>
      </c>
      <c r="I64" s="104" t="str">
        <f t="shared" si="1"/>
        <v/>
      </c>
      <c r="J64" s="104">
        <f t="shared" si="2"/>
        <v>-2</v>
      </c>
      <c r="K64" s="103">
        <f t="shared" si="3"/>
        <v>-20</v>
      </c>
      <c r="L64" s="103"/>
      <c r="M64" s="105">
        <f t="shared" si="4"/>
        <v>0</v>
      </c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</row>
    <row r="65" spans="1:38" s="88" customFormat="1">
      <c r="A65" s="106">
        <f t="shared" si="0"/>
        <v>0</v>
      </c>
      <c r="B65" s="41" t="str">
        <f t="shared" si="5"/>
        <v/>
      </c>
      <c r="C65" s="42"/>
      <c r="D65" s="42"/>
      <c r="E65" s="42"/>
      <c r="F65" s="42"/>
      <c r="H65" s="107">
        <v>60</v>
      </c>
      <c r="I65" s="108" t="str">
        <f t="shared" si="1"/>
        <v/>
      </c>
      <c r="J65" s="108">
        <f t="shared" si="2"/>
        <v>-2</v>
      </c>
      <c r="K65" s="107">
        <f t="shared" si="3"/>
        <v>-20</v>
      </c>
      <c r="L65" s="107"/>
      <c r="M65" s="109">
        <f t="shared" si="4"/>
        <v>0</v>
      </c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</row>
    <row r="66" spans="1:38" s="88" customFormat="1">
      <c r="A66" s="106">
        <f t="shared" si="0"/>
        <v>0</v>
      </c>
      <c r="B66" s="35"/>
      <c r="C66" s="123"/>
      <c r="D66" s="123"/>
      <c r="E66" s="123"/>
      <c r="F66" s="123"/>
      <c r="H66" s="103">
        <v>61</v>
      </c>
      <c r="I66" s="104" t="str">
        <f t="shared" si="1"/>
        <v/>
      </c>
      <c r="J66" s="104">
        <f t="shared" si="2"/>
        <v>-2</v>
      </c>
      <c r="K66" s="103">
        <f t="shared" si="3"/>
        <v>-20</v>
      </c>
      <c r="L66" s="103"/>
      <c r="M66" s="105">
        <f t="shared" si="4"/>
        <v>0</v>
      </c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</row>
    <row r="67" spans="1:38" s="88" customFormat="1">
      <c r="A67" s="106">
        <f t="shared" si="0"/>
        <v>0</v>
      </c>
      <c r="B67" s="41"/>
      <c r="C67" s="123"/>
      <c r="D67" s="123"/>
      <c r="E67" s="123"/>
      <c r="F67" s="123"/>
      <c r="H67" s="103">
        <v>62</v>
      </c>
      <c r="I67" s="104" t="str">
        <f t="shared" si="1"/>
        <v/>
      </c>
      <c r="J67" s="104">
        <f t="shared" si="2"/>
        <v>-2</v>
      </c>
      <c r="K67" s="103">
        <f t="shared" si="3"/>
        <v>-20</v>
      </c>
      <c r="L67" s="103"/>
      <c r="M67" s="105">
        <f t="shared" si="4"/>
        <v>0</v>
      </c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</row>
    <row r="68" spans="1:38" s="88" customFormat="1">
      <c r="A68" s="106">
        <f t="shared" si="0"/>
        <v>0</v>
      </c>
      <c r="B68" s="35"/>
      <c r="C68" s="123"/>
      <c r="D68" s="123"/>
      <c r="E68" s="123"/>
      <c r="F68" s="123"/>
      <c r="H68" s="103">
        <v>63</v>
      </c>
      <c r="I68" s="104" t="str">
        <f t="shared" si="1"/>
        <v/>
      </c>
      <c r="J68" s="104">
        <f t="shared" si="2"/>
        <v>-2</v>
      </c>
      <c r="K68" s="103">
        <f t="shared" si="3"/>
        <v>-20</v>
      </c>
      <c r="L68" s="103"/>
      <c r="M68" s="105">
        <f t="shared" si="4"/>
        <v>0</v>
      </c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</row>
    <row r="69" spans="1:38" s="88" customFormat="1">
      <c r="A69" s="106">
        <f t="shared" si="0"/>
        <v>0</v>
      </c>
      <c r="B69" s="41"/>
      <c r="C69" s="123"/>
      <c r="D69" s="123"/>
      <c r="E69" s="123"/>
      <c r="F69" s="123"/>
      <c r="H69" s="103">
        <v>64</v>
      </c>
      <c r="I69" s="104" t="str">
        <f t="shared" si="1"/>
        <v/>
      </c>
      <c r="J69" s="104">
        <f t="shared" si="2"/>
        <v>-2</v>
      </c>
      <c r="K69" s="103">
        <f t="shared" si="3"/>
        <v>-20</v>
      </c>
      <c r="L69" s="103"/>
      <c r="M69" s="105">
        <f t="shared" si="4"/>
        <v>0</v>
      </c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</row>
    <row r="70" spans="1:38" s="88" customFormat="1">
      <c r="A70" s="106">
        <f t="shared" ref="A70:A79" si="8">M70</f>
        <v>0</v>
      </c>
      <c r="B70" s="123"/>
      <c r="C70" s="123"/>
      <c r="D70" s="123"/>
      <c r="E70" s="123"/>
      <c r="F70" s="123"/>
      <c r="H70" s="103">
        <v>65</v>
      </c>
      <c r="I70" s="104" t="str">
        <f t="shared" ref="I70:I133" si="9">IF(H70&lt;$H$2+1,($I$2-($I$2-1)*(LOG(H70)/LOG($H$2))),"")</f>
        <v/>
      </c>
      <c r="J70" s="104">
        <f t="shared" ref="J70:J133" si="10">INT(LOG($H$2,2))-ROUNDUP(LOG(H70,2),0)+IF(OR($H$2=1,$H$2=2,$H$2=4,$H$2=8,$H$2=16,$H$2=32,$H$2=64,$H$2=128,$H$2=256),0,1)</f>
        <v>-3</v>
      </c>
      <c r="K70" s="103">
        <f t="shared" ref="K70:K133" si="11">J70*$J$2</f>
        <v>-30</v>
      </c>
      <c r="L70" s="103"/>
      <c r="M70" s="105">
        <f t="shared" ref="M70:M133" si="12">IF(I70&lt;&gt;"",K70+I70+L70,0)</f>
        <v>0</v>
      </c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</row>
    <row r="71" spans="1:38" s="88" customFormat="1">
      <c r="A71" s="106">
        <f t="shared" si="8"/>
        <v>0</v>
      </c>
      <c r="B71" s="123"/>
      <c r="C71" s="123"/>
      <c r="D71" s="123"/>
      <c r="E71" s="123"/>
      <c r="F71" s="123"/>
      <c r="H71" s="103">
        <v>66</v>
      </c>
      <c r="I71" s="104" t="str">
        <f t="shared" si="9"/>
        <v/>
      </c>
      <c r="J71" s="104">
        <f t="shared" si="10"/>
        <v>-3</v>
      </c>
      <c r="K71" s="103">
        <f t="shared" si="11"/>
        <v>-30</v>
      </c>
      <c r="L71" s="103"/>
      <c r="M71" s="105">
        <f t="shared" si="12"/>
        <v>0</v>
      </c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</row>
    <row r="72" spans="1:38" s="88" customFormat="1">
      <c r="A72" s="106">
        <f t="shared" si="8"/>
        <v>0</v>
      </c>
      <c r="B72" s="123"/>
      <c r="C72" s="123"/>
      <c r="D72" s="123"/>
      <c r="E72" s="123"/>
      <c r="F72" s="123"/>
      <c r="H72" s="103">
        <v>67</v>
      </c>
      <c r="I72" s="104" t="str">
        <f t="shared" si="9"/>
        <v/>
      </c>
      <c r="J72" s="104">
        <f t="shared" si="10"/>
        <v>-3</v>
      </c>
      <c r="K72" s="103">
        <f t="shared" si="11"/>
        <v>-30</v>
      </c>
      <c r="L72" s="103"/>
      <c r="M72" s="105">
        <f t="shared" si="12"/>
        <v>0</v>
      </c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</row>
    <row r="73" spans="1:38" s="88" customFormat="1">
      <c r="A73" s="106">
        <f t="shared" si="8"/>
        <v>0</v>
      </c>
      <c r="B73" s="123"/>
      <c r="C73" s="123"/>
      <c r="D73" s="123"/>
      <c r="E73" s="123"/>
      <c r="F73" s="123"/>
      <c r="H73" s="103">
        <v>68</v>
      </c>
      <c r="I73" s="104" t="str">
        <f t="shared" si="9"/>
        <v/>
      </c>
      <c r="J73" s="104">
        <f t="shared" si="10"/>
        <v>-3</v>
      </c>
      <c r="K73" s="103">
        <f t="shared" si="11"/>
        <v>-30</v>
      </c>
      <c r="L73" s="103"/>
      <c r="M73" s="105">
        <f t="shared" si="12"/>
        <v>0</v>
      </c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</row>
    <row r="74" spans="1:38" s="88" customFormat="1">
      <c r="A74" s="106">
        <f t="shared" si="8"/>
        <v>0</v>
      </c>
      <c r="B74" s="123"/>
      <c r="C74" s="123"/>
      <c r="D74" s="123"/>
      <c r="E74" s="123"/>
      <c r="F74" s="123"/>
      <c r="H74" s="103">
        <v>69</v>
      </c>
      <c r="I74" s="104" t="str">
        <f t="shared" si="9"/>
        <v/>
      </c>
      <c r="J74" s="104">
        <f t="shared" si="10"/>
        <v>-3</v>
      </c>
      <c r="K74" s="103">
        <f t="shared" si="11"/>
        <v>-30</v>
      </c>
      <c r="L74" s="103"/>
      <c r="M74" s="105">
        <f t="shared" si="12"/>
        <v>0</v>
      </c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</row>
    <row r="75" spans="1:38" s="88" customFormat="1">
      <c r="A75" s="106">
        <f t="shared" si="8"/>
        <v>0</v>
      </c>
      <c r="B75" s="123"/>
      <c r="C75" s="123"/>
      <c r="D75" s="123"/>
      <c r="E75" s="123"/>
      <c r="F75" s="123"/>
      <c r="H75" s="103">
        <v>70</v>
      </c>
      <c r="I75" s="104" t="str">
        <f t="shared" si="9"/>
        <v/>
      </c>
      <c r="J75" s="104">
        <f t="shared" si="10"/>
        <v>-3</v>
      </c>
      <c r="K75" s="103">
        <f t="shared" si="11"/>
        <v>-30</v>
      </c>
      <c r="L75" s="103"/>
      <c r="M75" s="105">
        <f t="shared" si="12"/>
        <v>0</v>
      </c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</row>
    <row r="76" spans="1:38" s="88" customFormat="1">
      <c r="A76" s="106">
        <f t="shared" si="8"/>
        <v>0</v>
      </c>
      <c r="B76" s="123"/>
      <c r="C76" s="123"/>
      <c r="D76" s="123"/>
      <c r="E76" s="123"/>
      <c r="F76" s="123"/>
      <c r="H76" s="103">
        <v>71</v>
      </c>
      <c r="I76" s="104" t="str">
        <f t="shared" si="9"/>
        <v/>
      </c>
      <c r="J76" s="104">
        <f t="shared" si="10"/>
        <v>-3</v>
      </c>
      <c r="K76" s="103">
        <f t="shared" si="11"/>
        <v>-30</v>
      </c>
      <c r="L76" s="103"/>
      <c r="M76" s="105">
        <f t="shared" si="12"/>
        <v>0</v>
      </c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</row>
    <row r="77" spans="1:38" s="88" customFormat="1">
      <c r="A77" s="106">
        <f t="shared" si="8"/>
        <v>0</v>
      </c>
      <c r="B77" s="123"/>
      <c r="C77" s="123"/>
      <c r="D77" s="123"/>
      <c r="E77" s="123"/>
      <c r="F77" s="123"/>
      <c r="H77" s="103">
        <v>72</v>
      </c>
      <c r="I77" s="104" t="str">
        <f t="shared" si="9"/>
        <v/>
      </c>
      <c r="J77" s="104">
        <f t="shared" si="10"/>
        <v>-3</v>
      </c>
      <c r="K77" s="103">
        <f t="shared" si="11"/>
        <v>-30</v>
      </c>
      <c r="L77" s="103"/>
      <c r="M77" s="105">
        <f t="shared" si="12"/>
        <v>0</v>
      </c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</row>
    <row r="78" spans="1:38" s="88" customFormat="1">
      <c r="A78" s="106">
        <f t="shared" si="8"/>
        <v>0</v>
      </c>
      <c r="B78" s="123"/>
      <c r="C78" s="123"/>
      <c r="D78" s="123"/>
      <c r="E78" s="123"/>
      <c r="F78" s="123"/>
      <c r="H78" s="103">
        <v>73</v>
      </c>
      <c r="I78" s="104" t="str">
        <f t="shared" si="9"/>
        <v/>
      </c>
      <c r="J78" s="104">
        <f t="shared" si="10"/>
        <v>-3</v>
      </c>
      <c r="K78" s="103">
        <f t="shared" si="11"/>
        <v>-30</v>
      </c>
      <c r="L78" s="103"/>
      <c r="M78" s="105">
        <f t="shared" si="12"/>
        <v>0</v>
      </c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</row>
    <row r="79" spans="1:38" s="88" customFormat="1">
      <c r="A79" s="106">
        <f t="shared" si="8"/>
        <v>0</v>
      </c>
      <c r="B79" s="123"/>
      <c r="C79" s="123"/>
      <c r="D79" s="123"/>
      <c r="E79" s="123"/>
      <c r="F79" s="123"/>
      <c r="H79" s="103">
        <v>74</v>
      </c>
      <c r="I79" s="104" t="str">
        <f t="shared" si="9"/>
        <v/>
      </c>
      <c r="J79" s="104">
        <f t="shared" si="10"/>
        <v>-3</v>
      </c>
      <c r="K79" s="103">
        <f t="shared" si="11"/>
        <v>-30</v>
      </c>
      <c r="L79" s="103"/>
      <c r="M79" s="105">
        <f t="shared" si="12"/>
        <v>0</v>
      </c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</row>
    <row r="80" spans="1:38" s="88" customFormat="1">
      <c r="A80" s="102"/>
      <c r="B80" s="123"/>
      <c r="C80" s="123"/>
      <c r="D80" s="123"/>
      <c r="E80" s="123"/>
      <c r="F80" s="123"/>
      <c r="H80" s="103">
        <v>75</v>
      </c>
      <c r="I80" s="104" t="str">
        <f t="shared" si="9"/>
        <v/>
      </c>
      <c r="J80" s="104">
        <f t="shared" si="10"/>
        <v>-3</v>
      </c>
      <c r="K80" s="103">
        <f t="shared" si="11"/>
        <v>-30</v>
      </c>
      <c r="L80" s="103"/>
      <c r="M80" s="105">
        <f t="shared" si="12"/>
        <v>0</v>
      </c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</row>
    <row r="81" spans="1:38" s="88" customFormat="1">
      <c r="A81" s="124"/>
      <c r="B81" s="123"/>
      <c r="C81" s="123"/>
      <c r="D81" s="123"/>
      <c r="E81" s="123"/>
      <c r="F81" s="123"/>
      <c r="H81" s="103">
        <v>76</v>
      </c>
      <c r="I81" s="104" t="str">
        <f t="shared" si="9"/>
        <v/>
      </c>
      <c r="J81" s="104">
        <f t="shared" si="10"/>
        <v>-3</v>
      </c>
      <c r="K81" s="103">
        <f t="shared" si="11"/>
        <v>-30</v>
      </c>
      <c r="L81" s="103"/>
      <c r="M81" s="105">
        <f t="shared" si="12"/>
        <v>0</v>
      </c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</row>
    <row r="82" spans="1:38" s="88" customFormat="1">
      <c r="A82" s="124"/>
      <c r="B82" s="123"/>
      <c r="C82" s="123"/>
      <c r="D82" s="123"/>
      <c r="E82" s="123"/>
      <c r="F82" s="123"/>
      <c r="H82" s="103">
        <v>77</v>
      </c>
      <c r="I82" s="104" t="str">
        <f t="shared" si="9"/>
        <v/>
      </c>
      <c r="J82" s="104">
        <f t="shared" si="10"/>
        <v>-3</v>
      </c>
      <c r="K82" s="103">
        <f t="shared" si="11"/>
        <v>-30</v>
      </c>
      <c r="L82" s="103"/>
      <c r="M82" s="105">
        <f t="shared" si="12"/>
        <v>0</v>
      </c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</row>
    <row r="83" spans="1:38" s="88" customFormat="1">
      <c r="A83" s="124"/>
      <c r="B83" s="123"/>
      <c r="C83" s="123"/>
      <c r="D83" s="123"/>
      <c r="E83" s="123"/>
      <c r="F83" s="123"/>
      <c r="H83" s="103">
        <v>78</v>
      </c>
      <c r="I83" s="104" t="str">
        <f t="shared" si="9"/>
        <v/>
      </c>
      <c r="J83" s="104">
        <f t="shared" si="10"/>
        <v>-3</v>
      </c>
      <c r="K83" s="103">
        <f t="shared" si="11"/>
        <v>-30</v>
      </c>
      <c r="L83" s="103"/>
      <c r="M83" s="105">
        <f t="shared" si="12"/>
        <v>0</v>
      </c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</row>
    <row r="84" spans="1:38" s="88" customFormat="1">
      <c r="A84" s="124"/>
      <c r="B84" s="123"/>
      <c r="C84" s="123"/>
      <c r="D84" s="123"/>
      <c r="E84" s="123"/>
      <c r="F84" s="123"/>
      <c r="H84" s="103">
        <v>79</v>
      </c>
      <c r="I84" s="104" t="str">
        <f t="shared" si="9"/>
        <v/>
      </c>
      <c r="J84" s="104">
        <f t="shared" si="10"/>
        <v>-3</v>
      </c>
      <c r="K84" s="103">
        <f t="shared" si="11"/>
        <v>-30</v>
      </c>
      <c r="L84" s="103"/>
      <c r="M84" s="105">
        <f t="shared" si="12"/>
        <v>0</v>
      </c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</row>
    <row r="85" spans="1:38" s="88" customFormat="1">
      <c r="A85" s="124"/>
      <c r="B85" s="123"/>
      <c r="C85" s="123"/>
      <c r="D85" s="123"/>
      <c r="E85" s="123"/>
      <c r="F85" s="123"/>
      <c r="H85" s="103">
        <v>80</v>
      </c>
      <c r="I85" s="104" t="str">
        <f t="shared" si="9"/>
        <v/>
      </c>
      <c r="J85" s="104">
        <f t="shared" si="10"/>
        <v>-3</v>
      </c>
      <c r="K85" s="103">
        <f t="shared" si="11"/>
        <v>-30</v>
      </c>
      <c r="L85" s="103"/>
      <c r="M85" s="105">
        <f t="shared" si="12"/>
        <v>0</v>
      </c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</row>
    <row r="86" spans="1:38" s="88" customFormat="1">
      <c r="A86" s="124"/>
      <c r="B86" s="123"/>
      <c r="C86" s="123"/>
      <c r="D86" s="123"/>
      <c r="E86" s="123"/>
      <c r="F86" s="123"/>
      <c r="H86" s="103">
        <v>81</v>
      </c>
      <c r="I86" s="104" t="str">
        <f t="shared" si="9"/>
        <v/>
      </c>
      <c r="J86" s="104">
        <f t="shared" si="10"/>
        <v>-3</v>
      </c>
      <c r="K86" s="103">
        <f t="shared" si="11"/>
        <v>-30</v>
      </c>
      <c r="L86" s="103"/>
      <c r="M86" s="105">
        <f t="shared" si="12"/>
        <v>0</v>
      </c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</row>
    <row r="87" spans="1:38" s="88" customFormat="1">
      <c r="A87" s="124"/>
      <c r="B87" s="123"/>
      <c r="C87" s="123"/>
      <c r="D87" s="123"/>
      <c r="E87" s="123"/>
      <c r="F87" s="123"/>
      <c r="H87" s="103">
        <v>82</v>
      </c>
      <c r="I87" s="104" t="str">
        <f t="shared" si="9"/>
        <v/>
      </c>
      <c r="J87" s="104">
        <f t="shared" si="10"/>
        <v>-3</v>
      </c>
      <c r="K87" s="103">
        <f t="shared" si="11"/>
        <v>-30</v>
      </c>
      <c r="L87" s="103"/>
      <c r="M87" s="105">
        <f t="shared" si="12"/>
        <v>0</v>
      </c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</row>
    <row r="88" spans="1:38" s="88" customFormat="1">
      <c r="A88" s="124"/>
      <c r="B88" s="123"/>
      <c r="C88" s="123"/>
      <c r="D88" s="123"/>
      <c r="E88" s="123"/>
      <c r="F88" s="123"/>
      <c r="H88" s="103">
        <v>83</v>
      </c>
      <c r="I88" s="104" t="str">
        <f t="shared" si="9"/>
        <v/>
      </c>
      <c r="J88" s="104">
        <f t="shared" si="10"/>
        <v>-3</v>
      </c>
      <c r="K88" s="103">
        <f t="shared" si="11"/>
        <v>-30</v>
      </c>
      <c r="L88" s="103"/>
      <c r="M88" s="105">
        <f t="shared" si="12"/>
        <v>0</v>
      </c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</row>
    <row r="89" spans="1:38" s="88" customFormat="1">
      <c r="A89" s="124"/>
      <c r="B89" s="123"/>
      <c r="C89" s="123"/>
      <c r="D89" s="123"/>
      <c r="E89" s="123"/>
      <c r="F89" s="123"/>
      <c r="H89" s="103">
        <v>84</v>
      </c>
      <c r="I89" s="104" t="str">
        <f t="shared" si="9"/>
        <v/>
      </c>
      <c r="J89" s="104">
        <f t="shared" si="10"/>
        <v>-3</v>
      </c>
      <c r="K89" s="103">
        <f t="shared" si="11"/>
        <v>-30</v>
      </c>
      <c r="L89" s="103"/>
      <c r="M89" s="105">
        <f t="shared" si="12"/>
        <v>0</v>
      </c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</row>
    <row r="90" spans="1:38" s="88" customFormat="1">
      <c r="A90" s="124"/>
      <c r="B90" s="123"/>
      <c r="C90" s="123"/>
      <c r="D90" s="123"/>
      <c r="E90" s="123"/>
      <c r="F90" s="123"/>
      <c r="H90" s="103">
        <v>85</v>
      </c>
      <c r="I90" s="104" t="str">
        <f t="shared" si="9"/>
        <v/>
      </c>
      <c r="J90" s="104">
        <f t="shared" si="10"/>
        <v>-3</v>
      </c>
      <c r="K90" s="103">
        <f t="shared" si="11"/>
        <v>-30</v>
      </c>
      <c r="L90" s="103"/>
      <c r="M90" s="105">
        <f t="shared" si="12"/>
        <v>0</v>
      </c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</row>
    <row r="91" spans="1:38" s="88" customFormat="1">
      <c r="A91" s="124"/>
      <c r="B91" s="123"/>
      <c r="C91" s="123"/>
      <c r="D91" s="123"/>
      <c r="E91" s="123"/>
      <c r="F91" s="123"/>
      <c r="H91" s="103">
        <v>86</v>
      </c>
      <c r="I91" s="104" t="str">
        <f t="shared" si="9"/>
        <v/>
      </c>
      <c r="J91" s="104">
        <f t="shared" si="10"/>
        <v>-3</v>
      </c>
      <c r="K91" s="103">
        <f t="shared" si="11"/>
        <v>-30</v>
      </c>
      <c r="L91" s="103"/>
      <c r="M91" s="105">
        <f t="shared" si="12"/>
        <v>0</v>
      </c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</row>
    <row r="92" spans="1:38" s="88" customFormat="1">
      <c r="A92" s="124"/>
      <c r="B92" s="123"/>
      <c r="C92" s="123"/>
      <c r="D92" s="123"/>
      <c r="E92" s="123"/>
      <c r="F92" s="123"/>
      <c r="H92" s="103">
        <v>87</v>
      </c>
      <c r="I92" s="104" t="str">
        <f t="shared" si="9"/>
        <v/>
      </c>
      <c r="J92" s="104">
        <f t="shared" si="10"/>
        <v>-3</v>
      </c>
      <c r="K92" s="103">
        <f t="shared" si="11"/>
        <v>-30</v>
      </c>
      <c r="L92" s="103"/>
      <c r="M92" s="105">
        <f t="shared" si="12"/>
        <v>0</v>
      </c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</row>
    <row r="93" spans="1:38" s="88" customFormat="1">
      <c r="A93" s="124"/>
      <c r="B93" s="123"/>
      <c r="C93" s="123"/>
      <c r="D93" s="123"/>
      <c r="E93" s="123"/>
      <c r="F93" s="123"/>
      <c r="H93" s="103">
        <v>88</v>
      </c>
      <c r="I93" s="104" t="str">
        <f t="shared" si="9"/>
        <v/>
      </c>
      <c r="J93" s="104">
        <f t="shared" si="10"/>
        <v>-3</v>
      </c>
      <c r="K93" s="103">
        <f t="shared" si="11"/>
        <v>-30</v>
      </c>
      <c r="L93" s="103"/>
      <c r="M93" s="105">
        <f t="shared" si="12"/>
        <v>0</v>
      </c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</row>
    <row r="94" spans="1:38" s="88" customFormat="1">
      <c r="A94" s="124"/>
      <c r="B94" s="123"/>
      <c r="C94" s="123"/>
      <c r="D94" s="123"/>
      <c r="E94" s="123"/>
      <c r="F94" s="123"/>
      <c r="H94" s="103">
        <v>89</v>
      </c>
      <c r="I94" s="104" t="str">
        <f t="shared" si="9"/>
        <v/>
      </c>
      <c r="J94" s="104">
        <f t="shared" si="10"/>
        <v>-3</v>
      </c>
      <c r="K94" s="103">
        <f t="shared" si="11"/>
        <v>-30</v>
      </c>
      <c r="L94" s="103"/>
      <c r="M94" s="105">
        <f t="shared" si="12"/>
        <v>0</v>
      </c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</row>
    <row r="95" spans="1:38" s="88" customFormat="1">
      <c r="A95" s="124"/>
      <c r="B95" s="123"/>
      <c r="C95" s="123"/>
      <c r="D95" s="123"/>
      <c r="E95" s="123"/>
      <c r="F95" s="123"/>
      <c r="H95" s="103">
        <v>90</v>
      </c>
      <c r="I95" s="104" t="str">
        <f t="shared" si="9"/>
        <v/>
      </c>
      <c r="J95" s="104">
        <f t="shared" si="10"/>
        <v>-3</v>
      </c>
      <c r="K95" s="103">
        <f t="shared" si="11"/>
        <v>-30</v>
      </c>
      <c r="L95" s="103"/>
      <c r="M95" s="105">
        <f t="shared" si="12"/>
        <v>0</v>
      </c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</row>
    <row r="96" spans="1:38" s="88" customFormat="1">
      <c r="A96" s="124"/>
      <c r="B96" s="123"/>
      <c r="C96" s="123"/>
      <c r="D96" s="123"/>
      <c r="E96" s="123"/>
      <c r="F96" s="123"/>
      <c r="H96" s="103">
        <v>91</v>
      </c>
      <c r="I96" s="104" t="str">
        <f t="shared" si="9"/>
        <v/>
      </c>
      <c r="J96" s="104">
        <f t="shared" si="10"/>
        <v>-3</v>
      </c>
      <c r="K96" s="103">
        <f t="shared" si="11"/>
        <v>-30</v>
      </c>
      <c r="L96" s="103"/>
      <c r="M96" s="105">
        <f t="shared" si="12"/>
        <v>0</v>
      </c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</row>
    <row r="97" spans="1:38" s="88" customFormat="1">
      <c r="A97" s="124"/>
      <c r="B97" s="123"/>
      <c r="C97" s="123"/>
      <c r="D97" s="123"/>
      <c r="E97" s="123"/>
      <c r="F97" s="123"/>
      <c r="H97" s="103">
        <v>92</v>
      </c>
      <c r="I97" s="104" t="str">
        <f t="shared" si="9"/>
        <v/>
      </c>
      <c r="J97" s="104">
        <f t="shared" si="10"/>
        <v>-3</v>
      </c>
      <c r="K97" s="103">
        <f t="shared" si="11"/>
        <v>-30</v>
      </c>
      <c r="L97" s="103"/>
      <c r="M97" s="105">
        <f t="shared" si="12"/>
        <v>0</v>
      </c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</row>
    <row r="98" spans="1:38" s="88" customFormat="1">
      <c r="A98" s="124"/>
      <c r="B98" s="123"/>
      <c r="C98" s="123"/>
      <c r="D98" s="123"/>
      <c r="E98" s="123"/>
      <c r="F98" s="123"/>
      <c r="H98" s="103">
        <v>93</v>
      </c>
      <c r="I98" s="104" t="str">
        <f t="shared" si="9"/>
        <v/>
      </c>
      <c r="J98" s="104">
        <f t="shared" si="10"/>
        <v>-3</v>
      </c>
      <c r="K98" s="103">
        <f t="shared" si="11"/>
        <v>-30</v>
      </c>
      <c r="L98" s="103"/>
      <c r="M98" s="105">
        <f t="shared" si="12"/>
        <v>0</v>
      </c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</row>
    <row r="99" spans="1:38" s="88" customFormat="1">
      <c r="A99" s="124"/>
      <c r="B99" s="123"/>
      <c r="C99" s="123"/>
      <c r="D99" s="123"/>
      <c r="E99" s="123"/>
      <c r="F99" s="123"/>
      <c r="H99" s="103">
        <v>94</v>
      </c>
      <c r="I99" s="104" t="str">
        <f t="shared" si="9"/>
        <v/>
      </c>
      <c r="J99" s="104">
        <f t="shared" si="10"/>
        <v>-3</v>
      </c>
      <c r="K99" s="103">
        <f t="shared" si="11"/>
        <v>-30</v>
      </c>
      <c r="L99" s="103"/>
      <c r="M99" s="105">
        <f t="shared" si="12"/>
        <v>0</v>
      </c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</row>
    <row r="100" spans="1:38" s="88" customFormat="1">
      <c r="A100" s="124"/>
      <c r="B100" s="123"/>
      <c r="C100" s="123"/>
      <c r="D100" s="123"/>
      <c r="E100" s="123"/>
      <c r="F100" s="123"/>
      <c r="H100" s="103">
        <v>95</v>
      </c>
      <c r="I100" s="104" t="str">
        <f t="shared" si="9"/>
        <v/>
      </c>
      <c r="J100" s="104">
        <f t="shared" si="10"/>
        <v>-3</v>
      </c>
      <c r="K100" s="103">
        <f t="shared" si="11"/>
        <v>-30</v>
      </c>
      <c r="L100" s="103"/>
      <c r="M100" s="105">
        <f t="shared" si="12"/>
        <v>0</v>
      </c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</row>
    <row r="101" spans="1:38" s="88" customFormat="1">
      <c r="A101" s="124"/>
      <c r="B101" s="123"/>
      <c r="C101" s="123"/>
      <c r="D101" s="123"/>
      <c r="E101" s="123"/>
      <c r="F101" s="123"/>
      <c r="H101" s="103">
        <v>96</v>
      </c>
      <c r="I101" s="104" t="str">
        <f t="shared" si="9"/>
        <v/>
      </c>
      <c r="J101" s="104">
        <f t="shared" si="10"/>
        <v>-3</v>
      </c>
      <c r="K101" s="103">
        <f t="shared" si="11"/>
        <v>-30</v>
      </c>
      <c r="L101" s="103"/>
      <c r="M101" s="105">
        <f t="shared" si="12"/>
        <v>0</v>
      </c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</row>
    <row r="102" spans="1:38" s="88" customFormat="1">
      <c r="A102" s="124"/>
      <c r="B102" s="123"/>
      <c r="C102" s="123"/>
      <c r="D102" s="123"/>
      <c r="E102" s="123"/>
      <c r="F102" s="123"/>
      <c r="H102" s="103">
        <v>97</v>
      </c>
      <c r="I102" s="104" t="str">
        <f t="shared" si="9"/>
        <v/>
      </c>
      <c r="J102" s="104">
        <f t="shared" si="10"/>
        <v>-3</v>
      </c>
      <c r="K102" s="103">
        <f t="shared" si="11"/>
        <v>-30</v>
      </c>
      <c r="L102" s="103"/>
      <c r="M102" s="105">
        <f t="shared" si="12"/>
        <v>0</v>
      </c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</row>
    <row r="103" spans="1:38" s="88" customFormat="1">
      <c r="A103" s="124"/>
      <c r="B103" s="123"/>
      <c r="C103" s="123"/>
      <c r="D103" s="123"/>
      <c r="E103" s="123"/>
      <c r="F103" s="123"/>
      <c r="H103" s="103">
        <v>98</v>
      </c>
      <c r="I103" s="104" t="str">
        <f t="shared" si="9"/>
        <v/>
      </c>
      <c r="J103" s="104">
        <f t="shared" si="10"/>
        <v>-3</v>
      </c>
      <c r="K103" s="103">
        <f t="shared" si="11"/>
        <v>-30</v>
      </c>
      <c r="L103" s="103"/>
      <c r="M103" s="105">
        <f t="shared" si="12"/>
        <v>0</v>
      </c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</row>
    <row r="104" spans="1:38" s="88" customFormat="1">
      <c r="A104" s="124"/>
      <c r="B104" s="123"/>
      <c r="C104" s="123"/>
      <c r="D104" s="123"/>
      <c r="E104" s="123"/>
      <c r="F104" s="123"/>
      <c r="H104" s="103">
        <v>99</v>
      </c>
      <c r="I104" s="104" t="str">
        <f t="shared" si="9"/>
        <v/>
      </c>
      <c r="J104" s="104">
        <f t="shared" si="10"/>
        <v>-3</v>
      </c>
      <c r="K104" s="103">
        <f t="shared" si="11"/>
        <v>-30</v>
      </c>
      <c r="L104" s="103"/>
      <c r="M104" s="105">
        <f t="shared" si="12"/>
        <v>0</v>
      </c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</row>
    <row r="105" spans="1:38" s="88" customFormat="1">
      <c r="A105" s="124"/>
      <c r="B105" s="123"/>
      <c r="C105" s="123"/>
      <c r="D105" s="123"/>
      <c r="E105" s="123"/>
      <c r="F105" s="123"/>
      <c r="H105" s="103">
        <v>100</v>
      </c>
      <c r="I105" s="104" t="str">
        <f t="shared" si="9"/>
        <v/>
      </c>
      <c r="J105" s="104">
        <f t="shared" si="10"/>
        <v>-3</v>
      </c>
      <c r="K105" s="103">
        <f t="shared" si="11"/>
        <v>-30</v>
      </c>
      <c r="L105" s="103"/>
      <c r="M105" s="105">
        <f t="shared" si="12"/>
        <v>0</v>
      </c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</row>
    <row r="106" spans="1:38" s="88" customFormat="1">
      <c r="A106" s="124"/>
      <c r="B106" s="123"/>
      <c r="C106" s="123"/>
      <c r="D106" s="123"/>
      <c r="E106" s="123"/>
      <c r="F106" s="123"/>
      <c r="H106" s="103">
        <v>101</v>
      </c>
      <c r="I106" s="104" t="str">
        <f t="shared" si="9"/>
        <v/>
      </c>
      <c r="J106" s="104">
        <f t="shared" si="10"/>
        <v>-3</v>
      </c>
      <c r="K106" s="103">
        <f t="shared" si="11"/>
        <v>-30</v>
      </c>
      <c r="L106" s="103"/>
      <c r="M106" s="105">
        <f t="shared" si="12"/>
        <v>0</v>
      </c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</row>
    <row r="107" spans="1:38" s="88" customFormat="1">
      <c r="A107" s="124"/>
      <c r="B107" s="123"/>
      <c r="C107" s="123"/>
      <c r="D107" s="123"/>
      <c r="E107" s="123"/>
      <c r="F107" s="123"/>
      <c r="H107" s="103">
        <v>102</v>
      </c>
      <c r="I107" s="104" t="str">
        <f t="shared" si="9"/>
        <v/>
      </c>
      <c r="J107" s="104">
        <f t="shared" si="10"/>
        <v>-3</v>
      </c>
      <c r="K107" s="103">
        <f t="shared" si="11"/>
        <v>-30</v>
      </c>
      <c r="L107" s="103"/>
      <c r="M107" s="105">
        <f t="shared" si="12"/>
        <v>0</v>
      </c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</row>
    <row r="108" spans="1:38" s="88" customFormat="1">
      <c r="A108" s="124"/>
      <c r="B108" s="123"/>
      <c r="C108" s="123"/>
      <c r="D108" s="123"/>
      <c r="E108" s="123"/>
      <c r="F108" s="123"/>
      <c r="H108" s="103">
        <v>103</v>
      </c>
      <c r="I108" s="104" t="str">
        <f t="shared" si="9"/>
        <v/>
      </c>
      <c r="J108" s="104">
        <f t="shared" si="10"/>
        <v>-3</v>
      </c>
      <c r="K108" s="103">
        <f t="shared" si="11"/>
        <v>-30</v>
      </c>
      <c r="L108" s="103"/>
      <c r="M108" s="105">
        <f t="shared" si="12"/>
        <v>0</v>
      </c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</row>
    <row r="109" spans="1:38" s="88" customFormat="1">
      <c r="A109" s="124"/>
      <c r="B109" s="123"/>
      <c r="C109" s="123"/>
      <c r="D109" s="123"/>
      <c r="E109" s="123"/>
      <c r="F109" s="123"/>
      <c r="H109" s="103">
        <v>104</v>
      </c>
      <c r="I109" s="104" t="str">
        <f t="shared" si="9"/>
        <v/>
      </c>
      <c r="J109" s="104">
        <f t="shared" si="10"/>
        <v>-3</v>
      </c>
      <c r="K109" s="103">
        <f t="shared" si="11"/>
        <v>-30</v>
      </c>
      <c r="L109" s="103"/>
      <c r="M109" s="105">
        <f t="shared" si="12"/>
        <v>0</v>
      </c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</row>
    <row r="110" spans="1:38" s="88" customFormat="1">
      <c r="A110" s="124"/>
      <c r="B110" s="123"/>
      <c r="C110" s="123"/>
      <c r="D110" s="123"/>
      <c r="E110" s="123"/>
      <c r="F110" s="123"/>
      <c r="H110" s="103">
        <v>105</v>
      </c>
      <c r="I110" s="104" t="str">
        <f t="shared" si="9"/>
        <v/>
      </c>
      <c r="J110" s="104">
        <f t="shared" si="10"/>
        <v>-3</v>
      </c>
      <c r="K110" s="103">
        <f t="shared" si="11"/>
        <v>-30</v>
      </c>
      <c r="L110" s="103"/>
      <c r="M110" s="105">
        <f t="shared" si="12"/>
        <v>0</v>
      </c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</row>
    <row r="111" spans="1:38" s="88" customFormat="1">
      <c r="A111" s="124"/>
      <c r="B111" s="123"/>
      <c r="C111" s="123"/>
      <c r="D111" s="123"/>
      <c r="E111" s="123"/>
      <c r="F111" s="123"/>
      <c r="H111" s="103">
        <v>106</v>
      </c>
      <c r="I111" s="104" t="str">
        <f t="shared" si="9"/>
        <v/>
      </c>
      <c r="J111" s="104">
        <f t="shared" si="10"/>
        <v>-3</v>
      </c>
      <c r="K111" s="103">
        <f t="shared" si="11"/>
        <v>-30</v>
      </c>
      <c r="L111" s="103"/>
      <c r="M111" s="105">
        <f t="shared" si="12"/>
        <v>0</v>
      </c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</row>
    <row r="112" spans="1:38" s="88" customFormat="1">
      <c r="A112" s="124"/>
      <c r="B112" s="123"/>
      <c r="C112" s="123"/>
      <c r="D112" s="123"/>
      <c r="E112" s="123"/>
      <c r="F112" s="123"/>
      <c r="H112" s="103">
        <v>107</v>
      </c>
      <c r="I112" s="104" t="str">
        <f t="shared" si="9"/>
        <v/>
      </c>
      <c r="J112" s="104">
        <f t="shared" si="10"/>
        <v>-3</v>
      </c>
      <c r="K112" s="103">
        <f t="shared" si="11"/>
        <v>-30</v>
      </c>
      <c r="L112" s="103"/>
      <c r="M112" s="105">
        <f t="shared" si="12"/>
        <v>0</v>
      </c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</row>
    <row r="113" spans="1:38" s="88" customFormat="1">
      <c r="A113" s="124"/>
      <c r="B113" s="123"/>
      <c r="C113" s="123"/>
      <c r="D113" s="123"/>
      <c r="E113" s="123"/>
      <c r="F113" s="123"/>
      <c r="H113" s="103">
        <v>108</v>
      </c>
      <c r="I113" s="104" t="str">
        <f t="shared" si="9"/>
        <v/>
      </c>
      <c r="J113" s="104">
        <f t="shared" si="10"/>
        <v>-3</v>
      </c>
      <c r="K113" s="103">
        <f t="shared" si="11"/>
        <v>-30</v>
      </c>
      <c r="L113" s="103"/>
      <c r="M113" s="105">
        <f t="shared" si="12"/>
        <v>0</v>
      </c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</row>
    <row r="114" spans="1:38" s="88" customFormat="1">
      <c r="A114" s="124"/>
      <c r="B114" s="123"/>
      <c r="C114" s="123"/>
      <c r="D114" s="123"/>
      <c r="E114" s="123"/>
      <c r="F114" s="123"/>
      <c r="H114" s="103">
        <v>109</v>
      </c>
      <c r="I114" s="104" t="str">
        <f t="shared" si="9"/>
        <v/>
      </c>
      <c r="J114" s="104">
        <f t="shared" si="10"/>
        <v>-3</v>
      </c>
      <c r="K114" s="103">
        <f t="shared" si="11"/>
        <v>-30</v>
      </c>
      <c r="L114" s="103"/>
      <c r="M114" s="105">
        <f t="shared" si="12"/>
        <v>0</v>
      </c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</row>
    <row r="115" spans="1:38" s="88" customFormat="1">
      <c r="A115" s="124"/>
      <c r="B115" s="123"/>
      <c r="C115" s="123"/>
      <c r="D115" s="123"/>
      <c r="E115" s="123"/>
      <c r="F115" s="123"/>
      <c r="H115" s="103">
        <v>110</v>
      </c>
      <c r="I115" s="104" t="str">
        <f t="shared" si="9"/>
        <v/>
      </c>
      <c r="J115" s="104">
        <f t="shared" si="10"/>
        <v>-3</v>
      </c>
      <c r="K115" s="103">
        <f t="shared" si="11"/>
        <v>-30</v>
      </c>
      <c r="L115" s="103"/>
      <c r="M115" s="105">
        <f t="shared" si="12"/>
        <v>0</v>
      </c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</row>
    <row r="116" spans="1:38" s="88" customFormat="1">
      <c r="A116" s="124"/>
      <c r="B116" s="123"/>
      <c r="C116" s="123"/>
      <c r="D116" s="123"/>
      <c r="E116" s="123"/>
      <c r="F116" s="123"/>
      <c r="H116" s="103">
        <v>111</v>
      </c>
      <c r="I116" s="104" t="str">
        <f t="shared" si="9"/>
        <v/>
      </c>
      <c r="J116" s="104">
        <f t="shared" si="10"/>
        <v>-3</v>
      </c>
      <c r="K116" s="103">
        <f t="shared" si="11"/>
        <v>-30</v>
      </c>
      <c r="L116" s="103"/>
      <c r="M116" s="105">
        <f t="shared" si="12"/>
        <v>0</v>
      </c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</row>
    <row r="117" spans="1:38" s="88" customFormat="1">
      <c r="A117" s="124"/>
      <c r="B117" s="123"/>
      <c r="C117" s="123"/>
      <c r="D117" s="123"/>
      <c r="E117" s="123"/>
      <c r="F117" s="123"/>
      <c r="H117" s="103">
        <v>112</v>
      </c>
      <c r="I117" s="104" t="str">
        <f t="shared" si="9"/>
        <v/>
      </c>
      <c r="J117" s="104">
        <f t="shared" si="10"/>
        <v>-3</v>
      </c>
      <c r="K117" s="103">
        <f t="shared" si="11"/>
        <v>-30</v>
      </c>
      <c r="L117" s="103"/>
      <c r="M117" s="105">
        <f t="shared" si="12"/>
        <v>0</v>
      </c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</row>
    <row r="118" spans="1:38" s="88" customFormat="1">
      <c r="A118" s="124"/>
      <c r="B118" s="123"/>
      <c r="C118" s="123"/>
      <c r="D118" s="123"/>
      <c r="E118" s="123"/>
      <c r="F118" s="123"/>
      <c r="H118" s="103">
        <v>113</v>
      </c>
      <c r="I118" s="104" t="str">
        <f t="shared" si="9"/>
        <v/>
      </c>
      <c r="J118" s="104">
        <f t="shared" si="10"/>
        <v>-3</v>
      </c>
      <c r="K118" s="103">
        <f t="shared" si="11"/>
        <v>-30</v>
      </c>
      <c r="L118" s="103"/>
      <c r="M118" s="105">
        <f t="shared" si="12"/>
        <v>0</v>
      </c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</row>
    <row r="119" spans="1:38" s="88" customFormat="1">
      <c r="A119" s="124"/>
      <c r="B119" s="123"/>
      <c r="C119" s="123"/>
      <c r="D119" s="123"/>
      <c r="E119" s="123"/>
      <c r="F119" s="123"/>
      <c r="H119" s="103">
        <v>114</v>
      </c>
      <c r="I119" s="104" t="str">
        <f t="shared" si="9"/>
        <v/>
      </c>
      <c r="J119" s="104">
        <f t="shared" si="10"/>
        <v>-3</v>
      </c>
      <c r="K119" s="103">
        <f t="shared" si="11"/>
        <v>-30</v>
      </c>
      <c r="L119" s="103"/>
      <c r="M119" s="105">
        <f t="shared" si="12"/>
        <v>0</v>
      </c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</row>
    <row r="120" spans="1:38" s="88" customFormat="1">
      <c r="A120" s="124"/>
      <c r="B120" s="123"/>
      <c r="C120" s="123"/>
      <c r="D120" s="123"/>
      <c r="E120" s="123"/>
      <c r="F120" s="123"/>
      <c r="H120" s="103">
        <v>115</v>
      </c>
      <c r="I120" s="104" t="str">
        <f t="shared" si="9"/>
        <v/>
      </c>
      <c r="J120" s="104">
        <f t="shared" si="10"/>
        <v>-3</v>
      </c>
      <c r="K120" s="103">
        <f t="shared" si="11"/>
        <v>-30</v>
      </c>
      <c r="L120" s="103"/>
      <c r="M120" s="105">
        <f t="shared" si="12"/>
        <v>0</v>
      </c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</row>
    <row r="121" spans="1:38" s="88" customFormat="1">
      <c r="A121" s="124"/>
      <c r="B121" s="123"/>
      <c r="C121" s="123"/>
      <c r="D121" s="123"/>
      <c r="E121" s="123"/>
      <c r="F121" s="123"/>
      <c r="H121" s="103">
        <v>116</v>
      </c>
      <c r="I121" s="104" t="str">
        <f t="shared" si="9"/>
        <v/>
      </c>
      <c r="J121" s="104">
        <f t="shared" si="10"/>
        <v>-3</v>
      </c>
      <c r="K121" s="103">
        <f t="shared" si="11"/>
        <v>-30</v>
      </c>
      <c r="L121" s="103"/>
      <c r="M121" s="105">
        <f t="shared" si="12"/>
        <v>0</v>
      </c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</row>
    <row r="122" spans="1:38" s="88" customFormat="1">
      <c r="A122" s="124"/>
      <c r="B122" s="123"/>
      <c r="C122" s="123"/>
      <c r="D122" s="123"/>
      <c r="E122" s="123"/>
      <c r="F122" s="123"/>
      <c r="H122" s="103">
        <v>117</v>
      </c>
      <c r="I122" s="104" t="str">
        <f t="shared" si="9"/>
        <v/>
      </c>
      <c r="J122" s="104">
        <f t="shared" si="10"/>
        <v>-3</v>
      </c>
      <c r="K122" s="103">
        <f t="shared" si="11"/>
        <v>-30</v>
      </c>
      <c r="L122" s="103"/>
      <c r="M122" s="105">
        <f t="shared" si="12"/>
        <v>0</v>
      </c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</row>
    <row r="123" spans="1:38" s="88" customFormat="1">
      <c r="A123" s="124"/>
      <c r="B123" s="123"/>
      <c r="C123" s="123"/>
      <c r="D123" s="123"/>
      <c r="E123" s="123"/>
      <c r="F123" s="123"/>
      <c r="H123" s="103">
        <v>118</v>
      </c>
      <c r="I123" s="104" t="str">
        <f t="shared" si="9"/>
        <v/>
      </c>
      <c r="J123" s="104">
        <f t="shared" si="10"/>
        <v>-3</v>
      </c>
      <c r="K123" s="103">
        <f t="shared" si="11"/>
        <v>-30</v>
      </c>
      <c r="L123" s="103"/>
      <c r="M123" s="105">
        <f t="shared" si="12"/>
        <v>0</v>
      </c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</row>
    <row r="124" spans="1:38" s="88" customFormat="1">
      <c r="A124" s="124"/>
      <c r="B124" s="123"/>
      <c r="C124" s="123"/>
      <c r="D124" s="123"/>
      <c r="E124" s="123"/>
      <c r="F124" s="123"/>
      <c r="H124" s="103">
        <v>119</v>
      </c>
      <c r="I124" s="104" t="str">
        <f t="shared" si="9"/>
        <v/>
      </c>
      <c r="J124" s="104">
        <f t="shared" si="10"/>
        <v>-3</v>
      </c>
      <c r="K124" s="103">
        <f t="shared" si="11"/>
        <v>-30</v>
      </c>
      <c r="L124" s="103"/>
      <c r="M124" s="105">
        <f t="shared" si="12"/>
        <v>0</v>
      </c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</row>
    <row r="125" spans="1:38" s="88" customFormat="1">
      <c r="A125" s="124"/>
      <c r="B125" s="123"/>
      <c r="C125" s="123"/>
      <c r="D125" s="123"/>
      <c r="E125" s="123"/>
      <c r="F125" s="123"/>
      <c r="H125" s="103">
        <v>120</v>
      </c>
      <c r="I125" s="104" t="str">
        <f t="shared" si="9"/>
        <v/>
      </c>
      <c r="J125" s="104">
        <f t="shared" si="10"/>
        <v>-3</v>
      </c>
      <c r="K125" s="103">
        <f t="shared" si="11"/>
        <v>-30</v>
      </c>
      <c r="L125" s="103"/>
      <c r="M125" s="105">
        <f t="shared" si="12"/>
        <v>0</v>
      </c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</row>
    <row r="126" spans="1:38" s="88" customFormat="1">
      <c r="A126" s="124"/>
      <c r="B126" s="123"/>
      <c r="C126" s="123"/>
      <c r="D126" s="123"/>
      <c r="E126" s="123"/>
      <c r="F126" s="123"/>
      <c r="H126" s="103">
        <v>121</v>
      </c>
      <c r="I126" s="104" t="str">
        <f t="shared" si="9"/>
        <v/>
      </c>
      <c r="J126" s="104">
        <f t="shared" si="10"/>
        <v>-3</v>
      </c>
      <c r="K126" s="103">
        <f t="shared" si="11"/>
        <v>-30</v>
      </c>
      <c r="L126" s="103"/>
      <c r="M126" s="105">
        <f t="shared" si="12"/>
        <v>0</v>
      </c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</row>
    <row r="127" spans="1:38" s="88" customFormat="1">
      <c r="A127" s="124"/>
      <c r="B127" s="123"/>
      <c r="C127" s="123"/>
      <c r="D127" s="123"/>
      <c r="E127" s="123"/>
      <c r="F127" s="123"/>
      <c r="H127" s="103">
        <v>122</v>
      </c>
      <c r="I127" s="104" t="str">
        <f t="shared" si="9"/>
        <v/>
      </c>
      <c r="J127" s="104">
        <f t="shared" si="10"/>
        <v>-3</v>
      </c>
      <c r="K127" s="103">
        <f t="shared" si="11"/>
        <v>-30</v>
      </c>
      <c r="L127" s="103"/>
      <c r="M127" s="105">
        <f t="shared" si="12"/>
        <v>0</v>
      </c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</row>
    <row r="128" spans="1:38" s="88" customFormat="1">
      <c r="A128" s="124"/>
      <c r="B128" s="123"/>
      <c r="C128" s="123"/>
      <c r="D128" s="123"/>
      <c r="E128" s="123"/>
      <c r="F128" s="123"/>
      <c r="H128" s="103">
        <v>123</v>
      </c>
      <c r="I128" s="104" t="str">
        <f t="shared" si="9"/>
        <v/>
      </c>
      <c r="J128" s="104">
        <f t="shared" si="10"/>
        <v>-3</v>
      </c>
      <c r="K128" s="103">
        <f t="shared" si="11"/>
        <v>-30</v>
      </c>
      <c r="L128" s="103"/>
      <c r="M128" s="105">
        <f t="shared" si="12"/>
        <v>0</v>
      </c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</row>
    <row r="129" spans="1:38" s="88" customFormat="1">
      <c r="A129" s="124"/>
      <c r="B129" s="123"/>
      <c r="C129" s="123"/>
      <c r="D129" s="123"/>
      <c r="E129" s="123"/>
      <c r="F129" s="123"/>
      <c r="H129" s="103">
        <v>124</v>
      </c>
      <c r="I129" s="104" t="str">
        <f t="shared" si="9"/>
        <v/>
      </c>
      <c r="J129" s="104">
        <f t="shared" si="10"/>
        <v>-3</v>
      </c>
      <c r="K129" s="103">
        <f t="shared" si="11"/>
        <v>-30</v>
      </c>
      <c r="L129" s="103"/>
      <c r="M129" s="105">
        <f t="shared" si="12"/>
        <v>0</v>
      </c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</row>
    <row r="130" spans="1:38" s="88" customFormat="1">
      <c r="A130" s="124"/>
      <c r="B130" s="123"/>
      <c r="C130" s="123"/>
      <c r="D130" s="123"/>
      <c r="E130" s="123"/>
      <c r="F130" s="123"/>
      <c r="H130" s="103">
        <v>125</v>
      </c>
      <c r="I130" s="104" t="str">
        <f t="shared" si="9"/>
        <v/>
      </c>
      <c r="J130" s="104">
        <f t="shared" si="10"/>
        <v>-3</v>
      </c>
      <c r="K130" s="103">
        <f t="shared" si="11"/>
        <v>-30</v>
      </c>
      <c r="L130" s="103"/>
      <c r="M130" s="105">
        <f t="shared" si="12"/>
        <v>0</v>
      </c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</row>
    <row r="131" spans="1:38" s="88" customFormat="1">
      <c r="A131" s="124"/>
      <c r="B131" s="123"/>
      <c r="C131" s="123"/>
      <c r="D131" s="123"/>
      <c r="E131" s="123"/>
      <c r="F131" s="123"/>
      <c r="H131" s="103">
        <v>126</v>
      </c>
      <c r="I131" s="104" t="str">
        <f t="shared" si="9"/>
        <v/>
      </c>
      <c r="J131" s="104">
        <f t="shared" si="10"/>
        <v>-3</v>
      </c>
      <c r="K131" s="103">
        <f t="shared" si="11"/>
        <v>-30</v>
      </c>
      <c r="L131" s="103"/>
      <c r="M131" s="105">
        <f t="shared" si="12"/>
        <v>0</v>
      </c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</row>
    <row r="132" spans="1:38" s="88" customFormat="1">
      <c r="A132" s="124"/>
      <c r="B132" s="123"/>
      <c r="C132" s="123"/>
      <c r="D132" s="123"/>
      <c r="E132" s="123"/>
      <c r="F132" s="123"/>
      <c r="H132" s="103">
        <v>127</v>
      </c>
      <c r="I132" s="104" t="str">
        <f t="shared" si="9"/>
        <v/>
      </c>
      <c r="J132" s="104">
        <f t="shared" si="10"/>
        <v>-3</v>
      </c>
      <c r="K132" s="103">
        <f t="shared" si="11"/>
        <v>-30</v>
      </c>
      <c r="L132" s="103"/>
      <c r="M132" s="105">
        <f t="shared" si="12"/>
        <v>0</v>
      </c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</row>
    <row r="133" spans="1:38" s="88" customFormat="1">
      <c r="A133" s="124"/>
      <c r="B133" s="123"/>
      <c r="C133" s="123"/>
      <c r="D133" s="123"/>
      <c r="E133" s="123"/>
      <c r="F133" s="123"/>
      <c r="H133" s="103">
        <v>128</v>
      </c>
      <c r="I133" s="104" t="str">
        <f t="shared" si="9"/>
        <v/>
      </c>
      <c r="J133" s="104">
        <f t="shared" si="10"/>
        <v>-3</v>
      </c>
      <c r="K133" s="103">
        <f t="shared" si="11"/>
        <v>-30</v>
      </c>
      <c r="L133" s="103"/>
      <c r="M133" s="105">
        <f t="shared" si="12"/>
        <v>0</v>
      </c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</row>
    <row r="134" spans="1:38" s="88" customFormat="1">
      <c r="A134" s="124"/>
      <c r="B134" s="123"/>
      <c r="C134" s="123"/>
      <c r="D134" s="123"/>
      <c r="E134" s="123"/>
      <c r="F134" s="123"/>
      <c r="H134" s="103">
        <v>129</v>
      </c>
      <c r="I134" s="104" t="str">
        <f t="shared" ref="I134:I197" si="13">IF(H134&lt;$H$2+1,($I$2-($I$2-1)*(LOG(H134)/LOG($H$2))),"")</f>
        <v/>
      </c>
      <c r="J134" s="104">
        <f t="shared" ref="J134:J197" si="14">INT(LOG($H$2,2))-ROUNDUP(LOG(H134,2),0)+IF(OR($H$2=1,$H$2=2,$H$2=4,$H$2=8,$H$2=16,$H$2=32,$H$2=64,$H$2=128,$H$2=256),0,1)</f>
        <v>-4</v>
      </c>
      <c r="K134" s="103">
        <f t="shared" ref="K134:K197" si="15">J134*$J$2</f>
        <v>-40</v>
      </c>
      <c r="L134" s="103"/>
      <c r="M134" s="105">
        <f t="shared" ref="M134:M197" si="16">IF(I134&lt;&gt;"",K134+I134+L134,0)</f>
        <v>0</v>
      </c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</row>
    <row r="135" spans="1:38" s="88" customFormat="1">
      <c r="A135" s="124"/>
      <c r="B135" s="123"/>
      <c r="C135" s="123"/>
      <c r="D135" s="123"/>
      <c r="E135" s="123"/>
      <c r="F135" s="123"/>
      <c r="H135" s="103">
        <v>130</v>
      </c>
      <c r="I135" s="104" t="str">
        <f t="shared" si="13"/>
        <v/>
      </c>
      <c r="J135" s="104">
        <f t="shared" si="14"/>
        <v>-4</v>
      </c>
      <c r="K135" s="103">
        <f t="shared" si="15"/>
        <v>-40</v>
      </c>
      <c r="L135" s="103"/>
      <c r="M135" s="105">
        <f t="shared" si="16"/>
        <v>0</v>
      </c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</row>
    <row r="136" spans="1:38" s="88" customFormat="1">
      <c r="A136" s="124"/>
      <c r="B136" s="123"/>
      <c r="C136" s="123"/>
      <c r="D136" s="123"/>
      <c r="E136" s="123"/>
      <c r="F136" s="123"/>
      <c r="H136" s="103">
        <v>131</v>
      </c>
      <c r="I136" s="104" t="str">
        <f t="shared" si="13"/>
        <v/>
      </c>
      <c r="J136" s="104">
        <f t="shared" si="14"/>
        <v>-4</v>
      </c>
      <c r="K136" s="103">
        <f t="shared" si="15"/>
        <v>-40</v>
      </c>
      <c r="L136" s="103"/>
      <c r="M136" s="105">
        <f t="shared" si="16"/>
        <v>0</v>
      </c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</row>
    <row r="137" spans="1:38" s="88" customFormat="1">
      <c r="A137" s="124"/>
      <c r="B137" s="123"/>
      <c r="C137" s="123"/>
      <c r="D137" s="123"/>
      <c r="E137" s="123"/>
      <c r="F137" s="123"/>
      <c r="H137" s="103">
        <v>132</v>
      </c>
      <c r="I137" s="104" t="str">
        <f t="shared" si="13"/>
        <v/>
      </c>
      <c r="J137" s="104">
        <f t="shared" si="14"/>
        <v>-4</v>
      </c>
      <c r="K137" s="103">
        <f t="shared" si="15"/>
        <v>-40</v>
      </c>
      <c r="L137" s="103"/>
      <c r="M137" s="105">
        <f t="shared" si="16"/>
        <v>0</v>
      </c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</row>
    <row r="138" spans="1:38" s="88" customFormat="1">
      <c r="A138" s="124"/>
      <c r="B138" s="123"/>
      <c r="C138" s="123"/>
      <c r="D138" s="123"/>
      <c r="E138" s="123"/>
      <c r="F138" s="123"/>
      <c r="H138" s="103">
        <v>133</v>
      </c>
      <c r="I138" s="104" t="str">
        <f t="shared" si="13"/>
        <v/>
      </c>
      <c r="J138" s="104">
        <f t="shared" si="14"/>
        <v>-4</v>
      </c>
      <c r="K138" s="103">
        <f t="shared" si="15"/>
        <v>-40</v>
      </c>
      <c r="L138" s="103"/>
      <c r="M138" s="105">
        <f t="shared" si="16"/>
        <v>0</v>
      </c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</row>
    <row r="139" spans="1:38" s="88" customFormat="1">
      <c r="A139" s="124"/>
      <c r="B139" s="123"/>
      <c r="C139" s="123"/>
      <c r="D139" s="123"/>
      <c r="E139" s="123"/>
      <c r="F139" s="123"/>
      <c r="H139" s="103">
        <v>134</v>
      </c>
      <c r="I139" s="104" t="str">
        <f t="shared" si="13"/>
        <v/>
      </c>
      <c r="J139" s="104">
        <f t="shared" si="14"/>
        <v>-4</v>
      </c>
      <c r="K139" s="103">
        <f t="shared" si="15"/>
        <v>-40</v>
      </c>
      <c r="L139" s="103"/>
      <c r="M139" s="105">
        <f t="shared" si="16"/>
        <v>0</v>
      </c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</row>
    <row r="140" spans="1:38" s="88" customFormat="1">
      <c r="A140" s="124"/>
      <c r="B140" s="123"/>
      <c r="C140" s="123"/>
      <c r="D140" s="123"/>
      <c r="E140" s="123"/>
      <c r="F140" s="123"/>
      <c r="H140" s="103">
        <v>135</v>
      </c>
      <c r="I140" s="104" t="str">
        <f t="shared" si="13"/>
        <v/>
      </c>
      <c r="J140" s="104">
        <f t="shared" si="14"/>
        <v>-4</v>
      </c>
      <c r="K140" s="103">
        <f t="shared" si="15"/>
        <v>-40</v>
      </c>
      <c r="L140" s="103"/>
      <c r="M140" s="105">
        <f t="shared" si="16"/>
        <v>0</v>
      </c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</row>
    <row r="141" spans="1:38" s="88" customFormat="1">
      <c r="A141" s="124"/>
      <c r="B141" s="123"/>
      <c r="C141" s="123"/>
      <c r="D141" s="123"/>
      <c r="E141" s="123"/>
      <c r="F141" s="123"/>
      <c r="H141" s="103">
        <v>136</v>
      </c>
      <c r="I141" s="104" t="str">
        <f t="shared" si="13"/>
        <v/>
      </c>
      <c r="J141" s="104">
        <f t="shared" si="14"/>
        <v>-4</v>
      </c>
      <c r="K141" s="103">
        <f t="shared" si="15"/>
        <v>-40</v>
      </c>
      <c r="L141" s="103"/>
      <c r="M141" s="105">
        <f t="shared" si="16"/>
        <v>0</v>
      </c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</row>
    <row r="142" spans="1:38" s="88" customFormat="1">
      <c r="A142" s="124"/>
      <c r="B142" s="123"/>
      <c r="C142" s="123"/>
      <c r="D142" s="123"/>
      <c r="E142" s="123"/>
      <c r="F142" s="123"/>
      <c r="H142" s="103">
        <v>137</v>
      </c>
      <c r="I142" s="104" t="str">
        <f t="shared" si="13"/>
        <v/>
      </c>
      <c r="J142" s="104">
        <f t="shared" si="14"/>
        <v>-4</v>
      </c>
      <c r="K142" s="103">
        <f t="shared" si="15"/>
        <v>-40</v>
      </c>
      <c r="L142" s="103"/>
      <c r="M142" s="105">
        <f t="shared" si="16"/>
        <v>0</v>
      </c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</row>
    <row r="143" spans="1:38" s="88" customFormat="1">
      <c r="A143" s="124"/>
      <c r="B143" s="123"/>
      <c r="C143" s="123"/>
      <c r="D143" s="123"/>
      <c r="E143" s="123"/>
      <c r="F143" s="123"/>
      <c r="H143" s="103">
        <v>138</v>
      </c>
      <c r="I143" s="104" t="str">
        <f t="shared" si="13"/>
        <v/>
      </c>
      <c r="J143" s="104">
        <f t="shared" si="14"/>
        <v>-4</v>
      </c>
      <c r="K143" s="103">
        <f t="shared" si="15"/>
        <v>-40</v>
      </c>
      <c r="L143" s="103"/>
      <c r="M143" s="105">
        <f t="shared" si="16"/>
        <v>0</v>
      </c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</row>
    <row r="144" spans="1:38" s="88" customFormat="1">
      <c r="A144" s="124"/>
      <c r="B144" s="123"/>
      <c r="C144" s="123"/>
      <c r="D144" s="123"/>
      <c r="E144" s="123"/>
      <c r="F144" s="123"/>
      <c r="H144" s="103">
        <v>139</v>
      </c>
      <c r="I144" s="104" t="str">
        <f t="shared" si="13"/>
        <v/>
      </c>
      <c r="J144" s="104">
        <f t="shared" si="14"/>
        <v>-4</v>
      </c>
      <c r="K144" s="103">
        <f t="shared" si="15"/>
        <v>-40</v>
      </c>
      <c r="L144" s="103"/>
      <c r="M144" s="105">
        <f t="shared" si="16"/>
        <v>0</v>
      </c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</row>
    <row r="145" spans="1:38" s="88" customFormat="1">
      <c r="A145" s="124"/>
      <c r="B145" s="123"/>
      <c r="C145" s="123"/>
      <c r="D145" s="123"/>
      <c r="E145" s="123"/>
      <c r="F145" s="123"/>
      <c r="H145" s="103">
        <v>140</v>
      </c>
      <c r="I145" s="104" t="str">
        <f t="shared" si="13"/>
        <v/>
      </c>
      <c r="J145" s="104">
        <f t="shared" si="14"/>
        <v>-4</v>
      </c>
      <c r="K145" s="103">
        <f t="shared" si="15"/>
        <v>-40</v>
      </c>
      <c r="L145" s="103"/>
      <c r="M145" s="105">
        <f t="shared" si="16"/>
        <v>0</v>
      </c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</row>
    <row r="146" spans="1:38" s="88" customFormat="1">
      <c r="A146" s="124"/>
      <c r="B146" s="123"/>
      <c r="C146" s="123"/>
      <c r="D146" s="123"/>
      <c r="E146" s="123"/>
      <c r="F146" s="123"/>
      <c r="H146" s="103">
        <v>141</v>
      </c>
      <c r="I146" s="104" t="str">
        <f t="shared" si="13"/>
        <v/>
      </c>
      <c r="J146" s="104">
        <f t="shared" si="14"/>
        <v>-4</v>
      </c>
      <c r="K146" s="103">
        <f t="shared" si="15"/>
        <v>-40</v>
      </c>
      <c r="L146" s="103"/>
      <c r="M146" s="105">
        <f t="shared" si="16"/>
        <v>0</v>
      </c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</row>
    <row r="147" spans="1:38" s="88" customFormat="1">
      <c r="A147" s="124"/>
      <c r="B147" s="123"/>
      <c r="C147" s="123"/>
      <c r="D147" s="123"/>
      <c r="E147" s="123"/>
      <c r="F147" s="123"/>
      <c r="H147" s="103">
        <v>142</v>
      </c>
      <c r="I147" s="104" t="str">
        <f t="shared" si="13"/>
        <v/>
      </c>
      <c r="J147" s="104">
        <f t="shared" si="14"/>
        <v>-4</v>
      </c>
      <c r="K147" s="103">
        <f t="shared" si="15"/>
        <v>-40</v>
      </c>
      <c r="L147" s="103"/>
      <c r="M147" s="105">
        <f t="shared" si="16"/>
        <v>0</v>
      </c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</row>
    <row r="148" spans="1:38" s="88" customFormat="1">
      <c r="A148" s="124"/>
      <c r="B148" s="123"/>
      <c r="C148" s="123"/>
      <c r="D148" s="123"/>
      <c r="E148" s="123"/>
      <c r="F148" s="123"/>
      <c r="H148" s="103">
        <v>143</v>
      </c>
      <c r="I148" s="104" t="str">
        <f t="shared" si="13"/>
        <v/>
      </c>
      <c r="J148" s="104">
        <f t="shared" si="14"/>
        <v>-4</v>
      </c>
      <c r="K148" s="103">
        <f t="shared" si="15"/>
        <v>-40</v>
      </c>
      <c r="L148" s="103"/>
      <c r="M148" s="105">
        <f t="shared" si="16"/>
        <v>0</v>
      </c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</row>
    <row r="149" spans="1:38" s="88" customFormat="1">
      <c r="A149" s="124"/>
      <c r="B149" s="123"/>
      <c r="C149" s="123"/>
      <c r="D149" s="123"/>
      <c r="E149" s="123"/>
      <c r="F149" s="123"/>
      <c r="H149" s="103">
        <v>144</v>
      </c>
      <c r="I149" s="104" t="str">
        <f t="shared" si="13"/>
        <v/>
      </c>
      <c r="J149" s="104">
        <f t="shared" si="14"/>
        <v>-4</v>
      </c>
      <c r="K149" s="103">
        <f t="shared" si="15"/>
        <v>-40</v>
      </c>
      <c r="L149" s="103"/>
      <c r="M149" s="105">
        <f t="shared" si="16"/>
        <v>0</v>
      </c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</row>
    <row r="150" spans="1:38" s="88" customFormat="1">
      <c r="A150" s="124"/>
      <c r="B150" s="123"/>
      <c r="C150" s="123"/>
      <c r="D150" s="123"/>
      <c r="E150" s="123"/>
      <c r="F150" s="123"/>
      <c r="H150" s="103">
        <v>145</v>
      </c>
      <c r="I150" s="104" t="str">
        <f t="shared" si="13"/>
        <v/>
      </c>
      <c r="J150" s="104">
        <f t="shared" si="14"/>
        <v>-4</v>
      </c>
      <c r="K150" s="103">
        <f t="shared" si="15"/>
        <v>-40</v>
      </c>
      <c r="L150" s="103"/>
      <c r="M150" s="105">
        <f t="shared" si="16"/>
        <v>0</v>
      </c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</row>
    <row r="151" spans="1:38" s="88" customFormat="1">
      <c r="A151" s="124"/>
      <c r="B151" s="123"/>
      <c r="C151" s="123"/>
      <c r="D151" s="123"/>
      <c r="E151" s="123"/>
      <c r="F151" s="123"/>
      <c r="H151" s="103">
        <v>146</v>
      </c>
      <c r="I151" s="104" t="str">
        <f t="shared" si="13"/>
        <v/>
      </c>
      <c r="J151" s="104">
        <f t="shared" si="14"/>
        <v>-4</v>
      </c>
      <c r="K151" s="103">
        <f t="shared" si="15"/>
        <v>-40</v>
      </c>
      <c r="L151" s="103"/>
      <c r="M151" s="105">
        <f t="shared" si="16"/>
        <v>0</v>
      </c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</row>
    <row r="152" spans="1:38" s="88" customFormat="1">
      <c r="A152" s="124"/>
      <c r="B152" s="123"/>
      <c r="C152" s="123"/>
      <c r="D152" s="123"/>
      <c r="E152" s="123"/>
      <c r="F152" s="123"/>
      <c r="H152" s="103">
        <v>147</v>
      </c>
      <c r="I152" s="104" t="str">
        <f t="shared" si="13"/>
        <v/>
      </c>
      <c r="J152" s="104">
        <f t="shared" si="14"/>
        <v>-4</v>
      </c>
      <c r="K152" s="103">
        <f t="shared" si="15"/>
        <v>-40</v>
      </c>
      <c r="L152" s="103"/>
      <c r="M152" s="105">
        <f t="shared" si="16"/>
        <v>0</v>
      </c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</row>
    <row r="153" spans="1:38" s="88" customFormat="1">
      <c r="A153" s="124"/>
      <c r="B153" s="123"/>
      <c r="C153" s="123"/>
      <c r="D153" s="123"/>
      <c r="E153" s="123"/>
      <c r="F153" s="123"/>
      <c r="H153" s="103">
        <v>148</v>
      </c>
      <c r="I153" s="104" t="str">
        <f t="shared" si="13"/>
        <v/>
      </c>
      <c r="J153" s="104">
        <f t="shared" si="14"/>
        <v>-4</v>
      </c>
      <c r="K153" s="103">
        <f t="shared" si="15"/>
        <v>-40</v>
      </c>
      <c r="L153" s="103"/>
      <c r="M153" s="105">
        <f t="shared" si="16"/>
        <v>0</v>
      </c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</row>
    <row r="154" spans="1:38" s="88" customFormat="1">
      <c r="A154" s="124"/>
      <c r="B154" s="123"/>
      <c r="C154" s="123"/>
      <c r="D154" s="123"/>
      <c r="E154" s="123"/>
      <c r="F154" s="123"/>
      <c r="H154" s="103">
        <v>149</v>
      </c>
      <c r="I154" s="104" t="str">
        <f t="shared" si="13"/>
        <v/>
      </c>
      <c r="J154" s="104">
        <f t="shared" si="14"/>
        <v>-4</v>
      </c>
      <c r="K154" s="103">
        <f t="shared" si="15"/>
        <v>-40</v>
      </c>
      <c r="L154" s="103"/>
      <c r="M154" s="105">
        <f t="shared" si="16"/>
        <v>0</v>
      </c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</row>
    <row r="155" spans="1:38" s="88" customFormat="1">
      <c r="A155" s="124"/>
      <c r="B155" s="123"/>
      <c r="C155" s="123"/>
      <c r="D155" s="123"/>
      <c r="E155" s="123"/>
      <c r="F155" s="123"/>
      <c r="H155" s="103">
        <v>150</v>
      </c>
      <c r="I155" s="104" t="str">
        <f t="shared" si="13"/>
        <v/>
      </c>
      <c r="J155" s="104">
        <f t="shared" si="14"/>
        <v>-4</v>
      </c>
      <c r="K155" s="103">
        <f t="shared" si="15"/>
        <v>-40</v>
      </c>
      <c r="L155" s="103"/>
      <c r="M155" s="105">
        <f t="shared" si="16"/>
        <v>0</v>
      </c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</row>
    <row r="156" spans="1:38" s="88" customFormat="1">
      <c r="A156" s="124"/>
      <c r="B156" s="123"/>
      <c r="C156" s="123"/>
      <c r="D156" s="123"/>
      <c r="E156" s="123"/>
      <c r="F156" s="123"/>
      <c r="H156" s="103">
        <v>151</v>
      </c>
      <c r="I156" s="104" t="str">
        <f t="shared" si="13"/>
        <v/>
      </c>
      <c r="J156" s="104">
        <f t="shared" si="14"/>
        <v>-4</v>
      </c>
      <c r="K156" s="103">
        <f t="shared" si="15"/>
        <v>-40</v>
      </c>
      <c r="L156" s="103"/>
      <c r="M156" s="105">
        <f t="shared" si="16"/>
        <v>0</v>
      </c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</row>
    <row r="157" spans="1:38" s="88" customFormat="1">
      <c r="A157" s="124"/>
      <c r="B157" s="123"/>
      <c r="C157" s="123"/>
      <c r="D157" s="123"/>
      <c r="E157" s="123"/>
      <c r="F157" s="123"/>
      <c r="H157" s="103">
        <v>152</v>
      </c>
      <c r="I157" s="104" t="str">
        <f t="shared" si="13"/>
        <v/>
      </c>
      <c r="J157" s="104">
        <f t="shared" si="14"/>
        <v>-4</v>
      </c>
      <c r="K157" s="103">
        <f t="shared" si="15"/>
        <v>-40</v>
      </c>
      <c r="L157" s="103"/>
      <c r="M157" s="105">
        <f t="shared" si="16"/>
        <v>0</v>
      </c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</row>
    <row r="158" spans="1:38" s="88" customFormat="1">
      <c r="A158" s="124"/>
      <c r="B158" s="123"/>
      <c r="C158" s="123"/>
      <c r="D158" s="123"/>
      <c r="E158" s="123"/>
      <c r="F158" s="123"/>
      <c r="H158" s="103">
        <v>153</v>
      </c>
      <c r="I158" s="104" t="str">
        <f t="shared" si="13"/>
        <v/>
      </c>
      <c r="J158" s="104">
        <f t="shared" si="14"/>
        <v>-4</v>
      </c>
      <c r="K158" s="103">
        <f t="shared" si="15"/>
        <v>-40</v>
      </c>
      <c r="L158" s="103"/>
      <c r="M158" s="105">
        <f t="shared" si="16"/>
        <v>0</v>
      </c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</row>
    <row r="159" spans="1:38" s="88" customFormat="1">
      <c r="A159" s="124"/>
      <c r="B159" s="123"/>
      <c r="C159" s="123"/>
      <c r="D159" s="123"/>
      <c r="E159" s="123"/>
      <c r="F159" s="123"/>
      <c r="H159" s="103">
        <v>154</v>
      </c>
      <c r="I159" s="104" t="str">
        <f t="shared" si="13"/>
        <v/>
      </c>
      <c r="J159" s="104">
        <f t="shared" si="14"/>
        <v>-4</v>
      </c>
      <c r="K159" s="103">
        <f t="shared" si="15"/>
        <v>-40</v>
      </c>
      <c r="L159" s="103"/>
      <c r="M159" s="105">
        <f t="shared" si="16"/>
        <v>0</v>
      </c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</row>
    <row r="160" spans="1:38" s="88" customFormat="1">
      <c r="A160" s="124"/>
      <c r="B160" s="123"/>
      <c r="C160" s="123"/>
      <c r="D160" s="123"/>
      <c r="E160" s="123"/>
      <c r="F160" s="123"/>
      <c r="H160" s="103">
        <v>155</v>
      </c>
      <c r="I160" s="104" t="str">
        <f t="shared" si="13"/>
        <v/>
      </c>
      <c r="J160" s="104">
        <f t="shared" si="14"/>
        <v>-4</v>
      </c>
      <c r="K160" s="103">
        <f t="shared" si="15"/>
        <v>-40</v>
      </c>
      <c r="L160" s="103"/>
      <c r="M160" s="105">
        <f t="shared" si="16"/>
        <v>0</v>
      </c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</row>
    <row r="161" spans="1:38" s="88" customFormat="1">
      <c r="A161" s="124"/>
      <c r="B161" s="123"/>
      <c r="C161" s="123"/>
      <c r="D161" s="123"/>
      <c r="E161" s="123"/>
      <c r="F161" s="123"/>
      <c r="H161" s="103">
        <v>156</v>
      </c>
      <c r="I161" s="104" t="str">
        <f t="shared" si="13"/>
        <v/>
      </c>
      <c r="J161" s="104">
        <f t="shared" si="14"/>
        <v>-4</v>
      </c>
      <c r="K161" s="103">
        <f t="shared" si="15"/>
        <v>-40</v>
      </c>
      <c r="L161" s="103"/>
      <c r="M161" s="105">
        <f t="shared" si="16"/>
        <v>0</v>
      </c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</row>
    <row r="162" spans="1:38" s="88" customFormat="1">
      <c r="A162" s="124"/>
      <c r="B162" s="123"/>
      <c r="C162" s="123"/>
      <c r="D162" s="123"/>
      <c r="E162" s="123"/>
      <c r="F162" s="123"/>
      <c r="H162" s="103">
        <v>157</v>
      </c>
      <c r="I162" s="104" t="str">
        <f t="shared" si="13"/>
        <v/>
      </c>
      <c r="J162" s="104">
        <f t="shared" si="14"/>
        <v>-4</v>
      </c>
      <c r="K162" s="103">
        <f t="shared" si="15"/>
        <v>-40</v>
      </c>
      <c r="L162" s="103"/>
      <c r="M162" s="105">
        <f t="shared" si="16"/>
        <v>0</v>
      </c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</row>
    <row r="163" spans="1:38" s="88" customFormat="1">
      <c r="A163" s="124"/>
      <c r="B163" s="123"/>
      <c r="C163" s="123"/>
      <c r="D163" s="123"/>
      <c r="E163" s="123"/>
      <c r="F163" s="123"/>
      <c r="H163" s="103">
        <v>158</v>
      </c>
      <c r="I163" s="104" t="str">
        <f t="shared" si="13"/>
        <v/>
      </c>
      <c r="J163" s="104">
        <f t="shared" si="14"/>
        <v>-4</v>
      </c>
      <c r="K163" s="103">
        <f t="shared" si="15"/>
        <v>-40</v>
      </c>
      <c r="L163" s="103"/>
      <c r="M163" s="105">
        <f t="shared" si="16"/>
        <v>0</v>
      </c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</row>
    <row r="164" spans="1:38" s="88" customFormat="1">
      <c r="A164" s="124"/>
      <c r="B164" s="123"/>
      <c r="C164" s="123"/>
      <c r="D164" s="123"/>
      <c r="E164" s="123"/>
      <c r="F164" s="123"/>
      <c r="H164" s="103">
        <v>159</v>
      </c>
      <c r="I164" s="104" t="str">
        <f t="shared" si="13"/>
        <v/>
      </c>
      <c r="J164" s="104">
        <f t="shared" si="14"/>
        <v>-4</v>
      </c>
      <c r="K164" s="103">
        <f t="shared" si="15"/>
        <v>-40</v>
      </c>
      <c r="L164" s="103"/>
      <c r="M164" s="105">
        <f t="shared" si="16"/>
        <v>0</v>
      </c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</row>
    <row r="165" spans="1:38" s="88" customFormat="1">
      <c r="A165" s="124"/>
      <c r="B165" s="123"/>
      <c r="C165" s="123"/>
      <c r="D165" s="123"/>
      <c r="E165" s="123"/>
      <c r="F165" s="123"/>
      <c r="H165" s="103">
        <v>160</v>
      </c>
      <c r="I165" s="104" t="str">
        <f t="shared" si="13"/>
        <v/>
      </c>
      <c r="J165" s="104">
        <f t="shared" si="14"/>
        <v>-4</v>
      </c>
      <c r="K165" s="103">
        <f t="shared" si="15"/>
        <v>-40</v>
      </c>
      <c r="L165" s="103"/>
      <c r="M165" s="105">
        <f t="shared" si="16"/>
        <v>0</v>
      </c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</row>
    <row r="166" spans="1:38" s="88" customFormat="1">
      <c r="A166" s="124"/>
      <c r="B166" s="123"/>
      <c r="C166" s="123"/>
      <c r="D166" s="123"/>
      <c r="E166" s="123"/>
      <c r="F166" s="123"/>
      <c r="H166" s="103">
        <v>161</v>
      </c>
      <c r="I166" s="104" t="str">
        <f t="shared" si="13"/>
        <v/>
      </c>
      <c r="J166" s="104">
        <f t="shared" si="14"/>
        <v>-4</v>
      </c>
      <c r="K166" s="103">
        <f t="shared" si="15"/>
        <v>-40</v>
      </c>
      <c r="L166" s="103"/>
      <c r="M166" s="105">
        <f t="shared" si="16"/>
        <v>0</v>
      </c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</row>
    <row r="167" spans="1:38" s="88" customFormat="1">
      <c r="A167" s="124"/>
      <c r="B167" s="123"/>
      <c r="C167" s="123"/>
      <c r="D167" s="123"/>
      <c r="E167" s="123"/>
      <c r="F167" s="123"/>
      <c r="H167" s="103">
        <v>162</v>
      </c>
      <c r="I167" s="104" t="str">
        <f t="shared" si="13"/>
        <v/>
      </c>
      <c r="J167" s="104">
        <f t="shared" si="14"/>
        <v>-4</v>
      </c>
      <c r="K167" s="103">
        <f t="shared" si="15"/>
        <v>-40</v>
      </c>
      <c r="L167" s="103"/>
      <c r="M167" s="105">
        <f t="shared" si="16"/>
        <v>0</v>
      </c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</row>
    <row r="168" spans="1:38" s="88" customFormat="1">
      <c r="A168" s="124"/>
      <c r="B168" s="123"/>
      <c r="C168" s="123"/>
      <c r="D168" s="123"/>
      <c r="E168" s="123"/>
      <c r="F168" s="123"/>
      <c r="H168" s="103">
        <v>163</v>
      </c>
      <c r="I168" s="104" t="str">
        <f t="shared" si="13"/>
        <v/>
      </c>
      <c r="J168" s="104">
        <f t="shared" si="14"/>
        <v>-4</v>
      </c>
      <c r="K168" s="103">
        <f t="shared" si="15"/>
        <v>-40</v>
      </c>
      <c r="L168" s="103"/>
      <c r="M168" s="105">
        <f t="shared" si="16"/>
        <v>0</v>
      </c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</row>
    <row r="169" spans="1:38" s="88" customFormat="1">
      <c r="A169" s="124"/>
      <c r="B169" s="123"/>
      <c r="C169" s="123" t="s">
        <v>57</v>
      </c>
      <c r="D169" s="123"/>
      <c r="E169" s="123"/>
      <c r="F169" s="123"/>
      <c r="H169" s="103">
        <v>164</v>
      </c>
      <c r="I169" s="104" t="str">
        <f t="shared" si="13"/>
        <v/>
      </c>
      <c r="J169" s="104">
        <f t="shared" si="14"/>
        <v>-4</v>
      </c>
      <c r="K169" s="103">
        <f t="shared" si="15"/>
        <v>-40</v>
      </c>
      <c r="L169" s="103"/>
      <c r="M169" s="105">
        <f t="shared" si="16"/>
        <v>0</v>
      </c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</row>
    <row r="170" spans="1:38" s="88" customFormat="1">
      <c r="A170" s="124"/>
      <c r="B170" s="123"/>
      <c r="C170" s="123"/>
      <c r="D170" s="123"/>
      <c r="E170" s="123"/>
      <c r="F170" s="123"/>
      <c r="H170" s="103">
        <v>165</v>
      </c>
      <c r="I170" s="104" t="str">
        <f t="shared" si="13"/>
        <v/>
      </c>
      <c r="J170" s="104">
        <f t="shared" si="14"/>
        <v>-4</v>
      </c>
      <c r="K170" s="103">
        <f t="shared" si="15"/>
        <v>-40</v>
      </c>
      <c r="L170" s="103"/>
      <c r="M170" s="105">
        <f t="shared" si="16"/>
        <v>0</v>
      </c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</row>
    <row r="171" spans="1:38" s="88" customFormat="1">
      <c r="A171" s="124"/>
      <c r="B171" s="123"/>
      <c r="C171" s="123"/>
      <c r="D171" s="123"/>
      <c r="E171" s="123"/>
      <c r="F171" s="123"/>
      <c r="H171" s="103">
        <v>166</v>
      </c>
      <c r="I171" s="104" t="str">
        <f t="shared" si="13"/>
        <v/>
      </c>
      <c r="J171" s="104">
        <f t="shared" si="14"/>
        <v>-4</v>
      </c>
      <c r="K171" s="103">
        <f t="shared" si="15"/>
        <v>-40</v>
      </c>
      <c r="L171" s="103"/>
      <c r="M171" s="105">
        <f t="shared" si="16"/>
        <v>0</v>
      </c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</row>
    <row r="172" spans="1:38" s="88" customFormat="1">
      <c r="A172" s="124"/>
      <c r="B172" s="123"/>
      <c r="C172" s="123"/>
      <c r="D172" s="123"/>
      <c r="E172" s="123"/>
      <c r="F172" s="123"/>
      <c r="H172" s="103">
        <v>167</v>
      </c>
      <c r="I172" s="104" t="str">
        <f t="shared" si="13"/>
        <v/>
      </c>
      <c r="J172" s="104">
        <f t="shared" si="14"/>
        <v>-4</v>
      </c>
      <c r="K172" s="103">
        <f t="shared" si="15"/>
        <v>-40</v>
      </c>
      <c r="L172" s="103"/>
      <c r="M172" s="105">
        <f t="shared" si="16"/>
        <v>0</v>
      </c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</row>
    <row r="173" spans="1:38" s="88" customFormat="1">
      <c r="A173" s="124"/>
      <c r="B173" s="123"/>
      <c r="C173" s="123"/>
      <c r="D173" s="123"/>
      <c r="E173" s="123"/>
      <c r="F173" s="123"/>
      <c r="H173" s="103">
        <v>168</v>
      </c>
      <c r="I173" s="104" t="str">
        <f t="shared" si="13"/>
        <v/>
      </c>
      <c r="J173" s="104">
        <f t="shared" si="14"/>
        <v>-4</v>
      </c>
      <c r="K173" s="103">
        <f t="shared" si="15"/>
        <v>-40</v>
      </c>
      <c r="L173" s="103"/>
      <c r="M173" s="105">
        <f t="shared" si="16"/>
        <v>0</v>
      </c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</row>
    <row r="174" spans="1:38" s="88" customFormat="1">
      <c r="A174" s="124"/>
      <c r="B174" s="123"/>
      <c r="C174" s="123"/>
      <c r="D174" s="123"/>
      <c r="E174" s="123"/>
      <c r="F174" s="123"/>
      <c r="H174" s="103">
        <v>169</v>
      </c>
      <c r="I174" s="104" t="str">
        <f t="shared" si="13"/>
        <v/>
      </c>
      <c r="J174" s="104">
        <f t="shared" si="14"/>
        <v>-4</v>
      </c>
      <c r="K174" s="103">
        <f t="shared" si="15"/>
        <v>-40</v>
      </c>
      <c r="L174" s="103"/>
      <c r="M174" s="105">
        <f t="shared" si="16"/>
        <v>0</v>
      </c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</row>
    <row r="175" spans="1:38" s="88" customFormat="1">
      <c r="A175" s="124"/>
      <c r="B175" s="123"/>
      <c r="C175" s="123"/>
      <c r="D175" s="123"/>
      <c r="E175" s="123"/>
      <c r="F175" s="123"/>
      <c r="H175" s="103">
        <v>170</v>
      </c>
      <c r="I175" s="104" t="str">
        <f t="shared" si="13"/>
        <v/>
      </c>
      <c r="J175" s="104">
        <f t="shared" si="14"/>
        <v>-4</v>
      </c>
      <c r="K175" s="103">
        <f t="shared" si="15"/>
        <v>-40</v>
      </c>
      <c r="L175" s="103"/>
      <c r="M175" s="105">
        <f t="shared" si="16"/>
        <v>0</v>
      </c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</row>
    <row r="176" spans="1:38" s="88" customFormat="1">
      <c r="A176" s="124"/>
      <c r="B176" s="123"/>
      <c r="C176" s="123"/>
      <c r="D176" s="123"/>
      <c r="E176" s="123"/>
      <c r="F176" s="123"/>
      <c r="H176" s="103">
        <v>171</v>
      </c>
      <c r="I176" s="104" t="str">
        <f t="shared" si="13"/>
        <v/>
      </c>
      <c r="J176" s="104">
        <f t="shared" si="14"/>
        <v>-4</v>
      </c>
      <c r="K176" s="103">
        <f t="shared" si="15"/>
        <v>-40</v>
      </c>
      <c r="L176" s="103"/>
      <c r="M176" s="105">
        <f t="shared" si="16"/>
        <v>0</v>
      </c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</row>
    <row r="177" spans="1:38" s="88" customFormat="1">
      <c r="A177" s="124"/>
      <c r="B177" s="123"/>
      <c r="C177" s="123"/>
      <c r="D177" s="123"/>
      <c r="E177" s="123"/>
      <c r="F177" s="123"/>
      <c r="H177" s="103">
        <v>172</v>
      </c>
      <c r="I177" s="104" t="str">
        <f t="shared" si="13"/>
        <v/>
      </c>
      <c r="J177" s="104">
        <f t="shared" si="14"/>
        <v>-4</v>
      </c>
      <c r="K177" s="103">
        <f t="shared" si="15"/>
        <v>-40</v>
      </c>
      <c r="L177" s="103"/>
      <c r="M177" s="105">
        <f t="shared" si="16"/>
        <v>0</v>
      </c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</row>
    <row r="178" spans="1:38" s="88" customFormat="1">
      <c r="A178" s="124"/>
      <c r="B178" s="123"/>
      <c r="C178" s="123"/>
      <c r="D178" s="123"/>
      <c r="E178" s="123"/>
      <c r="F178" s="123"/>
      <c r="H178" s="103">
        <v>173</v>
      </c>
      <c r="I178" s="104" t="str">
        <f t="shared" si="13"/>
        <v/>
      </c>
      <c r="J178" s="104">
        <f t="shared" si="14"/>
        <v>-4</v>
      </c>
      <c r="K178" s="103">
        <f t="shared" si="15"/>
        <v>-40</v>
      </c>
      <c r="L178" s="103"/>
      <c r="M178" s="105">
        <f t="shared" si="16"/>
        <v>0</v>
      </c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</row>
    <row r="179" spans="1:38" s="88" customFormat="1">
      <c r="A179" s="124"/>
      <c r="B179" s="123"/>
      <c r="C179" s="123"/>
      <c r="D179" s="123"/>
      <c r="E179" s="123"/>
      <c r="F179" s="123"/>
      <c r="H179" s="103">
        <v>174</v>
      </c>
      <c r="I179" s="104" t="str">
        <f t="shared" si="13"/>
        <v/>
      </c>
      <c r="J179" s="104">
        <f t="shared" si="14"/>
        <v>-4</v>
      </c>
      <c r="K179" s="103">
        <f t="shared" si="15"/>
        <v>-40</v>
      </c>
      <c r="L179" s="103"/>
      <c r="M179" s="105">
        <f t="shared" si="16"/>
        <v>0</v>
      </c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</row>
    <row r="180" spans="1:38" s="88" customFormat="1">
      <c r="A180" s="124"/>
      <c r="B180" s="123"/>
      <c r="C180" s="123"/>
      <c r="D180" s="123"/>
      <c r="E180" s="123"/>
      <c r="F180" s="123"/>
      <c r="H180" s="103">
        <v>175</v>
      </c>
      <c r="I180" s="104" t="str">
        <f t="shared" si="13"/>
        <v/>
      </c>
      <c r="J180" s="104">
        <f t="shared" si="14"/>
        <v>-4</v>
      </c>
      <c r="K180" s="103">
        <f t="shared" si="15"/>
        <v>-40</v>
      </c>
      <c r="L180" s="103"/>
      <c r="M180" s="105">
        <f t="shared" si="16"/>
        <v>0</v>
      </c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</row>
    <row r="181" spans="1:38" s="88" customFormat="1">
      <c r="A181" s="124"/>
      <c r="B181" s="123"/>
      <c r="C181" s="123"/>
      <c r="D181" s="123"/>
      <c r="E181" s="123"/>
      <c r="F181" s="123"/>
      <c r="H181" s="103">
        <v>176</v>
      </c>
      <c r="I181" s="104" t="str">
        <f t="shared" si="13"/>
        <v/>
      </c>
      <c r="J181" s="104">
        <f t="shared" si="14"/>
        <v>-4</v>
      </c>
      <c r="K181" s="103">
        <f t="shared" si="15"/>
        <v>-40</v>
      </c>
      <c r="L181" s="103"/>
      <c r="M181" s="105">
        <f t="shared" si="16"/>
        <v>0</v>
      </c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</row>
    <row r="182" spans="1:38" s="88" customFormat="1">
      <c r="A182" s="124"/>
      <c r="B182" s="123"/>
      <c r="C182" s="123"/>
      <c r="D182" s="123"/>
      <c r="E182" s="123"/>
      <c r="F182" s="123"/>
      <c r="H182" s="103">
        <v>177</v>
      </c>
      <c r="I182" s="104" t="str">
        <f t="shared" si="13"/>
        <v/>
      </c>
      <c r="J182" s="104">
        <f t="shared" si="14"/>
        <v>-4</v>
      </c>
      <c r="K182" s="103">
        <f t="shared" si="15"/>
        <v>-40</v>
      </c>
      <c r="L182" s="103"/>
      <c r="M182" s="105">
        <f t="shared" si="16"/>
        <v>0</v>
      </c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</row>
    <row r="183" spans="1:38" s="88" customFormat="1">
      <c r="A183" s="124"/>
      <c r="B183" s="123"/>
      <c r="C183" s="123"/>
      <c r="D183" s="123"/>
      <c r="E183" s="123"/>
      <c r="F183" s="123"/>
      <c r="H183" s="103">
        <v>178</v>
      </c>
      <c r="I183" s="104" t="str">
        <f t="shared" si="13"/>
        <v/>
      </c>
      <c r="J183" s="104">
        <f t="shared" si="14"/>
        <v>-4</v>
      </c>
      <c r="K183" s="103">
        <f t="shared" si="15"/>
        <v>-40</v>
      </c>
      <c r="L183" s="103"/>
      <c r="M183" s="105">
        <f t="shared" si="16"/>
        <v>0</v>
      </c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</row>
    <row r="184" spans="1:38" s="88" customFormat="1">
      <c r="A184" s="124"/>
      <c r="B184" s="123"/>
      <c r="C184" s="123"/>
      <c r="D184" s="123"/>
      <c r="E184" s="123"/>
      <c r="F184" s="123"/>
      <c r="H184" s="103">
        <v>179</v>
      </c>
      <c r="I184" s="104" t="str">
        <f t="shared" si="13"/>
        <v/>
      </c>
      <c r="J184" s="104">
        <f t="shared" si="14"/>
        <v>-4</v>
      </c>
      <c r="K184" s="103">
        <f t="shared" si="15"/>
        <v>-40</v>
      </c>
      <c r="L184" s="103"/>
      <c r="M184" s="105">
        <f t="shared" si="16"/>
        <v>0</v>
      </c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</row>
    <row r="185" spans="1:38" s="88" customFormat="1">
      <c r="A185" s="124"/>
      <c r="B185" s="123"/>
      <c r="C185" s="123"/>
      <c r="D185" s="123"/>
      <c r="E185" s="123"/>
      <c r="F185" s="123"/>
      <c r="H185" s="103">
        <v>180</v>
      </c>
      <c r="I185" s="104" t="str">
        <f t="shared" si="13"/>
        <v/>
      </c>
      <c r="J185" s="104">
        <f t="shared" si="14"/>
        <v>-4</v>
      </c>
      <c r="K185" s="103">
        <f t="shared" si="15"/>
        <v>-40</v>
      </c>
      <c r="L185" s="103"/>
      <c r="M185" s="105">
        <f t="shared" si="16"/>
        <v>0</v>
      </c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</row>
    <row r="186" spans="1:38" s="88" customFormat="1">
      <c r="A186" s="124"/>
      <c r="B186" s="123"/>
      <c r="C186" s="123"/>
      <c r="D186" s="123"/>
      <c r="E186" s="123"/>
      <c r="F186" s="123"/>
      <c r="H186" s="103">
        <v>181</v>
      </c>
      <c r="I186" s="104" t="str">
        <f t="shared" si="13"/>
        <v/>
      </c>
      <c r="J186" s="104">
        <f t="shared" si="14"/>
        <v>-4</v>
      </c>
      <c r="K186" s="103">
        <f t="shared" si="15"/>
        <v>-40</v>
      </c>
      <c r="L186" s="103"/>
      <c r="M186" s="105">
        <f t="shared" si="16"/>
        <v>0</v>
      </c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</row>
    <row r="187" spans="1:38" s="88" customFormat="1">
      <c r="A187" s="124"/>
      <c r="B187" s="123"/>
      <c r="C187" s="123"/>
      <c r="D187" s="123"/>
      <c r="E187" s="123"/>
      <c r="F187" s="123"/>
      <c r="H187" s="103">
        <v>182</v>
      </c>
      <c r="I187" s="104" t="str">
        <f t="shared" si="13"/>
        <v/>
      </c>
      <c r="J187" s="104">
        <f t="shared" si="14"/>
        <v>-4</v>
      </c>
      <c r="K187" s="103">
        <f t="shared" si="15"/>
        <v>-40</v>
      </c>
      <c r="L187" s="103"/>
      <c r="M187" s="105">
        <f t="shared" si="16"/>
        <v>0</v>
      </c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</row>
    <row r="188" spans="1:38" s="88" customFormat="1">
      <c r="A188" s="124"/>
      <c r="B188" s="123"/>
      <c r="C188" s="123"/>
      <c r="D188" s="123"/>
      <c r="E188" s="123"/>
      <c r="F188" s="123"/>
      <c r="H188" s="103">
        <v>183</v>
      </c>
      <c r="I188" s="104" t="str">
        <f t="shared" si="13"/>
        <v/>
      </c>
      <c r="J188" s="104">
        <f t="shared" si="14"/>
        <v>-4</v>
      </c>
      <c r="K188" s="103">
        <f t="shared" si="15"/>
        <v>-40</v>
      </c>
      <c r="L188" s="103"/>
      <c r="M188" s="105">
        <f t="shared" si="16"/>
        <v>0</v>
      </c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</row>
    <row r="189" spans="1:38" s="88" customFormat="1">
      <c r="A189" s="124"/>
      <c r="B189" s="123"/>
      <c r="C189" s="123"/>
      <c r="D189" s="123"/>
      <c r="E189" s="123"/>
      <c r="F189" s="123"/>
      <c r="H189" s="103">
        <v>184</v>
      </c>
      <c r="I189" s="104" t="str">
        <f t="shared" si="13"/>
        <v/>
      </c>
      <c r="J189" s="104">
        <f t="shared" si="14"/>
        <v>-4</v>
      </c>
      <c r="K189" s="103">
        <f t="shared" si="15"/>
        <v>-40</v>
      </c>
      <c r="L189" s="103"/>
      <c r="M189" s="105">
        <f t="shared" si="16"/>
        <v>0</v>
      </c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</row>
    <row r="190" spans="1:38" s="88" customFormat="1">
      <c r="A190" s="124"/>
      <c r="B190" s="123"/>
      <c r="C190" s="123"/>
      <c r="D190" s="123"/>
      <c r="E190" s="123"/>
      <c r="F190" s="123"/>
      <c r="H190" s="103">
        <v>185</v>
      </c>
      <c r="I190" s="104" t="str">
        <f t="shared" si="13"/>
        <v/>
      </c>
      <c r="J190" s="104">
        <f t="shared" si="14"/>
        <v>-4</v>
      </c>
      <c r="K190" s="103">
        <f t="shared" si="15"/>
        <v>-40</v>
      </c>
      <c r="L190" s="103"/>
      <c r="M190" s="105">
        <f t="shared" si="16"/>
        <v>0</v>
      </c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</row>
    <row r="191" spans="1:38" s="88" customFormat="1">
      <c r="A191" s="124"/>
      <c r="B191" s="123"/>
      <c r="C191" s="123"/>
      <c r="D191" s="123"/>
      <c r="E191" s="123"/>
      <c r="F191" s="123"/>
      <c r="H191" s="103">
        <v>186</v>
      </c>
      <c r="I191" s="104" t="str">
        <f t="shared" si="13"/>
        <v/>
      </c>
      <c r="J191" s="104">
        <f t="shared" si="14"/>
        <v>-4</v>
      </c>
      <c r="K191" s="103">
        <f t="shared" si="15"/>
        <v>-40</v>
      </c>
      <c r="L191" s="103"/>
      <c r="M191" s="105">
        <f t="shared" si="16"/>
        <v>0</v>
      </c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</row>
    <row r="192" spans="1:38" s="88" customFormat="1">
      <c r="A192" s="124"/>
      <c r="B192" s="123"/>
      <c r="C192" s="123"/>
      <c r="D192" s="123"/>
      <c r="E192" s="123"/>
      <c r="F192" s="123"/>
      <c r="H192" s="103">
        <v>187</v>
      </c>
      <c r="I192" s="104" t="str">
        <f t="shared" si="13"/>
        <v/>
      </c>
      <c r="J192" s="104">
        <f t="shared" si="14"/>
        <v>-4</v>
      </c>
      <c r="K192" s="103">
        <f t="shared" si="15"/>
        <v>-40</v>
      </c>
      <c r="L192" s="103"/>
      <c r="M192" s="105">
        <f t="shared" si="16"/>
        <v>0</v>
      </c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</row>
    <row r="193" spans="1:38" s="88" customFormat="1">
      <c r="A193" s="124"/>
      <c r="B193" s="123"/>
      <c r="C193" s="123"/>
      <c r="D193" s="123"/>
      <c r="E193" s="123"/>
      <c r="F193" s="123"/>
      <c r="H193" s="103">
        <v>188</v>
      </c>
      <c r="I193" s="104" t="str">
        <f t="shared" si="13"/>
        <v/>
      </c>
      <c r="J193" s="104">
        <f t="shared" si="14"/>
        <v>-4</v>
      </c>
      <c r="K193" s="103">
        <f t="shared" si="15"/>
        <v>-40</v>
      </c>
      <c r="L193" s="103"/>
      <c r="M193" s="105">
        <f t="shared" si="16"/>
        <v>0</v>
      </c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</row>
    <row r="194" spans="1:38" s="88" customFormat="1">
      <c r="A194" s="124"/>
      <c r="B194" s="123"/>
      <c r="C194" s="123"/>
      <c r="D194" s="123"/>
      <c r="E194" s="123"/>
      <c r="F194" s="123"/>
      <c r="H194" s="103">
        <v>189</v>
      </c>
      <c r="I194" s="104" t="str">
        <f t="shared" si="13"/>
        <v/>
      </c>
      <c r="J194" s="104">
        <f t="shared" si="14"/>
        <v>-4</v>
      </c>
      <c r="K194" s="103">
        <f t="shared" si="15"/>
        <v>-40</v>
      </c>
      <c r="L194" s="103"/>
      <c r="M194" s="105">
        <f t="shared" si="16"/>
        <v>0</v>
      </c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</row>
    <row r="195" spans="1:38" s="88" customFormat="1">
      <c r="A195" s="124"/>
      <c r="B195" s="123"/>
      <c r="C195" s="123"/>
      <c r="D195" s="123"/>
      <c r="E195" s="123"/>
      <c r="F195" s="123"/>
      <c r="H195" s="103">
        <v>190</v>
      </c>
      <c r="I195" s="104" t="str">
        <f t="shared" si="13"/>
        <v/>
      </c>
      <c r="J195" s="104">
        <f t="shared" si="14"/>
        <v>-4</v>
      </c>
      <c r="K195" s="103">
        <f t="shared" si="15"/>
        <v>-40</v>
      </c>
      <c r="L195" s="103"/>
      <c r="M195" s="105">
        <f t="shared" si="16"/>
        <v>0</v>
      </c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</row>
    <row r="196" spans="1:38" s="88" customFormat="1">
      <c r="A196" s="124"/>
      <c r="B196" s="123"/>
      <c r="C196" s="123"/>
      <c r="D196" s="123"/>
      <c r="E196" s="123"/>
      <c r="F196" s="123"/>
      <c r="H196" s="103">
        <v>191</v>
      </c>
      <c r="I196" s="104" t="str">
        <f t="shared" si="13"/>
        <v/>
      </c>
      <c r="J196" s="104">
        <f t="shared" si="14"/>
        <v>-4</v>
      </c>
      <c r="K196" s="103">
        <f t="shared" si="15"/>
        <v>-40</v>
      </c>
      <c r="L196" s="103"/>
      <c r="M196" s="105">
        <f t="shared" si="16"/>
        <v>0</v>
      </c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</row>
    <row r="197" spans="1:38" s="88" customFormat="1">
      <c r="A197" s="124"/>
      <c r="B197" s="123"/>
      <c r="C197" s="123"/>
      <c r="D197" s="123"/>
      <c r="E197" s="123"/>
      <c r="F197" s="123"/>
      <c r="H197" s="103">
        <v>192</v>
      </c>
      <c r="I197" s="104" t="str">
        <f t="shared" si="13"/>
        <v/>
      </c>
      <c r="J197" s="104">
        <f t="shared" si="14"/>
        <v>-4</v>
      </c>
      <c r="K197" s="103">
        <f t="shared" si="15"/>
        <v>-40</v>
      </c>
      <c r="L197" s="103"/>
      <c r="M197" s="105">
        <f t="shared" si="16"/>
        <v>0</v>
      </c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</row>
    <row r="198" spans="1:38" s="88" customFormat="1">
      <c r="A198" s="124"/>
      <c r="B198" s="123"/>
      <c r="C198" s="123"/>
      <c r="D198" s="123"/>
      <c r="E198" s="123"/>
      <c r="F198" s="123"/>
      <c r="H198" s="103">
        <v>193</v>
      </c>
      <c r="I198" s="104" t="str">
        <f t="shared" ref="I198:I261" si="17">IF(H198&lt;$H$2+1,($I$2-($I$2-1)*(LOG(H198)/LOG($H$2))),"")</f>
        <v/>
      </c>
      <c r="J198" s="104">
        <f t="shared" ref="J198:J261" si="18">INT(LOG($H$2,2))-ROUNDUP(LOG(H198,2),0)+IF(OR($H$2=1,$H$2=2,$H$2=4,$H$2=8,$H$2=16,$H$2=32,$H$2=64,$H$2=128,$H$2=256),0,1)</f>
        <v>-4</v>
      </c>
      <c r="K198" s="103">
        <f t="shared" ref="K198:K261" si="19">J198*$J$2</f>
        <v>-40</v>
      </c>
      <c r="L198" s="103"/>
      <c r="M198" s="105">
        <f t="shared" ref="M198:M261" si="20">IF(I198&lt;&gt;"",K198+I198+L198,0)</f>
        <v>0</v>
      </c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</row>
    <row r="199" spans="1:38" s="88" customFormat="1">
      <c r="A199" s="124"/>
      <c r="B199" s="123"/>
      <c r="C199" s="123"/>
      <c r="D199" s="123"/>
      <c r="E199" s="123"/>
      <c r="F199" s="123"/>
      <c r="H199" s="103">
        <v>194</v>
      </c>
      <c r="I199" s="104" t="str">
        <f t="shared" si="17"/>
        <v/>
      </c>
      <c r="J199" s="104">
        <f t="shared" si="18"/>
        <v>-4</v>
      </c>
      <c r="K199" s="103">
        <f t="shared" si="19"/>
        <v>-40</v>
      </c>
      <c r="L199" s="103"/>
      <c r="M199" s="105">
        <f t="shared" si="20"/>
        <v>0</v>
      </c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</row>
    <row r="200" spans="1:38" s="88" customFormat="1">
      <c r="A200" s="124"/>
      <c r="B200" s="123"/>
      <c r="C200" s="123"/>
      <c r="D200" s="123"/>
      <c r="E200" s="123"/>
      <c r="F200" s="123"/>
      <c r="H200" s="103">
        <v>195</v>
      </c>
      <c r="I200" s="104" t="str">
        <f t="shared" si="17"/>
        <v/>
      </c>
      <c r="J200" s="104">
        <f t="shared" si="18"/>
        <v>-4</v>
      </c>
      <c r="K200" s="103">
        <f t="shared" si="19"/>
        <v>-40</v>
      </c>
      <c r="L200" s="103"/>
      <c r="M200" s="105">
        <f t="shared" si="20"/>
        <v>0</v>
      </c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</row>
    <row r="201" spans="1:38" s="88" customFormat="1">
      <c r="A201" s="124"/>
      <c r="B201" s="123"/>
      <c r="C201" s="123"/>
      <c r="D201" s="123"/>
      <c r="E201" s="123"/>
      <c r="F201" s="123"/>
      <c r="H201" s="103">
        <v>196</v>
      </c>
      <c r="I201" s="104" t="str">
        <f t="shared" si="17"/>
        <v/>
      </c>
      <c r="J201" s="104">
        <f t="shared" si="18"/>
        <v>-4</v>
      </c>
      <c r="K201" s="103">
        <f t="shared" si="19"/>
        <v>-40</v>
      </c>
      <c r="L201" s="103"/>
      <c r="M201" s="105">
        <f t="shared" si="20"/>
        <v>0</v>
      </c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</row>
    <row r="202" spans="1:38" s="88" customFormat="1">
      <c r="A202" s="124"/>
      <c r="B202" s="123"/>
      <c r="C202" s="123"/>
      <c r="D202" s="123"/>
      <c r="E202" s="123"/>
      <c r="F202" s="123"/>
      <c r="H202" s="103">
        <v>197</v>
      </c>
      <c r="I202" s="104" t="str">
        <f t="shared" si="17"/>
        <v/>
      </c>
      <c r="J202" s="104">
        <f t="shared" si="18"/>
        <v>-4</v>
      </c>
      <c r="K202" s="103">
        <f t="shared" si="19"/>
        <v>-40</v>
      </c>
      <c r="L202" s="103"/>
      <c r="M202" s="105">
        <f t="shared" si="20"/>
        <v>0</v>
      </c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</row>
    <row r="203" spans="1:38" s="88" customFormat="1">
      <c r="A203" s="124"/>
      <c r="B203" s="123"/>
      <c r="C203" s="123"/>
      <c r="D203" s="123"/>
      <c r="E203" s="123"/>
      <c r="F203" s="123"/>
      <c r="H203" s="103">
        <v>198</v>
      </c>
      <c r="I203" s="104" t="str">
        <f t="shared" si="17"/>
        <v/>
      </c>
      <c r="J203" s="104">
        <f t="shared" si="18"/>
        <v>-4</v>
      </c>
      <c r="K203" s="103">
        <f t="shared" si="19"/>
        <v>-40</v>
      </c>
      <c r="L203" s="103"/>
      <c r="M203" s="105">
        <f t="shared" si="20"/>
        <v>0</v>
      </c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</row>
    <row r="204" spans="1:38" s="88" customFormat="1">
      <c r="A204" s="124"/>
      <c r="B204" s="123"/>
      <c r="C204" s="123"/>
      <c r="D204" s="123"/>
      <c r="E204" s="123"/>
      <c r="F204" s="123"/>
      <c r="H204" s="103">
        <v>199</v>
      </c>
      <c r="I204" s="104" t="str">
        <f t="shared" si="17"/>
        <v/>
      </c>
      <c r="J204" s="104">
        <f t="shared" si="18"/>
        <v>-4</v>
      </c>
      <c r="K204" s="103">
        <f t="shared" si="19"/>
        <v>-40</v>
      </c>
      <c r="L204" s="103"/>
      <c r="M204" s="105">
        <f t="shared" si="20"/>
        <v>0</v>
      </c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</row>
    <row r="205" spans="1:38" s="88" customFormat="1">
      <c r="A205" s="124"/>
      <c r="B205" s="123"/>
      <c r="C205" s="123"/>
      <c r="D205" s="123"/>
      <c r="E205" s="123"/>
      <c r="F205" s="123"/>
      <c r="H205" s="103">
        <v>200</v>
      </c>
      <c r="I205" s="104" t="str">
        <f t="shared" si="17"/>
        <v/>
      </c>
      <c r="J205" s="104">
        <f t="shared" si="18"/>
        <v>-4</v>
      </c>
      <c r="K205" s="103">
        <f t="shared" si="19"/>
        <v>-40</v>
      </c>
      <c r="L205" s="103"/>
      <c r="M205" s="105">
        <f t="shared" si="20"/>
        <v>0</v>
      </c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</row>
    <row r="206" spans="1:38" s="88" customFormat="1">
      <c r="A206" s="124"/>
      <c r="B206" s="123"/>
      <c r="C206" s="123"/>
      <c r="D206" s="123"/>
      <c r="E206" s="123"/>
      <c r="F206" s="123"/>
      <c r="H206" s="103">
        <v>201</v>
      </c>
      <c r="I206" s="104" t="str">
        <f t="shared" si="17"/>
        <v/>
      </c>
      <c r="J206" s="104">
        <f t="shared" si="18"/>
        <v>-4</v>
      </c>
      <c r="K206" s="103">
        <f t="shared" si="19"/>
        <v>-40</v>
      </c>
      <c r="L206" s="103"/>
      <c r="M206" s="105">
        <f t="shared" si="20"/>
        <v>0</v>
      </c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</row>
    <row r="207" spans="1:38" s="88" customFormat="1">
      <c r="A207" s="124"/>
      <c r="B207" s="123"/>
      <c r="C207" s="123"/>
      <c r="D207" s="123"/>
      <c r="E207" s="123"/>
      <c r="F207" s="123"/>
      <c r="H207" s="103">
        <v>202</v>
      </c>
      <c r="I207" s="104" t="str">
        <f t="shared" si="17"/>
        <v/>
      </c>
      <c r="J207" s="104">
        <f t="shared" si="18"/>
        <v>-4</v>
      </c>
      <c r="K207" s="103">
        <f t="shared" si="19"/>
        <v>-40</v>
      </c>
      <c r="L207" s="103"/>
      <c r="M207" s="105">
        <f t="shared" si="20"/>
        <v>0</v>
      </c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</row>
    <row r="208" spans="1:38" s="88" customFormat="1">
      <c r="A208" s="124"/>
      <c r="B208" s="123"/>
      <c r="C208" s="123"/>
      <c r="D208" s="123"/>
      <c r="E208" s="123"/>
      <c r="F208" s="123"/>
      <c r="H208" s="103">
        <v>203</v>
      </c>
      <c r="I208" s="104" t="str">
        <f t="shared" si="17"/>
        <v/>
      </c>
      <c r="J208" s="104">
        <f t="shared" si="18"/>
        <v>-4</v>
      </c>
      <c r="K208" s="103">
        <f t="shared" si="19"/>
        <v>-40</v>
      </c>
      <c r="L208" s="103"/>
      <c r="M208" s="105">
        <f t="shared" si="20"/>
        <v>0</v>
      </c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</row>
    <row r="209" spans="1:38" s="88" customFormat="1">
      <c r="A209" s="124"/>
      <c r="B209" s="123"/>
      <c r="C209" s="123"/>
      <c r="D209" s="123"/>
      <c r="E209" s="123"/>
      <c r="F209" s="123"/>
      <c r="H209" s="103">
        <v>204</v>
      </c>
      <c r="I209" s="104" t="str">
        <f t="shared" si="17"/>
        <v/>
      </c>
      <c r="J209" s="104">
        <f t="shared" si="18"/>
        <v>-4</v>
      </c>
      <c r="K209" s="103">
        <f t="shared" si="19"/>
        <v>-40</v>
      </c>
      <c r="L209" s="103"/>
      <c r="M209" s="105">
        <f t="shared" si="20"/>
        <v>0</v>
      </c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</row>
    <row r="210" spans="1:38" s="88" customFormat="1">
      <c r="A210" s="124"/>
      <c r="B210" s="123"/>
      <c r="C210" s="123"/>
      <c r="D210" s="123"/>
      <c r="E210" s="123"/>
      <c r="F210" s="123"/>
      <c r="H210" s="103">
        <v>205</v>
      </c>
      <c r="I210" s="104" t="str">
        <f t="shared" si="17"/>
        <v/>
      </c>
      <c r="J210" s="104">
        <f t="shared" si="18"/>
        <v>-4</v>
      </c>
      <c r="K210" s="103">
        <f t="shared" si="19"/>
        <v>-40</v>
      </c>
      <c r="L210" s="103"/>
      <c r="M210" s="105">
        <f t="shared" si="20"/>
        <v>0</v>
      </c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</row>
    <row r="211" spans="1:38" s="88" customFormat="1">
      <c r="A211" s="124"/>
      <c r="B211" s="123"/>
      <c r="C211" s="123"/>
      <c r="D211" s="123"/>
      <c r="E211" s="123"/>
      <c r="F211" s="123"/>
      <c r="H211" s="103">
        <v>206</v>
      </c>
      <c r="I211" s="104" t="str">
        <f t="shared" si="17"/>
        <v/>
      </c>
      <c r="J211" s="104">
        <f t="shared" si="18"/>
        <v>-4</v>
      </c>
      <c r="K211" s="103">
        <f t="shared" si="19"/>
        <v>-40</v>
      </c>
      <c r="L211" s="103"/>
      <c r="M211" s="105">
        <f t="shared" si="20"/>
        <v>0</v>
      </c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</row>
    <row r="212" spans="1:38" s="88" customFormat="1">
      <c r="A212" s="124"/>
      <c r="B212" s="123"/>
      <c r="C212" s="123"/>
      <c r="D212" s="123"/>
      <c r="E212" s="123"/>
      <c r="F212" s="123"/>
      <c r="H212" s="103">
        <v>207</v>
      </c>
      <c r="I212" s="104" t="str">
        <f t="shared" si="17"/>
        <v/>
      </c>
      <c r="J212" s="104">
        <f t="shared" si="18"/>
        <v>-4</v>
      </c>
      <c r="K212" s="103">
        <f t="shared" si="19"/>
        <v>-40</v>
      </c>
      <c r="L212" s="103"/>
      <c r="M212" s="105">
        <f t="shared" si="20"/>
        <v>0</v>
      </c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</row>
    <row r="213" spans="1:38" s="88" customFormat="1">
      <c r="A213" s="124"/>
      <c r="B213" s="123"/>
      <c r="C213" s="123"/>
      <c r="D213" s="123"/>
      <c r="E213" s="123"/>
      <c r="F213" s="123"/>
      <c r="H213" s="103">
        <v>208</v>
      </c>
      <c r="I213" s="104" t="str">
        <f t="shared" si="17"/>
        <v/>
      </c>
      <c r="J213" s="104">
        <f t="shared" si="18"/>
        <v>-4</v>
      </c>
      <c r="K213" s="103">
        <f t="shared" si="19"/>
        <v>-40</v>
      </c>
      <c r="L213" s="103"/>
      <c r="M213" s="105">
        <f t="shared" si="20"/>
        <v>0</v>
      </c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</row>
    <row r="214" spans="1:38" s="88" customFormat="1">
      <c r="A214" s="124"/>
      <c r="B214" s="123"/>
      <c r="C214" s="123"/>
      <c r="D214" s="123"/>
      <c r="E214" s="123"/>
      <c r="F214" s="123"/>
      <c r="H214" s="103">
        <v>209</v>
      </c>
      <c r="I214" s="104" t="str">
        <f t="shared" si="17"/>
        <v/>
      </c>
      <c r="J214" s="104">
        <f t="shared" si="18"/>
        <v>-4</v>
      </c>
      <c r="K214" s="103">
        <f t="shared" si="19"/>
        <v>-40</v>
      </c>
      <c r="L214" s="103"/>
      <c r="M214" s="105">
        <f t="shared" si="20"/>
        <v>0</v>
      </c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</row>
    <row r="215" spans="1:38" s="88" customFormat="1">
      <c r="A215" s="124"/>
      <c r="B215" s="123"/>
      <c r="C215" s="123"/>
      <c r="D215" s="123"/>
      <c r="E215" s="123"/>
      <c r="F215" s="123"/>
      <c r="H215" s="103">
        <v>210</v>
      </c>
      <c r="I215" s="104" t="str">
        <f t="shared" si="17"/>
        <v/>
      </c>
      <c r="J215" s="104">
        <f t="shared" si="18"/>
        <v>-4</v>
      </c>
      <c r="K215" s="103">
        <f t="shared" si="19"/>
        <v>-40</v>
      </c>
      <c r="L215" s="103"/>
      <c r="M215" s="105">
        <f t="shared" si="20"/>
        <v>0</v>
      </c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</row>
    <row r="216" spans="1:38" s="88" customFormat="1">
      <c r="A216" s="124"/>
      <c r="B216" s="123"/>
      <c r="C216" s="123"/>
      <c r="D216" s="123"/>
      <c r="E216" s="123"/>
      <c r="F216" s="123"/>
      <c r="H216" s="103">
        <v>211</v>
      </c>
      <c r="I216" s="104" t="str">
        <f t="shared" si="17"/>
        <v/>
      </c>
      <c r="J216" s="104">
        <f t="shared" si="18"/>
        <v>-4</v>
      </c>
      <c r="K216" s="103">
        <f t="shared" si="19"/>
        <v>-40</v>
      </c>
      <c r="L216" s="103"/>
      <c r="M216" s="105">
        <f t="shared" si="20"/>
        <v>0</v>
      </c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</row>
    <row r="217" spans="1:38" s="88" customFormat="1">
      <c r="A217" s="124"/>
      <c r="B217" s="123"/>
      <c r="C217" s="123"/>
      <c r="D217" s="123"/>
      <c r="E217" s="123"/>
      <c r="F217" s="123"/>
      <c r="H217" s="103">
        <v>212</v>
      </c>
      <c r="I217" s="104" t="str">
        <f t="shared" si="17"/>
        <v/>
      </c>
      <c r="J217" s="104">
        <f t="shared" si="18"/>
        <v>-4</v>
      </c>
      <c r="K217" s="103">
        <f t="shared" si="19"/>
        <v>-40</v>
      </c>
      <c r="L217" s="103"/>
      <c r="M217" s="105">
        <f t="shared" si="20"/>
        <v>0</v>
      </c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</row>
    <row r="218" spans="1:38" s="88" customFormat="1">
      <c r="A218" s="124"/>
      <c r="B218" s="123"/>
      <c r="C218" s="123"/>
      <c r="D218" s="123"/>
      <c r="E218" s="123"/>
      <c r="F218" s="123"/>
      <c r="H218" s="103">
        <v>213</v>
      </c>
      <c r="I218" s="104" t="str">
        <f t="shared" si="17"/>
        <v/>
      </c>
      <c r="J218" s="104">
        <f t="shared" si="18"/>
        <v>-4</v>
      </c>
      <c r="K218" s="103">
        <f t="shared" si="19"/>
        <v>-40</v>
      </c>
      <c r="L218" s="103"/>
      <c r="M218" s="105">
        <f t="shared" si="20"/>
        <v>0</v>
      </c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</row>
    <row r="219" spans="1:38" s="88" customFormat="1">
      <c r="A219" s="124"/>
      <c r="B219" s="123"/>
      <c r="C219" s="123"/>
      <c r="D219" s="123"/>
      <c r="E219" s="123"/>
      <c r="F219" s="123"/>
      <c r="H219" s="103">
        <v>214</v>
      </c>
      <c r="I219" s="104" t="str">
        <f t="shared" si="17"/>
        <v/>
      </c>
      <c r="J219" s="104">
        <f t="shared" si="18"/>
        <v>-4</v>
      </c>
      <c r="K219" s="103">
        <f t="shared" si="19"/>
        <v>-40</v>
      </c>
      <c r="L219" s="103"/>
      <c r="M219" s="105">
        <f t="shared" si="20"/>
        <v>0</v>
      </c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</row>
    <row r="220" spans="1:38" s="88" customFormat="1">
      <c r="A220" s="124"/>
      <c r="B220" s="123"/>
      <c r="C220" s="123"/>
      <c r="D220" s="123"/>
      <c r="E220" s="123"/>
      <c r="F220" s="123"/>
      <c r="H220" s="103">
        <v>215</v>
      </c>
      <c r="I220" s="104" t="str">
        <f t="shared" si="17"/>
        <v/>
      </c>
      <c r="J220" s="104">
        <f t="shared" si="18"/>
        <v>-4</v>
      </c>
      <c r="K220" s="103">
        <f t="shared" si="19"/>
        <v>-40</v>
      </c>
      <c r="L220" s="103"/>
      <c r="M220" s="105">
        <f t="shared" si="20"/>
        <v>0</v>
      </c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</row>
    <row r="221" spans="1:38" s="88" customFormat="1">
      <c r="A221" s="124"/>
      <c r="B221" s="123"/>
      <c r="C221" s="123"/>
      <c r="D221" s="123"/>
      <c r="E221" s="123"/>
      <c r="F221" s="123"/>
      <c r="H221" s="103">
        <v>216</v>
      </c>
      <c r="I221" s="104" t="str">
        <f t="shared" si="17"/>
        <v/>
      </c>
      <c r="J221" s="104">
        <f t="shared" si="18"/>
        <v>-4</v>
      </c>
      <c r="K221" s="103">
        <f t="shared" si="19"/>
        <v>-40</v>
      </c>
      <c r="L221" s="103"/>
      <c r="M221" s="105">
        <f t="shared" si="20"/>
        <v>0</v>
      </c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</row>
    <row r="222" spans="1:38" s="88" customFormat="1">
      <c r="A222" s="124"/>
      <c r="B222" s="123"/>
      <c r="C222" s="123"/>
      <c r="D222" s="123"/>
      <c r="E222" s="123"/>
      <c r="F222" s="123"/>
      <c r="H222" s="103">
        <v>217</v>
      </c>
      <c r="I222" s="104" t="str">
        <f t="shared" si="17"/>
        <v/>
      </c>
      <c r="J222" s="104">
        <f t="shared" si="18"/>
        <v>-4</v>
      </c>
      <c r="K222" s="103">
        <f t="shared" si="19"/>
        <v>-40</v>
      </c>
      <c r="L222" s="103"/>
      <c r="M222" s="105">
        <f t="shared" si="20"/>
        <v>0</v>
      </c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</row>
    <row r="223" spans="1:38" s="88" customFormat="1">
      <c r="A223" s="124"/>
      <c r="B223" s="123"/>
      <c r="C223" s="123"/>
      <c r="D223" s="123"/>
      <c r="E223" s="123"/>
      <c r="F223" s="123"/>
      <c r="H223" s="103">
        <v>218</v>
      </c>
      <c r="I223" s="104" t="str">
        <f t="shared" si="17"/>
        <v/>
      </c>
      <c r="J223" s="104">
        <f t="shared" si="18"/>
        <v>-4</v>
      </c>
      <c r="K223" s="103">
        <f t="shared" si="19"/>
        <v>-40</v>
      </c>
      <c r="L223" s="103"/>
      <c r="M223" s="105">
        <f t="shared" si="20"/>
        <v>0</v>
      </c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</row>
    <row r="224" spans="1:38" s="88" customFormat="1">
      <c r="A224" s="124"/>
      <c r="B224" s="123"/>
      <c r="C224" s="123"/>
      <c r="D224" s="123"/>
      <c r="E224" s="123"/>
      <c r="F224" s="123"/>
      <c r="H224" s="103">
        <v>219</v>
      </c>
      <c r="I224" s="104" t="str">
        <f t="shared" si="17"/>
        <v/>
      </c>
      <c r="J224" s="104">
        <f t="shared" si="18"/>
        <v>-4</v>
      </c>
      <c r="K224" s="103">
        <f t="shared" si="19"/>
        <v>-40</v>
      </c>
      <c r="L224" s="103"/>
      <c r="M224" s="105">
        <f t="shared" si="20"/>
        <v>0</v>
      </c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</row>
    <row r="225" spans="1:38" s="88" customFormat="1">
      <c r="A225" s="124"/>
      <c r="B225" s="123"/>
      <c r="C225" s="123"/>
      <c r="D225" s="123"/>
      <c r="E225" s="123"/>
      <c r="F225" s="123"/>
      <c r="H225" s="103">
        <v>220</v>
      </c>
      <c r="I225" s="104" t="str">
        <f t="shared" si="17"/>
        <v/>
      </c>
      <c r="J225" s="104">
        <f t="shared" si="18"/>
        <v>-4</v>
      </c>
      <c r="K225" s="103">
        <f t="shared" si="19"/>
        <v>-40</v>
      </c>
      <c r="L225" s="103"/>
      <c r="M225" s="105">
        <f t="shared" si="20"/>
        <v>0</v>
      </c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</row>
    <row r="226" spans="1:38" s="88" customFormat="1">
      <c r="A226" s="124"/>
      <c r="B226" s="123"/>
      <c r="C226" s="123"/>
      <c r="D226" s="123"/>
      <c r="E226" s="123"/>
      <c r="F226" s="123"/>
      <c r="H226" s="103">
        <v>221</v>
      </c>
      <c r="I226" s="104" t="str">
        <f t="shared" si="17"/>
        <v/>
      </c>
      <c r="J226" s="104">
        <f t="shared" si="18"/>
        <v>-4</v>
      </c>
      <c r="K226" s="103">
        <f t="shared" si="19"/>
        <v>-40</v>
      </c>
      <c r="L226" s="103"/>
      <c r="M226" s="105">
        <f t="shared" si="20"/>
        <v>0</v>
      </c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</row>
    <row r="227" spans="1:38" s="88" customFormat="1">
      <c r="A227" s="124"/>
      <c r="B227" s="123"/>
      <c r="C227" s="123"/>
      <c r="D227" s="123"/>
      <c r="E227" s="123"/>
      <c r="F227" s="123"/>
      <c r="H227" s="103">
        <v>222</v>
      </c>
      <c r="I227" s="104" t="str">
        <f t="shared" si="17"/>
        <v/>
      </c>
      <c r="J227" s="104">
        <f t="shared" si="18"/>
        <v>-4</v>
      </c>
      <c r="K227" s="103">
        <f t="shared" si="19"/>
        <v>-40</v>
      </c>
      <c r="L227" s="103"/>
      <c r="M227" s="105">
        <f t="shared" si="20"/>
        <v>0</v>
      </c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</row>
    <row r="228" spans="1:38" s="88" customFormat="1">
      <c r="A228" s="124"/>
      <c r="B228" s="123"/>
      <c r="C228" s="123"/>
      <c r="D228" s="123"/>
      <c r="E228" s="123"/>
      <c r="F228" s="123"/>
      <c r="H228" s="103">
        <v>223</v>
      </c>
      <c r="I228" s="104" t="str">
        <f t="shared" si="17"/>
        <v/>
      </c>
      <c r="J228" s="104">
        <f t="shared" si="18"/>
        <v>-4</v>
      </c>
      <c r="K228" s="103">
        <f t="shared" si="19"/>
        <v>-40</v>
      </c>
      <c r="L228" s="103"/>
      <c r="M228" s="105">
        <f t="shared" si="20"/>
        <v>0</v>
      </c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</row>
    <row r="229" spans="1:38" s="88" customFormat="1">
      <c r="A229" s="124"/>
      <c r="B229" s="123"/>
      <c r="C229" s="123"/>
      <c r="D229" s="123"/>
      <c r="E229" s="123"/>
      <c r="F229" s="123"/>
      <c r="H229" s="103">
        <v>224</v>
      </c>
      <c r="I229" s="104" t="str">
        <f t="shared" si="17"/>
        <v/>
      </c>
      <c r="J229" s="104">
        <f t="shared" si="18"/>
        <v>-4</v>
      </c>
      <c r="K229" s="103">
        <f t="shared" si="19"/>
        <v>-40</v>
      </c>
      <c r="L229" s="103"/>
      <c r="M229" s="105">
        <f t="shared" si="20"/>
        <v>0</v>
      </c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</row>
    <row r="230" spans="1:38" s="88" customFormat="1">
      <c r="A230" s="124"/>
      <c r="B230" s="123"/>
      <c r="C230" s="123"/>
      <c r="D230" s="123"/>
      <c r="E230" s="123"/>
      <c r="F230" s="123"/>
      <c r="H230" s="103">
        <v>225</v>
      </c>
      <c r="I230" s="104" t="str">
        <f t="shared" si="17"/>
        <v/>
      </c>
      <c r="J230" s="104">
        <f t="shared" si="18"/>
        <v>-4</v>
      </c>
      <c r="K230" s="103">
        <f t="shared" si="19"/>
        <v>-40</v>
      </c>
      <c r="L230" s="103"/>
      <c r="M230" s="105">
        <f t="shared" si="20"/>
        <v>0</v>
      </c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</row>
    <row r="231" spans="1:38" s="88" customFormat="1">
      <c r="A231" s="124"/>
      <c r="B231" s="123"/>
      <c r="C231" s="123"/>
      <c r="D231" s="123"/>
      <c r="E231" s="123"/>
      <c r="F231" s="123"/>
      <c r="H231" s="103">
        <v>226</v>
      </c>
      <c r="I231" s="104" t="str">
        <f t="shared" si="17"/>
        <v/>
      </c>
      <c r="J231" s="104">
        <f t="shared" si="18"/>
        <v>-4</v>
      </c>
      <c r="K231" s="103">
        <f t="shared" si="19"/>
        <v>-40</v>
      </c>
      <c r="L231" s="103"/>
      <c r="M231" s="105">
        <f t="shared" si="20"/>
        <v>0</v>
      </c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</row>
    <row r="232" spans="1:38" s="88" customFormat="1">
      <c r="A232" s="124"/>
      <c r="B232" s="123"/>
      <c r="C232" s="123"/>
      <c r="D232" s="123"/>
      <c r="E232" s="123"/>
      <c r="F232" s="123"/>
      <c r="H232" s="103">
        <v>227</v>
      </c>
      <c r="I232" s="104" t="str">
        <f t="shared" si="17"/>
        <v/>
      </c>
      <c r="J232" s="104">
        <f t="shared" si="18"/>
        <v>-4</v>
      </c>
      <c r="K232" s="103">
        <f t="shared" si="19"/>
        <v>-40</v>
      </c>
      <c r="L232" s="103"/>
      <c r="M232" s="105">
        <f t="shared" si="20"/>
        <v>0</v>
      </c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</row>
    <row r="233" spans="1:38" s="88" customFormat="1">
      <c r="A233" s="124"/>
      <c r="B233" s="123"/>
      <c r="C233" s="123"/>
      <c r="D233" s="123"/>
      <c r="E233" s="123"/>
      <c r="F233" s="123"/>
      <c r="H233" s="103">
        <v>228</v>
      </c>
      <c r="I233" s="104" t="str">
        <f t="shared" si="17"/>
        <v/>
      </c>
      <c r="J233" s="104">
        <f t="shared" si="18"/>
        <v>-4</v>
      </c>
      <c r="K233" s="103">
        <f t="shared" si="19"/>
        <v>-40</v>
      </c>
      <c r="L233" s="103"/>
      <c r="M233" s="105">
        <f t="shared" si="20"/>
        <v>0</v>
      </c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</row>
    <row r="234" spans="1:38" s="88" customFormat="1">
      <c r="A234" s="124"/>
      <c r="B234" s="123"/>
      <c r="C234" s="123"/>
      <c r="D234" s="123"/>
      <c r="E234" s="123"/>
      <c r="F234" s="123"/>
      <c r="H234" s="103">
        <v>229</v>
      </c>
      <c r="I234" s="104" t="str">
        <f t="shared" si="17"/>
        <v/>
      </c>
      <c r="J234" s="104">
        <f t="shared" si="18"/>
        <v>-4</v>
      </c>
      <c r="K234" s="103">
        <f t="shared" si="19"/>
        <v>-40</v>
      </c>
      <c r="L234" s="103"/>
      <c r="M234" s="105">
        <f t="shared" si="20"/>
        <v>0</v>
      </c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</row>
    <row r="235" spans="1:38" s="88" customFormat="1">
      <c r="A235" s="124"/>
      <c r="B235" s="123"/>
      <c r="C235" s="123"/>
      <c r="D235" s="123"/>
      <c r="E235" s="123"/>
      <c r="F235" s="123"/>
      <c r="H235" s="103">
        <v>230</v>
      </c>
      <c r="I235" s="104" t="str">
        <f t="shared" si="17"/>
        <v/>
      </c>
      <c r="J235" s="104">
        <f t="shared" si="18"/>
        <v>-4</v>
      </c>
      <c r="K235" s="103">
        <f t="shared" si="19"/>
        <v>-40</v>
      </c>
      <c r="L235" s="103"/>
      <c r="M235" s="105">
        <f t="shared" si="20"/>
        <v>0</v>
      </c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</row>
    <row r="236" spans="1:38" s="88" customFormat="1">
      <c r="A236" s="124"/>
      <c r="B236" s="123"/>
      <c r="C236" s="123"/>
      <c r="D236" s="123"/>
      <c r="E236" s="123"/>
      <c r="F236" s="123"/>
      <c r="H236" s="103">
        <v>231</v>
      </c>
      <c r="I236" s="104" t="str">
        <f t="shared" si="17"/>
        <v/>
      </c>
      <c r="J236" s="104">
        <f t="shared" si="18"/>
        <v>-4</v>
      </c>
      <c r="K236" s="103">
        <f t="shared" si="19"/>
        <v>-40</v>
      </c>
      <c r="L236" s="103"/>
      <c r="M236" s="105">
        <f t="shared" si="20"/>
        <v>0</v>
      </c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</row>
    <row r="237" spans="1:38" s="88" customFormat="1">
      <c r="A237" s="124"/>
      <c r="B237" s="123"/>
      <c r="C237" s="123"/>
      <c r="D237" s="123"/>
      <c r="E237" s="123"/>
      <c r="F237" s="123"/>
      <c r="H237" s="103">
        <v>232</v>
      </c>
      <c r="I237" s="104" t="str">
        <f t="shared" si="17"/>
        <v/>
      </c>
      <c r="J237" s="104">
        <f t="shared" si="18"/>
        <v>-4</v>
      </c>
      <c r="K237" s="103">
        <f t="shared" si="19"/>
        <v>-40</v>
      </c>
      <c r="L237" s="103"/>
      <c r="M237" s="105">
        <f t="shared" si="20"/>
        <v>0</v>
      </c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</row>
    <row r="238" spans="1:38" s="88" customFormat="1">
      <c r="A238" s="124"/>
      <c r="B238" s="123"/>
      <c r="C238" s="123"/>
      <c r="D238" s="123"/>
      <c r="E238" s="123"/>
      <c r="F238" s="123"/>
      <c r="H238" s="103">
        <v>233</v>
      </c>
      <c r="I238" s="104" t="str">
        <f t="shared" si="17"/>
        <v/>
      </c>
      <c r="J238" s="104">
        <f t="shared" si="18"/>
        <v>-4</v>
      </c>
      <c r="K238" s="103">
        <f t="shared" si="19"/>
        <v>-40</v>
      </c>
      <c r="L238" s="103"/>
      <c r="M238" s="105">
        <f t="shared" si="20"/>
        <v>0</v>
      </c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</row>
    <row r="239" spans="1:38" s="88" customFormat="1">
      <c r="A239" s="124"/>
      <c r="B239" s="123"/>
      <c r="C239" s="123"/>
      <c r="D239" s="123"/>
      <c r="E239" s="123"/>
      <c r="F239" s="123"/>
      <c r="H239" s="103">
        <v>234</v>
      </c>
      <c r="I239" s="104" t="str">
        <f t="shared" si="17"/>
        <v/>
      </c>
      <c r="J239" s="104">
        <f t="shared" si="18"/>
        <v>-4</v>
      </c>
      <c r="K239" s="103">
        <f t="shared" si="19"/>
        <v>-40</v>
      </c>
      <c r="L239" s="103"/>
      <c r="M239" s="105">
        <f t="shared" si="20"/>
        <v>0</v>
      </c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</row>
    <row r="240" spans="1:38" s="88" customFormat="1">
      <c r="A240" s="124"/>
      <c r="B240" s="123"/>
      <c r="C240" s="123"/>
      <c r="D240" s="123"/>
      <c r="E240" s="123"/>
      <c r="F240" s="123"/>
      <c r="H240" s="103">
        <v>235</v>
      </c>
      <c r="I240" s="104" t="str">
        <f t="shared" si="17"/>
        <v/>
      </c>
      <c r="J240" s="104">
        <f t="shared" si="18"/>
        <v>-4</v>
      </c>
      <c r="K240" s="103">
        <f t="shared" si="19"/>
        <v>-40</v>
      </c>
      <c r="L240" s="103"/>
      <c r="M240" s="105">
        <f t="shared" si="20"/>
        <v>0</v>
      </c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</row>
    <row r="241" spans="1:38" s="88" customFormat="1">
      <c r="A241" s="124"/>
      <c r="B241" s="123"/>
      <c r="C241" s="123"/>
      <c r="D241" s="123"/>
      <c r="E241" s="123"/>
      <c r="F241" s="123"/>
      <c r="H241" s="103">
        <v>236</v>
      </c>
      <c r="I241" s="104" t="str">
        <f t="shared" si="17"/>
        <v/>
      </c>
      <c r="J241" s="104">
        <f t="shared" si="18"/>
        <v>-4</v>
      </c>
      <c r="K241" s="103">
        <f t="shared" si="19"/>
        <v>-40</v>
      </c>
      <c r="L241" s="103"/>
      <c r="M241" s="105">
        <f t="shared" si="20"/>
        <v>0</v>
      </c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</row>
    <row r="242" spans="1:38" s="88" customFormat="1">
      <c r="A242" s="124"/>
      <c r="B242" s="123"/>
      <c r="C242" s="123"/>
      <c r="D242" s="123"/>
      <c r="E242" s="123"/>
      <c r="F242" s="123"/>
      <c r="H242" s="103">
        <v>237</v>
      </c>
      <c r="I242" s="104" t="str">
        <f t="shared" si="17"/>
        <v/>
      </c>
      <c r="J242" s="104">
        <f t="shared" si="18"/>
        <v>-4</v>
      </c>
      <c r="K242" s="103">
        <f t="shared" si="19"/>
        <v>-40</v>
      </c>
      <c r="L242" s="103"/>
      <c r="M242" s="105">
        <f t="shared" si="20"/>
        <v>0</v>
      </c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</row>
    <row r="243" spans="1:38" s="88" customFormat="1">
      <c r="A243" s="124"/>
      <c r="B243" s="123"/>
      <c r="C243" s="123"/>
      <c r="D243" s="123"/>
      <c r="E243" s="123"/>
      <c r="F243" s="123"/>
      <c r="H243" s="103">
        <v>238</v>
      </c>
      <c r="I243" s="104" t="str">
        <f t="shared" si="17"/>
        <v/>
      </c>
      <c r="J243" s="104">
        <f t="shared" si="18"/>
        <v>-4</v>
      </c>
      <c r="K243" s="103">
        <f t="shared" si="19"/>
        <v>-40</v>
      </c>
      <c r="L243" s="103"/>
      <c r="M243" s="105">
        <f t="shared" si="20"/>
        <v>0</v>
      </c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</row>
    <row r="244" spans="1:38" s="88" customFormat="1">
      <c r="A244" s="124"/>
      <c r="B244" s="123"/>
      <c r="C244" s="123"/>
      <c r="D244" s="123"/>
      <c r="E244" s="123"/>
      <c r="F244" s="123"/>
      <c r="H244" s="103">
        <v>239</v>
      </c>
      <c r="I244" s="104" t="str">
        <f t="shared" si="17"/>
        <v/>
      </c>
      <c r="J244" s="104">
        <f t="shared" si="18"/>
        <v>-4</v>
      </c>
      <c r="K244" s="103">
        <f t="shared" si="19"/>
        <v>-40</v>
      </c>
      <c r="L244" s="103"/>
      <c r="M244" s="105">
        <f t="shared" si="20"/>
        <v>0</v>
      </c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</row>
    <row r="245" spans="1:38" s="88" customFormat="1">
      <c r="A245" s="124"/>
      <c r="B245" s="123"/>
      <c r="C245" s="123"/>
      <c r="D245" s="123"/>
      <c r="E245" s="123"/>
      <c r="F245" s="123"/>
      <c r="H245" s="103">
        <v>240</v>
      </c>
      <c r="I245" s="104" t="str">
        <f t="shared" si="17"/>
        <v/>
      </c>
      <c r="J245" s="104">
        <f t="shared" si="18"/>
        <v>-4</v>
      </c>
      <c r="K245" s="103">
        <f t="shared" si="19"/>
        <v>-40</v>
      </c>
      <c r="L245" s="103"/>
      <c r="M245" s="105">
        <f t="shared" si="20"/>
        <v>0</v>
      </c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</row>
    <row r="246" spans="1:38" s="88" customFormat="1">
      <c r="A246" s="124"/>
      <c r="B246" s="123"/>
      <c r="C246" s="123"/>
      <c r="D246" s="123"/>
      <c r="E246" s="123"/>
      <c r="F246" s="123"/>
      <c r="H246" s="103">
        <v>241</v>
      </c>
      <c r="I246" s="104" t="str">
        <f t="shared" si="17"/>
        <v/>
      </c>
      <c r="J246" s="104">
        <f t="shared" si="18"/>
        <v>-4</v>
      </c>
      <c r="K246" s="103">
        <f t="shared" si="19"/>
        <v>-40</v>
      </c>
      <c r="L246" s="103"/>
      <c r="M246" s="105">
        <f t="shared" si="20"/>
        <v>0</v>
      </c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</row>
    <row r="247" spans="1:38" s="88" customFormat="1">
      <c r="A247" s="124"/>
      <c r="B247" s="123"/>
      <c r="C247" s="123"/>
      <c r="D247" s="123"/>
      <c r="E247" s="123"/>
      <c r="F247" s="123"/>
      <c r="H247" s="103">
        <v>242</v>
      </c>
      <c r="I247" s="104" t="str">
        <f t="shared" si="17"/>
        <v/>
      </c>
      <c r="J247" s="104">
        <f t="shared" si="18"/>
        <v>-4</v>
      </c>
      <c r="K247" s="103">
        <f t="shared" si="19"/>
        <v>-40</v>
      </c>
      <c r="L247" s="103"/>
      <c r="M247" s="105">
        <f t="shared" si="20"/>
        <v>0</v>
      </c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</row>
    <row r="248" spans="1:38" s="88" customFormat="1">
      <c r="A248" s="124"/>
      <c r="B248" s="123"/>
      <c r="C248" s="123"/>
      <c r="D248" s="123"/>
      <c r="E248" s="123"/>
      <c r="F248" s="123"/>
      <c r="H248" s="103">
        <v>243</v>
      </c>
      <c r="I248" s="104" t="str">
        <f t="shared" si="17"/>
        <v/>
      </c>
      <c r="J248" s="104">
        <f t="shared" si="18"/>
        <v>-4</v>
      </c>
      <c r="K248" s="103">
        <f t="shared" si="19"/>
        <v>-40</v>
      </c>
      <c r="L248" s="103"/>
      <c r="M248" s="105">
        <f t="shared" si="20"/>
        <v>0</v>
      </c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</row>
    <row r="249" spans="1:38" s="88" customFormat="1">
      <c r="A249" s="124"/>
      <c r="B249" s="123"/>
      <c r="C249" s="123"/>
      <c r="D249" s="123"/>
      <c r="E249" s="123"/>
      <c r="F249" s="123"/>
      <c r="H249" s="103">
        <v>244</v>
      </c>
      <c r="I249" s="104" t="str">
        <f t="shared" si="17"/>
        <v/>
      </c>
      <c r="J249" s="104">
        <f t="shared" si="18"/>
        <v>-4</v>
      </c>
      <c r="K249" s="103">
        <f t="shared" si="19"/>
        <v>-40</v>
      </c>
      <c r="L249" s="103"/>
      <c r="M249" s="105">
        <f t="shared" si="20"/>
        <v>0</v>
      </c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</row>
    <row r="250" spans="1:38" s="88" customFormat="1">
      <c r="A250" s="124"/>
      <c r="B250" s="123"/>
      <c r="C250" s="123"/>
      <c r="D250" s="123"/>
      <c r="E250" s="123"/>
      <c r="F250" s="123"/>
      <c r="H250" s="103">
        <v>245</v>
      </c>
      <c r="I250" s="104" t="str">
        <f t="shared" si="17"/>
        <v/>
      </c>
      <c r="J250" s="104">
        <f t="shared" si="18"/>
        <v>-4</v>
      </c>
      <c r="K250" s="103">
        <f t="shared" si="19"/>
        <v>-40</v>
      </c>
      <c r="L250" s="103"/>
      <c r="M250" s="105">
        <f t="shared" si="20"/>
        <v>0</v>
      </c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</row>
    <row r="251" spans="1:38" s="88" customFormat="1">
      <c r="A251" s="124"/>
      <c r="B251" s="123"/>
      <c r="C251" s="123"/>
      <c r="D251" s="123"/>
      <c r="E251" s="123"/>
      <c r="F251" s="123"/>
      <c r="H251" s="103">
        <v>246</v>
      </c>
      <c r="I251" s="104" t="str">
        <f t="shared" si="17"/>
        <v/>
      </c>
      <c r="J251" s="104">
        <f t="shared" si="18"/>
        <v>-4</v>
      </c>
      <c r="K251" s="103">
        <f t="shared" si="19"/>
        <v>-40</v>
      </c>
      <c r="L251" s="103"/>
      <c r="M251" s="105">
        <f t="shared" si="20"/>
        <v>0</v>
      </c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</row>
    <row r="252" spans="1:38" s="88" customFormat="1">
      <c r="A252" s="124"/>
      <c r="B252" s="123"/>
      <c r="C252" s="123"/>
      <c r="D252" s="123"/>
      <c r="E252" s="123"/>
      <c r="F252" s="123"/>
      <c r="H252" s="103">
        <v>247</v>
      </c>
      <c r="I252" s="104" t="str">
        <f t="shared" si="17"/>
        <v/>
      </c>
      <c r="J252" s="104">
        <f t="shared" si="18"/>
        <v>-4</v>
      </c>
      <c r="K252" s="103">
        <f t="shared" si="19"/>
        <v>-40</v>
      </c>
      <c r="L252" s="103"/>
      <c r="M252" s="105">
        <f t="shared" si="20"/>
        <v>0</v>
      </c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</row>
    <row r="253" spans="1:38" s="88" customFormat="1">
      <c r="A253" s="124"/>
      <c r="B253" s="123"/>
      <c r="C253" s="123"/>
      <c r="D253" s="123"/>
      <c r="E253" s="123"/>
      <c r="F253" s="123"/>
      <c r="H253" s="103">
        <v>248</v>
      </c>
      <c r="I253" s="104" t="str">
        <f t="shared" si="17"/>
        <v/>
      </c>
      <c r="J253" s="104">
        <f t="shared" si="18"/>
        <v>-4</v>
      </c>
      <c r="K253" s="103">
        <f t="shared" si="19"/>
        <v>-40</v>
      </c>
      <c r="L253" s="103"/>
      <c r="M253" s="105">
        <f t="shared" si="20"/>
        <v>0</v>
      </c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</row>
    <row r="254" spans="1:38" s="88" customFormat="1">
      <c r="A254" s="124"/>
      <c r="B254" s="123"/>
      <c r="C254" s="123"/>
      <c r="D254" s="123"/>
      <c r="E254" s="123"/>
      <c r="F254" s="123"/>
      <c r="H254" s="103">
        <v>249</v>
      </c>
      <c r="I254" s="104" t="str">
        <f t="shared" si="17"/>
        <v/>
      </c>
      <c r="J254" s="104">
        <f t="shared" si="18"/>
        <v>-4</v>
      </c>
      <c r="K254" s="103">
        <f t="shared" si="19"/>
        <v>-40</v>
      </c>
      <c r="L254" s="103"/>
      <c r="M254" s="105">
        <f t="shared" si="20"/>
        <v>0</v>
      </c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</row>
    <row r="255" spans="1:38" s="88" customFormat="1">
      <c r="A255" s="124"/>
      <c r="B255" s="123"/>
      <c r="C255" s="123"/>
      <c r="D255" s="123"/>
      <c r="E255" s="123"/>
      <c r="F255" s="123"/>
      <c r="H255" s="103">
        <v>250</v>
      </c>
      <c r="I255" s="104" t="str">
        <f t="shared" si="17"/>
        <v/>
      </c>
      <c r="J255" s="104">
        <f t="shared" si="18"/>
        <v>-4</v>
      </c>
      <c r="K255" s="103">
        <f t="shared" si="19"/>
        <v>-40</v>
      </c>
      <c r="L255" s="103"/>
      <c r="M255" s="105">
        <f t="shared" si="20"/>
        <v>0</v>
      </c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</row>
    <row r="256" spans="1:38" s="88" customFormat="1">
      <c r="A256" s="124"/>
      <c r="B256" s="123"/>
      <c r="C256" s="123"/>
      <c r="D256" s="123"/>
      <c r="E256" s="123"/>
      <c r="F256" s="123"/>
      <c r="H256" s="103">
        <v>251</v>
      </c>
      <c r="I256" s="104" t="str">
        <f t="shared" si="17"/>
        <v/>
      </c>
      <c r="J256" s="104">
        <f t="shared" si="18"/>
        <v>-4</v>
      </c>
      <c r="K256" s="103">
        <f t="shared" si="19"/>
        <v>-40</v>
      </c>
      <c r="L256" s="103"/>
      <c r="M256" s="105">
        <f t="shared" si="20"/>
        <v>0</v>
      </c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</row>
    <row r="257" spans="1:38" s="88" customFormat="1">
      <c r="A257" s="124"/>
      <c r="B257" s="123"/>
      <c r="C257" s="123"/>
      <c r="D257" s="123"/>
      <c r="E257" s="123"/>
      <c r="F257" s="123"/>
      <c r="H257" s="103">
        <v>252</v>
      </c>
      <c r="I257" s="104" t="str">
        <f t="shared" si="17"/>
        <v/>
      </c>
      <c r="J257" s="104">
        <f t="shared" si="18"/>
        <v>-4</v>
      </c>
      <c r="K257" s="103">
        <f t="shared" si="19"/>
        <v>-40</v>
      </c>
      <c r="L257" s="103"/>
      <c r="M257" s="105">
        <f t="shared" si="20"/>
        <v>0</v>
      </c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</row>
    <row r="258" spans="1:38" s="88" customFormat="1">
      <c r="A258" s="124"/>
      <c r="B258" s="123"/>
      <c r="C258" s="123"/>
      <c r="D258" s="123"/>
      <c r="E258" s="123"/>
      <c r="F258" s="123"/>
      <c r="H258" s="103">
        <v>253</v>
      </c>
      <c r="I258" s="104" t="str">
        <f t="shared" si="17"/>
        <v/>
      </c>
      <c r="J258" s="104">
        <f t="shared" si="18"/>
        <v>-4</v>
      </c>
      <c r="K258" s="103">
        <f t="shared" si="19"/>
        <v>-40</v>
      </c>
      <c r="L258" s="103"/>
      <c r="M258" s="105">
        <f t="shared" si="20"/>
        <v>0</v>
      </c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</row>
    <row r="259" spans="1:38" s="88" customFormat="1">
      <c r="A259" s="124"/>
      <c r="B259" s="123"/>
      <c r="C259" s="123"/>
      <c r="D259" s="123"/>
      <c r="E259" s="123"/>
      <c r="F259" s="123"/>
      <c r="H259" s="103">
        <v>254</v>
      </c>
      <c r="I259" s="104" t="str">
        <f t="shared" si="17"/>
        <v/>
      </c>
      <c r="J259" s="104">
        <f t="shared" si="18"/>
        <v>-4</v>
      </c>
      <c r="K259" s="103">
        <f t="shared" si="19"/>
        <v>-40</v>
      </c>
      <c r="L259" s="103"/>
      <c r="M259" s="105">
        <f t="shared" si="20"/>
        <v>0</v>
      </c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</row>
    <row r="260" spans="1:38" s="88" customFormat="1">
      <c r="A260" s="124"/>
      <c r="B260" s="123"/>
      <c r="C260" s="123"/>
      <c r="D260" s="123"/>
      <c r="E260" s="123"/>
      <c r="F260" s="123"/>
      <c r="H260" s="103">
        <v>255</v>
      </c>
      <c r="I260" s="104" t="str">
        <f t="shared" si="17"/>
        <v/>
      </c>
      <c r="J260" s="104">
        <f t="shared" si="18"/>
        <v>-4</v>
      </c>
      <c r="K260" s="103">
        <f t="shared" si="19"/>
        <v>-40</v>
      </c>
      <c r="L260" s="103"/>
      <c r="M260" s="105">
        <f t="shared" si="20"/>
        <v>0</v>
      </c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</row>
    <row r="261" spans="1:38" s="88" customFormat="1">
      <c r="A261" s="124"/>
      <c r="B261" s="123"/>
      <c r="C261" s="123"/>
      <c r="D261" s="123"/>
      <c r="E261" s="123"/>
      <c r="F261" s="123"/>
      <c r="H261" s="103">
        <v>256</v>
      </c>
      <c r="I261" s="104" t="str">
        <f t="shared" si="17"/>
        <v/>
      </c>
      <c r="J261" s="104">
        <f t="shared" si="18"/>
        <v>-4</v>
      </c>
      <c r="K261" s="103">
        <f t="shared" si="19"/>
        <v>-40</v>
      </c>
      <c r="L261" s="103"/>
      <c r="M261" s="105">
        <f t="shared" si="20"/>
        <v>0</v>
      </c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</row>
    <row r="262" spans="1:38" s="88" customFormat="1">
      <c r="A262" s="124"/>
      <c r="B262" s="123"/>
      <c r="C262" s="123"/>
      <c r="D262" s="123"/>
      <c r="E262" s="123"/>
      <c r="F262" s="123"/>
      <c r="H262" s="103">
        <v>257</v>
      </c>
      <c r="I262" s="104" t="str">
        <f t="shared" ref="I262:I305" si="21">IF(H262&lt;$H$2+1,($I$2-($I$2-1)*(LOG(H262)/LOG($H$2))),"")</f>
        <v/>
      </c>
      <c r="J262" s="104">
        <f t="shared" ref="J262:J305" si="22">INT(LOG($H$2,2))-ROUNDUP(LOG(H262,2),0)+IF(OR($H$2=1,$H$2=2,$H$2=4,$H$2=8,$H$2=16,$H$2=32,$H$2=64,$H$2=128,$H$2=256),0,1)</f>
        <v>-5</v>
      </c>
      <c r="K262" s="103">
        <f t="shared" ref="K262:K305" si="23">J262*$J$2</f>
        <v>-50</v>
      </c>
      <c r="L262" s="103"/>
      <c r="M262" s="105">
        <f t="shared" ref="M262:M305" si="24">IF(I262&lt;&gt;"",K262+I262+L262,0)</f>
        <v>0</v>
      </c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</row>
    <row r="263" spans="1:38" s="88" customFormat="1">
      <c r="A263" s="124"/>
      <c r="B263" s="123"/>
      <c r="C263" s="123"/>
      <c r="D263" s="123"/>
      <c r="E263" s="123"/>
      <c r="F263" s="123"/>
      <c r="H263" s="103">
        <v>258</v>
      </c>
      <c r="I263" s="104" t="str">
        <f t="shared" si="21"/>
        <v/>
      </c>
      <c r="J263" s="104">
        <f t="shared" si="22"/>
        <v>-5</v>
      </c>
      <c r="K263" s="103">
        <f t="shared" si="23"/>
        <v>-50</v>
      </c>
      <c r="L263" s="103"/>
      <c r="M263" s="105">
        <f t="shared" si="24"/>
        <v>0</v>
      </c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</row>
    <row r="264" spans="1:38" s="88" customFormat="1">
      <c r="A264" s="124"/>
      <c r="B264" s="123"/>
      <c r="C264" s="123"/>
      <c r="D264" s="123"/>
      <c r="E264" s="123"/>
      <c r="F264" s="123"/>
      <c r="H264" s="103">
        <v>259</v>
      </c>
      <c r="I264" s="104" t="str">
        <f t="shared" si="21"/>
        <v/>
      </c>
      <c r="J264" s="104">
        <f t="shared" si="22"/>
        <v>-5</v>
      </c>
      <c r="K264" s="103">
        <f t="shared" si="23"/>
        <v>-50</v>
      </c>
      <c r="L264" s="103"/>
      <c r="M264" s="105">
        <f t="shared" si="24"/>
        <v>0</v>
      </c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</row>
    <row r="265" spans="1:38" s="88" customFormat="1">
      <c r="A265" s="124"/>
      <c r="B265" s="123"/>
      <c r="C265" s="123"/>
      <c r="D265" s="123"/>
      <c r="E265" s="123"/>
      <c r="F265" s="123"/>
      <c r="H265" s="103">
        <v>260</v>
      </c>
      <c r="I265" s="104" t="str">
        <f t="shared" si="21"/>
        <v/>
      </c>
      <c r="J265" s="104">
        <f t="shared" si="22"/>
        <v>-5</v>
      </c>
      <c r="K265" s="103">
        <f t="shared" si="23"/>
        <v>-50</v>
      </c>
      <c r="L265" s="103"/>
      <c r="M265" s="105">
        <f t="shared" si="24"/>
        <v>0</v>
      </c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</row>
    <row r="266" spans="1:38" s="88" customFormat="1">
      <c r="A266" s="124"/>
      <c r="B266" s="123"/>
      <c r="C266" s="123"/>
      <c r="D266" s="123"/>
      <c r="E266" s="123"/>
      <c r="F266" s="123"/>
      <c r="H266" s="103">
        <v>261</v>
      </c>
      <c r="I266" s="104" t="str">
        <f t="shared" si="21"/>
        <v/>
      </c>
      <c r="J266" s="104">
        <f t="shared" si="22"/>
        <v>-5</v>
      </c>
      <c r="K266" s="103">
        <f t="shared" si="23"/>
        <v>-50</v>
      </c>
      <c r="L266" s="103"/>
      <c r="M266" s="105">
        <f t="shared" si="24"/>
        <v>0</v>
      </c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</row>
    <row r="267" spans="1:38" s="88" customFormat="1">
      <c r="A267" s="124"/>
      <c r="B267" s="123"/>
      <c r="C267" s="123"/>
      <c r="D267" s="123"/>
      <c r="E267" s="123"/>
      <c r="F267" s="123"/>
      <c r="H267" s="103">
        <v>262</v>
      </c>
      <c r="I267" s="104" t="str">
        <f t="shared" si="21"/>
        <v/>
      </c>
      <c r="J267" s="104">
        <f t="shared" si="22"/>
        <v>-5</v>
      </c>
      <c r="K267" s="103">
        <f t="shared" si="23"/>
        <v>-50</v>
      </c>
      <c r="L267" s="103"/>
      <c r="M267" s="105">
        <f t="shared" si="24"/>
        <v>0</v>
      </c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</row>
    <row r="268" spans="1:38" s="88" customFormat="1">
      <c r="A268" s="124"/>
      <c r="B268" s="123"/>
      <c r="C268" s="123"/>
      <c r="D268" s="123"/>
      <c r="E268" s="123"/>
      <c r="F268" s="123"/>
      <c r="H268" s="103">
        <v>263</v>
      </c>
      <c r="I268" s="104" t="str">
        <f t="shared" si="21"/>
        <v/>
      </c>
      <c r="J268" s="104">
        <f t="shared" si="22"/>
        <v>-5</v>
      </c>
      <c r="K268" s="103">
        <f t="shared" si="23"/>
        <v>-50</v>
      </c>
      <c r="L268" s="103"/>
      <c r="M268" s="105">
        <f t="shared" si="24"/>
        <v>0</v>
      </c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</row>
    <row r="269" spans="1:38" s="88" customFormat="1">
      <c r="A269" s="124"/>
      <c r="B269" s="123"/>
      <c r="C269" s="123"/>
      <c r="D269" s="123"/>
      <c r="E269" s="123"/>
      <c r="F269" s="123"/>
      <c r="H269" s="103">
        <v>264</v>
      </c>
      <c r="I269" s="104" t="str">
        <f t="shared" si="21"/>
        <v/>
      </c>
      <c r="J269" s="104">
        <f t="shared" si="22"/>
        <v>-5</v>
      </c>
      <c r="K269" s="103">
        <f t="shared" si="23"/>
        <v>-50</v>
      </c>
      <c r="L269" s="103"/>
      <c r="M269" s="105">
        <f t="shared" si="24"/>
        <v>0</v>
      </c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</row>
    <row r="270" spans="1:38" s="88" customFormat="1">
      <c r="A270" s="124"/>
      <c r="B270" s="123"/>
      <c r="C270" s="123"/>
      <c r="D270" s="123"/>
      <c r="E270" s="123"/>
      <c r="F270" s="123"/>
      <c r="H270" s="103">
        <v>265</v>
      </c>
      <c r="I270" s="104" t="str">
        <f t="shared" si="21"/>
        <v/>
      </c>
      <c r="J270" s="104">
        <f t="shared" si="22"/>
        <v>-5</v>
      </c>
      <c r="K270" s="103">
        <f t="shared" si="23"/>
        <v>-50</v>
      </c>
      <c r="L270" s="103"/>
      <c r="M270" s="105">
        <f t="shared" si="24"/>
        <v>0</v>
      </c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</row>
    <row r="271" spans="1:38" s="88" customFormat="1">
      <c r="A271" s="124"/>
      <c r="B271" s="123"/>
      <c r="C271" s="123"/>
      <c r="D271" s="123"/>
      <c r="E271" s="123"/>
      <c r="F271" s="123"/>
      <c r="H271" s="103">
        <v>266</v>
      </c>
      <c r="I271" s="104" t="str">
        <f t="shared" si="21"/>
        <v/>
      </c>
      <c r="J271" s="104">
        <f t="shared" si="22"/>
        <v>-5</v>
      </c>
      <c r="K271" s="103">
        <f t="shared" si="23"/>
        <v>-50</v>
      </c>
      <c r="L271" s="103"/>
      <c r="M271" s="105">
        <f t="shared" si="24"/>
        <v>0</v>
      </c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</row>
    <row r="272" spans="1:38" s="88" customFormat="1">
      <c r="A272" s="124"/>
      <c r="B272" s="123"/>
      <c r="C272" s="123"/>
      <c r="D272" s="123"/>
      <c r="E272" s="123"/>
      <c r="F272" s="123"/>
      <c r="H272" s="103">
        <v>267</v>
      </c>
      <c r="I272" s="104" t="str">
        <f t="shared" si="21"/>
        <v/>
      </c>
      <c r="J272" s="104">
        <f t="shared" si="22"/>
        <v>-5</v>
      </c>
      <c r="K272" s="103">
        <f t="shared" si="23"/>
        <v>-50</v>
      </c>
      <c r="L272" s="103"/>
      <c r="M272" s="105">
        <f t="shared" si="24"/>
        <v>0</v>
      </c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</row>
    <row r="273" spans="1:38" s="88" customFormat="1">
      <c r="A273" s="124"/>
      <c r="B273" s="123"/>
      <c r="C273" s="123"/>
      <c r="D273" s="123"/>
      <c r="E273" s="123"/>
      <c r="F273" s="123"/>
      <c r="H273" s="103">
        <v>268</v>
      </c>
      <c r="I273" s="104" t="str">
        <f t="shared" si="21"/>
        <v/>
      </c>
      <c r="J273" s="104">
        <f t="shared" si="22"/>
        <v>-5</v>
      </c>
      <c r="K273" s="103">
        <f t="shared" si="23"/>
        <v>-50</v>
      </c>
      <c r="L273" s="103"/>
      <c r="M273" s="105">
        <f t="shared" si="24"/>
        <v>0</v>
      </c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</row>
    <row r="274" spans="1:38" s="88" customFormat="1">
      <c r="A274" s="124"/>
      <c r="B274" s="123"/>
      <c r="C274" s="123"/>
      <c r="D274" s="123"/>
      <c r="E274" s="123"/>
      <c r="F274" s="123"/>
      <c r="H274" s="103">
        <v>269</v>
      </c>
      <c r="I274" s="104" t="str">
        <f t="shared" si="21"/>
        <v/>
      </c>
      <c r="J274" s="104">
        <f t="shared" si="22"/>
        <v>-5</v>
      </c>
      <c r="K274" s="103">
        <f t="shared" si="23"/>
        <v>-50</v>
      </c>
      <c r="L274" s="103"/>
      <c r="M274" s="105">
        <f t="shared" si="24"/>
        <v>0</v>
      </c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</row>
    <row r="275" spans="1:38" s="88" customFormat="1">
      <c r="A275" s="124"/>
      <c r="B275" s="123"/>
      <c r="C275" s="123"/>
      <c r="D275" s="123"/>
      <c r="E275" s="123"/>
      <c r="F275" s="123"/>
      <c r="H275" s="103">
        <v>270</v>
      </c>
      <c r="I275" s="104" t="str">
        <f t="shared" si="21"/>
        <v/>
      </c>
      <c r="J275" s="104">
        <f t="shared" si="22"/>
        <v>-5</v>
      </c>
      <c r="K275" s="103">
        <f t="shared" si="23"/>
        <v>-50</v>
      </c>
      <c r="L275" s="103"/>
      <c r="M275" s="105">
        <f t="shared" si="24"/>
        <v>0</v>
      </c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</row>
    <row r="276" spans="1:38" s="88" customFormat="1">
      <c r="A276" s="124"/>
      <c r="B276" s="123"/>
      <c r="C276" s="123"/>
      <c r="D276" s="123"/>
      <c r="E276" s="123"/>
      <c r="F276" s="123"/>
      <c r="H276" s="103">
        <v>271</v>
      </c>
      <c r="I276" s="104" t="str">
        <f t="shared" si="21"/>
        <v/>
      </c>
      <c r="J276" s="104">
        <f t="shared" si="22"/>
        <v>-5</v>
      </c>
      <c r="K276" s="103">
        <f t="shared" si="23"/>
        <v>-50</v>
      </c>
      <c r="L276" s="103"/>
      <c r="M276" s="105">
        <f t="shared" si="24"/>
        <v>0</v>
      </c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</row>
    <row r="277" spans="1:38" s="88" customFormat="1">
      <c r="A277" s="124"/>
      <c r="B277" s="123"/>
      <c r="C277" s="123"/>
      <c r="D277" s="123"/>
      <c r="E277" s="123"/>
      <c r="F277" s="123"/>
      <c r="H277" s="103">
        <v>272</v>
      </c>
      <c r="I277" s="104" t="str">
        <f t="shared" si="21"/>
        <v/>
      </c>
      <c r="J277" s="104">
        <f t="shared" si="22"/>
        <v>-5</v>
      </c>
      <c r="K277" s="103">
        <f t="shared" si="23"/>
        <v>-50</v>
      </c>
      <c r="L277" s="103"/>
      <c r="M277" s="105">
        <f t="shared" si="24"/>
        <v>0</v>
      </c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</row>
    <row r="278" spans="1:38" s="88" customFormat="1">
      <c r="A278" s="124"/>
      <c r="B278" s="123"/>
      <c r="C278" s="123"/>
      <c r="D278" s="123"/>
      <c r="E278" s="123"/>
      <c r="F278" s="123"/>
      <c r="H278" s="103">
        <v>273</v>
      </c>
      <c r="I278" s="104" t="str">
        <f t="shared" si="21"/>
        <v/>
      </c>
      <c r="J278" s="104">
        <f t="shared" si="22"/>
        <v>-5</v>
      </c>
      <c r="K278" s="103">
        <f t="shared" si="23"/>
        <v>-50</v>
      </c>
      <c r="L278" s="103"/>
      <c r="M278" s="105">
        <f t="shared" si="24"/>
        <v>0</v>
      </c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</row>
    <row r="279" spans="1:38" s="88" customFormat="1">
      <c r="A279" s="124"/>
      <c r="B279" s="123"/>
      <c r="C279" s="123"/>
      <c r="D279" s="123"/>
      <c r="E279" s="123"/>
      <c r="F279" s="123"/>
      <c r="H279" s="103">
        <v>274</v>
      </c>
      <c r="I279" s="104" t="str">
        <f t="shared" si="21"/>
        <v/>
      </c>
      <c r="J279" s="104">
        <f t="shared" si="22"/>
        <v>-5</v>
      </c>
      <c r="K279" s="103">
        <f t="shared" si="23"/>
        <v>-50</v>
      </c>
      <c r="L279" s="103"/>
      <c r="M279" s="105">
        <f t="shared" si="24"/>
        <v>0</v>
      </c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</row>
    <row r="280" spans="1:38" s="88" customFormat="1">
      <c r="A280" s="124"/>
      <c r="B280" s="123"/>
      <c r="C280" s="123"/>
      <c r="D280" s="123"/>
      <c r="E280" s="123"/>
      <c r="F280" s="123"/>
      <c r="H280" s="103">
        <v>275</v>
      </c>
      <c r="I280" s="104" t="str">
        <f t="shared" si="21"/>
        <v/>
      </c>
      <c r="J280" s="104">
        <f t="shared" si="22"/>
        <v>-5</v>
      </c>
      <c r="K280" s="103">
        <f t="shared" si="23"/>
        <v>-50</v>
      </c>
      <c r="L280" s="103"/>
      <c r="M280" s="105">
        <f t="shared" si="24"/>
        <v>0</v>
      </c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</row>
    <row r="281" spans="1:38" s="88" customFormat="1">
      <c r="A281" s="124"/>
      <c r="B281" s="123"/>
      <c r="C281" s="123"/>
      <c r="D281" s="123"/>
      <c r="E281" s="123"/>
      <c r="F281" s="123"/>
      <c r="H281" s="103">
        <v>276</v>
      </c>
      <c r="I281" s="104" t="str">
        <f t="shared" si="21"/>
        <v/>
      </c>
      <c r="J281" s="104">
        <f t="shared" si="22"/>
        <v>-5</v>
      </c>
      <c r="K281" s="103">
        <f t="shared" si="23"/>
        <v>-50</v>
      </c>
      <c r="L281" s="103"/>
      <c r="M281" s="105">
        <f t="shared" si="24"/>
        <v>0</v>
      </c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</row>
    <row r="282" spans="1:38" s="88" customFormat="1">
      <c r="A282" s="124"/>
      <c r="B282" s="123"/>
      <c r="C282" s="123"/>
      <c r="D282" s="123"/>
      <c r="E282" s="123"/>
      <c r="F282" s="123"/>
      <c r="H282" s="103">
        <v>277</v>
      </c>
      <c r="I282" s="104" t="str">
        <f t="shared" si="21"/>
        <v/>
      </c>
      <c r="J282" s="104">
        <f t="shared" si="22"/>
        <v>-5</v>
      </c>
      <c r="K282" s="103">
        <f t="shared" si="23"/>
        <v>-50</v>
      </c>
      <c r="L282" s="103"/>
      <c r="M282" s="105">
        <f t="shared" si="24"/>
        <v>0</v>
      </c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</row>
    <row r="283" spans="1:38" s="88" customFormat="1">
      <c r="A283" s="124"/>
      <c r="B283" s="123"/>
      <c r="C283" s="123"/>
      <c r="D283" s="123"/>
      <c r="E283" s="123"/>
      <c r="F283" s="123"/>
      <c r="H283" s="103">
        <v>278</v>
      </c>
      <c r="I283" s="104" t="str">
        <f t="shared" si="21"/>
        <v/>
      </c>
      <c r="J283" s="104">
        <f t="shared" si="22"/>
        <v>-5</v>
      </c>
      <c r="K283" s="103">
        <f t="shared" si="23"/>
        <v>-50</v>
      </c>
      <c r="L283" s="103"/>
      <c r="M283" s="105">
        <f t="shared" si="24"/>
        <v>0</v>
      </c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</row>
    <row r="284" spans="1:38" s="88" customFormat="1">
      <c r="A284" s="124"/>
      <c r="B284" s="123"/>
      <c r="C284" s="123"/>
      <c r="D284" s="123"/>
      <c r="E284" s="123"/>
      <c r="F284" s="123"/>
      <c r="H284" s="103">
        <v>279</v>
      </c>
      <c r="I284" s="104" t="str">
        <f t="shared" si="21"/>
        <v/>
      </c>
      <c r="J284" s="104">
        <f t="shared" si="22"/>
        <v>-5</v>
      </c>
      <c r="K284" s="103">
        <f t="shared" si="23"/>
        <v>-50</v>
      </c>
      <c r="L284" s="103"/>
      <c r="M284" s="105">
        <f t="shared" si="24"/>
        <v>0</v>
      </c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</row>
    <row r="285" spans="1:38" s="88" customFormat="1">
      <c r="A285" s="124"/>
      <c r="B285" s="123"/>
      <c r="C285" s="123"/>
      <c r="D285" s="123"/>
      <c r="E285" s="123"/>
      <c r="F285" s="123"/>
      <c r="H285" s="103">
        <v>280</v>
      </c>
      <c r="I285" s="104" t="str">
        <f t="shared" si="21"/>
        <v/>
      </c>
      <c r="J285" s="104">
        <f t="shared" si="22"/>
        <v>-5</v>
      </c>
      <c r="K285" s="103">
        <f t="shared" si="23"/>
        <v>-50</v>
      </c>
      <c r="L285" s="103"/>
      <c r="M285" s="105">
        <f t="shared" si="24"/>
        <v>0</v>
      </c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</row>
    <row r="286" spans="1:38" s="88" customFormat="1">
      <c r="A286" s="124"/>
      <c r="B286" s="123"/>
      <c r="C286" s="123"/>
      <c r="D286" s="123"/>
      <c r="E286" s="123"/>
      <c r="F286" s="123"/>
      <c r="H286" s="103">
        <v>281</v>
      </c>
      <c r="I286" s="104" t="str">
        <f t="shared" si="21"/>
        <v/>
      </c>
      <c r="J286" s="104">
        <f t="shared" si="22"/>
        <v>-5</v>
      </c>
      <c r="K286" s="103">
        <f t="shared" si="23"/>
        <v>-50</v>
      </c>
      <c r="L286" s="103"/>
      <c r="M286" s="105">
        <f t="shared" si="24"/>
        <v>0</v>
      </c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</row>
    <row r="287" spans="1:38" s="88" customFormat="1">
      <c r="A287" s="124"/>
      <c r="B287" s="123"/>
      <c r="C287" s="123"/>
      <c r="D287" s="123"/>
      <c r="E287" s="123"/>
      <c r="F287" s="123"/>
      <c r="H287" s="103">
        <v>282</v>
      </c>
      <c r="I287" s="104" t="str">
        <f t="shared" si="21"/>
        <v/>
      </c>
      <c r="J287" s="104">
        <f t="shared" si="22"/>
        <v>-5</v>
      </c>
      <c r="K287" s="103">
        <f t="shared" si="23"/>
        <v>-50</v>
      </c>
      <c r="L287" s="103"/>
      <c r="M287" s="105">
        <f t="shared" si="24"/>
        <v>0</v>
      </c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</row>
    <row r="288" spans="1:38" s="88" customFormat="1">
      <c r="A288" s="124"/>
      <c r="B288" s="123"/>
      <c r="C288" s="123"/>
      <c r="D288" s="123"/>
      <c r="E288" s="123"/>
      <c r="F288" s="123"/>
      <c r="H288" s="103">
        <v>283</v>
      </c>
      <c r="I288" s="104" t="str">
        <f t="shared" si="21"/>
        <v/>
      </c>
      <c r="J288" s="104">
        <f t="shared" si="22"/>
        <v>-5</v>
      </c>
      <c r="K288" s="103">
        <f t="shared" si="23"/>
        <v>-50</v>
      </c>
      <c r="L288" s="103"/>
      <c r="M288" s="105">
        <f t="shared" si="24"/>
        <v>0</v>
      </c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</row>
    <row r="289" spans="1:38" s="88" customFormat="1">
      <c r="A289" s="124"/>
      <c r="B289" s="123"/>
      <c r="C289" s="123"/>
      <c r="D289" s="123"/>
      <c r="E289" s="123"/>
      <c r="F289" s="123"/>
      <c r="H289" s="103">
        <v>284</v>
      </c>
      <c r="I289" s="104" t="str">
        <f t="shared" si="21"/>
        <v/>
      </c>
      <c r="J289" s="104">
        <f t="shared" si="22"/>
        <v>-5</v>
      </c>
      <c r="K289" s="103">
        <f t="shared" si="23"/>
        <v>-50</v>
      </c>
      <c r="L289" s="103"/>
      <c r="M289" s="105">
        <f t="shared" si="24"/>
        <v>0</v>
      </c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</row>
    <row r="290" spans="1:38" s="88" customFormat="1">
      <c r="A290" s="124"/>
      <c r="B290" s="123"/>
      <c r="C290" s="123"/>
      <c r="D290" s="123"/>
      <c r="E290" s="123"/>
      <c r="F290" s="123"/>
      <c r="H290" s="103">
        <v>285</v>
      </c>
      <c r="I290" s="104" t="str">
        <f t="shared" si="21"/>
        <v/>
      </c>
      <c r="J290" s="104">
        <f t="shared" si="22"/>
        <v>-5</v>
      </c>
      <c r="K290" s="103">
        <f t="shared" si="23"/>
        <v>-50</v>
      </c>
      <c r="L290" s="103"/>
      <c r="M290" s="105">
        <f t="shared" si="24"/>
        <v>0</v>
      </c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</row>
    <row r="291" spans="1:38" s="88" customFormat="1">
      <c r="A291" s="124"/>
      <c r="B291" s="123"/>
      <c r="C291" s="123"/>
      <c r="D291" s="123"/>
      <c r="E291" s="123"/>
      <c r="F291" s="123"/>
      <c r="H291" s="103">
        <v>286</v>
      </c>
      <c r="I291" s="104" t="str">
        <f t="shared" si="21"/>
        <v/>
      </c>
      <c r="J291" s="104">
        <f t="shared" si="22"/>
        <v>-5</v>
      </c>
      <c r="K291" s="103">
        <f t="shared" si="23"/>
        <v>-50</v>
      </c>
      <c r="L291" s="103"/>
      <c r="M291" s="105">
        <f t="shared" si="24"/>
        <v>0</v>
      </c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</row>
    <row r="292" spans="1:38" s="88" customFormat="1">
      <c r="A292" s="124"/>
      <c r="B292" s="123"/>
      <c r="C292" s="123"/>
      <c r="D292" s="123"/>
      <c r="E292" s="123"/>
      <c r="F292" s="123"/>
      <c r="H292" s="103">
        <v>287</v>
      </c>
      <c r="I292" s="104" t="str">
        <f t="shared" si="21"/>
        <v/>
      </c>
      <c r="J292" s="104">
        <f t="shared" si="22"/>
        <v>-5</v>
      </c>
      <c r="K292" s="103">
        <f t="shared" si="23"/>
        <v>-50</v>
      </c>
      <c r="L292" s="103"/>
      <c r="M292" s="105">
        <f t="shared" si="24"/>
        <v>0</v>
      </c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</row>
    <row r="293" spans="1:38" s="88" customFormat="1">
      <c r="A293" s="124"/>
      <c r="B293" s="123"/>
      <c r="C293" s="123"/>
      <c r="D293" s="123"/>
      <c r="E293" s="123"/>
      <c r="F293" s="123"/>
      <c r="H293" s="103">
        <v>288</v>
      </c>
      <c r="I293" s="104" t="str">
        <f t="shared" si="21"/>
        <v/>
      </c>
      <c r="J293" s="104">
        <f t="shared" si="22"/>
        <v>-5</v>
      </c>
      <c r="K293" s="103">
        <f t="shared" si="23"/>
        <v>-50</v>
      </c>
      <c r="L293" s="103"/>
      <c r="M293" s="105">
        <f t="shared" si="24"/>
        <v>0</v>
      </c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</row>
    <row r="294" spans="1:38" s="88" customFormat="1">
      <c r="A294" s="124"/>
      <c r="B294" s="123"/>
      <c r="C294" s="123"/>
      <c r="D294" s="123"/>
      <c r="E294" s="123"/>
      <c r="F294" s="123"/>
      <c r="H294" s="103">
        <v>289</v>
      </c>
      <c r="I294" s="104" t="str">
        <f t="shared" si="21"/>
        <v/>
      </c>
      <c r="J294" s="104">
        <f t="shared" si="22"/>
        <v>-5</v>
      </c>
      <c r="K294" s="103">
        <f t="shared" si="23"/>
        <v>-50</v>
      </c>
      <c r="L294" s="103"/>
      <c r="M294" s="105">
        <f t="shared" si="24"/>
        <v>0</v>
      </c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</row>
    <row r="295" spans="1:38" s="88" customFormat="1">
      <c r="A295" s="124"/>
      <c r="B295" s="123"/>
      <c r="C295" s="123"/>
      <c r="D295" s="123"/>
      <c r="E295" s="123"/>
      <c r="F295" s="123"/>
      <c r="H295" s="103">
        <v>290</v>
      </c>
      <c r="I295" s="104" t="str">
        <f t="shared" si="21"/>
        <v/>
      </c>
      <c r="J295" s="104">
        <f t="shared" si="22"/>
        <v>-5</v>
      </c>
      <c r="K295" s="103">
        <f t="shared" si="23"/>
        <v>-50</v>
      </c>
      <c r="L295" s="103"/>
      <c r="M295" s="105">
        <f t="shared" si="24"/>
        <v>0</v>
      </c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</row>
    <row r="296" spans="1:38" s="88" customFormat="1">
      <c r="A296" s="124"/>
      <c r="B296" s="123"/>
      <c r="C296" s="123"/>
      <c r="D296" s="123"/>
      <c r="E296" s="123"/>
      <c r="F296" s="123"/>
      <c r="H296" s="103">
        <v>291</v>
      </c>
      <c r="I296" s="104" t="str">
        <f t="shared" si="21"/>
        <v/>
      </c>
      <c r="J296" s="104">
        <f t="shared" si="22"/>
        <v>-5</v>
      </c>
      <c r="K296" s="103">
        <f t="shared" si="23"/>
        <v>-50</v>
      </c>
      <c r="L296" s="103"/>
      <c r="M296" s="105">
        <f t="shared" si="24"/>
        <v>0</v>
      </c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</row>
    <row r="297" spans="1:38" s="88" customFormat="1">
      <c r="A297" s="124"/>
      <c r="B297" s="123"/>
      <c r="C297" s="123"/>
      <c r="D297" s="123"/>
      <c r="E297" s="123"/>
      <c r="F297" s="123"/>
      <c r="H297" s="103">
        <v>292</v>
      </c>
      <c r="I297" s="104" t="str">
        <f t="shared" si="21"/>
        <v/>
      </c>
      <c r="J297" s="104">
        <f t="shared" si="22"/>
        <v>-5</v>
      </c>
      <c r="K297" s="103">
        <f t="shared" si="23"/>
        <v>-50</v>
      </c>
      <c r="L297" s="103"/>
      <c r="M297" s="105">
        <f t="shared" si="24"/>
        <v>0</v>
      </c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</row>
    <row r="298" spans="1:38" s="88" customFormat="1">
      <c r="A298" s="124"/>
      <c r="B298" s="123"/>
      <c r="C298" s="123"/>
      <c r="D298" s="123"/>
      <c r="E298" s="123"/>
      <c r="F298" s="123"/>
      <c r="H298" s="103">
        <v>293</v>
      </c>
      <c r="I298" s="104" t="str">
        <f t="shared" si="21"/>
        <v/>
      </c>
      <c r="J298" s="104">
        <f t="shared" si="22"/>
        <v>-5</v>
      </c>
      <c r="K298" s="103">
        <f t="shared" si="23"/>
        <v>-50</v>
      </c>
      <c r="L298" s="103"/>
      <c r="M298" s="105">
        <f t="shared" si="24"/>
        <v>0</v>
      </c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</row>
    <row r="299" spans="1:38" s="88" customFormat="1">
      <c r="A299" s="124"/>
      <c r="B299" s="123"/>
      <c r="C299" s="123"/>
      <c r="D299" s="123"/>
      <c r="E299" s="123"/>
      <c r="F299" s="123"/>
      <c r="H299" s="103">
        <v>294</v>
      </c>
      <c r="I299" s="104" t="str">
        <f t="shared" si="21"/>
        <v/>
      </c>
      <c r="J299" s="104">
        <f t="shared" si="22"/>
        <v>-5</v>
      </c>
      <c r="K299" s="103">
        <f t="shared" si="23"/>
        <v>-50</v>
      </c>
      <c r="L299" s="103"/>
      <c r="M299" s="105">
        <f t="shared" si="24"/>
        <v>0</v>
      </c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</row>
    <row r="300" spans="1:38" s="88" customFormat="1">
      <c r="A300" s="124"/>
      <c r="B300" s="123"/>
      <c r="C300" s="123"/>
      <c r="D300" s="123"/>
      <c r="E300" s="123"/>
      <c r="F300" s="123"/>
      <c r="H300" s="103">
        <v>295</v>
      </c>
      <c r="I300" s="104" t="str">
        <f t="shared" si="21"/>
        <v/>
      </c>
      <c r="J300" s="104">
        <f t="shared" si="22"/>
        <v>-5</v>
      </c>
      <c r="K300" s="103">
        <f t="shared" si="23"/>
        <v>-50</v>
      </c>
      <c r="L300" s="103"/>
      <c r="M300" s="105">
        <f t="shared" si="24"/>
        <v>0</v>
      </c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</row>
    <row r="301" spans="1:38" s="88" customFormat="1">
      <c r="A301" s="124"/>
      <c r="B301" s="123"/>
      <c r="C301" s="123"/>
      <c r="D301" s="123"/>
      <c r="E301" s="123"/>
      <c r="F301" s="123"/>
      <c r="H301" s="103">
        <v>296</v>
      </c>
      <c r="I301" s="104" t="str">
        <f t="shared" si="21"/>
        <v/>
      </c>
      <c r="J301" s="104">
        <f t="shared" si="22"/>
        <v>-5</v>
      </c>
      <c r="K301" s="103">
        <f t="shared" si="23"/>
        <v>-50</v>
      </c>
      <c r="L301" s="103"/>
      <c r="M301" s="105">
        <f t="shared" si="24"/>
        <v>0</v>
      </c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</row>
    <row r="302" spans="1:38" s="88" customFormat="1">
      <c r="A302" s="124"/>
      <c r="B302" s="123"/>
      <c r="C302" s="123"/>
      <c r="D302" s="123"/>
      <c r="E302" s="123"/>
      <c r="F302" s="123"/>
      <c r="H302" s="103">
        <v>297</v>
      </c>
      <c r="I302" s="104" t="str">
        <f t="shared" si="21"/>
        <v/>
      </c>
      <c r="J302" s="104">
        <f t="shared" si="22"/>
        <v>-5</v>
      </c>
      <c r="K302" s="103">
        <f t="shared" si="23"/>
        <v>-50</v>
      </c>
      <c r="L302" s="103"/>
      <c r="M302" s="105">
        <f t="shared" si="24"/>
        <v>0</v>
      </c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</row>
    <row r="303" spans="1:38" s="88" customFormat="1">
      <c r="A303" s="124"/>
      <c r="B303" s="123"/>
      <c r="C303" s="123"/>
      <c r="D303" s="123"/>
      <c r="E303" s="123"/>
      <c r="F303" s="123"/>
      <c r="H303" s="103">
        <v>298</v>
      </c>
      <c r="I303" s="104" t="str">
        <f t="shared" si="21"/>
        <v/>
      </c>
      <c r="J303" s="104">
        <f t="shared" si="22"/>
        <v>-5</v>
      </c>
      <c r="K303" s="103">
        <f t="shared" si="23"/>
        <v>-50</v>
      </c>
      <c r="L303" s="103"/>
      <c r="M303" s="105">
        <f t="shared" si="24"/>
        <v>0</v>
      </c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</row>
    <row r="304" spans="1:38" s="88" customFormat="1">
      <c r="A304" s="124"/>
      <c r="B304" s="123"/>
      <c r="C304" s="123"/>
      <c r="D304" s="123"/>
      <c r="E304" s="123"/>
      <c r="F304" s="123"/>
      <c r="H304" s="103">
        <v>299</v>
      </c>
      <c r="I304" s="104" t="str">
        <f t="shared" si="21"/>
        <v/>
      </c>
      <c r="J304" s="104">
        <f t="shared" si="22"/>
        <v>-5</v>
      </c>
      <c r="K304" s="103">
        <f t="shared" si="23"/>
        <v>-50</v>
      </c>
      <c r="L304" s="103"/>
      <c r="M304" s="105">
        <f t="shared" si="24"/>
        <v>0</v>
      </c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</row>
    <row r="305" spans="1:38" s="88" customFormat="1">
      <c r="A305" s="124"/>
      <c r="B305" s="123"/>
      <c r="C305" s="123"/>
      <c r="D305" s="123"/>
      <c r="E305" s="123"/>
      <c r="F305" s="123"/>
      <c r="H305" s="103">
        <v>300</v>
      </c>
      <c r="I305" s="104" t="str">
        <f t="shared" si="21"/>
        <v/>
      </c>
      <c r="J305" s="104">
        <f t="shared" si="22"/>
        <v>-5</v>
      </c>
      <c r="K305" s="103">
        <f t="shared" si="23"/>
        <v>-50</v>
      </c>
      <c r="L305" s="103"/>
      <c r="M305" s="105">
        <f t="shared" si="24"/>
        <v>0</v>
      </c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</row>
    <row r="306" spans="1:38" s="88" customFormat="1">
      <c r="A306" s="125"/>
      <c r="B306" s="123"/>
      <c r="C306" s="123"/>
      <c r="D306" s="123"/>
      <c r="E306" s="123"/>
      <c r="F306" s="123"/>
      <c r="G306" s="123"/>
      <c r="H306" s="126"/>
      <c r="I306" s="126"/>
      <c r="J306" s="126"/>
      <c r="K306" s="126"/>
      <c r="L306" s="126"/>
      <c r="M306" s="127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</row>
    <row r="314" spans="1:38" s="88" customFormat="1">
      <c r="A314" s="123"/>
      <c r="B314" s="123"/>
      <c r="C314" s="123"/>
      <c r="D314" s="123"/>
      <c r="E314" s="123"/>
      <c r="F314" s="123"/>
      <c r="G314" s="123"/>
      <c r="H314" s="126"/>
      <c r="I314" s="126"/>
      <c r="J314" s="126"/>
      <c r="K314" s="126"/>
      <c r="L314" s="128"/>
      <c r="M314" s="127"/>
      <c r="P314" s="115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</row>
    <row r="315" spans="1:38" s="88" customFormat="1">
      <c r="A315" s="123"/>
      <c r="B315" s="123"/>
      <c r="C315" s="123"/>
      <c r="D315" s="123"/>
      <c r="E315" s="123"/>
      <c r="F315" s="123"/>
      <c r="G315" s="123"/>
      <c r="H315" s="126"/>
      <c r="I315" s="126"/>
      <c r="J315" s="126"/>
      <c r="K315" s="126"/>
      <c r="L315" s="128"/>
      <c r="M315" s="127"/>
      <c r="P315" s="115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</row>
    <row r="316" spans="1:38" s="88" customFormat="1">
      <c r="A316" s="123"/>
      <c r="B316" s="123"/>
      <c r="C316" s="123"/>
      <c r="D316" s="123"/>
      <c r="E316" s="123"/>
      <c r="F316" s="123"/>
      <c r="G316" s="123"/>
      <c r="H316" s="126"/>
      <c r="I316" s="126"/>
      <c r="J316" s="126"/>
      <c r="K316" s="126"/>
      <c r="L316" s="128"/>
      <c r="M316" s="127"/>
      <c r="P316" s="115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</row>
    <row r="317" spans="1:38" s="88" customFormat="1">
      <c r="A317" s="123"/>
      <c r="B317" s="123"/>
      <c r="C317" s="123"/>
      <c r="D317" s="123"/>
      <c r="E317" s="123"/>
      <c r="F317" s="123"/>
      <c r="G317" s="123"/>
      <c r="H317" s="126"/>
      <c r="I317" s="126"/>
      <c r="J317" s="126"/>
      <c r="K317" s="126"/>
      <c r="L317" s="128"/>
      <c r="M317" s="127"/>
      <c r="P317" s="115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</row>
  </sheetData>
  <mergeCells count="2">
    <mergeCell ref="C2:D2"/>
    <mergeCell ref="C3:D3"/>
  </mergeCells>
  <conditionalFormatting sqref="J9:K9">
    <cfRule type="cellIs" dxfId="11" priority="1" operator="lessThanOrEqual">
      <formula>0</formula>
    </cfRule>
  </conditionalFormatting>
  <conditionalFormatting sqref="K6:K8 K10:K305">
    <cfRule type="cellIs" dxfId="10" priority="2" operator="lessThanOrEqual">
      <formula>0</formula>
    </cfRule>
  </conditionalFormatting>
  <hyperlinks>
    <hyperlink ref="C2:D2" r:id="rId1" display="Munich" xr:uid="{95DFCA6C-CA96-49EC-91D7-3617D7AB0FFE}"/>
  </hyperlinks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1F8B9-4624-4B95-A081-5B8BD6564957}">
  <sheetPr>
    <tabColor rgb="FF92D050"/>
  </sheetPr>
  <dimension ref="A1:AL317"/>
  <sheetViews>
    <sheetView workbookViewId="0">
      <selection activeCell="C21" sqref="C21"/>
    </sheetView>
  </sheetViews>
  <sheetFormatPr defaultColWidth="8.85546875" defaultRowHeight="14.25"/>
  <cols>
    <col min="1" max="1" width="8" style="203" customWidth="1"/>
    <col min="2" max="2" width="8.28515625" style="203" customWidth="1"/>
    <col min="3" max="3" width="34.7109375" style="203" customWidth="1"/>
    <col min="4" max="4" width="11.28515625" style="203" customWidth="1"/>
    <col min="5" max="6" width="8.85546875" style="203"/>
    <col min="7" max="7" width="0.85546875" style="203" customWidth="1"/>
    <col min="8" max="8" width="8.85546875" style="206"/>
    <col min="9" max="9" width="11" style="206" customWidth="1"/>
    <col min="10" max="10" width="15" style="206" customWidth="1"/>
    <col min="11" max="11" width="8.7109375" style="206" customWidth="1"/>
    <col min="12" max="12" width="11" style="206" customWidth="1"/>
    <col min="13" max="13" width="11.7109375" style="207" customWidth="1"/>
    <col min="14" max="15" width="13.85546875" style="175" customWidth="1"/>
    <col min="16" max="18" width="8.85546875" style="175"/>
    <col min="19" max="20" width="8.85546875" style="180"/>
    <col min="21" max="21" width="12.140625" style="180" customWidth="1"/>
    <col min="22" max="22" width="27.42578125" style="180" customWidth="1"/>
    <col min="23" max="38" width="8.85546875" style="180"/>
    <col min="39" max="16384" width="8.85546875" style="203"/>
  </cols>
  <sheetData>
    <row r="1" spans="1:36">
      <c r="A1" s="175"/>
      <c r="B1" s="175"/>
      <c r="C1" s="175"/>
      <c r="D1" s="175"/>
      <c r="E1" s="175"/>
      <c r="F1" s="175"/>
      <c r="G1" s="175"/>
      <c r="H1" s="176" t="s">
        <v>34</v>
      </c>
      <c r="I1" s="177" t="s">
        <v>35</v>
      </c>
      <c r="J1" s="177" t="s">
        <v>36</v>
      </c>
      <c r="K1" s="178" t="s">
        <v>131</v>
      </c>
      <c r="L1" s="179"/>
      <c r="M1" s="179"/>
    </row>
    <row r="2" spans="1:36">
      <c r="A2" s="175"/>
      <c r="B2" s="21" t="s">
        <v>38</v>
      </c>
      <c r="C2" s="306" t="s">
        <v>136</v>
      </c>
      <c r="D2" s="306"/>
      <c r="E2" s="22"/>
      <c r="F2" s="22"/>
      <c r="G2" s="22"/>
      <c r="H2" s="181">
        <v>16</v>
      </c>
      <c r="I2" s="182">
        <v>50</v>
      </c>
      <c r="J2" s="182">
        <v>10</v>
      </c>
      <c r="K2" s="183">
        <f>3*H2^(1/3)</f>
        <v>7.5595262993692378</v>
      </c>
      <c r="L2" s="179"/>
      <c r="M2" s="179"/>
    </row>
    <row r="3" spans="1:36" ht="14.45" customHeight="1">
      <c r="A3" s="175"/>
      <c r="B3" s="184" t="s">
        <v>40</v>
      </c>
      <c r="C3" s="285" t="s">
        <v>147</v>
      </c>
      <c r="D3" s="285"/>
      <c r="E3" s="27"/>
      <c r="F3" s="27"/>
      <c r="G3" s="27"/>
      <c r="H3" s="179"/>
      <c r="I3" s="179"/>
      <c r="J3" s="179"/>
      <c r="K3" s="179"/>
      <c r="L3" s="179"/>
      <c r="M3" s="179"/>
    </row>
    <row r="4" spans="1:36" ht="10.15" customHeight="1">
      <c r="A4" s="29"/>
      <c r="B4" s="27"/>
      <c r="C4" s="29"/>
      <c r="D4" s="29"/>
      <c r="E4" s="29"/>
      <c r="F4" s="29"/>
      <c r="G4" s="29"/>
      <c r="H4" s="179"/>
      <c r="I4" s="179"/>
      <c r="J4" s="179"/>
      <c r="K4" s="179"/>
      <c r="L4" s="179"/>
      <c r="M4" s="179"/>
    </row>
    <row r="5" spans="1:36" ht="34.700000000000003">
      <c r="A5" s="1" t="s">
        <v>42</v>
      </c>
      <c r="B5" s="30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9"/>
      <c r="H5" s="185" t="s">
        <v>48</v>
      </c>
      <c r="I5" s="186" t="s">
        <v>49</v>
      </c>
      <c r="J5" s="186" t="s">
        <v>50</v>
      </c>
      <c r="K5" s="186" t="s">
        <v>51</v>
      </c>
      <c r="L5" s="186" t="s">
        <v>52</v>
      </c>
      <c r="M5" s="185" t="s">
        <v>53</v>
      </c>
    </row>
    <row r="6" spans="1:36" ht="14.45" customHeight="1">
      <c r="A6" s="102">
        <f>M6</f>
        <v>112.67857889810772</v>
      </c>
      <c r="B6" s="35">
        <f t="shared" ref="B6:B65" si="0">IF(H6&gt;$H$2,"",(ROW()-5))</f>
        <v>1</v>
      </c>
      <c r="C6" s="36" t="s">
        <v>19</v>
      </c>
      <c r="D6" s="36"/>
      <c r="E6" s="36"/>
      <c r="F6" s="36"/>
      <c r="G6" s="29"/>
      <c r="H6" s="187">
        <v>1</v>
      </c>
      <c r="I6" s="188">
        <f t="shared" ref="I6:I69" si="1">IF(H6&lt;$H$2+1,($I$2-($I$2-1)*(LOG(H6)/LOG($H$2))),"")</f>
        <v>50</v>
      </c>
      <c r="J6" s="188">
        <f>INT(LOG($H$2,2))-ROUNDUP(LOG(H6,2),0)+IF(OR($H$2=1,$H$2=2,$H$2=4,$H$2=8,$H$2=16,$H$2=32,$H$2=64,$H$2=128,$H$2=256),0,1)</f>
        <v>4</v>
      </c>
      <c r="K6" s="187">
        <f t="shared" ref="K6:K69" si="2">J6*$J$2</f>
        <v>40</v>
      </c>
      <c r="L6" s="189">
        <f>3*K2</f>
        <v>22.678578898107713</v>
      </c>
      <c r="M6" s="189">
        <f t="shared" ref="M6:M69" si="3">IF(I6&lt;&gt;"",K6+I6+L6,0)</f>
        <v>112.67857889810772</v>
      </c>
    </row>
    <row r="7" spans="1:36" ht="14.45" customHeight="1">
      <c r="A7" s="106">
        <f t="shared" ref="A7:A70" si="4">M7</f>
        <v>82.869052598738477</v>
      </c>
      <c r="B7" s="41">
        <f t="shared" si="0"/>
        <v>2</v>
      </c>
      <c r="C7" s="42" t="s">
        <v>57</v>
      </c>
      <c r="D7" s="42"/>
      <c r="E7" s="42"/>
      <c r="F7" s="42"/>
      <c r="G7" s="29"/>
      <c r="H7" s="190">
        <v>2</v>
      </c>
      <c r="I7" s="191">
        <f t="shared" si="1"/>
        <v>37.75</v>
      </c>
      <c r="J7" s="191">
        <f t="shared" ref="J7:J70" si="5">INT(LOG($H$2,2))-ROUNDUP(LOG(H7,2),0)+IF(OR($H$2=1,$H$2=2,$H$2=4,$H$2=8,$H$2=16,$H$2=32,$H$2=64,$H$2=128,$H$2=256),0,1)</f>
        <v>3</v>
      </c>
      <c r="K7" s="190">
        <f t="shared" si="2"/>
        <v>30</v>
      </c>
      <c r="L7" s="192">
        <f>2*K2</f>
        <v>15.119052598738476</v>
      </c>
      <c r="M7" s="192">
        <f t="shared" si="3"/>
        <v>82.869052598738477</v>
      </c>
    </row>
    <row r="8" spans="1:36" ht="14.45" customHeight="1">
      <c r="A8" s="102">
        <f t="shared" si="4"/>
        <v>58.143735665535075</v>
      </c>
      <c r="B8" s="35">
        <f t="shared" si="0"/>
        <v>3</v>
      </c>
      <c r="C8" s="36" t="s">
        <v>57</v>
      </c>
      <c r="D8" s="36"/>
      <c r="E8" s="36"/>
      <c r="F8" s="36"/>
      <c r="G8" s="29"/>
      <c r="H8" s="187">
        <v>3</v>
      </c>
      <c r="I8" s="188">
        <f t="shared" si="1"/>
        <v>30.584209366165837</v>
      </c>
      <c r="J8" s="188">
        <f t="shared" si="5"/>
        <v>2</v>
      </c>
      <c r="K8" s="187">
        <f t="shared" si="2"/>
        <v>20</v>
      </c>
      <c r="L8" s="189">
        <f>K2</f>
        <v>7.5595262993692378</v>
      </c>
      <c r="M8" s="189">
        <f t="shared" si="3"/>
        <v>58.143735665535075</v>
      </c>
    </row>
    <row r="9" spans="1:36" s="180" customFormat="1" ht="14.45" customHeight="1">
      <c r="A9" s="106">
        <f t="shared" si="4"/>
        <v>58.143735665535075</v>
      </c>
      <c r="B9" s="41">
        <f>IF(H9&gt;$H$2,"",3)</f>
        <v>3</v>
      </c>
      <c r="C9" s="42" t="s">
        <v>57</v>
      </c>
      <c r="D9" s="42"/>
      <c r="E9" s="42"/>
      <c r="F9" s="42"/>
      <c r="G9" s="29"/>
      <c r="H9" s="190">
        <v>3</v>
      </c>
      <c r="I9" s="191">
        <f t="shared" si="1"/>
        <v>30.584209366165837</v>
      </c>
      <c r="J9" s="190">
        <f t="shared" si="5"/>
        <v>2</v>
      </c>
      <c r="K9" s="190">
        <f t="shared" si="2"/>
        <v>20</v>
      </c>
      <c r="L9" s="192">
        <f>K2</f>
        <v>7.5595262993692378</v>
      </c>
      <c r="M9" s="192">
        <f t="shared" si="3"/>
        <v>58.143735665535075</v>
      </c>
      <c r="N9" s="175"/>
      <c r="O9" s="175"/>
      <c r="P9" s="175"/>
      <c r="Q9" s="175"/>
      <c r="R9" s="175"/>
      <c r="V9" s="193"/>
      <c r="Z9" s="194"/>
      <c r="AA9" s="194"/>
      <c r="AG9" s="195"/>
      <c r="AH9" s="180" t="s">
        <v>57</v>
      </c>
      <c r="AI9" s="180">
        <v>23</v>
      </c>
    </row>
    <row r="10" spans="1:36" ht="14.45" customHeight="1">
      <c r="A10" s="102">
        <f t="shared" ref="A10" si="6">M10</f>
        <v>31.556380837629806</v>
      </c>
      <c r="B10" s="35">
        <f t="shared" ref="B10" si="7">IF(H10&gt;$H$2,"",(ROW()-5))</f>
        <v>5</v>
      </c>
      <c r="C10" s="36" t="s">
        <v>57</v>
      </c>
      <c r="D10" s="36"/>
      <c r="E10" s="36"/>
      <c r="F10" s="36"/>
      <c r="G10" s="29"/>
      <c r="H10" s="187">
        <v>5</v>
      </c>
      <c r="I10" s="188">
        <f t="shared" si="1"/>
        <v>21.556380837629806</v>
      </c>
      <c r="J10" s="188">
        <f t="shared" si="5"/>
        <v>1</v>
      </c>
      <c r="K10" s="187">
        <f t="shared" si="2"/>
        <v>10</v>
      </c>
      <c r="L10" s="187"/>
      <c r="M10" s="189">
        <f t="shared" si="3"/>
        <v>31.556380837629806</v>
      </c>
      <c r="V10" s="193"/>
      <c r="Z10" s="194"/>
      <c r="AA10" s="194"/>
      <c r="AG10" s="195"/>
      <c r="AH10" s="180" t="s">
        <v>58</v>
      </c>
      <c r="AI10" s="180">
        <v>45</v>
      </c>
    </row>
    <row r="11" spans="1:36" ht="14.45" customHeight="1">
      <c r="A11" s="106">
        <f t="shared" si="4"/>
        <v>28.334209366165837</v>
      </c>
      <c r="B11" s="41">
        <f t="shared" si="0"/>
        <v>6</v>
      </c>
      <c r="C11" s="42" t="s">
        <v>57</v>
      </c>
      <c r="D11" s="42"/>
      <c r="E11" s="42"/>
      <c r="F11" s="42"/>
      <c r="G11" s="29"/>
      <c r="H11" s="190">
        <v>6</v>
      </c>
      <c r="I11" s="191">
        <f t="shared" si="1"/>
        <v>18.334209366165837</v>
      </c>
      <c r="J11" s="191">
        <f t="shared" si="5"/>
        <v>1</v>
      </c>
      <c r="K11" s="190">
        <f t="shared" si="2"/>
        <v>10</v>
      </c>
      <c r="L11" s="190"/>
      <c r="M11" s="192">
        <f t="shared" si="3"/>
        <v>28.334209366165837</v>
      </c>
      <c r="V11" s="196"/>
      <c r="Z11" s="194"/>
      <c r="AA11" s="194"/>
      <c r="AG11" s="195"/>
      <c r="AH11" s="180" t="s">
        <v>60</v>
      </c>
      <c r="AI11" s="180">
        <v>50</v>
      </c>
    </row>
    <row r="12" spans="1:36" ht="14.45" customHeight="1">
      <c r="A12" s="102">
        <f t="shared" si="4"/>
        <v>25.609902204794352</v>
      </c>
      <c r="B12" s="35">
        <f t="shared" si="0"/>
        <v>7</v>
      </c>
      <c r="C12" s="36" t="s">
        <v>57</v>
      </c>
      <c r="D12" s="36"/>
      <c r="E12" s="36"/>
      <c r="F12" s="36"/>
      <c r="G12" s="29"/>
      <c r="H12" s="187">
        <v>7</v>
      </c>
      <c r="I12" s="188">
        <f t="shared" si="1"/>
        <v>15.609902204794352</v>
      </c>
      <c r="J12" s="188">
        <f t="shared" si="5"/>
        <v>1</v>
      </c>
      <c r="K12" s="187">
        <f t="shared" si="2"/>
        <v>10</v>
      </c>
      <c r="L12" s="187"/>
      <c r="M12" s="189">
        <f t="shared" si="3"/>
        <v>25.609902204794352</v>
      </c>
      <c r="Z12" s="194"/>
      <c r="AA12" s="194"/>
      <c r="AG12" s="195"/>
      <c r="AH12" s="180" t="s">
        <v>61</v>
      </c>
      <c r="AI12" s="180">
        <f>AI11-1</f>
        <v>49</v>
      </c>
    </row>
    <row r="13" spans="1:36" ht="14.45" customHeight="1">
      <c r="A13" s="106">
        <f t="shared" si="4"/>
        <v>23.25</v>
      </c>
      <c r="B13" s="41">
        <f t="shared" si="0"/>
        <v>8</v>
      </c>
      <c r="C13" s="42" t="s">
        <v>57</v>
      </c>
      <c r="D13" s="42"/>
      <c r="E13" s="42"/>
      <c r="F13" s="42"/>
      <c r="G13" s="29"/>
      <c r="H13" s="190">
        <v>8</v>
      </c>
      <c r="I13" s="191">
        <f t="shared" si="1"/>
        <v>13.25</v>
      </c>
      <c r="J13" s="191">
        <f t="shared" si="5"/>
        <v>1</v>
      </c>
      <c r="K13" s="190">
        <f t="shared" si="2"/>
        <v>10</v>
      </c>
      <c r="L13" s="190"/>
      <c r="M13" s="192">
        <f t="shared" si="3"/>
        <v>23.25</v>
      </c>
      <c r="X13" s="193"/>
      <c r="AG13" s="195"/>
      <c r="AH13" s="180" t="s">
        <v>62</v>
      </c>
      <c r="AI13" s="180">
        <f>LOG(AI9)</f>
        <v>1.3617278360175928</v>
      </c>
    </row>
    <row r="14" spans="1:36">
      <c r="A14" s="102">
        <f t="shared" si="4"/>
        <v>11.168418732331673</v>
      </c>
      <c r="B14" s="35">
        <f t="shared" si="0"/>
        <v>9</v>
      </c>
      <c r="C14" s="36" t="s">
        <v>57</v>
      </c>
      <c r="D14" s="36"/>
      <c r="E14" s="36"/>
      <c r="F14" s="36"/>
      <c r="G14" s="29"/>
      <c r="H14" s="187">
        <v>9</v>
      </c>
      <c r="I14" s="188">
        <f t="shared" si="1"/>
        <v>11.168418732331673</v>
      </c>
      <c r="J14" s="188">
        <f t="shared" si="5"/>
        <v>0</v>
      </c>
      <c r="K14" s="187">
        <f t="shared" si="2"/>
        <v>0</v>
      </c>
      <c r="L14" s="187"/>
      <c r="M14" s="189">
        <f t="shared" si="3"/>
        <v>11.168418732331673</v>
      </c>
      <c r="X14" s="197"/>
      <c r="Z14" s="194"/>
      <c r="AA14" s="194"/>
      <c r="AG14" s="195"/>
      <c r="AH14" s="180" t="s">
        <v>64</v>
      </c>
      <c r="AI14" s="180">
        <f>LOG(AI10)</f>
        <v>1.6532125137753437</v>
      </c>
    </row>
    <row r="15" spans="1:36">
      <c r="A15" s="106">
        <f t="shared" si="4"/>
        <v>9.3063808376298098</v>
      </c>
      <c r="B15" s="41">
        <f t="shared" si="0"/>
        <v>10</v>
      </c>
      <c r="C15" s="42" t="s">
        <v>26</v>
      </c>
      <c r="D15" s="42"/>
      <c r="E15" s="42"/>
      <c r="F15" s="42"/>
      <c r="G15" s="29"/>
      <c r="H15" s="190">
        <v>10</v>
      </c>
      <c r="I15" s="191">
        <f t="shared" si="1"/>
        <v>9.3063808376298098</v>
      </c>
      <c r="J15" s="191">
        <f t="shared" si="5"/>
        <v>0</v>
      </c>
      <c r="K15" s="190">
        <f t="shared" si="2"/>
        <v>0</v>
      </c>
      <c r="L15" s="190"/>
      <c r="M15" s="192">
        <f t="shared" si="3"/>
        <v>9.3063808376298098</v>
      </c>
      <c r="X15" s="193"/>
      <c r="Z15" s="194"/>
      <c r="AA15" s="194"/>
    </row>
    <row r="16" spans="1:36">
      <c r="A16" s="102">
        <f t="shared" si="4"/>
        <v>7.6219626716931046</v>
      </c>
      <c r="B16" s="35">
        <f t="shared" si="0"/>
        <v>11</v>
      </c>
      <c r="C16" s="36" t="s">
        <v>57</v>
      </c>
      <c r="D16" s="36"/>
      <c r="E16" s="36"/>
      <c r="F16" s="36"/>
      <c r="G16" s="29"/>
      <c r="H16" s="187">
        <v>11</v>
      </c>
      <c r="I16" s="188">
        <f t="shared" si="1"/>
        <v>7.6219626716931046</v>
      </c>
      <c r="J16" s="188">
        <f t="shared" si="5"/>
        <v>0</v>
      </c>
      <c r="K16" s="187">
        <f t="shared" si="2"/>
        <v>0</v>
      </c>
      <c r="L16" s="187"/>
      <c r="M16" s="189">
        <f t="shared" si="3"/>
        <v>7.6219626716931046</v>
      </c>
      <c r="R16" s="198"/>
      <c r="Z16" s="194"/>
      <c r="AA16" s="194"/>
      <c r="AH16" s="199" t="s">
        <v>66</v>
      </c>
      <c r="AI16" s="180">
        <f>AI11-AI12*AI13/AI14</f>
        <v>9.6393909380186855</v>
      </c>
      <c r="AJ16" s="180" t="s">
        <v>67</v>
      </c>
    </row>
    <row r="17" spans="1:19">
      <c r="A17" s="106">
        <f t="shared" si="4"/>
        <v>6.0842093661658296</v>
      </c>
      <c r="B17" s="41">
        <f t="shared" si="0"/>
        <v>12</v>
      </c>
      <c r="C17" s="42" t="s">
        <v>57</v>
      </c>
      <c r="D17" s="42"/>
      <c r="E17" s="42"/>
      <c r="F17" s="42"/>
      <c r="G17" s="29"/>
      <c r="H17" s="190">
        <v>12</v>
      </c>
      <c r="I17" s="191">
        <f t="shared" si="1"/>
        <v>6.0842093661658296</v>
      </c>
      <c r="J17" s="191">
        <f t="shared" si="5"/>
        <v>0</v>
      </c>
      <c r="K17" s="190">
        <f t="shared" si="2"/>
        <v>0</v>
      </c>
      <c r="L17" s="190"/>
      <c r="M17" s="192">
        <f t="shared" si="3"/>
        <v>6.0842093661658296</v>
      </c>
    </row>
    <row r="18" spans="1:19">
      <c r="A18" s="102">
        <f t="shared" si="4"/>
        <v>4.6696134527716211</v>
      </c>
      <c r="B18" s="35">
        <f t="shared" si="0"/>
        <v>13</v>
      </c>
      <c r="C18" s="36" t="s">
        <v>57</v>
      </c>
      <c r="D18" s="36"/>
      <c r="E18" s="36"/>
      <c r="F18" s="36"/>
      <c r="G18" s="29"/>
      <c r="H18" s="187">
        <v>13</v>
      </c>
      <c r="I18" s="188">
        <f t="shared" si="1"/>
        <v>4.6696134527716211</v>
      </c>
      <c r="J18" s="188">
        <f t="shared" si="5"/>
        <v>0</v>
      </c>
      <c r="K18" s="187">
        <f t="shared" si="2"/>
        <v>0</v>
      </c>
      <c r="L18" s="187"/>
      <c r="M18" s="189">
        <f t="shared" si="3"/>
        <v>4.6696134527716211</v>
      </c>
    </row>
    <row r="19" spans="1:19">
      <c r="A19" s="106">
        <f t="shared" si="4"/>
        <v>3.3599022047943521</v>
      </c>
      <c r="B19" s="41">
        <f t="shared" si="0"/>
        <v>14</v>
      </c>
      <c r="C19" s="42" t="s">
        <v>57</v>
      </c>
      <c r="D19" s="42"/>
      <c r="E19" s="42"/>
      <c r="F19" s="42"/>
      <c r="G19" s="29"/>
      <c r="H19" s="190">
        <v>14</v>
      </c>
      <c r="I19" s="191">
        <f t="shared" si="1"/>
        <v>3.3599022047943521</v>
      </c>
      <c r="J19" s="191">
        <f t="shared" si="5"/>
        <v>0</v>
      </c>
      <c r="K19" s="190">
        <f t="shared" si="2"/>
        <v>0</v>
      </c>
      <c r="L19" s="190"/>
      <c r="M19" s="192">
        <f t="shared" si="3"/>
        <v>3.3599022047943521</v>
      </c>
    </row>
    <row r="20" spans="1:19">
      <c r="A20" s="102">
        <f t="shared" si="4"/>
        <v>2.1405902037956466</v>
      </c>
      <c r="B20" s="35">
        <f t="shared" si="0"/>
        <v>15</v>
      </c>
      <c r="C20" s="36" t="s">
        <v>57</v>
      </c>
      <c r="D20" s="36"/>
      <c r="E20" s="36"/>
      <c r="F20" s="36"/>
      <c r="G20" s="29"/>
      <c r="H20" s="187">
        <v>15</v>
      </c>
      <c r="I20" s="188">
        <f t="shared" si="1"/>
        <v>2.1405902037956466</v>
      </c>
      <c r="J20" s="188">
        <f t="shared" si="5"/>
        <v>0</v>
      </c>
      <c r="K20" s="187">
        <f t="shared" si="2"/>
        <v>0</v>
      </c>
      <c r="L20" s="187"/>
      <c r="M20" s="189">
        <f t="shared" si="3"/>
        <v>2.1405902037956466</v>
      </c>
      <c r="R20" s="200"/>
      <c r="S20" s="201"/>
    </row>
    <row r="21" spans="1:19">
      <c r="A21" s="106">
        <f t="shared" si="4"/>
        <v>1</v>
      </c>
      <c r="B21" s="41">
        <f t="shared" si="0"/>
        <v>16</v>
      </c>
      <c r="C21" s="42" t="s">
        <v>29</v>
      </c>
      <c r="D21" s="42"/>
      <c r="E21" s="42"/>
      <c r="F21" s="42"/>
      <c r="G21" s="29"/>
      <c r="H21" s="190">
        <v>16</v>
      </c>
      <c r="I21" s="191">
        <f t="shared" si="1"/>
        <v>1</v>
      </c>
      <c r="J21" s="191">
        <f t="shared" si="5"/>
        <v>0</v>
      </c>
      <c r="K21" s="190">
        <f t="shared" si="2"/>
        <v>0</v>
      </c>
      <c r="L21" s="190"/>
      <c r="M21" s="192">
        <f t="shared" si="3"/>
        <v>1</v>
      </c>
    </row>
    <row r="22" spans="1:19">
      <c r="A22" s="102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87">
        <v>17</v>
      </c>
      <c r="I22" s="188" t="str">
        <f t="shared" si="1"/>
        <v/>
      </c>
      <c r="J22" s="188">
        <f t="shared" si="5"/>
        <v>-1</v>
      </c>
      <c r="K22" s="187">
        <f t="shared" si="2"/>
        <v>-10</v>
      </c>
      <c r="L22" s="187"/>
      <c r="M22" s="189">
        <f t="shared" si="3"/>
        <v>0</v>
      </c>
    </row>
    <row r="23" spans="1:19">
      <c r="A23" s="106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90">
        <v>18</v>
      </c>
      <c r="I23" s="191" t="str">
        <f t="shared" si="1"/>
        <v/>
      </c>
      <c r="J23" s="191">
        <f t="shared" si="5"/>
        <v>-1</v>
      </c>
      <c r="K23" s="190">
        <f t="shared" si="2"/>
        <v>-10</v>
      </c>
      <c r="L23" s="190"/>
      <c r="M23" s="192">
        <f t="shared" si="3"/>
        <v>0</v>
      </c>
    </row>
    <row r="24" spans="1:19">
      <c r="A24" s="102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87">
        <v>19</v>
      </c>
      <c r="I24" s="188" t="str">
        <f t="shared" si="1"/>
        <v/>
      </c>
      <c r="J24" s="188">
        <f t="shared" si="5"/>
        <v>-1</v>
      </c>
      <c r="K24" s="187">
        <f t="shared" si="2"/>
        <v>-10</v>
      </c>
      <c r="L24" s="187"/>
      <c r="M24" s="189">
        <f t="shared" si="3"/>
        <v>0</v>
      </c>
      <c r="R24" s="200"/>
      <c r="S24" s="201"/>
    </row>
    <row r="25" spans="1:19">
      <c r="A25" s="106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90">
        <v>20</v>
      </c>
      <c r="I25" s="191" t="str">
        <f t="shared" si="1"/>
        <v/>
      </c>
      <c r="J25" s="191">
        <f t="shared" si="5"/>
        <v>-1</v>
      </c>
      <c r="K25" s="190">
        <f t="shared" si="2"/>
        <v>-10</v>
      </c>
      <c r="L25" s="190"/>
      <c r="M25" s="192">
        <f t="shared" si="3"/>
        <v>0</v>
      </c>
    </row>
    <row r="26" spans="1:19">
      <c r="A26" s="102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87">
        <v>21</v>
      </c>
      <c r="I26" s="188" t="str">
        <f t="shared" si="1"/>
        <v/>
      </c>
      <c r="J26" s="188">
        <f t="shared" si="5"/>
        <v>-1</v>
      </c>
      <c r="K26" s="187">
        <f t="shared" si="2"/>
        <v>-10</v>
      </c>
      <c r="L26" s="187"/>
      <c r="M26" s="189">
        <f t="shared" si="3"/>
        <v>0</v>
      </c>
    </row>
    <row r="27" spans="1:19">
      <c r="A27" s="106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90">
        <v>22</v>
      </c>
      <c r="I27" s="191" t="str">
        <f t="shared" si="1"/>
        <v/>
      </c>
      <c r="J27" s="191">
        <f t="shared" si="5"/>
        <v>-1</v>
      </c>
      <c r="K27" s="190">
        <f t="shared" si="2"/>
        <v>-10</v>
      </c>
      <c r="L27" s="190"/>
      <c r="M27" s="192">
        <f t="shared" si="3"/>
        <v>0</v>
      </c>
    </row>
    <row r="28" spans="1:19">
      <c r="A28" s="102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87">
        <v>23</v>
      </c>
      <c r="I28" s="188" t="str">
        <f t="shared" si="1"/>
        <v/>
      </c>
      <c r="J28" s="188">
        <f t="shared" si="5"/>
        <v>-1</v>
      </c>
      <c r="K28" s="187">
        <f t="shared" si="2"/>
        <v>-10</v>
      </c>
      <c r="L28" s="187"/>
      <c r="M28" s="189">
        <f t="shared" si="3"/>
        <v>0</v>
      </c>
      <c r="R28" s="200"/>
      <c r="S28" s="201"/>
    </row>
    <row r="29" spans="1:19">
      <c r="A29" s="106">
        <f t="shared" si="4"/>
        <v>0</v>
      </c>
      <c r="B29" s="41" t="str">
        <f t="shared" si="0"/>
        <v/>
      </c>
      <c r="C29" s="42"/>
      <c r="D29" s="42"/>
      <c r="E29" s="42"/>
      <c r="F29" s="42"/>
      <c r="G29" s="175"/>
      <c r="H29" s="190">
        <v>24</v>
      </c>
      <c r="I29" s="191" t="str">
        <f t="shared" si="1"/>
        <v/>
      </c>
      <c r="J29" s="191">
        <f t="shared" si="5"/>
        <v>-1</v>
      </c>
      <c r="K29" s="190">
        <f t="shared" si="2"/>
        <v>-10</v>
      </c>
      <c r="L29" s="190"/>
      <c r="M29" s="192">
        <f t="shared" si="3"/>
        <v>0</v>
      </c>
    </row>
    <row r="30" spans="1:19">
      <c r="A30" s="102">
        <f t="shared" si="4"/>
        <v>0</v>
      </c>
      <c r="B30" s="35" t="str">
        <f t="shared" si="0"/>
        <v/>
      </c>
      <c r="C30" s="36"/>
      <c r="D30" s="36"/>
      <c r="E30" s="36"/>
      <c r="F30" s="36"/>
      <c r="G30" s="175"/>
      <c r="H30" s="187">
        <v>25</v>
      </c>
      <c r="I30" s="188" t="str">
        <f t="shared" si="1"/>
        <v/>
      </c>
      <c r="J30" s="188">
        <f t="shared" si="5"/>
        <v>-1</v>
      </c>
      <c r="K30" s="187">
        <f t="shared" si="2"/>
        <v>-10</v>
      </c>
      <c r="L30" s="187"/>
      <c r="M30" s="189">
        <f t="shared" si="3"/>
        <v>0</v>
      </c>
    </row>
    <row r="31" spans="1:19">
      <c r="A31" s="106">
        <f t="shared" si="4"/>
        <v>0</v>
      </c>
      <c r="B31" s="41" t="str">
        <f t="shared" si="0"/>
        <v/>
      </c>
      <c r="C31" s="42"/>
      <c r="D31" s="42"/>
      <c r="E31" s="42"/>
      <c r="F31" s="42"/>
      <c r="G31" s="175"/>
      <c r="H31" s="190">
        <v>26</v>
      </c>
      <c r="I31" s="191" t="str">
        <f t="shared" si="1"/>
        <v/>
      </c>
      <c r="J31" s="191">
        <f t="shared" si="5"/>
        <v>-1</v>
      </c>
      <c r="K31" s="190">
        <f t="shared" si="2"/>
        <v>-10</v>
      </c>
      <c r="L31" s="190"/>
      <c r="M31" s="192">
        <f t="shared" si="3"/>
        <v>0</v>
      </c>
    </row>
    <row r="32" spans="1:19">
      <c r="A32" s="102">
        <f t="shared" si="4"/>
        <v>0</v>
      </c>
      <c r="B32" s="35" t="str">
        <f t="shared" si="0"/>
        <v/>
      </c>
      <c r="C32" s="36"/>
      <c r="D32" s="36"/>
      <c r="E32" s="36"/>
      <c r="F32" s="36"/>
      <c r="G32" s="175"/>
      <c r="H32" s="187">
        <v>27</v>
      </c>
      <c r="I32" s="188" t="str">
        <f t="shared" si="1"/>
        <v/>
      </c>
      <c r="J32" s="188">
        <f t="shared" si="5"/>
        <v>-1</v>
      </c>
      <c r="K32" s="187">
        <f t="shared" si="2"/>
        <v>-10</v>
      </c>
      <c r="L32" s="187"/>
      <c r="M32" s="189">
        <f t="shared" si="3"/>
        <v>0</v>
      </c>
      <c r="R32" s="200"/>
      <c r="S32" s="201"/>
    </row>
    <row r="33" spans="1:21">
      <c r="A33" s="106">
        <f t="shared" si="4"/>
        <v>0</v>
      </c>
      <c r="B33" s="41" t="str">
        <f t="shared" si="0"/>
        <v/>
      </c>
      <c r="C33" s="42"/>
      <c r="D33" s="42"/>
      <c r="E33" s="42"/>
      <c r="F33" s="42"/>
      <c r="G33" s="175"/>
      <c r="H33" s="190">
        <v>28</v>
      </c>
      <c r="I33" s="191" t="str">
        <f t="shared" si="1"/>
        <v/>
      </c>
      <c r="J33" s="191">
        <f t="shared" si="5"/>
        <v>-1</v>
      </c>
      <c r="K33" s="190">
        <f t="shared" si="2"/>
        <v>-10</v>
      </c>
      <c r="L33" s="190"/>
      <c r="M33" s="192">
        <f t="shared" si="3"/>
        <v>0</v>
      </c>
    </row>
    <row r="34" spans="1:21">
      <c r="A34" s="102">
        <f t="shared" si="4"/>
        <v>0</v>
      </c>
      <c r="B34" s="35" t="str">
        <f t="shared" si="0"/>
        <v/>
      </c>
      <c r="C34" s="36"/>
      <c r="D34" s="36"/>
      <c r="E34" s="36"/>
      <c r="F34" s="36"/>
      <c r="G34" s="175"/>
      <c r="H34" s="187">
        <v>29</v>
      </c>
      <c r="I34" s="188" t="str">
        <f t="shared" si="1"/>
        <v/>
      </c>
      <c r="J34" s="188">
        <f t="shared" si="5"/>
        <v>-1</v>
      </c>
      <c r="K34" s="187">
        <f t="shared" si="2"/>
        <v>-10</v>
      </c>
      <c r="L34" s="187"/>
      <c r="M34" s="189">
        <f t="shared" si="3"/>
        <v>0</v>
      </c>
    </row>
    <row r="35" spans="1:21">
      <c r="A35" s="106">
        <f t="shared" si="4"/>
        <v>0</v>
      </c>
      <c r="B35" s="41" t="str">
        <f t="shared" si="0"/>
        <v/>
      </c>
      <c r="C35" s="42"/>
      <c r="D35" s="42"/>
      <c r="E35" s="42"/>
      <c r="F35" s="42"/>
      <c r="G35" s="175"/>
      <c r="H35" s="190">
        <v>30</v>
      </c>
      <c r="I35" s="191" t="str">
        <f t="shared" si="1"/>
        <v/>
      </c>
      <c r="J35" s="191">
        <f t="shared" si="5"/>
        <v>-1</v>
      </c>
      <c r="K35" s="190">
        <f t="shared" si="2"/>
        <v>-10</v>
      </c>
      <c r="L35" s="190"/>
      <c r="M35" s="192">
        <f t="shared" si="3"/>
        <v>0</v>
      </c>
    </row>
    <row r="36" spans="1:21">
      <c r="A36" s="102">
        <f t="shared" si="4"/>
        <v>0</v>
      </c>
      <c r="B36" s="35" t="str">
        <f t="shared" si="0"/>
        <v/>
      </c>
      <c r="C36" s="36"/>
      <c r="D36" s="36"/>
      <c r="E36" s="36"/>
      <c r="F36" s="36"/>
      <c r="G36" s="175"/>
      <c r="H36" s="187">
        <v>31</v>
      </c>
      <c r="I36" s="188" t="str">
        <f t="shared" si="1"/>
        <v/>
      </c>
      <c r="J36" s="188">
        <f t="shared" si="5"/>
        <v>-1</v>
      </c>
      <c r="K36" s="187">
        <f t="shared" si="2"/>
        <v>-10</v>
      </c>
      <c r="L36" s="187"/>
      <c r="M36" s="189">
        <f t="shared" si="3"/>
        <v>0</v>
      </c>
      <c r="R36" s="200"/>
      <c r="S36" s="201"/>
    </row>
    <row r="37" spans="1:21">
      <c r="A37" s="106">
        <f t="shared" si="4"/>
        <v>0</v>
      </c>
      <c r="B37" s="41" t="str">
        <f t="shared" si="0"/>
        <v/>
      </c>
      <c r="C37" s="42"/>
      <c r="D37" s="42"/>
      <c r="E37" s="42"/>
      <c r="F37" s="42"/>
      <c r="G37" s="175"/>
      <c r="H37" s="190">
        <v>32</v>
      </c>
      <c r="I37" s="191" t="str">
        <f t="shared" si="1"/>
        <v/>
      </c>
      <c r="J37" s="191">
        <f t="shared" si="5"/>
        <v>-1</v>
      </c>
      <c r="K37" s="190">
        <f t="shared" si="2"/>
        <v>-10</v>
      </c>
      <c r="L37" s="190"/>
      <c r="M37" s="192">
        <f t="shared" si="3"/>
        <v>0</v>
      </c>
    </row>
    <row r="38" spans="1:21">
      <c r="A38" s="106">
        <f t="shared" si="4"/>
        <v>0</v>
      </c>
      <c r="B38" s="35" t="str">
        <f t="shared" si="0"/>
        <v/>
      </c>
      <c r="C38" s="36"/>
      <c r="D38" s="36"/>
      <c r="E38" s="36"/>
      <c r="F38" s="36"/>
      <c r="G38" s="175"/>
      <c r="H38" s="187">
        <v>33</v>
      </c>
      <c r="I38" s="188" t="str">
        <f t="shared" si="1"/>
        <v/>
      </c>
      <c r="J38" s="188">
        <f t="shared" si="5"/>
        <v>-2</v>
      </c>
      <c r="K38" s="187">
        <f t="shared" si="2"/>
        <v>-20</v>
      </c>
      <c r="L38" s="187"/>
      <c r="M38" s="189">
        <f t="shared" si="3"/>
        <v>0</v>
      </c>
    </row>
    <row r="39" spans="1:21">
      <c r="A39" s="106">
        <f t="shared" si="4"/>
        <v>0</v>
      </c>
      <c r="B39" s="41" t="str">
        <f t="shared" si="0"/>
        <v/>
      </c>
      <c r="C39" s="42"/>
      <c r="D39" s="42"/>
      <c r="E39" s="42"/>
      <c r="F39" s="42"/>
      <c r="G39" s="175"/>
      <c r="H39" s="190">
        <v>34</v>
      </c>
      <c r="I39" s="191" t="str">
        <f t="shared" si="1"/>
        <v/>
      </c>
      <c r="J39" s="191">
        <f t="shared" si="5"/>
        <v>-2</v>
      </c>
      <c r="K39" s="190">
        <f t="shared" si="2"/>
        <v>-20</v>
      </c>
      <c r="L39" s="190"/>
      <c r="M39" s="192">
        <f t="shared" si="3"/>
        <v>0</v>
      </c>
    </row>
    <row r="40" spans="1:21">
      <c r="A40" s="106">
        <f t="shared" si="4"/>
        <v>0</v>
      </c>
      <c r="B40" s="35" t="str">
        <f t="shared" si="0"/>
        <v/>
      </c>
      <c r="C40" s="36"/>
      <c r="D40" s="36"/>
      <c r="E40" s="36"/>
      <c r="F40" s="36"/>
      <c r="G40" s="175"/>
      <c r="H40" s="187">
        <v>35</v>
      </c>
      <c r="I40" s="188" t="str">
        <f t="shared" si="1"/>
        <v/>
      </c>
      <c r="J40" s="188">
        <f t="shared" si="5"/>
        <v>-2</v>
      </c>
      <c r="K40" s="187">
        <f t="shared" si="2"/>
        <v>-20</v>
      </c>
      <c r="L40" s="187"/>
      <c r="M40" s="189">
        <f t="shared" si="3"/>
        <v>0</v>
      </c>
    </row>
    <row r="41" spans="1:21">
      <c r="A41" s="106">
        <f t="shared" si="4"/>
        <v>0</v>
      </c>
      <c r="B41" s="41" t="str">
        <f t="shared" si="0"/>
        <v/>
      </c>
      <c r="C41" s="42"/>
      <c r="D41" s="42"/>
      <c r="E41" s="42"/>
      <c r="F41" s="42"/>
      <c r="G41" s="175"/>
      <c r="H41" s="190">
        <v>36</v>
      </c>
      <c r="I41" s="191" t="str">
        <f t="shared" si="1"/>
        <v/>
      </c>
      <c r="J41" s="191">
        <f t="shared" si="5"/>
        <v>-2</v>
      </c>
      <c r="K41" s="190">
        <f t="shared" si="2"/>
        <v>-20</v>
      </c>
      <c r="L41" s="190"/>
      <c r="M41" s="192">
        <f t="shared" si="3"/>
        <v>0</v>
      </c>
      <c r="S41" s="202"/>
    </row>
    <row r="42" spans="1:21">
      <c r="A42" s="106">
        <f t="shared" si="4"/>
        <v>0</v>
      </c>
      <c r="B42" s="35" t="str">
        <f t="shared" si="0"/>
        <v/>
      </c>
      <c r="C42" s="36"/>
      <c r="D42" s="36"/>
      <c r="E42" s="36"/>
      <c r="F42" s="36"/>
      <c r="G42" s="175"/>
      <c r="H42" s="187">
        <v>37</v>
      </c>
      <c r="I42" s="188" t="str">
        <f t="shared" si="1"/>
        <v/>
      </c>
      <c r="J42" s="188">
        <f t="shared" si="5"/>
        <v>-2</v>
      </c>
      <c r="K42" s="187">
        <f t="shared" si="2"/>
        <v>-20</v>
      </c>
      <c r="L42" s="187"/>
      <c r="M42" s="189">
        <f t="shared" si="3"/>
        <v>0</v>
      </c>
    </row>
    <row r="43" spans="1:21">
      <c r="A43" s="106">
        <f t="shared" si="4"/>
        <v>0</v>
      </c>
      <c r="B43" s="41" t="str">
        <f t="shared" si="0"/>
        <v/>
      </c>
      <c r="C43" s="42"/>
      <c r="D43" s="42"/>
      <c r="E43" s="42"/>
      <c r="F43" s="42"/>
      <c r="G43" s="175"/>
      <c r="H43" s="190">
        <v>38</v>
      </c>
      <c r="I43" s="191" t="str">
        <f t="shared" si="1"/>
        <v/>
      </c>
      <c r="J43" s="191">
        <f t="shared" si="5"/>
        <v>-2</v>
      </c>
      <c r="K43" s="190">
        <f t="shared" si="2"/>
        <v>-20</v>
      </c>
      <c r="L43" s="190"/>
      <c r="M43" s="192">
        <f t="shared" si="3"/>
        <v>0</v>
      </c>
    </row>
    <row r="44" spans="1:21">
      <c r="A44" s="106">
        <f t="shared" si="4"/>
        <v>0</v>
      </c>
      <c r="B44" s="35" t="str">
        <f t="shared" si="0"/>
        <v/>
      </c>
      <c r="C44" s="36"/>
      <c r="D44" s="36"/>
      <c r="E44" s="36"/>
      <c r="F44" s="36"/>
      <c r="G44" s="175"/>
      <c r="H44" s="187">
        <v>39</v>
      </c>
      <c r="I44" s="188" t="str">
        <f t="shared" si="1"/>
        <v/>
      </c>
      <c r="J44" s="188">
        <f t="shared" si="5"/>
        <v>-2</v>
      </c>
      <c r="K44" s="187">
        <f t="shared" si="2"/>
        <v>-20</v>
      </c>
      <c r="L44" s="187"/>
      <c r="M44" s="189">
        <f t="shared" si="3"/>
        <v>0</v>
      </c>
    </row>
    <row r="45" spans="1:21">
      <c r="A45" s="106">
        <f t="shared" si="4"/>
        <v>0</v>
      </c>
      <c r="B45" s="41" t="str">
        <f t="shared" si="0"/>
        <v/>
      </c>
      <c r="C45" s="42"/>
      <c r="D45" s="42"/>
      <c r="E45" s="42"/>
      <c r="F45" s="42"/>
      <c r="G45" s="175"/>
      <c r="H45" s="190">
        <v>40</v>
      </c>
      <c r="I45" s="191" t="str">
        <f t="shared" si="1"/>
        <v/>
      </c>
      <c r="J45" s="191">
        <f t="shared" si="5"/>
        <v>-2</v>
      </c>
      <c r="K45" s="190">
        <f t="shared" si="2"/>
        <v>-20</v>
      </c>
      <c r="L45" s="190"/>
      <c r="M45" s="192">
        <f t="shared" si="3"/>
        <v>0</v>
      </c>
    </row>
    <row r="46" spans="1:21">
      <c r="A46" s="106">
        <f t="shared" si="4"/>
        <v>0</v>
      </c>
      <c r="B46" s="35" t="str">
        <f t="shared" si="0"/>
        <v/>
      </c>
      <c r="C46" s="36"/>
      <c r="D46" s="36"/>
      <c r="E46" s="36"/>
      <c r="F46" s="36"/>
      <c r="G46" s="175"/>
      <c r="H46" s="187">
        <v>41</v>
      </c>
      <c r="I46" s="188" t="str">
        <f t="shared" si="1"/>
        <v/>
      </c>
      <c r="J46" s="188">
        <f t="shared" si="5"/>
        <v>-2</v>
      </c>
      <c r="K46" s="187">
        <f t="shared" si="2"/>
        <v>-20</v>
      </c>
      <c r="L46" s="187"/>
      <c r="M46" s="189">
        <f t="shared" si="3"/>
        <v>0</v>
      </c>
      <c r="R46" s="175">
        <f>LOG($H$2,2)</f>
        <v>4</v>
      </c>
      <c r="T46" s="180">
        <f>LOG(H38,2)</f>
        <v>5.0443941193584534</v>
      </c>
      <c r="U46" s="180">
        <f>R46-T46</f>
        <v>-1.0443941193584534</v>
      </c>
    </row>
    <row r="47" spans="1:21">
      <c r="A47" s="106">
        <f t="shared" si="4"/>
        <v>0</v>
      </c>
      <c r="B47" s="41" t="str">
        <f t="shared" si="0"/>
        <v/>
      </c>
      <c r="C47" s="42"/>
      <c r="D47" s="42"/>
      <c r="E47" s="42"/>
      <c r="F47" s="42"/>
      <c r="G47" s="175"/>
      <c r="H47" s="190">
        <v>42</v>
      </c>
      <c r="I47" s="191" t="str">
        <f t="shared" si="1"/>
        <v/>
      </c>
      <c r="J47" s="191">
        <f t="shared" si="5"/>
        <v>-2</v>
      </c>
      <c r="K47" s="190">
        <f t="shared" si="2"/>
        <v>-20</v>
      </c>
      <c r="L47" s="190"/>
      <c r="M47" s="192">
        <f t="shared" si="3"/>
        <v>0</v>
      </c>
    </row>
    <row r="48" spans="1:21">
      <c r="A48" s="106">
        <f t="shared" si="4"/>
        <v>0</v>
      </c>
      <c r="B48" s="35" t="str">
        <f t="shared" si="0"/>
        <v/>
      </c>
      <c r="C48" s="36"/>
      <c r="D48" s="36"/>
      <c r="E48" s="36"/>
      <c r="F48" s="36"/>
      <c r="G48" s="175"/>
      <c r="H48" s="187">
        <v>43</v>
      </c>
      <c r="I48" s="188" t="str">
        <f t="shared" si="1"/>
        <v/>
      </c>
      <c r="J48" s="188">
        <f t="shared" si="5"/>
        <v>-2</v>
      </c>
      <c r="K48" s="187">
        <f t="shared" si="2"/>
        <v>-20</v>
      </c>
      <c r="L48" s="187"/>
      <c r="M48" s="189">
        <f t="shared" si="3"/>
        <v>0</v>
      </c>
    </row>
    <row r="49" spans="1:13">
      <c r="A49" s="106">
        <f t="shared" si="4"/>
        <v>0</v>
      </c>
      <c r="B49" s="41" t="str">
        <f t="shared" si="0"/>
        <v/>
      </c>
      <c r="C49" s="42"/>
      <c r="D49" s="42"/>
      <c r="E49" s="42"/>
      <c r="F49" s="42"/>
      <c r="G49" s="175"/>
      <c r="H49" s="190">
        <v>44</v>
      </c>
      <c r="I49" s="191" t="str">
        <f t="shared" si="1"/>
        <v/>
      </c>
      <c r="J49" s="191">
        <f t="shared" si="5"/>
        <v>-2</v>
      </c>
      <c r="K49" s="190">
        <f t="shared" si="2"/>
        <v>-20</v>
      </c>
      <c r="L49" s="190"/>
      <c r="M49" s="192">
        <f t="shared" si="3"/>
        <v>0</v>
      </c>
    </row>
    <row r="50" spans="1:13">
      <c r="A50" s="106">
        <f t="shared" si="4"/>
        <v>0</v>
      </c>
      <c r="B50" s="35" t="str">
        <f t="shared" si="0"/>
        <v/>
      </c>
      <c r="C50" s="36"/>
      <c r="D50" s="36"/>
      <c r="E50" s="36"/>
      <c r="F50" s="36"/>
      <c r="G50" s="175"/>
      <c r="H50" s="187">
        <v>45</v>
      </c>
      <c r="I50" s="188" t="str">
        <f t="shared" si="1"/>
        <v/>
      </c>
      <c r="J50" s="188">
        <f t="shared" si="5"/>
        <v>-2</v>
      </c>
      <c r="K50" s="187">
        <f t="shared" si="2"/>
        <v>-20</v>
      </c>
      <c r="L50" s="187"/>
      <c r="M50" s="189">
        <f t="shared" si="3"/>
        <v>0</v>
      </c>
    </row>
    <row r="51" spans="1:13">
      <c r="A51" s="106">
        <f t="shared" si="4"/>
        <v>0</v>
      </c>
      <c r="B51" s="41" t="str">
        <f t="shared" si="0"/>
        <v/>
      </c>
      <c r="C51" s="42"/>
      <c r="D51" s="42"/>
      <c r="E51" s="42"/>
      <c r="F51" s="42"/>
      <c r="G51" s="175"/>
      <c r="H51" s="190">
        <v>46</v>
      </c>
      <c r="I51" s="191" t="str">
        <f t="shared" si="1"/>
        <v/>
      </c>
      <c r="J51" s="191">
        <f t="shared" si="5"/>
        <v>-2</v>
      </c>
      <c r="K51" s="190">
        <f t="shared" si="2"/>
        <v>-20</v>
      </c>
      <c r="L51" s="190"/>
      <c r="M51" s="192">
        <f t="shared" si="3"/>
        <v>0</v>
      </c>
    </row>
    <row r="52" spans="1:13">
      <c r="A52" s="106">
        <f t="shared" si="4"/>
        <v>0</v>
      </c>
      <c r="B52" s="35" t="str">
        <f t="shared" si="0"/>
        <v/>
      </c>
      <c r="C52" s="36"/>
      <c r="D52" s="36"/>
      <c r="E52" s="36"/>
      <c r="F52" s="36"/>
      <c r="G52" s="175"/>
      <c r="H52" s="187">
        <v>47</v>
      </c>
      <c r="I52" s="188" t="str">
        <f t="shared" si="1"/>
        <v/>
      </c>
      <c r="J52" s="188">
        <f t="shared" si="5"/>
        <v>-2</v>
      </c>
      <c r="K52" s="187">
        <f t="shared" si="2"/>
        <v>-20</v>
      </c>
      <c r="L52" s="187"/>
      <c r="M52" s="189">
        <f t="shared" si="3"/>
        <v>0</v>
      </c>
    </row>
    <row r="53" spans="1:13">
      <c r="A53" s="106">
        <f t="shared" si="4"/>
        <v>0</v>
      </c>
      <c r="B53" s="41" t="str">
        <f t="shared" si="0"/>
        <v/>
      </c>
      <c r="C53" s="42"/>
      <c r="D53" s="42"/>
      <c r="E53" s="42"/>
      <c r="F53" s="42"/>
      <c r="G53" s="175"/>
      <c r="H53" s="190">
        <v>48</v>
      </c>
      <c r="I53" s="191" t="str">
        <f t="shared" si="1"/>
        <v/>
      </c>
      <c r="J53" s="191">
        <f t="shared" si="5"/>
        <v>-2</v>
      </c>
      <c r="K53" s="190">
        <f t="shared" si="2"/>
        <v>-20</v>
      </c>
      <c r="L53" s="190"/>
      <c r="M53" s="192">
        <f t="shared" si="3"/>
        <v>0</v>
      </c>
    </row>
    <row r="54" spans="1:13">
      <c r="A54" s="106">
        <f t="shared" si="4"/>
        <v>0</v>
      </c>
      <c r="B54" s="35" t="str">
        <f t="shared" si="0"/>
        <v/>
      </c>
      <c r="C54" s="36"/>
      <c r="D54" s="36"/>
      <c r="E54" s="36"/>
      <c r="F54" s="36"/>
      <c r="G54" s="175"/>
      <c r="H54" s="187">
        <v>49</v>
      </c>
      <c r="I54" s="188" t="str">
        <f t="shared" si="1"/>
        <v/>
      </c>
      <c r="J54" s="188">
        <f t="shared" si="5"/>
        <v>-2</v>
      </c>
      <c r="K54" s="187">
        <f t="shared" si="2"/>
        <v>-20</v>
      </c>
      <c r="L54" s="187"/>
      <c r="M54" s="189">
        <f t="shared" si="3"/>
        <v>0</v>
      </c>
    </row>
    <row r="55" spans="1:13">
      <c r="A55" s="106">
        <f t="shared" si="4"/>
        <v>0</v>
      </c>
      <c r="B55" s="41" t="str">
        <f t="shared" si="0"/>
        <v/>
      </c>
      <c r="C55" s="42"/>
      <c r="D55" s="42"/>
      <c r="E55" s="42"/>
      <c r="F55" s="42"/>
      <c r="G55" s="175"/>
      <c r="H55" s="190">
        <v>50</v>
      </c>
      <c r="I55" s="191" t="str">
        <f t="shared" si="1"/>
        <v/>
      </c>
      <c r="J55" s="191">
        <f t="shared" si="5"/>
        <v>-2</v>
      </c>
      <c r="K55" s="190">
        <f t="shared" si="2"/>
        <v>-20</v>
      </c>
      <c r="L55" s="190"/>
      <c r="M55" s="192">
        <f t="shared" si="3"/>
        <v>0</v>
      </c>
    </row>
    <row r="56" spans="1:13">
      <c r="A56" s="106">
        <f t="shared" si="4"/>
        <v>0</v>
      </c>
      <c r="B56" s="35" t="str">
        <f t="shared" si="0"/>
        <v/>
      </c>
      <c r="C56" s="36"/>
      <c r="D56" s="36"/>
      <c r="E56" s="36"/>
      <c r="F56" s="36"/>
      <c r="G56" s="175"/>
      <c r="H56" s="187">
        <v>51</v>
      </c>
      <c r="I56" s="188" t="str">
        <f t="shared" si="1"/>
        <v/>
      </c>
      <c r="J56" s="188">
        <f t="shared" si="5"/>
        <v>-2</v>
      </c>
      <c r="K56" s="187">
        <f t="shared" si="2"/>
        <v>-20</v>
      </c>
      <c r="L56" s="187"/>
      <c r="M56" s="189">
        <f t="shared" si="3"/>
        <v>0</v>
      </c>
    </row>
    <row r="57" spans="1:13">
      <c r="A57" s="106">
        <f t="shared" si="4"/>
        <v>0</v>
      </c>
      <c r="B57" s="41" t="str">
        <f t="shared" si="0"/>
        <v/>
      </c>
      <c r="C57" s="42"/>
      <c r="D57" s="42"/>
      <c r="E57" s="42"/>
      <c r="F57" s="42"/>
      <c r="G57" s="175"/>
      <c r="H57" s="190">
        <v>52</v>
      </c>
      <c r="I57" s="191" t="str">
        <f t="shared" si="1"/>
        <v/>
      </c>
      <c r="J57" s="191">
        <f t="shared" si="5"/>
        <v>-2</v>
      </c>
      <c r="K57" s="190">
        <f t="shared" si="2"/>
        <v>-20</v>
      </c>
      <c r="L57" s="190"/>
      <c r="M57" s="192">
        <f t="shared" si="3"/>
        <v>0</v>
      </c>
    </row>
    <row r="58" spans="1:13">
      <c r="A58" s="106">
        <f t="shared" si="4"/>
        <v>0</v>
      </c>
      <c r="B58" s="35" t="str">
        <f t="shared" si="0"/>
        <v/>
      </c>
      <c r="C58" s="36"/>
      <c r="D58" s="36"/>
      <c r="E58" s="36"/>
      <c r="F58" s="36"/>
      <c r="G58" s="175"/>
      <c r="H58" s="187">
        <v>53</v>
      </c>
      <c r="I58" s="188" t="str">
        <f t="shared" si="1"/>
        <v/>
      </c>
      <c r="J58" s="188">
        <f t="shared" si="5"/>
        <v>-2</v>
      </c>
      <c r="K58" s="187">
        <f t="shared" si="2"/>
        <v>-20</v>
      </c>
      <c r="L58" s="187"/>
      <c r="M58" s="189">
        <f t="shared" si="3"/>
        <v>0</v>
      </c>
    </row>
    <row r="59" spans="1:13">
      <c r="A59" s="106">
        <f t="shared" si="4"/>
        <v>0</v>
      </c>
      <c r="B59" s="41" t="str">
        <f t="shared" si="0"/>
        <v/>
      </c>
      <c r="C59" s="42"/>
      <c r="D59" s="42"/>
      <c r="E59" s="42"/>
      <c r="F59" s="42"/>
      <c r="G59" s="175"/>
      <c r="H59" s="190">
        <v>54</v>
      </c>
      <c r="I59" s="191" t="str">
        <f t="shared" si="1"/>
        <v/>
      </c>
      <c r="J59" s="191">
        <f t="shared" si="5"/>
        <v>-2</v>
      </c>
      <c r="K59" s="190">
        <f t="shared" si="2"/>
        <v>-20</v>
      </c>
      <c r="L59" s="190"/>
      <c r="M59" s="192">
        <f t="shared" si="3"/>
        <v>0</v>
      </c>
    </row>
    <row r="60" spans="1:13">
      <c r="A60" s="106">
        <f t="shared" si="4"/>
        <v>0</v>
      </c>
      <c r="B60" s="35" t="str">
        <f t="shared" si="0"/>
        <v/>
      </c>
      <c r="C60" s="36"/>
      <c r="D60" s="36"/>
      <c r="E60" s="36"/>
      <c r="F60" s="36"/>
      <c r="G60" s="175"/>
      <c r="H60" s="187">
        <v>55</v>
      </c>
      <c r="I60" s="188" t="str">
        <f t="shared" si="1"/>
        <v/>
      </c>
      <c r="J60" s="188">
        <f t="shared" si="5"/>
        <v>-2</v>
      </c>
      <c r="K60" s="187">
        <f t="shared" si="2"/>
        <v>-20</v>
      </c>
      <c r="L60" s="187"/>
      <c r="M60" s="189">
        <f t="shared" si="3"/>
        <v>0</v>
      </c>
    </row>
    <row r="61" spans="1:13">
      <c r="A61" s="106">
        <f t="shared" si="4"/>
        <v>0</v>
      </c>
      <c r="B61" s="41" t="str">
        <f t="shared" si="0"/>
        <v/>
      </c>
      <c r="C61" s="42"/>
      <c r="D61" s="42"/>
      <c r="E61" s="42"/>
      <c r="F61" s="42"/>
      <c r="G61" s="175"/>
      <c r="H61" s="190">
        <v>56</v>
      </c>
      <c r="I61" s="191" t="str">
        <f t="shared" si="1"/>
        <v/>
      </c>
      <c r="J61" s="191">
        <f t="shared" si="5"/>
        <v>-2</v>
      </c>
      <c r="K61" s="190">
        <f t="shared" si="2"/>
        <v>-20</v>
      </c>
      <c r="L61" s="190"/>
      <c r="M61" s="192">
        <f t="shared" si="3"/>
        <v>0</v>
      </c>
    </row>
    <row r="62" spans="1:13">
      <c r="A62" s="106">
        <f t="shared" si="4"/>
        <v>0</v>
      </c>
      <c r="B62" s="35" t="str">
        <f t="shared" si="0"/>
        <v/>
      </c>
      <c r="C62" s="36"/>
      <c r="D62" s="36"/>
      <c r="E62" s="36"/>
      <c r="F62" s="36"/>
      <c r="G62" s="175"/>
      <c r="H62" s="187">
        <v>57</v>
      </c>
      <c r="I62" s="188" t="str">
        <f t="shared" si="1"/>
        <v/>
      </c>
      <c r="J62" s="188">
        <f t="shared" si="5"/>
        <v>-2</v>
      </c>
      <c r="K62" s="187">
        <f t="shared" si="2"/>
        <v>-20</v>
      </c>
      <c r="L62" s="187"/>
      <c r="M62" s="189">
        <f t="shared" si="3"/>
        <v>0</v>
      </c>
    </row>
    <row r="63" spans="1:13">
      <c r="A63" s="106">
        <f t="shared" si="4"/>
        <v>0</v>
      </c>
      <c r="B63" s="41" t="str">
        <f t="shared" si="0"/>
        <v/>
      </c>
      <c r="C63" s="42"/>
      <c r="D63" s="42"/>
      <c r="E63" s="42"/>
      <c r="F63" s="42"/>
      <c r="G63" s="175"/>
      <c r="H63" s="190">
        <v>58</v>
      </c>
      <c r="I63" s="191" t="str">
        <f t="shared" si="1"/>
        <v/>
      </c>
      <c r="J63" s="191">
        <f t="shared" si="5"/>
        <v>-2</v>
      </c>
      <c r="K63" s="190">
        <f t="shared" si="2"/>
        <v>-20</v>
      </c>
      <c r="L63" s="190"/>
      <c r="M63" s="192">
        <f t="shared" si="3"/>
        <v>0</v>
      </c>
    </row>
    <row r="64" spans="1:13">
      <c r="A64" s="106">
        <f t="shared" si="4"/>
        <v>0</v>
      </c>
      <c r="B64" s="35" t="str">
        <f t="shared" si="0"/>
        <v/>
      </c>
      <c r="C64" s="36"/>
      <c r="D64" s="36"/>
      <c r="E64" s="36"/>
      <c r="F64" s="36"/>
      <c r="G64" s="175"/>
      <c r="H64" s="187">
        <v>59</v>
      </c>
      <c r="I64" s="188" t="str">
        <f t="shared" si="1"/>
        <v/>
      </c>
      <c r="J64" s="188">
        <f t="shared" si="5"/>
        <v>-2</v>
      </c>
      <c r="K64" s="187">
        <f t="shared" si="2"/>
        <v>-20</v>
      </c>
      <c r="L64" s="187"/>
      <c r="M64" s="189">
        <f t="shared" si="3"/>
        <v>0</v>
      </c>
    </row>
    <row r="65" spans="1:13">
      <c r="A65" s="106">
        <f t="shared" si="4"/>
        <v>0</v>
      </c>
      <c r="B65" s="41" t="str">
        <f t="shared" si="0"/>
        <v/>
      </c>
      <c r="C65" s="42"/>
      <c r="D65" s="42"/>
      <c r="E65" s="42"/>
      <c r="F65" s="42"/>
      <c r="G65" s="175"/>
      <c r="H65" s="190">
        <v>60</v>
      </c>
      <c r="I65" s="191" t="str">
        <f t="shared" si="1"/>
        <v/>
      </c>
      <c r="J65" s="191">
        <f t="shared" si="5"/>
        <v>-2</v>
      </c>
      <c r="K65" s="190">
        <f t="shared" si="2"/>
        <v>-20</v>
      </c>
      <c r="L65" s="190"/>
      <c r="M65" s="192">
        <f t="shared" si="3"/>
        <v>0</v>
      </c>
    </row>
    <row r="66" spans="1:13">
      <c r="A66" s="106">
        <f t="shared" si="4"/>
        <v>0</v>
      </c>
      <c r="B66" s="35"/>
      <c r="G66" s="175"/>
      <c r="H66" s="187">
        <v>61</v>
      </c>
      <c r="I66" s="188" t="str">
        <f t="shared" si="1"/>
        <v/>
      </c>
      <c r="J66" s="188">
        <f t="shared" si="5"/>
        <v>-2</v>
      </c>
      <c r="K66" s="187">
        <f t="shared" si="2"/>
        <v>-20</v>
      </c>
      <c r="L66" s="187"/>
      <c r="M66" s="189">
        <f t="shared" si="3"/>
        <v>0</v>
      </c>
    </row>
    <row r="67" spans="1:13">
      <c r="A67" s="106">
        <f t="shared" si="4"/>
        <v>0</v>
      </c>
      <c r="B67" s="41"/>
      <c r="G67" s="175"/>
      <c r="H67" s="187">
        <v>62</v>
      </c>
      <c r="I67" s="188" t="str">
        <f t="shared" si="1"/>
        <v/>
      </c>
      <c r="J67" s="188">
        <f t="shared" si="5"/>
        <v>-2</v>
      </c>
      <c r="K67" s="187">
        <f t="shared" si="2"/>
        <v>-20</v>
      </c>
      <c r="L67" s="187"/>
      <c r="M67" s="189">
        <f t="shared" si="3"/>
        <v>0</v>
      </c>
    </row>
    <row r="68" spans="1:13">
      <c r="A68" s="106">
        <f t="shared" si="4"/>
        <v>0</v>
      </c>
      <c r="B68" s="35"/>
      <c r="G68" s="175"/>
      <c r="H68" s="187">
        <v>63</v>
      </c>
      <c r="I68" s="188" t="str">
        <f t="shared" si="1"/>
        <v/>
      </c>
      <c r="J68" s="188">
        <f t="shared" si="5"/>
        <v>-2</v>
      </c>
      <c r="K68" s="187">
        <f t="shared" si="2"/>
        <v>-20</v>
      </c>
      <c r="L68" s="187"/>
      <c r="M68" s="189">
        <f t="shared" si="3"/>
        <v>0</v>
      </c>
    </row>
    <row r="69" spans="1:13">
      <c r="A69" s="106">
        <f t="shared" si="4"/>
        <v>0</v>
      </c>
      <c r="B69" s="41"/>
      <c r="G69" s="175"/>
      <c r="H69" s="187">
        <v>64</v>
      </c>
      <c r="I69" s="188" t="str">
        <f t="shared" si="1"/>
        <v/>
      </c>
      <c r="J69" s="188">
        <f t="shared" si="5"/>
        <v>-2</v>
      </c>
      <c r="K69" s="187">
        <f t="shared" si="2"/>
        <v>-20</v>
      </c>
      <c r="L69" s="187"/>
      <c r="M69" s="189">
        <f t="shared" si="3"/>
        <v>0</v>
      </c>
    </row>
    <row r="70" spans="1:13">
      <c r="A70" s="106">
        <f t="shared" si="4"/>
        <v>0</v>
      </c>
      <c r="G70" s="175"/>
      <c r="H70" s="187">
        <v>65</v>
      </c>
      <c r="I70" s="188" t="str">
        <f t="shared" ref="I70:I133" si="8">IF(H70&lt;$H$2+1,($I$2-($I$2-1)*(LOG(H70)/LOG($H$2))),"")</f>
        <v/>
      </c>
      <c r="J70" s="188">
        <f t="shared" si="5"/>
        <v>-3</v>
      </c>
      <c r="K70" s="187">
        <f t="shared" ref="K70:K133" si="9">J70*$J$2</f>
        <v>-30</v>
      </c>
      <c r="L70" s="187"/>
      <c r="M70" s="189">
        <f t="shared" ref="M70:M133" si="10">IF(I70&lt;&gt;"",K70+I70+L70,0)</f>
        <v>0</v>
      </c>
    </row>
    <row r="71" spans="1:13">
      <c r="A71" s="106">
        <f t="shared" ref="A71:A79" si="11">M71</f>
        <v>0</v>
      </c>
      <c r="G71" s="175"/>
      <c r="H71" s="187">
        <v>66</v>
      </c>
      <c r="I71" s="188" t="str">
        <f t="shared" si="8"/>
        <v/>
      </c>
      <c r="J71" s="188">
        <f t="shared" ref="J71:J134" si="12">INT(LOG($H$2,2))-ROUNDUP(LOG(H71,2),0)+IF(OR($H$2=1,$H$2=2,$H$2=4,$H$2=8,$H$2=16,$H$2=32,$H$2=64,$H$2=128,$H$2=256),0,1)</f>
        <v>-3</v>
      </c>
      <c r="K71" s="187">
        <f t="shared" si="9"/>
        <v>-30</v>
      </c>
      <c r="L71" s="187"/>
      <c r="M71" s="189">
        <f t="shared" si="10"/>
        <v>0</v>
      </c>
    </row>
    <row r="72" spans="1:13">
      <c r="A72" s="106">
        <f t="shared" si="11"/>
        <v>0</v>
      </c>
      <c r="G72" s="175"/>
      <c r="H72" s="187">
        <v>67</v>
      </c>
      <c r="I72" s="188" t="str">
        <f t="shared" si="8"/>
        <v/>
      </c>
      <c r="J72" s="188">
        <f t="shared" si="12"/>
        <v>-3</v>
      </c>
      <c r="K72" s="187">
        <f t="shared" si="9"/>
        <v>-30</v>
      </c>
      <c r="L72" s="187"/>
      <c r="M72" s="189">
        <f t="shared" si="10"/>
        <v>0</v>
      </c>
    </row>
    <row r="73" spans="1:13">
      <c r="A73" s="106">
        <f t="shared" si="11"/>
        <v>0</v>
      </c>
      <c r="G73" s="175"/>
      <c r="H73" s="187">
        <v>68</v>
      </c>
      <c r="I73" s="188" t="str">
        <f t="shared" si="8"/>
        <v/>
      </c>
      <c r="J73" s="188">
        <f t="shared" si="12"/>
        <v>-3</v>
      </c>
      <c r="K73" s="187">
        <f t="shared" si="9"/>
        <v>-30</v>
      </c>
      <c r="L73" s="187"/>
      <c r="M73" s="189">
        <f t="shared" si="10"/>
        <v>0</v>
      </c>
    </row>
    <row r="74" spans="1:13">
      <c r="A74" s="106">
        <f t="shared" si="11"/>
        <v>0</v>
      </c>
      <c r="G74" s="175"/>
      <c r="H74" s="187">
        <v>69</v>
      </c>
      <c r="I74" s="188" t="str">
        <f t="shared" si="8"/>
        <v/>
      </c>
      <c r="J74" s="188">
        <f t="shared" si="12"/>
        <v>-3</v>
      </c>
      <c r="K74" s="187">
        <f t="shared" si="9"/>
        <v>-30</v>
      </c>
      <c r="L74" s="187"/>
      <c r="M74" s="189">
        <f t="shared" si="10"/>
        <v>0</v>
      </c>
    </row>
    <row r="75" spans="1:13">
      <c r="A75" s="106">
        <f t="shared" si="11"/>
        <v>0</v>
      </c>
      <c r="G75" s="175"/>
      <c r="H75" s="187">
        <v>70</v>
      </c>
      <c r="I75" s="188" t="str">
        <f t="shared" si="8"/>
        <v/>
      </c>
      <c r="J75" s="188">
        <f t="shared" si="12"/>
        <v>-3</v>
      </c>
      <c r="K75" s="187">
        <f t="shared" si="9"/>
        <v>-30</v>
      </c>
      <c r="L75" s="187"/>
      <c r="M75" s="189">
        <f t="shared" si="10"/>
        <v>0</v>
      </c>
    </row>
    <row r="76" spans="1:13">
      <c r="A76" s="106">
        <f t="shared" si="11"/>
        <v>0</v>
      </c>
      <c r="G76" s="175"/>
      <c r="H76" s="187">
        <v>71</v>
      </c>
      <c r="I76" s="188" t="str">
        <f t="shared" si="8"/>
        <v/>
      </c>
      <c r="J76" s="188">
        <f t="shared" si="12"/>
        <v>-3</v>
      </c>
      <c r="K76" s="187">
        <f t="shared" si="9"/>
        <v>-30</v>
      </c>
      <c r="L76" s="187"/>
      <c r="M76" s="189">
        <f t="shared" si="10"/>
        <v>0</v>
      </c>
    </row>
    <row r="77" spans="1:13">
      <c r="A77" s="106">
        <f t="shared" si="11"/>
        <v>0</v>
      </c>
      <c r="G77" s="175"/>
      <c r="H77" s="187">
        <v>72</v>
      </c>
      <c r="I77" s="188" t="str">
        <f t="shared" si="8"/>
        <v/>
      </c>
      <c r="J77" s="188">
        <f t="shared" si="12"/>
        <v>-3</v>
      </c>
      <c r="K77" s="187">
        <f t="shared" si="9"/>
        <v>-30</v>
      </c>
      <c r="L77" s="187"/>
      <c r="M77" s="189">
        <f t="shared" si="10"/>
        <v>0</v>
      </c>
    </row>
    <row r="78" spans="1:13">
      <c r="A78" s="106">
        <f t="shared" si="11"/>
        <v>0</v>
      </c>
      <c r="G78" s="175"/>
      <c r="H78" s="187">
        <v>73</v>
      </c>
      <c r="I78" s="188" t="str">
        <f t="shared" si="8"/>
        <v/>
      </c>
      <c r="J78" s="188">
        <f t="shared" si="12"/>
        <v>-3</v>
      </c>
      <c r="K78" s="187">
        <f t="shared" si="9"/>
        <v>-30</v>
      </c>
      <c r="L78" s="187"/>
      <c r="M78" s="189">
        <f t="shared" si="10"/>
        <v>0</v>
      </c>
    </row>
    <row r="79" spans="1:13">
      <c r="A79" s="106">
        <f t="shared" si="11"/>
        <v>0</v>
      </c>
      <c r="G79" s="175"/>
      <c r="H79" s="187">
        <v>74</v>
      </c>
      <c r="I79" s="188" t="str">
        <f t="shared" si="8"/>
        <v/>
      </c>
      <c r="J79" s="188">
        <f t="shared" si="12"/>
        <v>-3</v>
      </c>
      <c r="K79" s="187">
        <f t="shared" si="9"/>
        <v>-30</v>
      </c>
      <c r="L79" s="187"/>
      <c r="M79" s="189">
        <f t="shared" si="10"/>
        <v>0</v>
      </c>
    </row>
    <row r="80" spans="1:13">
      <c r="A80" s="102"/>
      <c r="G80" s="175"/>
      <c r="H80" s="187">
        <v>75</v>
      </c>
      <c r="I80" s="188" t="str">
        <f t="shared" si="8"/>
        <v/>
      </c>
      <c r="J80" s="188">
        <f t="shared" si="12"/>
        <v>-3</v>
      </c>
      <c r="K80" s="187">
        <f t="shared" si="9"/>
        <v>-30</v>
      </c>
      <c r="L80" s="187"/>
      <c r="M80" s="189">
        <f t="shared" si="10"/>
        <v>0</v>
      </c>
    </row>
    <row r="81" spans="1:13">
      <c r="A81" s="204"/>
      <c r="G81" s="175"/>
      <c r="H81" s="187">
        <v>76</v>
      </c>
      <c r="I81" s="188" t="str">
        <f t="shared" si="8"/>
        <v/>
      </c>
      <c r="J81" s="188">
        <f t="shared" si="12"/>
        <v>-3</v>
      </c>
      <c r="K81" s="187">
        <f t="shared" si="9"/>
        <v>-30</v>
      </c>
      <c r="L81" s="187"/>
      <c r="M81" s="189">
        <f t="shared" si="10"/>
        <v>0</v>
      </c>
    </row>
    <row r="82" spans="1:13">
      <c r="A82" s="204"/>
      <c r="G82" s="175"/>
      <c r="H82" s="187">
        <v>77</v>
      </c>
      <c r="I82" s="188" t="str">
        <f t="shared" si="8"/>
        <v/>
      </c>
      <c r="J82" s="188">
        <f t="shared" si="12"/>
        <v>-3</v>
      </c>
      <c r="K82" s="187">
        <f t="shared" si="9"/>
        <v>-30</v>
      </c>
      <c r="L82" s="187"/>
      <c r="M82" s="189">
        <f t="shared" si="10"/>
        <v>0</v>
      </c>
    </row>
    <row r="83" spans="1:13">
      <c r="A83" s="204"/>
      <c r="G83" s="175"/>
      <c r="H83" s="187">
        <v>78</v>
      </c>
      <c r="I83" s="188" t="str">
        <f t="shared" si="8"/>
        <v/>
      </c>
      <c r="J83" s="188">
        <f t="shared" si="12"/>
        <v>-3</v>
      </c>
      <c r="K83" s="187">
        <f t="shared" si="9"/>
        <v>-30</v>
      </c>
      <c r="L83" s="187"/>
      <c r="M83" s="189">
        <f t="shared" si="10"/>
        <v>0</v>
      </c>
    </row>
    <row r="84" spans="1:13">
      <c r="A84" s="204"/>
      <c r="G84" s="175"/>
      <c r="H84" s="187">
        <v>79</v>
      </c>
      <c r="I84" s="188" t="str">
        <f t="shared" si="8"/>
        <v/>
      </c>
      <c r="J84" s="188">
        <f t="shared" si="12"/>
        <v>-3</v>
      </c>
      <c r="K84" s="187">
        <f t="shared" si="9"/>
        <v>-30</v>
      </c>
      <c r="L84" s="187"/>
      <c r="M84" s="189">
        <f t="shared" si="10"/>
        <v>0</v>
      </c>
    </row>
    <row r="85" spans="1:13">
      <c r="A85" s="204"/>
      <c r="G85" s="175"/>
      <c r="H85" s="187">
        <v>80</v>
      </c>
      <c r="I85" s="188" t="str">
        <f t="shared" si="8"/>
        <v/>
      </c>
      <c r="J85" s="188">
        <f t="shared" si="12"/>
        <v>-3</v>
      </c>
      <c r="K85" s="187">
        <f t="shared" si="9"/>
        <v>-30</v>
      </c>
      <c r="L85" s="187"/>
      <c r="M85" s="189">
        <f t="shared" si="10"/>
        <v>0</v>
      </c>
    </row>
    <row r="86" spans="1:13">
      <c r="A86" s="204"/>
      <c r="G86" s="175"/>
      <c r="H86" s="187">
        <v>81</v>
      </c>
      <c r="I86" s="188" t="str">
        <f t="shared" si="8"/>
        <v/>
      </c>
      <c r="J86" s="188">
        <f t="shared" si="12"/>
        <v>-3</v>
      </c>
      <c r="K86" s="187">
        <f t="shared" si="9"/>
        <v>-30</v>
      </c>
      <c r="L86" s="187"/>
      <c r="M86" s="189">
        <f t="shared" si="10"/>
        <v>0</v>
      </c>
    </row>
    <row r="87" spans="1:13">
      <c r="A87" s="204"/>
      <c r="G87" s="175"/>
      <c r="H87" s="187">
        <v>82</v>
      </c>
      <c r="I87" s="188" t="str">
        <f t="shared" si="8"/>
        <v/>
      </c>
      <c r="J87" s="188">
        <f t="shared" si="12"/>
        <v>-3</v>
      </c>
      <c r="K87" s="187">
        <f t="shared" si="9"/>
        <v>-30</v>
      </c>
      <c r="L87" s="187"/>
      <c r="M87" s="189">
        <f t="shared" si="10"/>
        <v>0</v>
      </c>
    </row>
    <row r="88" spans="1:13">
      <c r="A88" s="204"/>
      <c r="G88" s="175"/>
      <c r="H88" s="187">
        <v>83</v>
      </c>
      <c r="I88" s="188" t="str">
        <f t="shared" si="8"/>
        <v/>
      </c>
      <c r="J88" s="188">
        <f t="shared" si="12"/>
        <v>-3</v>
      </c>
      <c r="K88" s="187">
        <f t="shared" si="9"/>
        <v>-30</v>
      </c>
      <c r="L88" s="187"/>
      <c r="M88" s="189">
        <f t="shared" si="10"/>
        <v>0</v>
      </c>
    </row>
    <row r="89" spans="1:13">
      <c r="A89" s="204"/>
      <c r="G89" s="175"/>
      <c r="H89" s="187">
        <v>84</v>
      </c>
      <c r="I89" s="188" t="str">
        <f t="shared" si="8"/>
        <v/>
      </c>
      <c r="J89" s="188">
        <f t="shared" si="12"/>
        <v>-3</v>
      </c>
      <c r="K89" s="187">
        <f t="shared" si="9"/>
        <v>-30</v>
      </c>
      <c r="L89" s="187"/>
      <c r="M89" s="189">
        <f t="shared" si="10"/>
        <v>0</v>
      </c>
    </row>
    <row r="90" spans="1:13">
      <c r="A90" s="204"/>
      <c r="G90" s="175"/>
      <c r="H90" s="187">
        <v>85</v>
      </c>
      <c r="I90" s="188" t="str">
        <f t="shared" si="8"/>
        <v/>
      </c>
      <c r="J90" s="188">
        <f t="shared" si="12"/>
        <v>-3</v>
      </c>
      <c r="K90" s="187">
        <f t="shared" si="9"/>
        <v>-30</v>
      </c>
      <c r="L90" s="187"/>
      <c r="M90" s="189">
        <f t="shared" si="10"/>
        <v>0</v>
      </c>
    </row>
    <row r="91" spans="1:13">
      <c r="A91" s="204"/>
      <c r="G91" s="175"/>
      <c r="H91" s="187">
        <v>86</v>
      </c>
      <c r="I91" s="188" t="str">
        <f t="shared" si="8"/>
        <v/>
      </c>
      <c r="J91" s="188">
        <f t="shared" si="12"/>
        <v>-3</v>
      </c>
      <c r="K91" s="187">
        <f t="shared" si="9"/>
        <v>-30</v>
      </c>
      <c r="L91" s="187"/>
      <c r="M91" s="189">
        <f t="shared" si="10"/>
        <v>0</v>
      </c>
    </row>
    <row r="92" spans="1:13">
      <c r="A92" s="204"/>
      <c r="G92" s="175"/>
      <c r="H92" s="187">
        <v>87</v>
      </c>
      <c r="I92" s="188" t="str">
        <f t="shared" si="8"/>
        <v/>
      </c>
      <c r="J92" s="188">
        <f t="shared" si="12"/>
        <v>-3</v>
      </c>
      <c r="K92" s="187">
        <f t="shared" si="9"/>
        <v>-30</v>
      </c>
      <c r="L92" s="187"/>
      <c r="M92" s="189">
        <f t="shared" si="10"/>
        <v>0</v>
      </c>
    </row>
    <row r="93" spans="1:13">
      <c r="A93" s="204"/>
      <c r="G93" s="175"/>
      <c r="H93" s="187">
        <v>88</v>
      </c>
      <c r="I93" s="188" t="str">
        <f t="shared" si="8"/>
        <v/>
      </c>
      <c r="J93" s="188">
        <f t="shared" si="12"/>
        <v>-3</v>
      </c>
      <c r="K93" s="187">
        <f t="shared" si="9"/>
        <v>-30</v>
      </c>
      <c r="L93" s="187"/>
      <c r="M93" s="189">
        <f t="shared" si="10"/>
        <v>0</v>
      </c>
    </row>
    <row r="94" spans="1:13">
      <c r="A94" s="204"/>
      <c r="G94" s="175"/>
      <c r="H94" s="187">
        <v>89</v>
      </c>
      <c r="I94" s="188" t="str">
        <f t="shared" si="8"/>
        <v/>
      </c>
      <c r="J94" s="188">
        <f t="shared" si="12"/>
        <v>-3</v>
      </c>
      <c r="K94" s="187">
        <f t="shared" si="9"/>
        <v>-30</v>
      </c>
      <c r="L94" s="187"/>
      <c r="M94" s="189">
        <f t="shared" si="10"/>
        <v>0</v>
      </c>
    </row>
    <row r="95" spans="1:13">
      <c r="A95" s="204"/>
      <c r="G95" s="175"/>
      <c r="H95" s="187">
        <v>90</v>
      </c>
      <c r="I95" s="188" t="str">
        <f t="shared" si="8"/>
        <v/>
      </c>
      <c r="J95" s="188">
        <f t="shared" si="12"/>
        <v>-3</v>
      </c>
      <c r="K95" s="187">
        <f t="shared" si="9"/>
        <v>-30</v>
      </c>
      <c r="L95" s="187"/>
      <c r="M95" s="189">
        <f t="shared" si="10"/>
        <v>0</v>
      </c>
    </row>
    <row r="96" spans="1:13">
      <c r="A96" s="204"/>
      <c r="G96" s="175"/>
      <c r="H96" s="187">
        <v>91</v>
      </c>
      <c r="I96" s="188" t="str">
        <f t="shared" si="8"/>
        <v/>
      </c>
      <c r="J96" s="188">
        <f t="shared" si="12"/>
        <v>-3</v>
      </c>
      <c r="K96" s="187">
        <f t="shared" si="9"/>
        <v>-30</v>
      </c>
      <c r="L96" s="187"/>
      <c r="M96" s="189">
        <f t="shared" si="10"/>
        <v>0</v>
      </c>
    </row>
    <row r="97" spans="1:13">
      <c r="A97" s="204"/>
      <c r="G97" s="175"/>
      <c r="H97" s="187">
        <v>92</v>
      </c>
      <c r="I97" s="188" t="str">
        <f t="shared" si="8"/>
        <v/>
      </c>
      <c r="J97" s="188">
        <f t="shared" si="12"/>
        <v>-3</v>
      </c>
      <c r="K97" s="187">
        <f t="shared" si="9"/>
        <v>-30</v>
      </c>
      <c r="L97" s="187"/>
      <c r="M97" s="189">
        <f t="shared" si="10"/>
        <v>0</v>
      </c>
    </row>
    <row r="98" spans="1:13">
      <c r="A98" s="204"/>
      <c r="G98" s="175"/>
      <c r="H98" s="187">
        <v>93</v>
      </c>
      <c r="I98" s="188" t="str">
        <f t="shared" si="8"/>
        <v/>
      </c>
      <c r="J98" s="188">
        <f t="shared" si="12"/>
        <v>-3</v>
      </c>
      <c r="K98" s="187">
        <f t="shared" si="9"/>
        <v>-30</v>
      </c>
      <c r="L98" s="187"/>
      <c r="M98" s="189">
        <f t="shared" si="10"/>
        <v>0</v>
      </c>
    </row>
    <row r="99" spans="1:13">
      <c r="A99" s="204"/>
      <c r="G99" s="175"/>
      <c r="H99" s="187">
        <v>94</v>
      </c>
      <c r="I99" s="188" t="str">
        <f t="shared" si="8"/>
        <v/>
      </c>
      <c r="J99" s="188">
        <f t="shared" si="12"/>
        <v>-3</v>
      </c>
      <c r="K99" s="187">
        <f t="shared" si="9"/>
        <v>-30</v>
      </c>
      <c r="L99" s="187"/>
      <c r="M99" s="189">
        <f t="shared" si="10"/>
        <v>0</v>
      </c>
    </row>
    <row r="100" spans="1:13">
      <c r="A100" s="204"/>
      <c r="G100" s="175"/>
      <c r="H100" s="187">
        <v>95</v>
      </c>
      <c r="I100" s="188" t="str">
        <f t="shared" si="8"/>
        <v/>
      </c>
      <c r="J100" s="188">
        <f t="shared" si="12"/>
        <v>-3</v>
      </c>
      <c r="K100" s="187">
        <f t="shared" si="9"/>
        <v>-30</v>
      </c>
      <c r="L100" s="187"/>
      <c r="M100" s="189">
        <f t="shared" si="10"/>
        <v>0</v>
      </c>
    </row>
    <row r="101" spans="1:13">
      <c r="A101" s="204"/>
      <c r="G101" s="175"/>
      <c r="H101" s="187">
        <v>96</v>
      </c>
      <c r="I101" s="188" t="str">
        <f t="shared" si="8"/>
        <v/>
      </c>
      <c r="J101" s="188">
        <f t="shared" si="12"/>
        <v>-3</v>
      </c>
      <c r="K101" s="187">
        <f t="shared" si="9"/>
        <v>-30</v>
      </c>
      <c r="L101" s="187"/>
      <c r="M101" s="189">
        <f t="shared" si="10"/>
        <v>0</v>
      </c>
    </row>
    <row r="102" spans="1:13">
      <c r="A102" s="204"/>
      <c r="G102" s="175"/>
      <c r="H102" s="187">
        <v>97</v>
      </c>
      <c r="I102" s="188" t="str">
        <f t="shared" si="8"/>
        <v/>
      </c>
      <c r="J102" s="188">
        <f t="shared" si="12"/>
        <v>-3</v>
      </c>
      <c r="K102" s="187">
        <f t="shared" si="9"/>
        <v>-30</v>
      </c>
      <c r="L102" s="187"/>
      <c r="M102" s="189">
        <f t="shared" si="10"/>
        <v>0</v>
      </c>
    </row>
    <row r="103" spans="1:13">
      <c r="A103" s="204"/>
      <c r="G103" s="175"/>
      <c r="H103" s="187">
        <v>98</v>
      </c>
      <c r="I103" s="188" t="str">
        <f t="shared" si="8"/>
        <v/>
      </c>
      <c r="J103" s="188">
        <f t="shared" si="12"/>
        <v>-3</v>
      </c>
      <c r="K103" s="187">
        <f t="shared" si="9"/>
        <v>-30</v>
      </c>
      <c r="L103" s="187"/>
      <c r="M103" s="189">
        <f t="shared" si="10"/>
        <v>0</v>
      </c>
    </row>
    <row r="104" spans="1:13">
      <c r="A104" s="204"/>
      <c r="G104" s="175"/>
      <c r="H104" s="187">
        <v>99</v>
      </c>
      <c r="I104" s="188" t="str">
        <f t="shared" si="8"/>
        <v/>
      </c>
      <c r="J104" s="188">
        <f t="shared" si="12"/>
        <v>-3</v>
      </c>
      <c r="K104" s="187">
        <f t="shared" si="9"/>
        <v>-30</v>
      </c>
      <c r="L104" s="187"/>
      <c r="M104" s="189">
        <f t="shared" si="10"/>
        <v>0</v>
      </c>
    </row>
    <row r="105" spans="1:13">
      <c r="A105" s="204"/>
      <c r="G105" s="175"/>
      <c r="H105" s="187">
        <v>100</v>
      </c>
      <c r="I105" s="188" t="str">
        <f t="shared" si="8"/>
        <v/>
      </c>
      <c r="J105" s="188">
        <f t="shared" si="12"/>
        <v>-3</v>
      </c>
      <c r="K105" s="187">
        <f t="shared" si="9"/>
        <v>-30</v>
      </c>
      <c r="L105" s="187"/>
      <c r="M105" s="189">
        <f t="shared" si="10"/>
        <v>0</v>
      </c>
    </row>
    <row r="106" spans="1:13">
      <c r="A106" s="204"/>
      <c r="G106" s="175"/>
      <c r="H106" s="187">
        <v>101</v>
      </c>
      <c r="I106" s="188" t="str">
        <f t="shared" si="8"/>
        <v/>
      </c>
      <c r="J106" s="188">
        <f t="shared" si="12"/>
        <v>-3</v>
      </c>
      <c r="K106" s="187">
        <f t="shared" si="9"/>
        <v>-30</v>
      </c>
      <c r="L106" s="187"/>
      <c r="M106" s="189">
        <f t="shared" si="10"/>
        <v>0</v>
      </c>
    </row>
    <row r="107" spans="1:13">
      <c r="A107" s="204"/>
      <c r="G107" s="175"/>
      <c r="H107" s="187">
        <v>102</v>
      </c>
      <c r="I107" s="188" t="str">
        <f t="shared" si="8"/>
        <v/>
      </c>
      <c r="J107" s="188">
        <f t="shared" si="12"/>
        <v>-3</v>
      </c>
      <c r="K107" s="187">
        <f t="shared" si="9"/>
        <v>-30</v>
      </c>
      <c r="L107" s="187"/>
      <c r="M107" s="189">
        <f t="shared" si="10"/>
        <v>0</v>
      </c>
    </row>
    <row r="108" spans="1:13">
      <c r="A108" s="204"/>
      <c r="G108" s="175"/>
      <c r="H108" s="187">
        <v>103</v>
      </c>
      <c r="I108" s="188" t="str">
        <f t="shared" si="8"/>
        <v/>
      </c>
      <c r="J108" s="188">
        <f t="shared" si="12"/>
        <v>-3</v>
      </c>
      <c r="K108" s="187">
        <f t="shared" si="9"/>
        <v>-30</v>
      </c>
      <c r="L108" s="187"/>
      <c r="M108" s="189">
        <f t="shared" si="10"/>
        <v>0</v>
      </c>
    </row>
    <row r="109" spans="1:13">
      <c r="A109" s="204"/>
      <c r="G109" s="175"/>
      <c r="H109" s="187">
        <v>104</v>
      </c>
      <c r="I109" s="188" t="str">
        <f t="shared" si="8"/>
        <v/>
      </c>
      <c r="J109" s="188">
        <f t="shared" si="12"/>
        <v>-3</v>
      </c>
      <c r="K109" s="187">
        <f t="shared" si="9"/>
        <v>-30</v>
      </c>
      <c r="L109" s="187"/>
      <c r="M109" s="189">
        <f t="shared" si="10"/>
        <v>0</v>
      </c>
    </row>
    <row r="110" spans="1:13">
      <c r="A110" s="204"/>
      <c r="G110" s="175"/>
      <c r="H110" s="187">
        <v>105</v>
      </c>
      <c r="I110" s="188" t="str">
        <f t="shared" si="8"/>
        <v/>
      </c>
      <c r="J110" s="188">
        <f t="shared" si="12"/>
        <v>-3</v>
      </c>
      <c r="K110" s="187">
        <f t="shared" si="9"/>
        <v>-30</v>
      </c>
      <c r="L110" s="187"/>
      <c r="M110" s="189">
        <f t="shared" si="10"/>
        <v>0</v>
      </c>
    </row>
    <row r="111" spans="1:13">
      <c r="A111" s="204"/>
      <c r="G111" s="175"/>
      <c r="H111" s="187">
        <v>106</v>
      </c>
      <c r="I111" s="188" t="str">
        <f t="shared" si="8"/>
        <v/>
      </c>
      <c r="J111" s="188">
        <f t="shared" si="12"/>
        <v>-3</v>
      </c>
      <c r="K111" s="187">
        <f t="shared" si="9"/>
        <v>-30</v>
      </c>
      <c r="L111" s="187"/>
      <c r="M111" s="189">
        <f t="shared" si="10"/>
        <v>0</v>
      </c>
    </row>
    <row r="112" spans="1:13">
      <c r="A112" s="204"/>
      <c r="G112" s="175"/>
      <c r="H112" s="187">
        <v>107</v>
      </c>
      <c r="I112" s="188" t="str">
        <f t="shared" si="8"/>
        <v/>
      </c>
      <c r="J112" s="188">
        <f t="shared" si="12"/>
        <v>-3</v>
      </c>
      <c r="K112" s="187">
        <f t="shared" si="9"/>
        <v>-30</v>
      </c>
      <c r="L112" s="187"/>
      <c r="M112" s="189">
        <f t="shared" si="10"/>
        <v>0</v>
      </c>
    </row>
    <row r="113" spans="1:13">
      <c r="A113" s="204"/>
      <c r="G113" s="175"/>
      <c r="H113" s="187">
        <v>108</v>
      </c>
      <c r="I113" s="188" t="str">
        <f t="shared" si="8"/>
        <v/>
      </c>
      <c r="J113" s="188">
        <f t="shared" si="12"/>
        <v>-3</v>
      </c>
      <c r="K113" s="187">
        <f t="shared" si="9"/>
        <v>-30</v>
      </c>
      <c r="L113" s="187"/>
      <c r="M113" s="189">
        <f t="shared" si="10"/>
        <v>0</v>
      </c>
    </row>
    <row r="114" spans="1:13">
      <c r="A114" s="204"/>
      <c r="G114" s="175"/>
      <c r="H114" s="187">
        <v>109</v>
      </c>
      <c r="I114" s="188" t="str">
        <f t="shared" si="8"/>
        <v/>
      </c>
      <c r="J114" s="188">
        <f t="shared" si="12"/>
        <v>-3</v>
      </c>
      <c r="K114" s="187">
        <f t="shared" si="9"/>
        <v>-30</v>
      </c>
      <c r="L114" s="187"/>
      <c r="M114" s="189">
        <f t="shared" si="10"/>
        <v>0</v>
      </c>
    </row>
    <row r="115" spans="1:13">
      <c r="A115" s="204"/>
      <c r="G115" s="175"/>
      <c r="H115" s="187">
        <v>110</v>
      </c>
      <c r="I115" s="188" t="str">
        <f t="shared" si="8"/>
        <v/>
      </c>
      <c r="J115" s="188">
        <f t="shared" si="12"/>
        <v>-3</v>
      </c>
      <c r="K115" s="187">
        <f t="shared" si="9"/>
        <v>-30</v>
      </c>
      <c r="L115" s="187"/>
      <c r="M115" s="189">
        <f t="shared" si="10"/>
        <v>0</v>
      </c>
    </row>
    <row r="116" spans="1:13">
      <c r="A116" s="204"/>
      <c r="G116" s="175"/>
      <c r="H116" s="187">
        <v>111</v>
      </c>
      <c r="I116" s="188" t="str">
        <f t="shared" si="8"/>
        <v/>
      </c>
      <c r="J116" s="188">
        <f t="shared" si="12"/>
        <v>-3</v>
      </c>
      <c r="K116" s="187">
        <f t="shared" si="9"/>
        <v>-30</v>
      </c>
      <c r="L116" s="187"/>
      <c r="M116" s="189">
        <f t="shared" si="10"/>
        <v>0</v>
      </c>
    </row>
    <row r="117" spans="1:13">
      <c r="A117" s="204"/>
      <c r="G117" s="175"/>
      <c r="H117" s="187">
        <v>112</v>
      </c>
      <c r="I117" s="188" t="str">
        <f t="shared" si="8"/>
        <v/>
      </c>
      <c r="J117" s="188">
        <f t="shared" si="12"/>
        <v>-3</v>
      </c>
      <c r="K117" s="187">
        <f t="shared" si="9"/>
        <v>-30</v>
      </c>
      <c r="L117" s="187"/>
      <c r="M117" s="189">
        <f t="shared" si="10"/>
        <v>0</v>
      </c>
    </row>
    <row r="118" spans="1:13">
      <c r="A118" s="204"/>
      <c r="G118" s="175"/>
      <c r="H118" s="187">
        <v>113</v>
      </c>
      <c r="I118" s="188" t="str">
        <f t="shared" si="8"/>
        <v/>
      </c>
      <c r="J118" s="188">
        <f t="shared" si="12"/>
        <v>-3</v>
      </c>
      <c r="K118" s="187">
        <f t="shared" si="9"/>
        <v>-30</v>
      </c>
      <c r="L118" s="187"/>
      <c r="M118" s="189">
        <f t="shared" si="10"/>
        <v>0</v>
      </c>
    </row>
    <row r="119" spans="1:13">
      <c r="A119" s="204"/>
      <c r="G119" s="175"/>
      <c r="H119" s="187">
        <v>114</v>
      </c>
      <c r="I119" s="188" t="str">
        <f t="shared" si="8"/>
        <v/>
      </c>
      <c r="J119" s="188">
        <f t="shared" si="12"/>
        <v>-3</v>
      </c>
      <c r="K119" s="187">
        <f t="shared" si="9"/>
        <v>-30</v>
      </c>
      <c r="L119" s="187"/>
      <c r="M119" s="189">
        <f t="shared" si="10"/>
        <v>0</v>
      </c>
    </row>
    <row r="120" spans="1:13">
      <c r="A120" s="204"/>
      <c r="G120" s="175"/>
      <c r="H120" s="187">
        <v>115</v>
      </c>
      <c r="I120" s="188" t="str">
        <f t="shared" si="8"/>
        <v/>
      </c>
      <c r="J120" s="188">
        <f t="shared" si="12"/>
        <v>-3</v>
      </c>
      <c r="K120" s="187">
        <f t="shared" si="9"/>
        <v>-30</v>
      </c>
      <c r="L120" s="187"/>
      <c r="M120" s="189">
        <f t="shared" si="10"/>
        <v>0</v>
      </c>
    </row>
    <row r="121" spans="1:13">
      <c r="A121" s="204"/>
      <c r="G121" s="175"/>
      <c r="H121" s="187">
        <v>116</v>
      </c>
      <c r="I121" s="188" t="str">
        <f t="shared" si="8"/>
        <v/>
      </c>
      <c r="J121" s="188">
        <f t="shared" si="12"/>
        <v>-3</v>
      </c>
      <c r="K121" s="187">
        <f t="shared" si="9"/>
        <v>-30</v>
      </c>
      <c r="L121" s="187"/>
      <c r="M121" s="189">
        <f t="shared" si="10"/>
        <v>0</v>
      </c>
    </row>
    <row r="122" spans="1:13">
      <c r="A122" s="204"/>
      <c r="G122" s="175"/>
      <c r="H122" s="187">
        <v>117</v>
      </c>
      <c r="I122" s="188" t="str">
        <f t="shared" si="8"/>
        <v/>
      </c>
      <c r="J122" s="188">
        <f t="shared" si="12"/>
        <v>-3</v>
      </c>
      <c r="K122" s="187">
        <f t="shared" si="9"/>
        <v>-30</v>
      </c>
      <c r="L122" s="187"/>
      <c r="M122" s="189">
        <f t="shared" si="10"/>
        <v>0</v>
      </c>
    </row>
    <row r="123" spans="1:13">
      <c r="A123" s="204"/>
      <c r="G123" s="175"/>
      <c r="H123" s="187">
        <v>118</v>
      </c>
      <c r="I123" s="188" t="str">
        <f t="shared" si="8"/>
        <v/>
      </c>
      <c r="J123" s="188">
        <f t="shared" si="12"/>
        <v>-3</v>
      </c>
      <c r="K123" s="187">
        <f t="shared" si="9"/>
        <v>-30</v>
      </c>
      <c r="L123" s="187"/>
      <c r="M123" s="189">
        <f t="shared" si="10"/>
        <v>0</v>
      </c>
    </row>
    <row r="124" spans="1:13">
      <c r="A124" s="204"/>
      <c r="G124" s="175"/>
      <c r="H124" s="187">
        <v>119</v>
      </c>
      <c r="I124" s="188" t="str">
        <f t="shared" si="8"/>
        <v/>
      </c>
      <c r="J124" s="188">
        <f t="shared" si="12"/>
        <v>-3</v>
      </c>
      <c r="K124" s="187">
        <f t="shared" si="9"/>
        <v>-30</v>
      </c>
      <c r="L124" s="187"/>
      <c r="M124" s="189">
        <f t="shared" si="10"/>
        <v>0</v>
      </c>
    </row>
    <row r="125" spans="1:13">
      <c r="A125" s="204"/>
      <c r="G125" s="175"/>
      <c r="H125" s="187">
        <v>120</v>
      </c>
      <c r="I125" s="188" t="str">
        <f t="shared" si="8"/>
        <v/>
      </c>
      <c r="J125" s="188">
        <f t="shared" si="12"/>
        <v>-3</v>
      </c>
      <c r="K125" s="187">
        <f t="shared" si="9"/>
        <v>-30</v>
      </c>
      <c r="L125" s="187"/>
      <c r="M125" s="189">
        <f t="shared" si="10"/>
        <v>0</v>
      </c>
    </row>
    <row r="126" spans="1:13">
      <c r="A126" s="204"/>
      <c r="G126" s="175"/>
      <c r="H126" s="187">
        <v>121</v>
      </c>
      <c r="I126" s="188" t="str">
        <f t="shared" si="8"/>
        <v/>
      </c>
      <c r="J126" s="188">
        <f t="shared" si="12"/>
        <v>-3</v>
      </c>
      <c r="K126" s="187">
        <f t="shared" si="9"/>
        <v>-30</v>
      </c>
      <c r="L126" s="187"/>
      <c r="M126" s="189">
        <f t="shared" si="10"/>
        <v>0</v>
      </c>
    </row>
    <row r="127" spans="1:13">
      <c r="A127" s="204"/>
      <c r="G127" s="175"/>
      <c r="H127" s="187">
        <v>122</v>
      </c>
      <c r="I127" s="188" t="str">
        <f t="shared" si="8"/>
        <v/>
      </c>
      <c r="J127" s="188">
        <f t="shared" si="12"/>
        <v>-3</v>
      </c>
      <c r="K127" s="187">
        <f t="shared" si="9"/>
        <v>-30</v>
      </c>
      <c r="L127" s="187"/>
      <c r="M127" s="189">
        <f t="shared" si="10"/>
        <v>0</v>
      </c>
    </row>
    <row r="128" spans="1:13">
      <c r="A128" s="204"/>
      <c r="G128" s="175"/>
      <c r="H128" s="187">
        <v>123</v>
      </c>
      <c r="I128" s="188" t="str">
        <f t="shared" si="8"/>
        <v/>
      </c>
      <c r="J128" s="188">
        <f t="shared" si="12"/>
        <v>-3</v>
      </c>
      <c r="K128" s="187">
        <f t="shared" si="9"/>
        <v>-30</v>
      </c>
      <c r="L128" s="187"/>
      <c r="M128" s="189">
        <f t="shared" si="10"/>
        <v>0</v>
      </c>
    </row>
    <row r="129" spans="1:13">
      <c r="A129" s="204"/>
      <c r="G129" s="175"/>
      <c r="H129" s="187">
        <v>124</v>
      </c>
      <c r="I129" s="188" t="str">
        <f t="shared" si="8"/>
        <v/>
      </c>
      <c r="J129" s="188">
        <f t="shared" si="12"/>
        <v>-3</v>
      </c>
      <c r="K129" s="187">
        <f t="shared" si="9"/>
        <v>-30</v>
      </c>
      <c r="L129" s="187"/>
      <c r="M129" s="189">
        <f t="shared" si="10"/>
        <v>0</v>
      </c>
    </row>
    <row r="130" spans="1:13">
      <c r="A130" s="204"/>
      <c r="G130" s="175"/>
      <c r="H130" s="187">
        <v>125</v>
      </c>
      <c r="I130" s="188" t="str">
        <f t="shared" si="8"/>
        <v/>
      </c>
      <c r="J130" s="188">
        <f t="shared" si="12"/>
        <v>-3</v>
      </c>
      <c r="K130" s="187">
        <f t="shared" si="9"/>
        <v>-30</v>
      </c>
      <c r="L130" s="187"/>
      <c r="M130" s="189">
        <f t="shared" si="10"/>
        <v>0</v>
      </c>
    </row>
    <row r="131" spans="1:13">
      <c r="A131" s="204"/>
      <c r="G131" s="175"/>
      <c r="H131" s="187">
        <v>126</v>
      </c>
      <c r="I131" s="188" t="str">
        <f t="shared" si="8"/>
        <v/>
      </c>
      <c r="J131" s="188">
        <f t="shared" si="12"/>
        <v>-3</v>
      </c>
      <c r="K131" s="187">
        <f t="shared" si="9"/>
        <v>-30</v>
      </c>
      <c r="L131" s="187"/>
      <c r="M131" s="189">
        <f t="shared" si="10"/>
        <v>0</v>
      </c>
    </row>
    <row r="132" spans="1:13">
      <c r="A132" s="204"/>
      <c r="G132" s="175"/>
      <c r="H132" s="187">
        <v>127</v>
      </c>
      <c r="I132" s="188" t="str">
        <f t="shared" si="8"/>
        <v/>
      </c>
      <c r="J132" s="188">
        <f t="shared" si="12"/>
        <v>-3</v>
      </c>
      <c r="K132" s="187">
        <f t="shared" si="9"/>
        <v>-30</v>
      </c>
      <c r="L132" s="187"/>
      <c r="M132" s="189">
        <f t="shared" si="10"/>
        <v>0</v>
      </c>
    </row>
    <row r="133" spans="1:13">
      <c r="A133" s="204"/>
      <c r="G133" s="175"/>
      <c r="H133" s="187">
        <v>128</v>
      </c>
      <c r="I133" s="188" t="str">
        <f t="shared" si="8"/>
        <v/>
      </c>
      <c r="J133" s="188">
        <f t="shared" si="12"/>
        <v>-3</v>
      </c>
      <c r="K133" s="187">
        <f t="shared" si="9"/>
        <v>-30</v>
      </c>
      <c r="L133" s="187"/>
      <c r="M133" s="189">
        <f t="shared" si="10"/>
        <v>0</v>
      </c>
    </row>
    <row r="134" spans="1:13">
      <c r="A134" s="204"/>
      <c r="G134" s="175"/>
      <c r="H134" s="187">
        <v>129</v>
      </c>
      <c r="I134" s="188" t="str">
        <f t="shared" ref="I134:I197" si="13">IF(H134&lt;$H$2+1,($I$2-($I$2-1)*(LOG(H134)/LOG($H$2))),"")</f>
        <v/>
      </c>
      <c r="J134" s="188">
        <f t="shared" si="12"/>
        <v>-4</v>
      </c>
      <c r="K134" s="187">
        <f t="shared" ref="K134:K197" si="14">J134*$J$2</f>
        <v>-40</v>
      </c>
      <c r="L134" s="187"/>
      <c r="M134" s="189">
        <f t="shared" ref="M134:M197" si="15">IF(I134&lt;&gt;"",K134+I134+L134,0)</f>
        <v>0</v>
      </c>
    </row>
    <row r="135" spans="1:13">
      <c r="A135" s="204"/>
      <c r="G135" s="175"/>
      <c r="H135" s="187">
        <v>130</v>
      </c>
      <c r="I135" s="188" t="str">
        <f t="shared" si="13"/>
        <v/>
      </c>
      <c r="J135" s="188">
        <f t="shared" ref="J135:J198" si="16">INT(LOG($H$2,2))-ROUNDUP(LOG(H135,2),0)+IF(OR($H$2=1,$H$2=2,$H$2=4,$H$2=8,$H$2=16,$H$2=32,$H$2=64,$H$2=128,$H$2=256),0,1)</f>
        <v>-4</v>
      </c>
      <c r="K135" s="187">
        <f t="shared" si="14"/>
        <v>-40</v>
      </c>
      <c r="L135" s="187"/>
      <c r="M135" s="189">
        <f t="shared" si="15"/>
        <v>0</v>
      </c>
    </row>
    <row r="136" spans="1:13">
      <c r="A136" s="204"/>
      <c r="G136" s="175"/>
      <c r="H136" s="187">
        <v>131</v>
      </c>
      <c r="I136" s="188" t="str">
        <f t="shared" si="13"/>
        <v/>
      </c>
      <c r="J136" s="188">
        <f t="shared" si="16"/>
        <v>-4</v>
      </c>
      <c r="K136" s="187">
        <f t="shared" si="14"/>
        <v>-40</v>
      </c>
      <c r="L136" s="187"/>
      <c r="M136" s="189">
        <f t="shared" si="15"/>
        <v>0</v>
      </c>
    </row>
    <row r="137" spans="1:13">
      <c r="A137" s="204"/>
      <c r="G137" s="175"/>
      <c r="H137" s="187">
        <v>132</v>
      </c>
      <c r="I137" s="188" t="str">
        <f t="shared" si="13"/>
        <v/>
      </c>
      <c r="J137" s="188">
        <f t="shared" si="16"/>
        <v>-4</v>
      </c>
      <c r="K137" s="187">
        <f t="shared" si="14"/>
        <v>-40</v>
      </c>
      <c r="L137" s="187"/>
      <c r="M137" s="189">
        <f t="shared" si="15"/>
        <v>0</v>
      </c>
    </row>
    <row r="138" spans="1:13">
      <c r="A138" s="204"/>
      <c r="G138" s="175"/>
      <c r="H138" s="187">
        <v>133</v>
      </c>
      <c r="I138" s="188" t="str">
        <f t="shared" si="13"/>
        <v/>
      </c>
      <c r="J138" s="188">
        <f t="shared" si="16"/>
        <v>-4</v>
      </c>
      <c r="K138" s="187">
        <f t="shared" si="14"/>
        <v>-40</v>
      </c>
      <c r="L138" s="187"/>
      <c r="M138" s="189">
        <f t="shared" si="15"/>
        <v>0</v>
      </c>
    </row>
    <row r="139" spans="1:13">
      <c r="A139" s="204"/>
      <c r="G139" s="175"/>
      <c r="H139" s="187">
        <v>134</v>
      </c>
      <c r="I139" s="188" t="str">
        <f t="shared" si="13"/>
        <v/>
      </c>
      <c r="J139" s="188">
        <f t="shared" si="16"/>
        <v>-4</v>
      </c>
      <c r="K139" s="187">
        <f t="shared" si="14"/>
        <v>-40</v>
      </c>
      <c r="L139" s="187"/>
      <c r="M139" s="189">
        <f t="shared" si="15"/>
        <v>0</v>
      </c>
    </row>
    <row r="140" spans="1:13">
      <c r="A140" s="204"/>
      <c r="G140" s="175"/>
      <c r="H140" s="187">
        <v>135</v>
      </c>
      <c r="I140" s="188" t="str">
        <f t="shared" si="13"/>
        <v/>
      </c>
      <c r="J140" s="188">
        <f t="shared" si="16"/>
        <v>-4</v>
      </c>
      <c r="K140" s="187">
        <f t="shared" si="14"/>
        <v>-40</v>
      </c>
      <c r="L140" s="187"/>
      <c r="M140" s="189">
        <f t="shared" si="15"/>
        <v>0</v>
      </c>
    </row>
    <row r="141" spans="1:13">
      <c r="A141" s="204"/>
      <c r="G141" s="175"/>
      <c r="H141" s="187">
        <v>136</v>
      </c>
      <c r="I141" s="188" t="str">
        <f t="shared" si="13"/>
        <v/>
      </c>
      <c r="J141" s="188">
        <f t="shared" si="16"/>
        <v>-4</v>
      </c>
      <c r="K141" s="187">
        <f t="shared" si="14"/>
        <v>-40</v>
      </c>
      <c r="L141" s="187"/>
      <c r="M141" s="189">
        <f t="shared" si="15"/>
        <v>0</v>
      </c>
    </row>
    <row r="142" spans="1:13">
      <c r="A142" s="204"/>
      <c r="G142" s="175"/>
      <c r="H142" s="187">
        <v>137</v>
      </c>
      <c r="I142" s="188" t="str">
        <f t="shared" si="13"/>
        <v/>
      </c>
      <c r="J142" s="188">
        <f t="shared" si="16"/>
        <v>-4</v>
      </c>
      <c r="K142" s="187">
        <f t="shared" si="14"/>
        <v>-40</v>
      </c>
      <c r="L142" s="187"/>
      <c r="M142" s="189">
        <f t="shared" si="15"/>
        <v>0</v>
      </c>
    </row>
    <row r="143" spans="1:13">
      <c r="A143" s="204"/>
      <c r="G143" s="175"/>
      <c r="H143" s="187">
        <v>138</v>
      </c>
      <c r="I143" s="188" t="str">
        <f t="shared" si="13"/>
        <v/>
      </c>
      <c r="J143" s="188">
        <f t="shared" si="16"/>
        <v>-4</v>
      </c>
      <c r="K143" s="187">
        <f t="shared" si="14"/>
        <v>-40</v>
      </c>
      <c r="L143" s="187"/>
      <c r="M143" s="189">
        <f t="shared" si="15"/>
        <v>0</v>
      </c>
    </row>
    <row r="144" spans="1:13">
      <c r="A144" s="204"/>
      <c r="G144" s="175"/>
      <c r="H144" s="187">
        <v>139</v>
      </c>
      <c r="I144" s="188" t="str">
        <f t="shared" si="13"/>
        <v/>
      </c>
      <c r="J144" s="188">
        <f t="shared" si="16"/>
        <v>-4</v>
      </c>
      <c r="K144" s="187">
        <f t="shared" si="14"/>
        <v>-40</v>
      </c>
      <c r="L144" s="187"/>
      <c r="M144" s="189">
        <f t="shared" si="15"/>
        <v>0</v>
      </c>
    </row>
    <row r="145" spans="1:13">
      <c r="A145" s="204"/>
      <c r="G145" s="175"/>
      <c r="H145" s="187">
        <v>140</v>
      </c>
      <c r="I145" s="188" t="str">
        <f t="shared" si="13"/>
        <v/>
      </c>
      <c r="J145" s="188">
        <f t="shared" si="16"/>
        <v>-4</v>
      </c>
      <c r="K145" s="187">
        <f t="shared" si="14"/>
        <v>-40</v>
      </c>
      <c r="L145" s="187"/>
      <c r="M145" s="189">
        <f t="shared" si="15"/>
        <v>0</v>
      </c>
    </row>
    <row r="146" spans="1:13">
      <c r="A146" s="204"/>
      <c r="G146" s="175"/>
      <c r="H146" s="187">
        <v>141</v>
      </c>
      <c r="I146" s="188" t="str">
        <f t="shared" si="13"/>
        <v/>
      </c>
      <c r="J146" s="188">
        <f t="shared" si="16"/>
        <v>-4</v>
      </c>
      <c r="K146" s="187">
        <f t="shared" si="14"/>
        <v>-40</v>
      </c>
      <c r="L146" s="187"/>
      <c r="M146" s="189">
        <f t="shared" si="15"/>
        <v>0</v>
      </c>
    </row>
    <row r="147" spans="1:13">
      <c r="A147" s="204"/>
      <c r="G147" s="175"/>
      <c r="H147" s="187">
        <v>142</v>
      </c>
      <c r="I147" s="188" t="str">
        <f t="shared" si="13"/>
        <v/>
      </c>
      <c r="J147" s="188">
        <f t="shared" si="16"/>
        <v>-4</v>
      </c>
      <c r="K147" s="187">
        <f t="shared" si="14"/>
        <v>-40</v>
      </c>
      <c r="L147" s="187"/>
      <c r="M147" s="189">
        <f t="shared" si="15"/>
        <v>0</v>
      </c>
    </row>
    <row r="148" spans="1:13">
      <c r="A148" s="204"/>
      <c r="G148" s="175"/>
      <c r="H148" s="187">
        <v>143</v>
      </c>
      <c r="I148" s="188" t="str">
        <f t="shared" si="13"/>
        <v/>
      </c>
      <c r="J148" s="188">
        <f t="shared" si="16"/>
        <v>-4</v>
      </c>
      <c r="K148" s="187">
        <f t="shared" si="14"/>
        <v>-40</v>
      </c>
      <c r="L148" s="187"/>
      <c r="M148" s="189">
        <f t="shared" si="15"/>
        <v>0</v>
      </c>
    </row>
    <row r="149" spans="1:13">
      <c r="A149" s="204"/>
      <c r="G149" s="175"/>
      <c r="H149" s="187">
        <v>144</v>
      </c>
      <c r="I149" s="188" t="str">
        <f t="shared" si="13"/>
        <v/>
      </c>
      <c r="J149" s="188">
        <f t="shared" si="16"/>
        <v>-4</v>
      </c>
      <c r="K149" s="187">
        <f t="shared" si="14"/>
        <v>-40</v>
      </c>
      <c r="L149" s="187"/>
      <c r="M149" s="189">
        <f t="shared" si="15"/>
        <v>0</v>
      </c>
    </row>
    <row r="150" spans="1:13">
      <c r="A150" s="204"/>
      <c r="G150" s="175"/>
      <c r="H150" s="187">
        <v>145</v>
      </c>
      <c r="I150" s="188" t="str">
        <f t="shared" si="13"/>
        <v/>
      </c>
      <c r="J150" s="188">
        <f t="shared" si="16"/>
        <v>-4</v>
      </c>
      <c r="K150" s="187">
        <f t="shared" si="14"/>
        <v>-40</v>
      </c>
      <c r="L150" s="187"/>
      <c r="M150" s="189">
        <f t="shared" si="15"/>
        <v>0</v>
      </c>
    </row>
    <row r="151" spans="1:13">
      <c r="A151" s="204"/>
      <c r="G151" s="175"/>
      <c r="H151" s="187">
        <v>146</v>
      </c>
      <c r="I151" s="188" t="str">
        <f t="shared" si="13"/>
        <v/>
      </c>
      <c r="J151" s="188">
        <f t="shared" si="16"/>
        <v>-4</v>
      </c>
      <c r="K151" s="187">
        <f t="shared" si="14"/>
        <v>-40</v>
      </c>
      <c r="L151" s="187"/>
      <c r="M151" s="189">
        <f t="shared" si="15"/>
        <v>0</v>
      </c>
    </row>
    <row r="152" spans="1:13">
      <c r="A152" s="204"/>
      <c r="G152" s="175"/>
      <c r="H152" s="187">
        <v>147</v>
      </c>
      <c r="I152" s="188" t="str">
        <f t="shared" si="13"/>
        <v/>
      </c>
      <c r="J152" s="188">
        <f t="shared" si="16"/>
        <v>-4</v>
      </c>
      <c r="K152" s="187">
        <f t="shared" si="14"/>
        <v>-40</v>
      </c>
      <c r="L152" s="187"/>
      <c r="M152" s="189">
        <f t="shared" si="15"/>
        <v>0</v>
      </c>
    </row>
    <row r="153" spans="1:13">
      <c r="A153" s="204"/>
      <c r="G153" s="175"/>
      <c r="H153" s="187">
        <v>148</v>
      </c>
      <c r="I153" s="188" t="str">
        <f t="shared" si="13"/>
        <v/>
      </c>
      <c r="J153" s="188">
        <f t="shared" si="16"/>
        <v>-4</v>
      </c>
      <c r="K153" s="187">
        <f t="shared" si="14"/>
        <v>-40</v>
      </c>
      <c r="L153" s="187"/>
      <c r="M153" s="189">
        <f t="shared" si="15"/>
        <v>0</v>
      </c>
    </row>
    <row r="154" spans="1:13">
      <c r="A154" s="204"/>
      <c r="G154" s="175"/>
      <c r="H154" s="187">
        <v>149</v>
      </c>
      <c r="I154" s="188" t="str">
        <f t="shared" si="13"/>
        <v/>
      </c>
      <c r="J154" s="188">
        <f t="shared" si="16"/>
        <v>-4</v>
      </c>
      <c r="K154" s="187">
        <f t="shared" si="14"/>
        <v>-40</v>
      </c>
      <c r="L154" s="187"/>
      <c r="M154" s="189">
        <f t="shared" si="15"/>
        <v>0</v>
      </c>
    </row>
    <row r="155" spans="1:13">
      <c r="A155" s="204"/>
      <c r="G155" s="175"/>
      <c r="H155" s="187">
        <v>150</v>
      </c>
      <c r="I155" s="188" t="str">
        <f t="shared" si="13"/>
        <v/>
      </c>
      <c r="J155" s="188">
        <f t="shared" si="16"/>
        <v>-4</v>
      </c>
      <c r="K155" s="187">
        <f t="shared" si="14"/>
        <v>-40</v>
      </c>
      <c r="L155" s="187"/>
      <c r="M155" s="189">
        <f t="shared" si="15"/>
        <v>0</v>
      </c>
    </row>
    <row r="156" spans="1:13">
      <c r="A156" s="204"/>
      <c r="G156" s="175"/>
      <c r="H156" s="187">
        <v>151</v>
      </c>
      <c r="I156" s="188" t="str">
        <f t="shared" si="13"/>
        <v/>
      </c>
      <c r="J156" s="188">
        <f t="shared" si="16"/>
        <v>-4</v>
      </c>
      <c r="K156" s="187">
        <f t="shared" si="14"/>
        <v>-40</v>
      </c>
      <c r="L156" s="187"/>
      <c r="M156" s="189">
        <f t="shared" si="15"/>
        <v>0</v>
      </c>
    </row>
    <row r="157" spans="1:13">
      <c r="A157" s="204"/>
      <c r="G157" s="175"/>
      <c r="H157" s="187">
        <v>152</v>
      </c>
      <c r="I157" s="188" t="str">
        <f t="shared" si="13"/>
        <v/>
      </c>
      <c r="J157" s="188">
        <f t="shared" si="16"/>
        <v>-4</v>
      </c>
      <c r="K157" s="187">
        <f t="shared" si="14"/>
        <v>-40</v>
      </c>
      <c r="L157" s="187"/>
      <c r="M157" s="189">
        <f t="shared" si="15"/>
        <v>0</v>
      </c>
    </row>
    <row r="158" spans="1:13">
      <c r="A158" s="204"/>
      <c r="G158" s="175"/>
      <c r="H158" s="187">
        <v>153</v>
      </c>
      <c r="I158" s="188" t="str">
        <f t="shared" si="13"/>
        <v/>
      </c>
      <c r="J158" s="188">
        <f t="shared" si="16"/>
        <v>-4</v>
      </c>
      <c r="K158" s="187">
        <f t="shared" si="14"/>
        <v>-40</v>
      </c>
      <c r="L158" s="187"/>
      <c r="M158" s="189">
        <f t="shared" si="15"/>
        <v>0</v>
      </c>
    </row>
    <row r="159" spans="1:13">
      <c r="A159" s="204"/>
      <c r="G159" s="175"/>
      <c r="H159" s="187">
        <v>154</v>
      </c>
      <c r="I159" s="188" t="str">
        <f t="shared" si="13"/>
        <v/>
      </c>
      <c r="J159" s="188">
        <f t="shared" si="16"/>
        <v>-4</v>
      </c>
      <c r="K159" s="187">
        <f t="shared" si="14"/>
        <v>-40</v>
      </c>
      <c r="L159" s="187"/>
      <c r="M159" s="189">
        <f t="shared" si="15"/>
        <v>0</v>
      </c>
    </row>
    <row r="160" spans="1:13">
      <c r="A160" s="204"/>
      <c r="G160" s="175"/>
      <c r="H160" s="187">
        <v>155</v>
      </c>
      <c r="I160" s="188" t="str">
        <f t="shared" si="13"/>
        <v/>
      </c>
      <c r="J160" s="188">
        <f t="shared" si="16"/>
        <v>-4</v>
      </c>
      <c r="K160" s="187">
        <f t="shared" si="14"/>
        <v>-40</v>
      </c>
      <c r="L160" s="187"/>
      <c r="M160" s="189">
        <f t="shared" si="15"/>
        <v>0</v>
      </c>
    </row>
    <row r="161" spans="1:13">
      <c r="A161" s="204"/>
      <c r="G161" s="175"/>
      <c r="H161" s="187">
        <v>156</v>
      </c>
      <c r="I161" s="188" t="str">
        <f t="shared" si="13"/>
        <v/>
      </c>
      <c r="J161" s="188">
        <f t="shared" si="16"/>
        <v>-4</v>
      </c>
      <c r="K161" s="187">
        <f t="shared" si="14"/>
        <v>-40</v>
      </c>
      <c r="L161" s="187"/>
      <c r="M161" s="189">
        <f t="shared" si="15"/>
        <v>0</v>
      </c>
    </row>
    <row r="162" spans="1:13">
      <c r="A162" s="204"/>
      <c r="G162" s="175"/>
      <c r="H162" s="187">
        <v>157</v>
      </c>
      <c r="I162" s="188" t="str">
        <f t="shared" si="13"/>
        <v/>
      </c>
      <c r="J162" s="188">
        <f t="shared" si="16"/>
        <v>-4</v>
      </c>
      <c r="K162" s="187">
        <f t="shared" si="14"/>
        <v>-40</v>
      </c>
      <c r="L162" s="187"/>
      <c r="M162" s="189">
        <f t="shared" si="15"/>
        <v>0</v>
      </c>
    </row>
    <row r="163" spans="1:13">
      <c r="A163" s="204"/>
      <c r="G163" s="175"/>
      <c r="H163" s="187">
        <v>158</v>
      </c>
      <c r="I163" s="188" t="str">
        <f t="shared" si="13"/>
        <v/>
      </c>
      <c r="J163" s="188">
        <f t="shared" si="16"/>
        <v>-4</v>
      </c>
      <c r="K163" s="187">
        <f t="shared" si="14"/>
        <v>-40</v>
      </c>
      <c r="L163" s="187"/>
      <c r="M163" s="189">
        <f t="shared" si="15"/>
        <v>0</v>
      </c>
    </row>
    <row r="164" spans="1:13">
      <c r="A164" s="204"/>
      <c r="G164" s="175"/>
      <c r="H164" s="187">
        <v>159</v>
      </c>
      <c r="I164" s="188" t="str">
        <f t="shared" si="13"/>
        <v/>
      </c>
      <c r="J164" s="188">
        <f t="shared" si="16"/>
        <v>-4</v>
      </c>
      <c r="K164" s="187">
        <f t="shared" si="14"/>
        <v>-40</v>
      </c>
      <c r="L164" s="187"/>
      <c r="M164" s="189">
        <f t="shared" si="15"/>
        <v>0</v>
      </c>
    </row>
    <row r="165" spans="1:13">
      <c r="A165" s="204"/>
      <c r="G165" s="175"/>
      <c r="H165" s="187">
        <v>160</v>
      </c>
      <c r="I165" s="188" t="str">
        <f t="shared" si="13"/>
        <v/>
      </c>
      <c r="J165" s="188">
        <f t="shared" si="16"/>
        <v>-4</v>
      </c>
      <c r="K165" s="187">
        <f t="shared" si="14"/>
        <v>-40</v>
      </c>
      <c r="L165" s="187"/>
      <c r="M165" s="189">
        <f t="shared" si="15"/>
        <v>0</v>
      </c>
    </row>
    <row r="166" spans="1:13">
      <c r="A166" s="204"/>
      <c r="G166" s="175"/>
      <c r="H166" s="187">
        <v>161</v>
      </c>
      <c r="I166" s="188" t="str">
        <f t="shared" si="13"/>
        <v/>
      </c>
      <c r="J166" s="188">
        <f t="shared" si="16"/>
        <v>-4</v>
      </c>
      <c r="K166" s="187">
        <f t="shared" si="14"/>
        <v>-40</v>
      </c>
      <c r="L166" s="187"/>
      <c r="M166" s="189">
        <f t="shared" si="15"/>
        <v>0</v>
      </c>
    </row>
    <row r="167" spans="1:13">
      <c r="A167" s="204"/>
      <c r="G167" s="175"/>
      <c r="H167" s="187">
        <v>162</v>
      </c>
      <c r="I167" s="188" t="str">
        <f t="shared" si="13"/>
        <v/>
      </c>
      <c r="J167" s="188">
        <f t="shared" si="16"/>
        <v>-4</v>
      </c>
      <c r="K167" s="187">
        <f t="shared" si="14"/>
        <v>-40</v>
      </c>
      <c r="L167" s="187"/>
      <c r="M167" s="189">
        <f t="shared" si="15"/>
        <v>0</v>
      </c>
    </row>
    <row r="168" spans="1:13">
      <c r="A168" s="204"/>
      <c r="G168" s="175"/>
      <c r="H168" s="187">
        <v>163</v>
      </c>
      <c r="I168" s="188" t="str">
        <f t="shared" si="13"/>
        <v/>
      </c>
      <c r="J168" s="188">
        <f t="shared" si="16"/>
        <v>-4</v>
      </c>
      <c r="K168" s="187">
        <f t="shared" si="14"/>
        <v>-40</v>
      </c>
      <c r="L168" s="187"/>
      <c r="M168" s="189">
        <f t="shared" si="15"/>
        <v>0</v>
      </c>
    </row>
    <row r="169" spans="1:13">
      <c r="A169" s="204"/>
      <c r="C169" s="203" t="s">
        <v>57</v>
      </c>
      <c r="G169" s="175"/>
      <c r="H169" s="187">
        <v>164</v>
      </c>
      <c r="I169" s="188" t="str">
        <f t="shared" si="13"/>
        <v/>
      </c>
      <c r="J169" s="188">
        <f t="shared" si="16"/>
        <v>-4</v>
      </c>
      <c r="K169" s="187">
        <f t="shared" si="14"/>
        <v>-40</v>
      </c>
      <c r="L169" s="187"/>
      <c r="M169" s="189">
        <f t="shared" si="15"/>
        <v>0</v>
      </c>
    </row>
    <row r="170" spans="1:13">
      <c r="A170" s="204"/>
      <c r="G170" s="175"/>
      <c r="H170" s="187">
        <v>165</v>
      </c>
      <c r="I170" s="188" t="str">
        <f t="shared" si="13"/>
        <v/>
      </c>
      <c r="J170" s="188">
        <f t="shared" si="16"/>
        <v>-4</v>
      </c>
      <c r="K170" s="187">
        <f t="shared" si="14"/>
        <v>-40</v>
      </c>
      <c r="L170" s="187"/>
      <c r="M170" s="189">
        <f t="shared" si="15"/>
        <v>0</v>
      </c>
    </row>
    <row r="171" spans="1:13">
      <c r="A171" s="204"/>
      <c r="G171" s="175"/>
      <c r="H171" s="187">
        <v>166</v>
      </c>
      <c r="I171" s="188" t="str">
        <f t="shared" si="13"/>
        <v/>
      </c>
      <c r="J171" s="188">
        <f t="shared" si="16"/>
        <v>-4</v>
      </c>
      <c r="K171" s="187">
        <f t="shared" si="14"/>
        <v>-40</v>
      </c>
      <c r="L171" s="187"/>
      <c r="M171" s="189">
        <f t="shared" si="15"/>
        <v>0</v>
      </c>
    </row>
    <row r="172" spans="1:13">
      <c r="A172" s="204"/>
      <c r="G172" s="175"/>
      <c r="H172" s="187">
        <v>167</v>
      </c>
      <c r="I172" s="188" t="str">
        <f t="shared" si="13"/>
        <v/>
      </c>
      <c r="J172" s="188">
        <f t="shared" si="16"/>
        <v>-4</v>
      </c>
      <c r="K172" s="187">
        <f t="shared" si="14"/>
        <v>-40</v>
      </c>
      <c r="L172" s="187"/>
      <c r="M172" s="189">
        <f t="shared" si="15"/>
        <v>0</v>
      </c>
    </row>
    <row r="173" spans="1:13">
      <c r="A173" s="204"/>
      <c r="G173" s="175"/>
      <c r="H173" s="187">
        <v>168</v>
      </c>
      <c r="I173" s="188" t="str">
        <f t="shared" si="13"/>
        <v/>
      </c>
      <c r="J173" s="188">
        <f t="shared" si="16"/>
        <v>-4</v>
      </c>
      <c r="K173" s="187">
        <f t="shared" si="14"/>
        <v>-40</v>
      </c>
      <c r="L173" s="187"/>
      <c r="M173" s="189">
        <f t="shared" si="15"/>
        <v>0</v>
      </c>
    </row>
    <row r="174" spans="1:13">
      <c r="A174" s="204"/>
      <c r="G174" s="175"/>
      <c r="H174" s="187">
        <v>169</v>
      </c>
      <c r="I174" s="188" t="str">
        <f t="shared" si="13"/>
        <v/>
      </c>
      <c r="J174" s="188">
        <f t="shared" si="16"/>
        <v>-4</v>
      </c>
      <c r="K174" s="187">
        <f t="shared" si="14"/>
        <v>-40</v>
      </c>
      <c r="L174" s="187"/>
      <c r="M174" s="189">
        <f t="shared" si="15"/>
        <v>0</v>
      </c>
    </row>
    <row r="175" spans="1:13">
      <c r="A175" s="204"/>
      <c r="G175" s="175"/>
      <c r="H175" s="187">
        <v>170</v>
      </c>
      <c r="I175" s="188" t="str">
        <f t="shared" si="13"/>
        <v/>
      </c>
      <c r="J175" s="188">
        <f t="shared" si="16"/>
        <v>-4</v>
      </c>
      <c r="K175" s="187">
        <f t="shared" si="14"/>
        <v>-40</v>
      </c>
      <c r="L175" s="187"/>
      <c r="M175" s="189">
        <f t="shared" si="15"/>
        <v>0</v>
      </c>
    </row>
    <row r="176" spans="1:13">
      <c r="A176" s="204"/>
      <c r="G176" s="175"/>
      <c r="H176" s="187">
        <v>171</v>
      </c>
      <c r="I176" s="188" t="str">
        <f t="shared" si="13"/>
        <v/>
      </c>
      <c r="J176" s="188">
        <f t="shared" si="16"/>
        <v>-4</v>
      </c>
      <c r="K176" s="187">
        <f t="shared" si="14"/>
        <v>-40</v>
      </c>
      <c r="L176" s="187"/>
      <c r="M176" s="189">
        <f t="shared" si="15"/>
        <v>0</v>
      </c>
    </row>
    <row r="177" spans="1:13">
      <c r="A177" s="204"/>
      <c r="G177" s="175"/>
      <c r="H177" s="187">
        <v>172</v>
      </c>
      <c r="I177" s="188" t="str">
        <f t="shared" si="13"/>
        <v/>
      </c>
      <c r="J177" s="188">
        <f t="shared" si="16"/>
        <v>-4</v>
      </c>
      <c r="K177" s="187">
        <f t="shared" si="14"/>
        <v>-40</v>
      </c>
      <c r="L177" s="187"/>
      <c r="M177" s="189">
        <f t="shared" si="15"/>
        <v>0</v>
      </c>
    </row>
    <row r="178" spans="1:13">
      <c r="A178" s="204"/>
      <c r="G178" s="175"/>
      <c r="H178" s="187">
        <v>173</v>
      </c>
      <c r="I178" s="188" t="str">
        <f t="shared" si="13"/>
        <v/>
      </c>
      <c r="J178" s="188">
        <f t="shared" si="16"/>
        <v>-4</v>
      </c>
      <c r="K178" s="187">
        <f t="shared" si="14"/>
        <v>-40</v>
      </c>
      <c r="L178" s="187"/>
      <c r="M178" s="189">
        <f t="shared" si="15"/>
        <v>0</v>
      </c>
    </row>
    <row r="179" spans="1:13">
      <c r="A179" s="204"/>
      <c r="G179" s="175"/>
      <c r="H179" s="187">
        <v>174</v>
      </c>
      <c r="I179" s="188" t="str">
        <f t="shared" si="13"/>
        <v/>
      </c>
      <c r="J179" s="188">
        <f t="shared" si="16"/>
        <v>-4</v>
      </c>
      <c r="K179" s="187">
        <f t="shared" si="14"/>
        <v>-40</v>
      </c>
      <c r="L179" s="187"/>
      <c r="M179" s="189">
        <f t="shared" si="15"/>
        <v>0</v>
      </c>
    </row>
    <row r="180" spans="1:13">
      <c r="A180" s="204"/>
      <c r="G180" s="175"/>
      <c r="H180" s="187">
        <v>175</v>
      </c>
      <c r="I180" s="188" t="str">
        <f t="shared" si="13"/>
        <v/>
      </c>
      <c r="J180" s="188">
        <f t="shared" si="16"/>
        <v>-4</v>
      </c>
      <c r="K180" s="187">
        <f t="shared" si="14"/>
        <v>-40</v>
      </c>
      <c r="L180" s="187"/>
      <c r="M180" s="189">
        <f t="shared" si="15"/>
        <v>0</v>
      </c>
    </row>
    <row r="181" spans="1:13">
      <c r="A181" s="204"/>
      <c r="G181" s="175"/>
      <c r="H181" s="187">
        <v>176</v>
      </c>
      <c r="I181" s="188" t="str">
        <f t="shared" si="13"/>
        <v/>
      </c>
      <c r="J181" s="188">
        <f t="shared" si="16"/>
        <v>-4</v>
      </c>
      <c r="K181" s="187">
        <f t="shared" si="14"/>
        <v>-40</v>
      </c>
      <c r="L181" s="187"/>
      <c r="M181" s="189">
        <f t="shared" si="15"/>
        <v>0</v>
      </c>
    </row>
    <row r="182" spans="1:13">
      <c r="A182" s="204"/>
      <c r="G182" s="175"/>
      <c r="H182" s="187">
        <v>177</v>
      </c>
      <c r="I182" s="188" t="str">
        <f t="shared" si="13"/>
        <v/>
      </c>
      <c r="J182" s="188">
        <f t="shared" si="16"/>
        <v>-4</v>
      </c>
      <c r="K182" s="187">
        <f t="shared" si="14"/>
        <v>-40</v>
      </c>
      <c r="L182" s="187"/>
      <c r="M182" s="189">
        <f t="shared" si="15"/>
        <v>0</v>
      </c>
    </row>
    <row r="183" spans="1:13">
      <c r="A183" s="204"/>
      <c r="G183" s="175"/>
      <c r="H183" s="187">
        <v>178</v>
      </c>
      <c r="I183" s="188" t="str">
        <f t="shared" si="13"/>
        <v/>
      </c>
      <c r="J183" s="188">
        <f t="shared" si="16"/>
        <v>-4</v>
      </c>
      <c r="K183" s="187">
        <f t="shared" si="14"/>
        <v>-40</v>
      </c>
      <c r="L183" s="187"/>
      <c r="M183" s="189">
        <f t="shared" si="15"/>
        <v>0</v>
      </c>
    </row>
    <row r="184" spans="1:13">
      <c r="A184" s="204"/>
      <c r="G184" s="175"/>
      <c r="H184" s="187">
        <v>179</v>
      </c>
      <c r="I184" s="188" t="str">
        <f t="shared" si="13"/>
        <v/>
      </c>
      <c r="J184" s="188">
        <f t="shared" si="16"/>
        <v>-4</v>
      </c>
      <c r="K184" s="187">
        <f t="shared" si="14"/>
        <v>-40</v>
      </c>
      <c r="L184" s="187"/>
      <c r="M184" s="189">
        <f t="shared" si="15"/>
        <v>0</v>
      </c>
    </row>
    <row r="185" spans="1:13">
      <c r="A185" s="204"/>
      <c r="G185" s="175"/>
      <c r="H185" s="187">
        <v>180</v>
      </c>
      <c r="I185" s="188" t="str">
        <f t="shared" si="13"/>
        <v/>
      </c>
      <c r="J185" s="188">
        <f t="shared" si="16"/>
        <v>-4</v>
      </c>
      <c r="K185" s="187">
        <f t="shared" si="14"/>
        <v>-40</v>
      </c>
      <c r="L185" s="187"/>
      <c r="M185" s="189">
        <f t="shared" si="15"/>
        <v>0</v>
      </c>
    </row>
    <row r="186" spans="1:13">
      <c r="A186" s="204"/>
      <c r="G186" s="175"/>
      <c r="H186" s="187">
        <v>181</v>
      </c>
      <c r="I186" s="188" t="str">
        <f t="shared" si="13"/>
        <v/>
      </c>
      <c r="J186" s="188">
        <f t="shared" si="16"/>
        <v>-4</v>
      </c>
      <c r="K186" s="187">
        <f t="shared" si="14"/>
        <v>-40</v>
      </c>
      <c r="L186" s="187"/>
      <c r="M186" s="189">
        <f t="shared" si="15"/>
        <v>0</v>
      </c>
    </row>
    <row r="187" spans="1:13">
      <c r="A187" s="204"/>
      <c r="G187" s="175"/>
      <c r="H187" s="187">
        <v>182</v>
      </c>
      <c r="I187" s="188" t="str">
        <f t="shared" si="13"/>
        <v/>
      </c>
      <c r="J187" s="188">
        <f t="shared" si="16"/>
        <v>-4</v>
      </c>
      <c r="K187" s="187">
        <f t="shared" si="14"/>
        <v>-40</v>
      </c>
      <c r="L187" s="187"/>
      <c r="M187" s="189">
        <f t="shared" si="15"/>
        <v>0</v>
      </c>
    </row>
    <row r="188" spans="1:13">
      <c r="A188" s="204"/>
      <c r="G188" s="175"/>
      <c r="H188" s="187">
        <v>183</v>
      </c>
      <c r="I188" s="188" t="str">
        <f t="shared" si="13"/>
        <v/>
      </c>
      <c r="J188" s="188">
        <f t="shared" si="16"/>
        <v>-4</v>
      </c>
      <c r="K188" s="187">
        <f t="shared" si="14"/>
        <v>-40</v>
      </c>
      <c r="L188" s="187"/>
      <c r="M188" s="189">
        <f t="shared" si="15"/>
        <v>0</v>
      </c>
    </row>
    <row r="189" spans="1:13">
      <c r="A189" s="204"/>
      <c r="G189" s="175"/>
      <c r="H189" s="187">
        <v>184</v>
      </c>
      <c r="I189" s="188" t="str">
        <f t="shared" si="13"/>
        <v/>
      </c>
      <c r="J189" s="188">
        <f t="shared" si="16"/>
        <v>-4</v>
      </c>
      <c r="K189" s="187">
        <f t="shared" si="14"/>
        <v>-40</v>
      </c>
      <c r="L189" s="187"/>
      <c r="M189" s="189">
        <f t="shared" si="15"/>
        <v>0</v>
      </c>
    </row>
    <row r="190" spans="1:13">
      <c r="A190" s="204"/>
      <c r="G190" s="175"/>
      <c r="H190" s="187">
        <v>185</v>
      </c>
      <c r="I190" s="188" t="str">
        <f t="shared" si="13"/>
        <v/>
      </c>
      <c r="J190" s="188">
        <f t="shared" si="16"/>
        <v>-4</v>
      </c>
      <c r="K190" s="187">
        <f t="shared" si="14"/>
        <v>-40</v>
      </c>
      <c r="L190" s="187"/>
      <c r="M190" s="189">
        <f t="shared" si="15"/>
        <v>0</v>
      </c>
    </row>
    <row r="191" spans="1:13">
      <c r="A191" s="204"/>
      <c r="G191" s="175"/>
      <c r="H191" s="187">
        <v>186</v>
      </c>
      <c r="I191" s="188" t="str">
        <f t="shared" si="13"/>
        <v/>
      </c>
      <c r="J191" s="188">
        <f t="shared" si="16"/>
        <v>-4</v>
      </c>
      <c r="K191" s="187">
        <f t="shared" si="14"/>
        <v>-40</v>
      </c>
      <c r="L191" s="187"/>
      <c r="M191" s="189">
        <f t="shared" si="15"/>
        <v>0</v>
      </c>
    </row>
    <row r="192" spans="1:13">
      <c r="A192" s="204"/>
      <c r="G192" s="175"/>
      <c r="H192" s="187">
        <v>187</v>
      </c>
      <c r="I192" s="188" t="str">
        <f t="shared" si="13"/>
        <v/>
      </c>
      <c r="J192" s="188">
        <f t="shared" si="16"/>
        <v>-4</v>
      </c>
      <c r="K192" s="187">
        <f t="shared" si="14"/>
        <v>-40</v>
      </c>
      <c r="L192" s="187"/>
      <c r="M192" s="189">
        <f t="shared" si="15"/>
        <v>0</v>
      </c>
    </row>
    <row r="193" spans="1:13">
      <c r="A193" s="204"/>
      <c r="G193" s="175"/>
      <c r="H193" s="187">
        <v>188</v>
      </c>
      <c r="I193" s="188" t="str">
        <f t="shared" si="13"/>
        <v/>
      </c>
      <c r="J193" s="188">
        <f t="shared" si="16"/>
        <v>-4</v>
      </c>
      <c r="K193" s="187">
        <f t="shared" si="14"/>
        <v>-40</v>
      </c>
      <c r="L193" s="187"/>
      <c r="M193" s="189">
        <f t="shared" si="15"/>
        <v>0</v>
      </c>
    </row>
    <row r="194" spans="1:13">
      <c r="A194" s="204"/>
      <c r="G194" s="175"/>
      <c r="H194" s="187">
        <v>189</v>
      </c>
      <c r="I194" s="188" t="str">
        <f t="shared" si="13"/>
        <v/>
      </c>
      <c r="J194" s="188">
        <f t="shared" si="16"/>
        <v>-4</v>
      </c>
      <c r="K194" s="187">
        <f t="shared" si="14"/>
        <v>-40</v>
      </c>
      <c r="L194" s="187"/>
      <c r="M194" s="189">
        <f t="shared" si="15"/>
        <v>0</v>
      </c>
    </row>
    <row r="195" spans="1:13">
      <c r="A195" s="204"/>
      <c r="G195" s="175"/>
      <c r="H195" s="187">
        <v>190</v>
      </c>
      <c r="I195" s="188" t="str">
        <f t="shared" si="13"/>
        <v/>
      </c>
      <c r="J195" s="188">
        <f t="shared" si="16"/>
        <v>-4</v>
      </c>
      <c r="K195" s="187">
        <f t="shared" si="14"/>
        <v>-40</v>
      </c>
      <c r="L195" s="187"/>
      <c r="M195" s="189">
        <f t="shared" si="15"/>
        <v>0</v>
      </c>
    </row>
    <row r="196" spans="1:13">
      <c r="A196" s="204"/>
      <c r="G196" s="175"/>
      <c r="H196" s="187">
        <v>191</v>
      </c>
      <c r="I196" s="188" t="str">
        <f t="shared" si="13"/>
        <v/>
      </c>
      <c r="J196" s="188">
        <f t="shared" si="16"/>
        <v>-4</v>
      </c>
      <c r="K196" s="187">
        <f t="shared" si="14"/>
        <v>-40</v>
      </c>
      <c r="L196" s="187"/>
      <c r="M196" s="189">
        <f t="shared" si="15"/>
        <v>0</v>
      </c>
    </row>
    <row r="197" spans="1:13">
      <c r="A197" s="204"/>
      <c r="G197" s="175"/>
      <c r="H197" s="187">
        <v>192</v>
      </c>
      <c r="I197" s="188" t="str">
        <f t="shared" si="13"/>
        <v/>
      </c>
      <c r="J197" s="188">
        <f t="shared" si="16"/>
        <v>-4</v>
      </c>
      <c r="K197" s="187">
        <f t="shared" si="14"/>
        <v>-40</v>
      </c>
      <c r="L197" s="187"/>
      <c r="M197" s="189">
        <f t="shared" si="15"/>
        <v>0</v>
      </c>
    </row>
    <row r="198" spans="1:13">
      <c r="A198" s="204"/>
      <c r="G198" s="175"/>
      <c r="H198" s="187">
        <v>193</v>
      </c>
      <c r="I198" s="188" t="str">
        <f t="shared" ref="I198:I261" si="17">IF(H198&lt;$H$2+1,($I$2-($I$2-1)*(LOG(H198)/LOG($H$2))),"")</f>
        <v/>
      </c>
      <c r="J198" s="188">
        <f t="shared" si="16"/>
        <v>-4</v>
      </c>
      <c r="K198" s="187">
        <f t="shared" ref="K198:K261" si="18">J198*$J$2</f>
        <v>-40</v>
      </c>
      <c r="L198" s="187"/>
      <c r="M198" s="189">
        <f t="shared" ref="M198:M261" si="19">IF(I198&lt;&gt;"",K198+I198+L198,0)</f>
        <v>0</v>
      </c>
    </row>
    <row r="199" spans="1:13">
      <c r="A199" s="204"/>
      <c r="G199" s="175"/>
      <c r="H199" s="187">
        <v>194</v>
      </c>
      <c r="I199" s="188" t="str">
        <f t="shared" si="17"/>
        <v/>
      </c>
      <c r="J199" s="188">
        <f t="shared" ref="J199:J262" si="20">INT(LOG($H$2,2))-ROUNDUP(LOG(H199,2),0)+IF(OR($H$2=1,$H$2=2,$H$2=4,$H$2=8,$H$2=16,$H$2=32,$H$2=64,$H$2=128,$H$2=256),0,1)</f>
        <v>-4</v>
      </c>
      <c r="K199" s="187">
        <f t="shared" si="18"/>
        <v>-40</v>
      </c>
      <c r="L199" s="187"/>
      <c r="M199" s="189">
        <f t="shared" si="19"/>
        <v>0</v>
      </c>
    </row>
    <row r="200" spans="1:13">
      <c r="A200" s="204"/>
      <c r="G200" s="175"/>
      <c r="H200" s="187">
        <v>195</v>
      </c>
      <c r="I200" s="188" t="str">
        <f t="shared" si="17"/>
        <v/>
      </c>
      <c r="J200" s="188">
        <f t="shared" si="20"/>
        <v>-4</v>
      </c>
      <c r="K200" s="187">
        <f t="shared" si="18"/>
        <v>-40</v>
      </c>
      <c r="L200" s="187"/>
      <c r="M200" s="189">
        <f t="shared" si="19"/>
        <v>0</v>
      </c>
    </row>
    <row r="201" spans="1:13">
      <c r="A201" s="204"/>
      <c r="G201" s="175"/>
      <c r="H201" s="187">
        <v>196</v>
      </c>
      <c r="I201" s="188" t="str">
        <f t="shared" si="17"/>
        <v/>
      </c>
      <c r="J201" s="188">
        <f t="shared" si="20"/>
        <v>-4</v>
      </c>
      <c r="K201" s="187">
        <f t="shared" si="18"/>
        <v>-40</v>
      </c>
      <c r="L201" s="187"/>
      <c r="M201" s="189">
        <f t="shared" si="19"/>
        <v>0</v>
      </c>
    </row>
    <row r="202" spans="1:13">
      <c r="A202" s="204"/>
      <c r="G202" s="175"/>
      <c r="H202" s="187">
        <v>197</v>
      </c>
      <c r="I202" s="188" t="str">
        <f t="shared" si="17"/>
        <v/>
      </c>
      <c r="J202" s="188">
        <f t="shared" si="20"/>
        <v>-4</v>
      </c>
      <c r="K202" s="187">
        <f t="shared" si="18"/>
        <v>-40</v>
      </c>
      <c r="L202" s="187"/>
      <c r="M202" s="189">
        <f t="shared" si="19"/>
        <v>0</v>
      </c>
    </row>
    <row r="203" spans="1:13">
      <c r="A203" s="204"/>
      <c r="G203" s="175"/>
      <c r="H203" s="187">
        <v>198</v>
      </c>
      <c r="I203" s="188" t="str">
        <f t="shared" si="17"/>
        <v/>
      </c>
      <c r="J203" s="188">
        <f t="shared" si="20"/>
        <v>-4</v>
      </c>
      <c r="K203" s="187">
        <f t="shared" si="18"/>
        <v>-40</v>
      </c>
      <c r="L203" s="187"/>
      <c r="M203" s="189">
        <f t="shared" si="19"/>
        <v>0</v>
      </c>
    </row>
    <row r="204" spans="1:13">
      <c r="A204" s="204"/>
      <c r="G204" s="175"/>
      <c r="H204" s="187">
        <v>199</v>
      </c>
      <c r="I204" s="188" t="str">
        <f t="shared" si="17"/>
        <v/>
      </c>
      <c r="J204" s="188">
        <f t="shared" si="20"/>
        <v>-4</v>
      </c>
      <c r="K204" s="187">
        <f t="shared" si="18"/>
        <v>-40</v>
      </c>
      <c r="L204" s="187"/>
      <c r="M204" s="189">
        <f t="shared" si="19"/>
        <v>0</v>
      </c>
    </row>
    <row r="205" spans="1:13">
      <c r="A205" s="204"/>
      <c r="G205" s="175"/>
      <c r="H205" s="187">
        <v>200</v>
      </c>
      <c r="I205" s="188" t="str">
        <f t="shared" si="17"/>
        <v/>
      </c>
      <c r="J205" s="188">
        <f t="shared" si="20"/>
        <v>-4</v>
      </c>
      <c r="K205" s="187">
        <f t="shared" si="18"/>
        <v>-40</v>
      </c>
      <c r="L205" s="187"/>
      <c r="M205" s="189">
        <f t="shared" si="19"/>
        <v>0</v>
      </c>
    </row>
    <row r="206" spans="1:13">
      <c r="A206" s="204"/>
      <c r="G206" s="175"/>
      <c r="H206" s="187">
        <v>201</v>
      </c>
      <c r="I206" s="188" t="str">
        <f t="shared" si="17"/>
        <v/>
      </c>
      <c r="J206" s="188">
        <f t="shared" si="20"/>
        <v>-4</v>
      </c>
      <c r="K206" s="187">
        <f t="shared" si="18"/>
        <v>-40</v>
      </c>
      <c r="L206" s="187"/>
      <c r="M206" s="189">
        <f t="shared" si="19"/>
        <v>0</v>
      </c>
    </row>
    <row r="207" spans="1:13">
      <c r="A207" s="204"/>
      <c r="G207" s="175"/>
      <c r="H207" s="187">
        <v>202</v>
      </c>
      <c r="I207" s="188" t="str">
        <f t="shared" si="17"/>
        <v/>
      </c>
      <c r="J207" s="188">
        <f t="shared" si="20"/>
        <v>-4</v>
      </c>
      <c r="K207" s="187">
        <f t="shared" si="18"/>
        <v>-40</v>
      </c>
      <c r="L207" s="187"/>
      <c r="M207" s="189">
        <f t="shared" si="19"/>
        <v>0</v>
      </c>
    </row>
    <row r="208" spans="1:13">
      <c r="A208" s="204"/>
      <c r="G208" s="175"/>
      <c r="H208" s="187">
        <v>203</v>
      </c>
      <c r="I208" s="188" t="str">
        <f t="shared" si="17"/>
        <v/>
      </c>
      <c r="J208" s="188">
        <f t="shared" si="20"/>
        <v>-4</v>
      </c>
      <c r="K208" s="187">
        <f t="shared" si="18"/>
        <v>-40</v>
      </c>
      <c r="L208" s="187"/>
      <c r="M208" s="189">
        <f t="shared" si="19"/>
        <v>0</v>
      </c>
    </row>
    <row r="209" spans="1:13">
      <c r="A209" s="204"/>
      <c r="G209" s="175"/>
      <c r="H209" s="187">
        <v>204</v>
      </c>
      <c r="I209" s="188" t="str">
        <f t="shared" si="17"/>
        <v/>
      </c>
      <c r="J209" s="188">
        <f t="shared" si="20"/>
        <v>-4</v>
      </c>
      <c r="K209" s="187">
        <f t="shared" si="18"/>
        <v>-40</v>
      </c>
      <c r="L209" s="187"/>
      <c r="M209" s="189">
        <f t="shared" si="19"/>
        <v>0</v>
      </c>
    </row>
    <row r="210" spans="1:13">
      <c r="A210" s="204"/>
      <c r="G210" s="175"/>
      <c r="H210" s="187">
        <v>205</v>
      </c>
      <c r="I210" s="188" t="str">
        <f t="shared" si="17"/>
        <v/>
      </c>
      <c r="J210" s="188">
        <f t="shared" si="20"/>
        <v>-4</v>
      </c>
      <c r="K210" s="187">
        <f t="shared" si="18"/>
        <v>-40</v>
      </c>
      <c r="L210" s="187"/>
      <c r="M210" s="189">
        <f t="shared" si="19"/>
        <v>0</v>
      </c>
    </row>
    <row r="211" spans="1:13">
      <c r="A211" s="204"/>
      <c r="G211" s="175"/>
      <c r="H211" s="187">
        <v>206</v>
      </c>
      <c r="I211" s="188" t="str">
        <f t="shared" si="17"/>
        <v/>
      </c>
      <c r="J211" s="188">
        <f t="shared" si="20"/>
        <v>-4</v>
      </c>
      <c r="K211" s="187">
        <f t="shared" si="18"/>
        <v>-40</v>
      </c>
      <c r="L211" s="187"/>
      <c r="M211" s="189">
        <f t="shared" si="19"/>
        <v>0</v>
      </c>
    </row>
    <row r="212" spans="1:13">
      <c r="A212" s="204"/>
      <c r="G212" s="175"/>
      <c r="H212" s="187">
        <v>207</v>
      </c>
      <c r="I212" s="188" t="str">
        <f t="shared" si="17"/>
        <v/>
      </c>
      <c r="J212" s="188">
        <f t="shared" si="20"/>
        <v>-4</v>
      </c>
      <c r="K212" s="187">
        <f t="shared" si="18"/>
        <v>-40</v>
      </c>
      <c r="L212" s="187"/>
      <c r="M212" s="189">
        <f t="shared" si="19"/>
        <v>0</v>
      </c>
    </row>
    <row r="213" spans="1:13">
      <c r="A213" s="204"/>
      <c r="G213" s="175"/>
      <c r="H213" s="187">
        <v>208</v>
      </c>
      <c r="I213" s="188" t="str">
        <f t="shared" si="17"/>
        <v/>
      </c>
      <c r="J213" s="188">
        <f t="shared" si="20"/>
        <v>-4</v>
      </c>
      <c r="K213" s="187">
        <f t="shared" si="18"/>
        <v>-40</v>
      </c>
      <c r="L213" s="187"/>
      <c r="M213" s="189">
        <f t="shared" si="19"/>
        <v>0</v>
      </c>
    </row>
    <row r="214" spans="1:13">
      <c r="A214" s="204"/>
      <c r="G214" s="175"/>
      <c r="H214" s="187">
        <v>209</v>
      </c>
      <c r="I214" s="188" t="str">
        <f t="shared" si="17"/>
        <v/>
      </c>
      <c r="J214" s="188">
        <f t="shared" si="20"/>
        <v>-4</v>
      </c>
      <c r="K214" s="187">
        <f t="shared" si="18"/>
        <v>-40</v>
      </c>
      <c r="L214" s="187"/>
      <c r="M214" s="189">
        <f t="shared" si="19"/>
        <v>0</v>
      </c>
    </row>
    <row r="215" spans="1:13">
      <c r="A215" s="204"/>
      <c r="G215" s="175"/>
      <c r="H215" s="187">
        <v>210</v>
      </c>
      <c r="I215" s="188" t="str">
        <f t="shared" si="17"/>
        <v/>
      </c>
      <c r="J215" s="188">
        <f t="shared" si="20"/>
        <v>-4</v>
      </c>
      <c r="K215" s="187">
        <f t="shared" si="18"/>
        <v>-40</v>
      </c>
      <c r="L215" s="187"/>
      <c r="M215" s="189">
        <f t="shared" si="19"/>
        <v>0</v>
      </c>
    </row>
    <row r="216" spans="1:13">
      <c r="A216" s="204"/>
      <c r="G216" s="175"/>
      <c r="H216" s="187">
        <v>211</v>
      </c>
      <c r="I216" s="188" t="str">
        <f t="shared" si="17"/>
        <v/>
      </c>
      <c r="J216" s="188">
        <f t="shared" si="20"/>
        <v>-4</v>
      </c>
      <c r="K216" s="187">
        <f t="shared" si="18"/>
        <v>-40</v>
      </c>
      <c r="L216" s="187"/>
      <c r="M216" s="189">
        <f t="shared" si="19"/>
        <v>0</v>
      </c>
    </row>
    <row r="217" spans="1:13">
      <c r="A217" s="204"/>
      <c r="G217" s="175"/>
      <c r="H217" s="187">
        <v>212</v>
      </c>
      <c r="I217" s="188" t="str">
        <f t="shared" si="17"/>
        <v/>
      </c>
      <c r="J217" s="188">
        <f t="shared" si="20"/>
        <v>-4</v>
      </c>
      <c r="K217" s="187">
        <f t="shared" si="18"/>
        <v>-40</v>
      </c>
      <c r="L217" s="187"/>
      <c r="M217" s="189">
        <f t="shared" si="19"/>
        <v>0</v>
      </c>
    </row>
    <row r="218" spans="1:13">
      <c r="A218" s="204"/>
      <c r="G218" s="175"/>
      <c r="H218" s="187">
        <v>213</v>
      </c>
      <c r="I218" s="188" t="str">
        <f t="shared" si="17"/>
        <v/>
      </c>
      <c r="J218" s="188">
        <f t="shared" si="20"/>
        <v>-4</v>
      </c>
      <c r="K218" s="187">
        <f t="shared" si="18"/>
        <v>-40</v>
      </c>
      <c r="L218" s="187"/>
      <c r="M218" s="189">
        <f t="shared" si="19"/>
        <v>0</v>
      </c>
    </row>
    <row r="219" spans="1:13">
      <c r="A219" s="204"/>
      <c r="G219" s="175"/>
      <c r="H219" s="187">
        <v>214</v>
      </c>
      <c r="I219" s="188" t="str">
        <f t="shared" si="17"/>
        <v/>
      </c>
      <c r="J219" s="188">
        <f t="shared" si="20"/>
        <v>-4</v>
      </c>
      <c r="K219" s="187">
        <f t="shared" si="18"/>
        <v>-40</v>
      </c>
      <c r="L219" s="187"/>
      <c r="M219" s="189">
        <f t="shared" si="19"/>
        <v>0</v>
      </c>
    </row>
    <row r="220" spans="1:13">
      <c r="A220" s="204"/>
      <c r="G220" s="175"/>
      <c r="H220" s="187">
        <v>215</v>
      </c>
      <c r="I220" s="188" t="str">
        <f t="shared" si="17"/>
        <v/>
      </c>
      <c r="J220" s="188">
        <f t="shared" si="20"/>
        <v>-4</v>
      </c>
      <c r="K220" s="187">
        <f t="shared" si="18"/>
        <v>-40</v>
      </c>
      <c r="L220" s="187"/>
      <c r="M220" s="189">
        <f t="shared" si="19"/>
        <v>0</v>
      </c>
    </row>
    <row r="221" spans="1:13">
      <c r="A221" s="204"/>
      <c r="G221" s="175"/>
      <c r="H221" s="187">
        <v>216</v>
      </c>
      <c r="I221" s="188" t="str">
        <f t="shared" si="17"/>
        <v/>
      </c>
      <c r="J221" s="188">
        <f t="shared" si="20"/>
        <v>-4</v>
      </c>
      <c r="K221" s="187">
        <f t="shared" si="18"/>
        <v>-40</v>
      </c>
      <c r="L221" s="187"/>
      <c r="M221" s="189">
        <f t="shared" si="19"/>
        <v>0</v>
      </c>
    </row>
    <row r="222" spans="1:13">
      <c r="A222" s="204"/>
      <c r="G222" s="175"/>
      <c r="H222" s="187">
        <v>217</v>
      </c>
      <c r="I222" s="188" t="str">
        <f t="shared" si="17"/>
        <v/>
      </c>
      <c r="J222" s="188">
        <f t="shared" si="20"/>
        <v>-4</v>
      </c>
      <c r="K222" s="187">
        <f t="shared" si="18"/>
        <v>-40</v>
      </c>
      <c r="L222" s="187"/>
      <c r="M222" s="189">
        <f t="shared" si="19"/>
        <v>0</v>
      </c>
    </row>
    <row r="223" spans="1:13">
      <c r="A223" s="204"/>
      <c r="G223" s="175"/>
      <c r="H223" s="187">
        <v>218</v>
      </c>
      <c r="I223" s="188" t="str">
        <f t="shared" si="17"/>
        <v/>
      </c>
      <c r="J223" s="188">
        <f t="shared" si="20"/>
        <v>-4</v>
      </c>
      <c r="K223" s="187">
        <f t="shared" si="18"/>
        <v>-40</v>
      </c>
      <c r="L223" s="187"/>
      <c r="M223" s="189">
        <f t="shared" si="19"/>
        <v>0</v>
      </c>
    </row>
    <row r="224" spans="1:13">
      <c r="A224" s="204"/>
      <c r="G224" s="175"/>
      <c r="H224" s="187">
        <v>219</v>
      </c>
      <c r="I224" s="188" t="str">
        <f t="shared" si="17"/>
        <v/>
      </c>
      <c r="J224" s="188">
        <f t="shared" si="20"/>
        <v>-4</v>
      </c>
      <c r="K224" s="187">
        <f t="shared" si="18"/>
        <v>-40</v>
      </c>
      <c r="L224" s="187"/>
      <c r="M224" s="189">
        <f t="shared" si="19"/>
        <v>0</v>
      </c>
    </row>
    <row r="225" spans="1:13">
      <c r="A225" s="204"/>
      <c r="G225" s="175"/>
      <c r="H225" s="187">
        <v>220</v>
      </c>
      <c r="I225" s="188" t="str">
        <f t="shared" si="17"/>
        <v/>
      </c>
      <c r="J225" s="188">
        <f t="shared" si="20"/>
        <v>-4</v>
      </c>
      <c r="K225" s="187">
        <f t="shared" si="18"/>
        <v>-40</v>
      </c>
      <c r="L225" s="187"/>
      <c r="M225" s="189">
        <f t="shared" si="19"/>
        <v>0</v>
      </c>
    </row>
    <row r="226" spans="1:13">
      <c r="A226" s="204"/>
      <c r="G226" s="175"/>
      <c r="H226" s="187">
        <v>221</v>
      </c>
      <c r="I226" s="188" t="str">
        <f t="shared" si="17"/>
        <v/>
      </c>
      <c r="J226" s="188">
        <f t="shared" si="20"/>
        <v>-4</v>
      </c>
      <c r="K226" s="187">
        <f t="shared" si="18"/>
        <v>-40</v>
      </c>
      <c r="L226" s="187"/>
      <c r="M226" s="189">
        <f t="shared" si="19"/>
        <v>0</v>
      </c>
    </row>
    <row r="227" spans="1:13">
      <c r="A227" s="204"/>
      <c r="G227" s="175"/>
      <c r="H227" s="187">
        <v>222</v>
      </c>
      <c r="I227" s="188" t="str">
        <f t="shared" si="17"/>
        <v/>
      </c>
      <c r="J227" s="188">
        <f t="shared" si="20"/>
        <v>-4</v>
      </c>
      <c r="K227" s="187">
        <f t="shared" si="18"/>
        <v>-40</v>
      </c>
      <c r="L227" s="187"/>
      <c r="M227" s="189">
        <f t="shared" si="19"/>
        <v>0</v>
      </c>
    </row>
    <row r="228" spans="1:13">
      <c r="A228" s="204"/>
      <c r="G228" s="175"/>
      <c r="H228" s="187">
        <v>223</v>
      </c>
      <c r="I228" s="188" t="str">
        <f t="shared" si="17"/>
        <v/>
      </c>
      <c r="J228" s="188">
        <f t="shared" si="20"/>
        <v>-4</v>
      </c>
      <c r="K228" s="187">
        <f t="shared" si="18"/>
        <v>-40</v>
      </c>
      <c r="L228" s="187"/>
      <c r="M228" s="189">
        <f t="shared" si="19"/>
        <v>0</v>
      </c>
    </row>
    <row r="229" spans="1:13">
      <c r="A229" s="204"/>
      <c r="G229" s="175"/>
      <c r="H229" s="187">
        <v>224</v>
      </c>
      <c r="I229" s="188" t="str">
        <f t="shared" si="17"/>
        <v/>
      </c>
      <c r="J229" s="188">
        <f t="shared" si="20"/>
        <v>-4</v>
      </c>
      <c r="K229" s="187">
        <f t="shared" si="18"/>
        <v>-40</v>
      </c>
      <c r="L229" s="187"/>
      <c r="M229" s="189">
        <f t="shared" si="19"/>
        <v>0</v>
      </c>
    </row>
    <row r="230" spans="1:13">
      <c r="A230" s="204"/>
      <c r="G230" s="175"/>
      <c r="H230" s="187">
        <v>225</v>
      </c>
      <c r="I230" s="188" t="str">
        <f t="shared" si="17"/>
        <v/>
      </c>
      <c r="J230" s="188">
        <f t="shared" si="20"/>
        <v>-4</v>
      </c>
      <c r="K230" s="187">
        <f t="shared" si="18"/>
        <v>-40</v>
      </c>
      <c r="L230" s="187"/>
      <c r="M230" s="189">
        <f t="shared" si="19"/>
        <v>0</v>
      </c>
    </row>
    <row r="231" spans="1:13">
      <c r="A231" s="204"/>
      <c r="G231" s="175"/>
      <c r="H231" s="187">
        <v>226</v>
      </c>
      <c r="I231" s="188" t="str">
        <f t="shared" si="17"/>
        <v/>
      </c>
      <c r="J231" s="188">
        <f t="shared" si="20"/>
        <v>-4</v>
      </c>
      <c r="K231" s="187">
        <f t="shared" si="18"/>
        <v>-40</v>
      </c>
      <c r="L231" s="187"/>
      <c r="M231" s="189">
        <f t="shared" si="19"/>
        <v>0</v>
      </c>
    </row>
    <row r="232" spans="1:13">
      <c r="A232" s="204"/>
      <c r="G232" s="175"/>
      <c r="H232" s="187">
        <v>227</v>
      </c>
      <c r="I232" s="188" t="str">
        <f t="shared" si="17"/>
        <v/>
      </c>
      <c r="J232" s="188">
        <f t="shared" si="20"/>
        <v>-4</v>
      </c>
      <c r="K232" s="187">
        <f t="shared" si="18"/>
        <v>-40</v>
      </c>
      <c r="L232" s="187"/>
      <c r="M232" s="189">
        <f t="shared" si="19"/>
        <v>0</v>
      </c>
    </row>
    <row r="233" spans="1:13">
      <c r="A233" s="204"/>
      <c r="G233" s="175"/>
      <c r="H233" s="187">
        <v>228</v>
      </c>
      <c r="I233" s="188" t="str">
        <f t="shared" si="17"/>
        <v/>
      </c>
      <c r="J233" s="188">
        <f t="shared" si="20"/>
        <v>-4</v>
      </c>
      <c r="K233" s="187">
        <f t="shared" si="18"/>
        <v>-40</v>
      </c>
      <c r="L233" s="187"/>
      <c r="M233" s="189">
        <f t="shared" si="19"/>
        <v>0</v>
      </c>
    </row>
    <row r="234" spans="1:13">
      <c r="A234" s="204"/>
      <c r="G234" s="175"/>
      <c r="H234" s="187">
        <v>229</v>
      </c>
      <c r="I234" s="188" t="str">
        <f t="shared" si="17"/>
        <v/>
      </c>
      <c r="J234" s="188">
        <f t="shared" si="20"/>
        <v>-4</v>
      </c>
      <c r="K234" s="187">
        <f t="shared" si="18"/>
        <v>-40</v>
      </c>
      <c r="L234" s="187"/>
      <c r="M234" s="189">
        <f t="shared" si="19"/>
        <v>0</v>
      </c>
    </row>
    <row r="235" spans="1:13">
      <c r="A235" s="204"/>
      <c r="G235" s="175"/>
      <c r="H235" s="187">
        <v>230</v>
      </c>
      <c r="I235" s="188" t="str">
        <f t="shared" si="17"/>
        <v/>
      </c>
      <c r="J235" s="188">
        <f t="shared" si="20"/>
        <v>-4</v>
      </c>
      <c r="K235" s="187">
        <f t="shared" si="18"/>
        <v>-40</v>
      </c>
      <c r="L235" s="187"/>
      <c r="M235" s="189">
        <f t="shared" si="19"/>
        <v>0</v>
      </c>
    </row>
    <row r="236" spans="1:13">
      <c r="A236" s="204"/>
      <c r="G236" s="175"/>
      <c r="H236" s="187">
        <v>231</v>
      </c>
      <c r="I236" s="188" t="str">
        <f t="shared" si="17"/>
        <v/>
      </c>
      <c r="J236" s="188">
        <f t="shared" si="20"/>
        <v>-4</v>
      </c>
      <c r="K236" s="187">
        <f t="shared" si="18"/>
        <v>-40</v>
      </c>
      <c r="L236" s="187"/>
      <c r="M236" s="189">
        <f t="shared" si="19"/>
        <v>0</v>
      </c>
    </row>
    <row r="237" spans="1:13">
      <c r="A237" s="204"/>
      <c r="G237" s="175"/>
      <c r="H237" s="187">
        <v>232</v>
      </c>
      <c r="I237" s="188" t="str">
        <f t="shared" si="17"/>
        <v/>
      </c>
      <c r="J237" s="188">
        <f t="shared" si="20"/>
        <v>-4</v>
      </c>
      <c r="K237" s="187">
        <f t="shared" si="18"/>
        <v>-40</v>
      </c>
      <c r="L237" s="187"/>
      <c r="M237" s="189">
        <f t="shared" si="19"/>
        <v>0</v>
      </c>
    </row>
    <row r="238" spans="1:13">
      <c r="A238" s="204"/>
      <c r="G238" s="175"/>
      <c r="H238" s="187">
        <v>233</v>
      </c>
      <c r="I238" s="188" t="str">
        <f t="shared" si="17"/>
        <v/>
      </c>
      <c r="J238" s="188">
        <f t="shared" si="20"/>
        <v>-4</v>
      </c>
      <c r="K238" s="187">
        <f t="shared" si="18"/>
        <v>-40</v>
      </c>
      <c r="L238" s="187"/>
      <c r="M238" s="189">
        <f t="shared" si="19"/>
        <v>0</v>
      </c>
    </row>
    <row r="239" spans="1:13">
      <c r="A239" s="204"/>
      <c r="G239" s="175"/>
      <c r="H239" s="187">
        <v>234</v>
      </c>
      <c r="I239" s="188" t="str">
        <f t="shared" si="17"/>
        <v/>
      </c>
      <c r="J239" s="188">
        <f t="shared" si="20"/>
        <v>-4</v>
      </c>
      <c r="K239" s="187">
        <f t="shared" si="18"/>
        <v>-40</v>
      </c>
      <c r="L239" s="187"/>
      <c r="M239" s="189">
        <f t="shared" si="19"/>
        <v>0</v>
      </c>
    </row>
    <row r="240" spans="1:13">
      <c r="A240" s="204"/>
      <c r="G240" s="175"/>
      <c r="H240" s="187">
        <v>235</v>
      </c>
      <c r="I240" s="188" t="str">
        <f t="shared" si="17"/>
        <v/>
      </c>
      <c r="J240" s="188">
        <f t="shared" si="20"/>
        <v>-4</v>
      </c>
      <c r="K240" s="187">
        <f t="shared" si="18"/>
        <v>-40</v>
      </c>
      <c r="L240" s="187"/>
      <c r="M240" s="189">
        <f t="shared" si="19"/>
        <v>0</v>
      </c>
    </row>
    <row r="241" spans="1:13">
      <c r="A241" s="204"/>
      <c r="G241" s="175"/>
      <c r="H241" s="187">
        <v>236</v>
      </c>
      <c r="I241" s="188" t="str">
        <f t="shared" si="17"/>
        <v/>
      </c>
      <c r="J241" s="188">
        <f t="shared" si="20"/>
        <v>-4</v>
      </c>
      <c r="K241" s="187">
        <f t="shared" si="18"/>
        <v>-40</v>
      </c>
      <c r="L241" s="187"/>
      <c r="M241" s="189">
        <f t="shared" si="19"/>
        <v>0</v>
      </c>
    </row>
    <row r="242" spans="1:13">
      <c r="A242" s="204"/>
      <c r="G242" s="175"/>
      <c r="H242" s="187">
        <v>237</v>
      </c>
      <c r="I242" s="188" t="str">
        <f t="shared" si="17"/>
        <v/>
      </c>
      <c r="J242" s="188">
        <f t="shared" si="20"/>
        <v>-4</v>
      </c>
      <c r="K242" s="187">
        <f t="shared" si="18"/>
        <v>-40</v>
      </c>
      <c r="L242" s="187"/>
      <c r="M242" s="189">
        <f t="shared" si="19"/>
        <v>0</v>
      </c>
    </row>
    <row r="243" spans="1:13">
      <c r="A243" s="204"/>
      <c r="G243" s="175"/>
      <c r="H243" s="187">
        <v>238</v>
      </c>
      <c r="I243" s="188" t="str">
        <f t="shared" si="17"/>
        <v/>
      </c>
      <c r="J243" s="188">
        <f t="shared" si="20"/>
        <v>-4</v>
      </c>
      <c r="K243" s="187">
        <f t="shared" si="18"/>
        <v>-40</v>
      </c>
      <c r="L243" s="187"/>
      <c r="M243" s="189">
        <f t="shared" si="19"/>
        <v>0</v>
      </c>
    </row>
    <row r="244" spans="1:13">
      <c r="A244" s="204"/>
      <c r="G244" s="175"/>
      <c r="H244" s="187">
        <v>239</v>
      </c>
      <c r="I244" s="188" t="str">
        <f t="shared" si="17"/>
        <v/>
      </c>
      <c r="J244" s="188">
        <f t="shared" si="20"/>
        <v>-4</v>
      </c>
      <c r="K244" s="187">
        <f t="shared" si="18"/>
        <v>-40</v>
      </c>
      <c r="L244" s="187"/>
      <c r="M244" s="189">
        <f t="shared" si="19"/>
        <v>0</v>
      </c>
    </row>
    <row r="245" spans="1:13">
      <c r="A245" s="204"/>
      <c r="G245" s="175"/>
      <c r="H245" s="187">
        <v>240</v>
      </c>
      <c r="I245" s="188" t="str">
        <f t="shared" si="17"/>
        <v/>
      </c>
      <c r="J245" s="188">
        <f t="shared" si="20"/>
        <v>-4</v>
      </c>
      <c r="K245" s="187">
        <f t="shared" si="18"/>
        <v>-40</v>
      </c>
      <c r="L245" s="187"/>
      <c r="M245" s="189">
        <f t="shared" si="19"/>
        <v>0</v>
      </c>
    </row>
    <row r="246" spans="1:13">
      <c r="A246" s="204"/>
      <c r="G246" s="175"/>
      <c r="H246" s="187">
        <v>241</v>
      </c>
      <c r="I246" s="188" t="str">
        <f t="shared" si="17"/>
        <v/>
      </c>
      <c r="J246" s="188">
        <f t="shared" si="20"/>
        <v>-4</v>
      </c>
      <c r="K246" s="187">
        <f t="shared" si="18"/>
        <v>-40</v>
      </c>
      <c r="L246" s="187"/>
      <c r="M246" s="189">
        <f t="shared" si="19"/>
        <v>0</v>
      </c>
    </row>
    <row r="247" spans="1:13">
      <c r="A247" s="204"/>
      <c r="G247" s="175"/>
      <c r="H247" s="187">
        <v>242</v>
      </c>
      <c r="I247" s="188" t="str">
        <f t="shared" si="17"/>
        <v/>
      </c>
      <c r="J247" s="188">
        <f t="shared" si="20"/>
        <v>-4</v>
      </c>
      <c r="K247" s="187">
        <f t="shared" si="18"/>
        <v>-40</v>
      </c>
      <c r="L247" s="187"/>
      <c r="M247" s="189">
        <f t="shared" si="19"/>
        <v>0</v>
      </c>
    </row>
    <row r="248" spans="1:13">
      <c r="A248" s="204"/>
      <c r="G248" s="175"/>
      <c r="H248" s="187">
        <v>243</v>
      </c>
      <c r="I248" s="188" t="str">
        <f t="shared" si="17"/>
        <v/>
      </c>
      <c r="J248" s="188">
        <f t="shared" si="20"/>
        <v>-4</v>
      </c>
      <c r="K248" s="187">
        <f t="shared" si="18"/>
        <v>-40</v>
      </c>
      <c r="L248" s="187"/>
      <c r="M248" s="189">
        <f t="shared" si="19"/>
        <v>0</v>
      </c>
    </row>
    <row r="249" spans="1:13">
      <c r="A249" s="204"/>
      <c r="G249" s="175"/>
      <c r="H249" s="187">
        <v>244</v>
      </c>
      <c r="I249" s="188" t="str">
        <f t="shared" si="17"/>
        <v/>
      </c>
      <c r="J249" s="188">
        <f t="shared" si="20"/>
        <v>-4</v>
      </c>
      <c r="K249" s="187">
        <f t="shared" si="18"/>
        <v>-40</v>
      </c>
      <c r="L249" s="187"/>
      <c r="M249" s="189">
        <f t="shared" si="19"/>
        <v>0</v>
      </c>
    </row>
    <row r="250" spans="1:13">
      <c r="A250" s="204"/>
      <c r="G250" s="175"/>
      <c r="H250" s="187">
        <v>245</v>
      </c>
      <c r="I250" s="188" t="str">
        <f t="shared" si="17"/>
        <v/>
      </c>
      <c r="J250" s="188">
        <f t="shared" si="20"/>
        <v>-4</v>
      </c>
      <c r="K250" s="187">
        <f t="shared" si="18"/>
        <v>-40</v>
      </c>
      <c r="L250" s="187"/>
      <c r="M250" s="189">
        <f t="shared" si="19"/>
        <v>0</v>
      </c>
    </row>
    <row r="251" spans="1:13">
      <c r="A251" s="204"/>
      <c r="G251" s="175"/>
      <c r="H251" s="187">
        <v>246</v>
      </c>
      <c r="I251" s="188" t="str">
        <f t="shared" si="17"/>
        <v/>
      </c>
      <c r="J251" s="188">
        <f t="shared" si="20"/>
        <v>-4</v>
      </c>
      <c r="K251" s="187">
        <f t="shared" si="18"/>
        <v>-40</v>
      </c>
      <c r="L251" s="187"/>
      <c r="M251" s="189">
        <f t="shared" si="19"/>
        <v>0</v>
      </c>
    </row>
    <row r="252" spans="1:13">
      <c r="A252" s="204"/>
      <c r="G252" s="175"/>
      <c r="H252" s="187">
        <v>247</v>
      </c>
      <c r="I252" s="188" t="str">
        <f t="shared" si="17"/>
        <v/>
      </c>
      <c r="J252" s="188">
        <f t="shared" si="20"/>
        <v>-4</v>
      </c>
      <c r="K252" s="187">
        <f t="shared" si="18"/>
        <v>-40</v>
      </c>
      <c r="L252" s="187"/>
      <c r="M252" s="189">
        <f t="shared" si="19"/>
        <v>0</v>
      </c>
    </row>
    <row r="253" spans="1:13">
      <c r="A253" s="204"/>
      <c r="G253" s="175"/>
      <c r="H253" s="187">
        <v>248</v>
      </c>
      <c r="I253" s="188" t="str">
        <f t="shared" si="17"/>
        <v/>
      </c>
      <c r="J253" s="188">
        <f t="shared" si="20"/>
        <v>-4</v>
      </c>
      <c r="K253" s="187">
        <f t="shared" si="18"/>
        <v>-40</v>
      </c>
      <c r="L253" s="187"/>
      <c r="M253" s="189">
        <f t="shared" si="19"/>
        <v>0</v>
      </c>
    </row>
    <row r="254" spans="1:13">
      <c r="A254" s="204"/>
      <c r="G254" s="175"/>
      <c r="H254" s="187">
        <v>249</v>
      </c>
      <c r="I254" s="188" t="str">
        <f t="shared" si="17"/>
        <v/>
      </c>
      <c r="J254" s="188">
        <f t="shared" si="20"/>
        <v>-4</v>
      </c>
      <c r="K254" s="187">
        <f t="shared" si="18"/>
        <v>-40</v>
      </c>
      <c r="L254" s="187"/>
      <c r="M254" s="189">
        <f t="shared" si="19"/>
        <v>0</v>
      </c>
    </row>
    <row r="255" spans="1:13">
      <c r="A255" s="204"/>
      <c r="G255" s="175"/>
      <c r="H255" s="187">
        <v>250</v>
      </c>
      <c r="I255" s="188" t="str">
        <f t="shared" si="17"/>
        <v/>
      </c>
      <c r="J255" s="188">
        <f t="shared" si="20"/>
        <v>-4</v>
      </c>
      <c r="K255" s="187">
        <f t="shared" si="18"/>
        <v>-40</v>
      </c>
      <c r="L255" s="187"/>
      <c r="M255" s="189">
        <f t="shared" si="19"/>
        <v>0</v>
      </c>
    </row>
    <row r="256" spans="1:13">
      <c r="A256" s="204"/>
      <c r="G256" s="175"/>
      <c r="H256" s="187">
        <v>251</v>
      </c>
      <c r="I256" s="188" t="str">
        <f t="shared" si="17"/>
        <v/>
      </c>
      <c r="J256" s="188">
        <f t="shared" si="20"/>
        <v>-4</v>
      </c>
      <c r="K256" s="187">
        <f t="shared" si="18"/>
        <v>-40</v>
      </c>
      <c r="L256" s="187"/>
      <c r="M256" s="189">
        <f t="shared" si="19"/>
        <v>0</v>
      </c>
    </row>
    <row r="257" spans="1:13">
      <c r="A257" s="204"/>
      <c r="G257" s="175"/>
      <c r="H257" s="187">
        <v>252</v>
      </c>
      <c r="I257" s="188" t="str">
        <f t="shared" si="17"/>
        <v/>
      </c>
      <c r="J257" s="188">
        <f t="shared" si="20"/>
        <v>-4</v>
      </c>
      <c r="K257" s="187">
        <f t="shared" si="18"/>
        <v>-40</v>
      </c>
      <c r="L257" s="187"/>
      <c r="M257" s="189">
        <f t="shared" si="19"/>
        <v>0</v>
      </c>
    </row>
    <row r="258" spans="1:13">
      <c r="A258" s="204"/>
      <c r="G258" s="175"/>
      <c r="H258" s="187">
        <v>253</v>
      </c>
      <c r="I258" s="188" t="str">
        <f t="shared" si="17"/>
        <v/>
      </c>
      <c r="J258" s="188">
        <f t="shared" si="20"/>
        <v>-4</v>
      </c>
      <c r="K258" s="187">
        <f t="shared" si="18"/>
        <v>-40</v>
      </c>
      <c r="L258" s="187"/>
      <c r="M258" s="189">
        <f t="shared" si="19"/>
        <v>0</v>
      </c>
    </row>
    <row r="259" spans="1:13">
      <c r="A259" s="204"/>
      <c r="G259" s="175"/>
      <c r="H259" s="187">
        <v>254</v>
      </c>
      <c r="I259" s="188" t="str">
        <f t="shared" si="17"/>
        <v/>
      </c>
      <c r="J259" s="188">
        <f t="shared" si="20"/>
        <v>-4</v>
      </c>
      <c r="K259" s="187">
        <f t="shared" si="18"/>
        <v>-40</v>
      </c>
      <c r="L259" s="187"/>
      <c r="M259" s="189">
        <f t="shared" si="19"/>
        <v>0</v>
      </c>
    </row>
    <row r="260" spans="1:13">
      <c r="A260" s="204"/>
      <c r="G260" s="175"/>
      <c r="H260" s="187">
        <v>255</v>
      </c>
      <c r="I260" s="188" t="str">
        <f t="shared" si="17"/>
        <v/>
      </c>
      <c r="J260" s="188">
        <f t="shared" si="20"/>
        <v>-4</v>
      </c>
      <c r="K260" s="187">
        <f t="shared" si="18"/>
        <v>-40</v>
      </c>
      <c r="L260" s="187"/>
      <c r="M260" s="189">
        <f t="shared" si="19"/>
        <v>0</v>
      </c>
    </row>
    <row r="261" spans="1:13">
      <c r="A261" s="204"/>
      <c r="G261" s="175"/>
      <c r="H261" s="187">
        <v>256</v>
      </c>
      <c r="I261" s="188" t="str">
        <f t="shared" si="17"/>
        <v/>
      </c>
      <c r="J261" s="188">
        <f t="shared" si="20"/>
        <v>-4</v>
      </c>
      <c r="K261" s="187">
        <f t="shared" si="18"/>
        <v>-40</v>
      </c>
      <c r="L261" s="187"/>
      <c r="M261" s="189">
        <f t="shared" si="19"/>
        <v>0</v>
      </c>
    </row>
    <row r="262" spans="1:13">
      <c r="A262" s="204"/>
      <c r="G262" s="175"/>
      <c r="H262" s="187">
        <v>257</v>
      </c>
      <c r="I262" s="188" t="str">
        <f t="shared" ref="I262:I305" si="21">IF(H262&lt;$H$2+1,($I$2-($I$2-1)*(LOG(H262)/LOG($H$2))),"")</f>
        <v/>
      </c>
      <c r="J262" s="188">
        <f t="shared" si="20"/>
        <v>-5</v>
      </c>
      <c r="K262" s="187">
        <f t="shared" ref="K262:K305" si="22">J262*$J$2</f>
        <v>-50</v>
      </c>
      <c r="L262" s="187"/>
      <c r="M262" s="189">
        <f t="shared" ref="M262:M305" si="23">IF(I262&lt;&gt;"",K262+I262+L262,0)</f>
        <v>0</v>
      </c>
    </row>
    <row r="263" spans="1:13">
      <c r="A263" s="204"/>
      <c r="G263" s="175"/>
      <c r="H263" s="187">
        <v>258</v>
      </c>
      <c r="I263" s="188" t="str">
        <f t="shared" si="21"/>
        <v/>
      </c>
      <c r="J263" s="188">
        <f t="shared" ref="J263:J305" si="24">INT(LOG($H$2,2))-ROUNDUP(LOG(H263,2),0)+IF(OR($H$2=1,$H$2=2,$H$2=4,$H$2=8,$H$2=16,$H$2=32,$H$2=64,$H$2=128,$H$2=256),0,1)</f>
        <v>-5</v>
      </c>
      <c r="K263" s="187">
        <f t="shared" si="22"/>
        <v>-50</v>
      </c>
      <c r="L263" s="187"/>
      <c r="M263" s="189">
        <f t="shared" si="23"/>
        <v>0</v>
      </c>
    </row>
    <row r="264" spans="1:13">
      <c r="A264" s="204"/>
      <c r="G264" s="175"/>
      <c r="H264" s="187">
        <v>259</v>
      </c>
      <c r="I264" s="188" t="str">
        <f t="shared" si="21"/>
        <v/>
      </c>
      <c r="J264" s="188">
        <f t="shared" si="24"/>
        <v>-5</v>
      </c>
      <c r="K264" s="187">
        <f t="shared" si="22"/>
        <v>-50</v>
      </c>
      <c r="L264" s="187"/>
      <c r="M264" s="189">
        <f t="shared" si="23"/>
        <v>0</v>
      </c>
    </row>
    <row r="265" spans="1:13">
      <c r="A265" s="204"/>
      <c r="G265" s="175"/>
      <c r="H265" s="187">
        <v>260</v>
      </c>
      <c r="I265" s="188" t="str">
        <f t="shared" si="21"/>
        <v/>
      </c>
      <c r="J265" s="188">
        <f t="shared" si="24"/>
        <v>-5</v>
      </c>
      <c r="K265" s="187">
        <f t="shared" si="22"/>
        <v>-50</v>
      </c>
      <c r="L265" s="187"/>
      <c r="M265" s="189">
        <f t="shared" si="23"/>
        <v>0</v>
      </c>
    </row>
    <row r="266" spans="1:13">
      <c r="A266" s="204"/>
      <c r="G266" s="175"/>
      <c r="H266" s="187">
        <v>261</v>
      </c>
      <c r="I266" s="188" t="str">
        <f t="shared" si="21"/>
        <v/>
      </c>
      <c r="J266" s="188">
        <f t="shared" si="24"/>
        <v>-5</v>
      </c>
      <c r="K266" s="187">
        <f t="shared" si="22"/>
        <v>-50</v>
      </c>
      <c r="L266" s="187"/>
      <c r="M266" s="189">
        <f t="shared" si="23"/>
        <v>0</v>
      </c>
    </row>
    <row r="267" spans="1:13">
      <c r="A267" s="204"/>
      <c r="G267" s="175"/>
      <c r="H267" s="187">
        <v>262</v>
      </c>
      <c r="I267" s="188" t="str">
        <f t="shared" si="21"/>
        <v/>
      </c>
      <c r="J267" s="188">
        <f t="shared" si="24"/>
        <v>-5</v>
      </c>
      <c r="K267" s="187">
        <f t="shared" si="22"/>
        <v>-50</v>
      </c>
      <c r="L267" s="187"/>
      <c r="M267" s="189">
        <f t="shared" si="23"/>
        <v>0</v>
      </c>
    </row>
    <row r="268" spans="1:13">
      <c r="A268" s="204"/>
      <c r="G268" s="175"/>
      <c r="H268" s="187">
        <v>263</v>
      </c>
      <c r="I268" s="188" t="str">
        <f t="shared" si="21"/>
        <v/>
      </c>
      <c r="J268" s="188">
        <f t="shared" si="24"/>
        <v>-5</v>
      </c>
      <c r="K268" s="187">
        <f t="shared" si="22"/>
        <v>-50</v>
      </c>
      <c r="L268" s="187"/>
      <c r="M268" s="189">
        <f t="shared" si="23"/>
        <v>0</v>
      </c>
    </row>
    <row r="269" spans="1:13">
      <c r="A269" s="204"/>
      <c r="G269" s="175"/>
      <c r="H269" s="187">
        <v>264</v>
      </c>
      <c r="I269" s="188" t="str">
        <f t="shared" si="21"/>
        <v/>
      </c>
      <c r="J269" s="188">
        <f t="shared" si="24"/>
        <v>-5</v>
      </c>
      <c r="K269" s="187">
        <f t="shared" si="22"/>
        <v>-50</v>
      </c>
      <c r="L269" s="187"/>
      <c r="M269" s="189">
        <f t="shared" si="23"/>
        <v>0</v>
      </c>
    </row>
    <row r="270" spans="1:13">
      <c r="A270" s="204"/>
      <c r="G270" s="175"/>
      <c r="H270" s="187">
        <v>265</v>
      </c>
      <c r="I270" s="188" t="str">
        <f t="shared" si="21"/>
        <v/>
      </c>
      <c r="J270" s="188">
        <f t="shared" si="24"/>
        <v>-5</v>
      </c>
      <c r="K270" s="187">
        <f t="shared" si="22"/>
        <v>-50</v>
      </c>
      <c r="L270" s="187"/>
      <c r="M270" s="189">
        <f t="shared" si="23"/>
        <v>0</v>
      </c>
    </row>
    <row r="271" spans="1:13">
      <c r="A271" s="204"/>
      <c r="G271" s="175"/>
      <c r="H271" s="187">
        <v>266</v>
      </c>
      <c r="I271" s="188" t="str">
        <f t="shared" si="21"/>
        <v/>
      </c>
      <c r="J271" s="188">
        <f t="shared" si="24"/>
        <v>-5</v>
      </c>
      <c r="K271" s="187">
        <f t="shared" si="22"/>
        <v>-50</v>
      </c>
      <c r="L271" s="187"/>
      <c r="M271" s="189">
        <f t="shared" si="23"/>
        <v>0</v>
      </c>
    </row>
    <row r="272" spans="1:13">
      <c r="A272" s="204"/>
      <c r="G272" s="175"/>
      <c r="H272" s="187">
        <v>267</v>
      </c>
      <c r="I272" s="188" t="str">
        <f t="shared" si="21"/>
        <v/>
      </c>
      <c r="J272" s="188">
        <f t="shared" si="24"/>
        <v>-5</v>
      </c>
      <c r="K272" s="187">
        <f t="shared" si="22"/>
        <v>-50</v>
      </c>
      <c r="L272" s="187"/>
      <c r="M272" s="189">
        <f t="shared" si="23"/>
        <v>0</v>
      </c>
    </row>
    <row r="273" spans="1:13">
      <c r="A273" s="204"/>
      <c r="G273" s="175"/>
      <c r="H273" s="187">
        <v>268</v>
      </c>
      <c r="I273" s="188" t="str">
        <f t="shared" si="21"/>
        <v/>
      </c>
      <c r="J273" s="188">
        <f t="shared" si="24"/>
        <v>-5</v>
      </c>
      <c r="K273" s="187">
        <f t="shared" si="22"/>
        <v>-50</v>
      </c>
      <c r="L273" s="187"/>
      <c r="M273" s="189">
        <f t="shared" si="23"/>
        <v>0</v>
      </c>
    </row>
    <row r="274" spans="1:13">
      <c r="A274" s="204"/>
      <c r="G274" s="175"/>
      <c r="H274" s="187">
        <v>269</v>
      </c>
      <c r="I274" s="188" t="str">
        <f t="shared" si="21"/>
        <v/>
      </c>
      <c r="J274" s="188">
        <f t="shared" si="24"/>
        <v>-5</v>
      </c>
      <c r="K274" s="187">
        <f t="shared" si="22"/>
        <v>-50</v>
      </c>
      <c r="L274" s="187"/>
      <c r="M274" s="189">
        <f t="shared" si="23"/>
        <v>0</v>
      </c>
    </row>
    <row r="275" spans="1:13">
      <c r="A275" s="204"/>
      <c r="G275" s="175"/>
      <c r="H275" s="187">
        <v>270</v>
      </c>
      <c r="I275" s="188" t="str">
        <f t="shared" si="21"/>
        <v/>
      </c>
      <c r="J275" s="188">
        <f t="shared" si="24"/>
        <v>-5</v>
      </c>
      <c r="K275" s="187">
        <f t="shared" si="22"/>
        <v>-50</v>
      </c>
      <c r="L275" s="187"/>
      <c r="M275" s="189">
        <f t="shared" si="23"/>
        <v>0</v>
      </c>
    </row>
    <row r="276" spans="1:13">
      <c r="A276" s="204"/>
      <c r="G276" s="175"/>
      <c r="H276" s="187">
        <v>271</v>
      </c>
      <c r="I276" s="188" t="str">
        <f t="shared" si="21"/>
        <v/>
      </c>
      <c r="J276" s="188">
        <f t="shared" si="24"/>
        <v>-5</v>
      </c>
      <c r="K276" s="187">
        <f t="shared" si="22"/>
        <v>-50</v>
      </c>
      <c r="L276" s="187"/>
      <c r="M276" s="189">
        <f t="shared" si="23"/>
        <v>0</v>
      </c>
    </row>
    <row r="277" spans="1:13">
      <c r="A277" s="204"/>
      <c r="G277" s="175"/>
      <c r="H277" s="187">
        <v>272</v>
      </c>
      <c r="I277" s="188" t="str">
        <f t="shared" si="21"/>
        <v/>
      </c>
      <c r="J277" s="188">
        <f t="shared" si="24"/>
        <v>-5</v>
      </c>
      <c r="K277" s="187">
        <f t="shared" si="22"/>
        <v>-50</v>
      </c>
      <c r="L277" s="187"/>
      <c r="M277" s="189">
        <f t="shared" si="23"/>
        <v>0</v>
      </c>
    </row>
    <row r="278" spans="1:13">
      <c r="A278" s="204"/>
      <c r="G278" s="175"/>
      <c r="H278" s="187">
        <v>273</v>
      </c>
      <c r="I278" s="188" t="str">
        <f t="shared" si="21"/>
        <v/>
      </c>
      <c r="J278" s="188">
        <f t="shared" si="24"/>
        <v>-5</v>
      </c>
      <c r="K278" s="187">
        <f t="shared" si="22"/>
        <v>-50</v>
      </c>
      <c r="L278" s="187"/>
      <c r="M278" s="189">
        <f t="shared" si="23"/>
        <v>0</v>
      </c>
    </row>
    <row r="279" spans="1:13">
      <c r="A279" s="204"/>
      <c r="G279" s="175"/>
      <c r="H279" s="187">
        <v>274</v>
      </c>
      <c r="I279" s="188" t="str">
        <f t="shared" si="21"/>
        <v/>
      </c>
      <c r="J279" s="188">
        <f t="shared" si="24"/>
        <v>-5</v>
      </c>
      <c r="K279" s="187">
        <f t="shared" si="22"/>
        <v>-50</v>
      </c>
      <c r="L279" s="187"/>
      <c r="M279" s="189">
        <f t="shared" si="23"/>
        <v>0</v>
      </c>
    </row>
    <row r="280" spans="1:13">
      <c r="A280" s="204"/>
      <c r="G280" s="175"/>
      <c r="H280" s="187">
        <v>275</v>
      </c>
      <c r="I280" s="188" t="str">
        <f t="shared" si="21"/>
        <v/>
      </c>
      <c r="J280" s="188">
        <f t="shared" si="24"/>
        <v>-5</v>
      </c>
      <c r="K280" s="187">
        <f t="shared" si="22"/>
        <v>-50</v>
      </c>
      <c r="L280" s="187"/>
      <c r="M280" s="189">
        <f t="shared" si="23"/>
        <v>0</v>
      </c>
    </row>
    <row r="281" spans="1:13">
      <c r="A281" s="204"/>
      <c r="G281" s="175"/>
      <c r="H281" s="187">
        <v>276</v>
      </c>
      <c r="I281" s="188" t="str">
        <f t="shared" si="21"/>
        <v/>
      </c>
      <c r="J281" s="188">
        <f t="shared" si="24"/>
        <v>-5</v>
      </c>
      <c r="K281" s="187">
        <f t="shared" si="22"/>
        <v>-50</v>
      </c>
      <c r="L281" s="187"/>
      <c r="M281" s="189">
        <f t="shared" si="23"/>
        <v>0</v>
      </c>
    </row>
    <row r="282" spans="1:13">
      <c r="A282" s="204"/>
      <c r="G282" s="175"/>
      <c r="H282" s="187">
        <v>277</v>
      </c>
      <c r="I282" s="188" t="str">
        <f t="shared" si="21"/>
        <v/>
      </c>
      <c r="J282" s="188">
        <f t="shared" si="24"/>
        <v>-5</v>
      </c>
      <c r="K282" s="187">
        <f t="shared" si="22"/>
        <v>-50</v>
      </c>
      <c r="L282" s="187"/>
      <c r="M282" s="189">
        <f t="shared" si="23"/>
        <v>0</v>
      </c>
    </row>
    <row r="283" spans="1:13">
      <c r="A283" s="204"/>
      <c r="G283" s="175"/>
      <c r="H283" s="187">
        <v>278</v>
      </c>
      <c r="I283" s="188" t="str">
        <f t="shared" si="21"/>
        <v/>
      </c>
      <c r="J283" s="188">
        <f t="shared" si="24"/>
        <v>-5</v>
      </c>
      <c r="K283" s="187">
        <f t="shared" si="22"/>
        <v>-50</v>
      </c>
      <c r="L283" s="187"/>
      <c r="M283" s="189">
        <f t="shared" si="23"/>
        <v>0</v>
      </c>
    </row>
    <row r="284" spans="1:13">
      <c r="A284" s="204"/>
      <c r="G284" s="175"/>
      <c r="H284" s="187">
        <v>279</v>
      </c>
      <c r="I284" s="188" t="str">
        <f t="shared" si="21"/>
        <v/>
      </c>
      <c r="J284" s="188">
        <f t="shared" si="24"/>
        <v>-5</v>
      </c>
      <c r="K284" s="187">
        <f t="shared" si="22"/>
        <v>-50</v>
      </c>
      <c r="L284" s="187"/>
      <c r="M284" s="189">
        <f t="shared" si="23"/>
        <v>0</v>
      </c>
    </row>
    <row r="285" spans="1:13">
      <c r="A285" s="204"/>
      <c r="G285" s="175"/>
      <c r="H285" s="187">
        <v>280</v>
      </c>
      <c r="I285" s="188" t="str">
        <f t="shared" si="21"/>
        <v/>
      </c>
      <c r="J285" s="188">
        <f t="shared" si="24"/>
        <v>-5</v>
      </c>
      <c r="K285" s="187">
        <f t="shared" si="22"/>
        <v>-50</v>
      </c>
      <c r="L285" s="187"/>
      <c r="M285" s="189">
        <f t="shared" si="23"/>
        <v>0</v>
      </c>
    </row>
    <row r="286" spans="1:13">
      <c r="A286" s="204"/>
      <c r="G286" s="175"/>
      <c r="H286" s="187">
        <v>281</v>
      </c>
      <c r="I286" s="188" t="str">
        <f t="shared" si="21"/>
        <v/>
      </c>
      <c r="J286" s="188">
        <f t="shared" si="24"/>
        <v>-5</v>
      </c>
      <c r="K286" s="187">
        <f t="shared" si="22"/>
        <v>-50</v>
      </c>
      <c r="L286" s="187"/>
      <c r="M286" s="189">
        <f t="shared" si="23"/>
        <v>0</v>
      </c>
    </row>
    <row r="287" spans="1:13">
      <c r="A287" s="204"/>
      <c r="G287" s="175"/>
      <c r="H287" s="187">
        <v>282</v>
      </c>
      <c r="I287" s="188" t="str">
        <f t="shared" si="21"/>
        <v/>
      </c>
      <c r="J287" s="188">
        <f t="shared" si="24"/>
        <v>-5</v>
      </c>
      <c r="K287" s="187">
        <f t="shared" si="22"/>
        <v>-50</v>
      </c>
      <c r="L287" s="187"/>
      <c r="M287" s="189">
        <f t="shared" si="23"/>
        <v>0</v>
      </c>
    </row>
    <row r="288" spans="1:13">
      <c r="A288" s="204"/>
      <c r="G288" s="175"/>
      <c r="H288" s="187">
        <v>283</v>
      </c>
      <c r="I288" s="188" t="str">
        <f t="shared" si="21"/>
        <v/>
      </c>
      <c r="J288" s="188">
        <f t="shared" si="24"/>
        <v>-5</v>
      </c>
      <c r="K288" s="187">
        <f t="shared" si="22"/>
        <v>-50</v>
      </c>
      <c r="L288" s="187"/>
      <c r="M288" s="189">
        <f t="shared" si="23"/>
        <v>0</v>
      </c>
    </row>
    <row r="289" spans="1:13">
      <c r="A289" s="204"/>
      <c r="G289" s="175"/>
      <c r="H289" s="187">
        <v>284</v>
      </c>
      <c r="I289" s="188" t="str">
        <f t="shared" si="21"/>
        <v/>
      </c>
      <c r="J289" s="188">
        <f t="shared" si="24"/>
        <v>-5</v>
      </c>
      <c r="K289" s="187">
        <f t="shared" si="22"/>
        <v>-50</v>
      </c>
      <c r="L289" s="187"/>
      <c r="M289" s="189">
        <f t="shared" si="23"/>
        <v>0</v>
      </c>
    </row>
    <row r="290" spans="1:13">
      <c r="A290" s="204"/>
      <c r="G290" s="175"/>
      <c r="H290" s="187">
        <v>285</v>
      </c>
      <c r="I290" s="188" t="str">
        <f t="shared" si="21"/>
        <v/>
      </c>
      <c r="J290" s="188">
        <f t="shared" si="24"/>
        <v>-5</v>
      </c>
      <c r="K290" s="187">
        <f t="shared" si="22"/>
        <v>-50</v>
      </c>
      <c r="L290" s="187"/>
      <c r="M290" s="189">
        <f t="shared" si="23"/>
        <v>0</v>
      </c>
    </row>
    <row r="291" spans="1:13">
      <c r="A291" s="204"/>
      <c r="G291" s="175"/>
      <c r="H291" s="187">
        <v>286</v>
      </c>
      <c r="I291" s="188" t="str">
        <f t="shared" si="21"/>
        <v/>
      </c>
      <c r="J291" s="188">
        <f t="shared" si="24"/>
        <v>-5</v>
      </c>
      <c r="K291" s="187">
        <f t="shared" si="22"/>
        <v>-50</v>
      </c>
      <c r="L291" s="187"/>
      <c r="M291" s="189">
        <f t="shared" si="23"/>
        <v>0</v>
      </c>
    </row>
    <row r="292" spans="1:13">
      <c r="A292" s="204"/>
      <c r="G292" s="175"/>
      <c r="H292" s="187">
        <v>287</v>
      </c>
      <c r="I292" s="188" t="str">
        <f t="shared" si="21"/>
        <v/>
      </c>
      <c r="J292" s="188">
        <f t="shared" si="24"/>
        <v>-5</v>
      </c>
      <c r="K292" s="187">
        <f t="shared" si="22"/>
        <v>-50</v>
      </c>
      <c r="L292" s="187"/>
      <c r="M292" s="189">
        <f t="shared" si="23"/>
        <v>0</v>
      </c>
    </row>
    <row r="293" spans="1:13">
      <c r="A293" s="204"/>
      <c r="G293" s="175"/>
      <c r="H293" s="187">
        <v>288</v>
      </c>
      <c r="I293" s="188" t="str">
        <f t="shared" si="21"/>
        <v/>
      </c>
      <c r="J293" s="188">
        <f t="shared" si="24"/>
        <v>-5</v>
      </c>
      <c r="K293" s="187">
        <f t="shared" si="22"/>
        <v>-50</v>
      </c>
      <c r="L293" s="187"/>
      <c r="M293" s="189">
        <f t="shared" si="23"/>
        <v>0</v>
      </c>
    </row>
    <row r="294" spans="1:13">
      <c r="A294" s="204"/>
      <c r="G294" s="175"/>
      <c r="H294" s="187">
        <v>289</v>
      </c>
      <c r="I294" s="188" t="str">
        <f t="shared" si="21"/>
        <v/>
      </c>
      <c r="J294" s="188">
        <f t="shared" si="24"/>
        <v>-5</v>
      </c>
      <c r="K294" s="187">
        <f t="shared" si="22"/>
        <v>-50</v>
      </c>
      <c r="L294" s="187"/>
      <c r="M294" s="189">
        <f t="shared" si="23"/>
        <v>0</v>
      </c>
    </row>
    <row r="295" spans="1:13">
      <c r="A295" s="204"/>
      <c r="G295" s="175"/>
      <c r="H295" s="187">
        <v>290</v>
      </c>
      <c r="I295" s="188" t="str">
        <f t="shared" si="21"/>
        <v/>
      </c>
      <c r="J295" s="188">
        <f t="shared" si="24"/>
        <v>-5</v>
      </c>
      <c r="K295" s="187">
        <f t="shared" si="22"/>
        <v>-50</v>
      </c>
      <c r="L295" s="187"/>
      <c r="M295" s="189">
        <f t="shared" si="23"/>
        <v>0</v>
      </c>
    </row>
    <row r="296" spans="1:13">
      <c r="A296" s="204"/>
      <c r="G296" s="175"/>
      <c r="H296" s="187">
        <v>291</v>
      </c>
      <c r="I296" s="188" t="str">
        <f t="shared" si="21"/>
        <v/>
      </c>
      <c r="J296" s="188">
        <f t="shared" si="24"/>
        <v>-5</v>
      </c>
      <c r="K296" s="187">
        <f t="shared" si="22"/>
        <v>-50</v>
      </c>
      <c r="L296" s="187"/>
      <c r="M296" s="189">
        <f t="shared" si="23"/>
        <v>0</v>
      </c>
    </row>
    <row r="297" spans="1:13">
      <c r="A297" s="204"/>
      <c r="G297" s="175"/>
      <c r="H297" s="187">
        <v>292</v>
      </c>
      <c r="I297" s="188" t="str">
        <f t="shared" si="21"/>
        <v/>
      </c>
      <c r="J297" s="188">
        <f t="shared" si="24"/>
        <v>-5</v>
      </c>
      <c r="K297" s="187">
        <f t="shared" si="22"/>
        <v>-50</v>
      </c>
      <c r="L297" s="187"/>
      <c r="M297" s="189">
        <f t="shared" si="23"/>
        <v>0</v>
      </c>
    </row>
    <row r="298" spans="1:13">
      <c r="A298" s="204"/>
      <c r="G298" s="175"/>
      <c r="H298" s="187">
        <v>293</v>
      </c>
      <c r="I298" s="188" t="str">
        <f t="shared" si="21"/>
        <v/>
      </c>
      <c r="J298" s="188">
        <f t="shared" si="24"/>
        <v>-5</v>
      </c>
      <c r="K298" s="187">
        <f t="shared" si="22"/>
        <v>-50</v>
      </c>
      <c r="L298" s="187"/>
      <c r="M298" s="189">
        <f t="shared" si="23"/>
        <v>0</v>
      </c>
    </row>
    <row r="299" spans="1:13">
      <c r="A299" s="204"/>
      <c r="G299" s="175"/>
      <c r="H299" s="187">
        <v>294</v>
      </c>
      <c r="I299" s="188" t="str">
        <f t="shared" si="21"/>
        <v/>
      </c>
      <c r="J299" s="188">
        <f t="shared" si="24"/>
        <v>-5</v>
      </c>
      <c r="K299" s="187">
        <f t="shared" si="22"/>
        <v>-50</v>
      </c>
      <c r="L299" s="187"/>
      <c r="M299" s="189">
        <f t="shared" si="23"/>
        <v>0</v>
      </c>
    </row>
    <row r="300" spans="1:13">
      <c r="A300" s="204"/>
      <c r="G300" s="175"/>
      <c r="H300" s="187">
        <v>295</v>
      </c>
      <c r="I300" s="188" t="str">
        <f t="shared" si="21"/>
        <v/>
      </c>
      <c r="J300" s="188">
        <f t="shared" si="24"/>
        <v>-5</v>
      </c>
      <c r="K300" s="187">
        <f t="shared" si="22"/>
        <v>-50</v>
      </c>
      <c r="L300" s="187"/>
      <c r="M300" s="189">
        <f t="shared" si="23"/>
        <v>0</v>
      </c>
    </row>
    <row r="301" spans="1:13">
      <c r="A301" s="204"/>
      <c r="G301" s="175"/>
      <c r="H301" s="187">
        <v>296</v>
      </c>
      <c r="I301" s="188" t="str">
        <f t="shared" si="21"/>
        <v/>
      </c>
      <c r="J301" s="188">
        <f t="shared" si="24"/>
        <v>-5</v>
      </c>
      <c r="K301" s="187">
        <f t="shared" si="22"/>
        <v>-50</v>
      </c>
      <c r="L301" s="187"/>
      <c r="M301" s="189">
        <f t="shared" si="23"/>
        <v>0</v>
      </c>
    </row>
    <row r="302" spans="1:13">
      <c r="A302" s="204"/>
      <c r="G302" s="175"/>
      <c r="H302" s="187">
        <v>297</v>
      </c>
      <c r="I302" s="188" t="str">
        <f t="shared" si="21"/>
        <v/>
      </c>
      <c r="J302" s="188">
        <f t="shared" si="24"/>
        <v>-5</v>
      </c>
      <c r="K302" s="187">
        <f t="shared" si="22"/>
        <v>-50</v>
      </c>
      <c r="L302" s="187"/>
      <c r="M302" s="189">
        <f t="shared" si="23"/>
        <v>0</v>
      </c>
    </row>
    <row r="303" spans="1:13">
      <c r="A303" s="204"/>
      <c r="G303" s="175"/>
      <c r="H303" s="187">
        <v>298</v>
      </c>
      <c r="I303" s="188" t="str">
        <f t="shared" si="21"/>
        <v/>
      </c>
      <c r="J303" s="188">
        <f t="shared" si="24"/>
        <v>-5</v>
      </c>
      <c r="K303" s="187">
        <f t="shared" si="22"/>
        <v>-50</v>
      </c>
      <c r="L303" s="187"/>
      <c r="M303" s="189">
        <f t="shared" si="23"/>
        <v>0</v>
      </c>
    </row>
    <row r="304" spans="1:13">
      <c r="A304" s="204"/>
      <c r="G304" s="175"/>
      <c r="H304" s="187">
        <v>299</v>
      </c>
      <c r="I304" s="188" t="str">
        <f t="shared" si="21"/>
        <v/>
      </c>
      <c r="J304" s="188">
        <f t="shared" si="24"/>
        <v>-5</v>
      </c>
      <c r="K304" s="187">
        <f t="shared" si="22"/>
        <v>-50</v>
      </c>
      <c r="L304" s="187"/>
      <c r="M304" s="189">
        <f t="shared" si="23"/>
        <v>0</v>
      </c>
    </row>
    <row r="305" spans="1:16">
      <c r="A305" s="204"/>
      <c r="G305" s="175"/>
      <c r="H305" s="187">
        <v>300</v>
      </c>
      <c r="I305" s="188" t="str">
        <f t="shared" si="21"/>
        <v/>
      </c>
      <c r="J305" s="188">
        <f t="shared" si="24"/>
        <v>-5</v>
      </c>
      <c r="K305" s="187">
        <f t="shared" si="22"/>
        <v>-50</v>
      </c>
      <c r="L305" s="187"/>
      <c r="M305" s="189">
        <f t="shared" si="23"/>
        <v>0</v>
      </c>
    </row>
    <row r="306" spans="1:16">
      <c r="A306" s="205"/>
    </row>
    <row r="314" spans="1:16">
      <c r="L314" s="208"/>
      <c r="P314" s="198"/>
    </row>
    <row r="315" spans="1:16">
      <c r="L315" s="208"/>
      <c r="P315" s="198"/>
    </row>
    <row r="316" spans="1:16">
      <c r="L316" s="208"/>
      <c r="P316" s="198"/>
    </row>
    <row r="317" spans="1:16">
      <c r="L317" s="208"/>
      <c r="P317" s="198"/>
    </row>
  </sheetData>
  <mergeCells count="2">
    <mergeCell ref="C2:D2"/>
    <mergeCell ref="C3:D3"/>
  </mergeCells>
  <conditionalFormatting sqref="J9:K9">
    <cfRule type="cellIs" dxfId="9" priority="1" operator="lessThanOrEqual">
      <formula>0</formula>
    </cfRule>
  </conditionalFormatting>
  <conditionalFormatting sqref="K6:K8 K10:K305">
    <cfRule type="cellIs" dxfId="8" priority="2" operator="lessThanOrEqual">
      <formula>0</formula>
    </cfRule>
  </conditionalFormatting>
  <hyperlinks>
    <hyperlink ref="C2:D2" r:id="rId1" display="Terni" xr:uid="{7C108E53-AECC-4A00-8C16-3BF387E3A0A6}"/>
  </hyperlink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115CA-D553-4A15-8317-5700BAB60BEC}">
  <sheetPr>
    <tabColor rgb="FF92D050"/>
  </sheetPr>
  <dimension ref="A1:AL317"/>
  <sheetViews>
    <sheetView workbookViewId="0">
      <selection activeCell="C25" sqref="C25"/>
    </sheetView>
  </sheetViews>
  <sheetFormatPr defaultColWidth="8.85546875" defaultRowHeight="14.25"/>
  <cols>
    <col min="1" max="1" width="8" style="203" customWidth="1"/>
    <col min="2" max="2" width="8.28515625" style="203" customWidth="1"/>
    <col min="3" max="3" width="34.7109375" style="203" customWidth="1"/>
    <col min="4" max="4" width="11.28515625" style="203" customWidth="1"/>
    <col min="5" max="6" width="8.85546875" style="203"/>
    <col min="7" max="7" width="0.85546875" style="203" customWidth="1"/>
    <col min="8" max="8" width="8.85546875" style="206"/>
    <col min="9" max="9" width="11" style="206" customWidth="1"/>
    <col min="10" max="10" width="15" style="206" customWidth="1"/>
    <col min="11" max="11" width="8.7109375" style="206" customWidth="1"/>
    <col min="12" max="12" width="11" style="206" customWidth="1"/>
    <col min="13" max="13" width="11.7109375" style="207" customWidth="1"/>
    <col min="14" max="15" width="13.85546875" style="175" customWidth="1"/>
    <col min="16" max="18" width="8.85546875" style="175"/>
    <col min="19" max="20" width="8.85546875" style="180"/>
    <col min="21" max="21" width="12.140625" style="180" customWidth="1"/>
    <col min="22" max="22" width="27.42578125" style="180" customWidth="1"/>
    <col min="23" max="38" width="8.85546875" style="180"/>
    <col min="39" max="16384" width="8.85546875" style="203"/>
  </cols>
  <sheetData>
    <row r="1" spans="1:36">
      <c r="A1" s="175"/>
      <c r="B1" s="175"/>
      <c r="C1" s="175"/>
      <c r="D1" s="175"/>
      <c r="E1" s="175"/>
      <c r="F1" s="175"/>
      <c r="G1" s="175"/>
      <c r="H1" s="176" t="s">
        <v>34</v>
      </c>
      <c r="I1" s="177" t="s">
        <v>35</v>
      </c>
      <c r="J1" s="177" t="s">
        <v>36</v>
      </c>
      <c r="K1" s="178" t="s">
        <v>131</v>
      </c>
      <c r="L1" s="179"/>
      <c r="M1" s="179"/>
    </row>
    <row r="2" spans="1:36">
      <c r="A2" s="175"/>
      <c r="B2" s="21" t="s">
        <v>38</v>
      </c>
      <c r="C2" s="266" t="s">
        <v>132</v>
      </c>
      <c r="D2" s="133"/>
      <c r="E2" s="22"/>
      <c r="F2" s="22"/>
      <c r="G2" s="22"/>
      <c r="H2" s="181">
        <v>0</v>
      </c>
      <c r="I2" s="182">
        <v>50</v>
      </c>
      <c r="J2" s="182">
        <v>10</v>
      </c>
      <c r="K2" s="183">
        <f>3*H2^(1/3)</f>
        <v>0</v>
      </c>
      <c r="L2" s="179"/>
      <c r="M2" s="179"/>
    </row>
    <row r="3" spans="1:36" ht="14.45" customHeight="1">
      <c r="A3" s="175"/>
      <c r="B3" s="184" t="s">
        <v>40</v>
      </c>
      <c r="C3" s="74" t="s">
        <v>148</v>
      </c>
      <c r="D3" s="74"/>
      <c r="E3" s="27"/>
      <c r="F3" s="27"/>
      <c r="G3" s="27"/>
      <c r="H3" s="179"/>
      <c r="I3" s="179"/>
      <c r="J3" s="179"/>
      <c r="K3" s="179"/>
      <c r="L3" s="179"/>
      <c r="M3" s="179"/>
    </row>
    <row r="4" spans="1:36" ht="10.15" customHeight="1">
      <c r="A4" s="29"/>
      <c r="B4" s="27"/>
      <c r="C4" s="29"/>
      <c r="D4" s="29"/>
      <c r="E4" s="29"/>
      <c r="F4" s="29"/>
      <c r="G4" s="29"/>
      <c r="H4" s="179"/>
      <c r="I4" s="179"/>
      <c r="J4" s="179"/>
      <c r="K4" s="179"/>
      <c r="L4" s="179"/>
      <c r="M4" s="179"/>
    </row>
    <row r="5" spans="1:36" ht="34.700000000000003">
      <c r="A5" s="1" t="s">
        <v>42</v>
      </c>
      <c r="B5" s="30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9"/>
      <c r="H5" s="185" t="s">
        <v>48</v>
      </c>
      <c r="I5" s="186" t="s">
        <v>49</v>
      </c>
      <c r="J5" s="186" t="s">
        <v>50</v>
      </c>
      <c r="K5" s="186" t="s">
        <v>51</v>
      </c>
      <c r="L5" s="186" t="s">
        <v>52</v>
      </c>
      <c r="M5" s="185" t="s">
        <v>53</v>
      </c>
    </row>
    <row r="6" spans="1:36" ht="14.45" customHeight="1">
      <c r="A6" s="102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187">
        <v>1</v>
      </c>
      <c r="I6" s="188" t="str">
        <f t="shared" ref="I6:I69" si="1">IF(H6&lt;$H$2+1,($I$2-($I$2-1)*(LOG(H6)/LOG($H$2))),"")</f>
        <v/>
      </c>
      <c r="J6" s="188" t="e">
        <f>INT(LOG($H$2,2))-ROUNDUP(LOG(H6,2),0)+IF(OR($H$2=1,$H$2=2,$H$2=4,$H$2=8,$H$2=16,$H$2=32,$H$2=64,$H$2=128,$H$2=256),0,1)</f>
        <v>#NUM!</v>
      </c>
      <c r="K6" s="187" t="e">
        <f t="shared" ref="K6:K69" si="2">J6*$J$2</f>
        <v>#NUM!</v>
      </c>
      <c r="L6" s="189">
        <f>3*K2</f>
        <v>0</v>
      </c>
      <c r="M6" s="189">
        <f t="shared" ref="M6:M69" si="3">IF(I6&lt;&gt;"",K6+I6+L6,0)</f>
        <v>0</v>
      </c>
    </row>
    <row r="7" spans="1:36" ht="14.45" customHeight="1">
      <c r="A7" s="106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190">
        <v>2</v>
      </c>
      <c r="I7" s="191" t="str">
        <f t="shared" si="1"/>
        <v/>
      </c>
      <c r="J7" s="191" t="e">
        <f t="shared" ref="J7:J70" si="5">INT(LOG($H$2,2))-ROUNDUP(LOG(H7,2),0)+IF(OR($H$2=1,$H$2=2,$H$2=4,$H$2=8,$H$2=16,$H$2=32,$H$2=64,$H$2=128,$H$2=256),0,1)</f>
        <v>#NUM!</v>
      </c>
      <c r="K7" s="190" t="e">
        <f t="shared" si="2"/>
        <v>#NUM!</v>
      </c>
      <c r="L7" s="192">
        <f>2*K2</f>
        <v>0</v>
      </c>
      <c r="M7" s="192">
        <f t="shared" si="3"/>
        <v>0</v>
      </c>
    </row>
    <row r="8" spans="1:36" ht="14.45" customHeight="1">
      <c r="A8" s="102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187">
        <v>3</v>
      </c>
      <c r="I8" s="188" t="str">
        <f t="shared" si="1"/>
        <v/>
      </c>
      <c r="J8" s="188" t="e">
        <f t="shared" si="5"/>
        <v>#NUM!</v>
      </c>
      <c r="K8" s="187" t="e">
        <f t="shared" si="2"/>
        <v>#NUM!</v>
      </c>
      <c r="L8" s="189">
        <f>K2</f>
        <v>0</v>
      </c>
      <c r="M8" s="189">
        <f t="shared" si="3"/>
        <v>0</v>
      </c>
    </row>
    <row r="9" spans="1:36" s="180" customFormat="1" ht="14.45" customHeight="1">
      <c r="A9" s="106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190">
        <v>3</v>
      </c>
      <c r="I9" s="191" t="str">
        <f t="shared" si="1"/>
        <v/>
      </c>
      <c r="J9" s="190" t="e">
        <f t="shared" si="5"/>
        <v>#NUM!</v>
      </c>
      <c r="K9" s="190" t="e">
        <f t="shared" si="2"/>
        <v>#NUM!</v>
      </c>
      <c r="L9" s="192">
        <f>K2</f>
        <v>0</v>
      </c>
      <c r="M9" s="192">
        <f t="shared" si="3"/>
        <v>0</v>
      </c>
      <c r="N9" s="175"/>
      <c r="O9" s="175"/>
      <c r="P9" s="175"/>
      <c r="Q9" s="175"/>
      <c r="R9" s="175"/>
      <c r="V9" s="193"/>
      <c r="Z9" s="194"/>
      <c r="AA9" s="194"/>
      <c r="AG9" s="195"/>
      <c r="AH9" s="180" t="s">
        <v>57</v>
      </c>
      <c r="AI9" s="180">
        <v>23</v>
      </c>
    </row>
    <row r="10" spans="1:36" ht="14.45" customHeight="1">
      <c r="A10" s="102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187">
        <v>5</v>
      </c>
      <c r="I10" s="188" t="str">
        <f t="shared" si="1"/>
        <v/>
      </c>
      <c r="J10" s="188" t="e">
        <f t="shared" si="5"/>
        <v>#NUM!</v>
      </c>
      <c r="K10" s="187" t="e">
        <f t="shared" si="2"/>
        <v>#NUM!</v>
      </c>
      <c r="L10" s="187"/>
      <c r="M10" s="189">
        <f t="shared" si="3"/>
        <v>0</v>
      </c>
      <c r="V10" s="193"/>
      <c r="Z10" s="194"/>
      <c r="AA10" s="194"/>
      <c r="AG10" s="195"/>
      <c r="AH10" s="180" t="s">
        <v>58</v>
      </c>
      <c r="AI10" s="180">
        <v>45</v>
      </c>
    </row>
    <row r="11" spans="1:36" ht="14.45" customHeight="1">
      <c r="A11" s="106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90">
        <v>6</v>
      </c>
      <c r="I11" s="191" t="str">
        <f t="shared" si="1"/>
        <v/>
      </c>
      <c r="J11" s="191" t="e">
        <f t="shared" si="5"/>
        <v>#NUM!</v>
      </c>
      <c r="K11" s="190" t="e">
        <f t="shared" si="2"/>
        <v>#NUM!</v>
      </c>
      <c r="L11" s="190"/>
      <c r="M11" s="192">
        <f t="shared" si="3"/>
        <v>0</v>
      </c>
      <c r="V11" s="196"/>
      <c r="Z11" s="194"/>
      <c r="AA11" s="194"/>
      <c r="AG11" s="195"/>
      <c r="AH11" s="180" t="s">
        <v>60</v>
      </c>
      <c r="AI11" s="180">
        <v>50</v>
      </c>
    </row>
    <row r="12" spans="1:36" ht="14.45" customHeight="1">
      <c r="A12" s="102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187">
        <v>7</v>
      </c>
      <c r="I12" s="188" t="str">
        <f t="shared" si="1"/>
        <v/>
      </c>
      <c r="J12" s="188" t="e">
        <f t="shared" si="5"/>
        <v>#NUM!</v>
      </c>
      <c r="K12" s="187" t="e">
        <f t="shared" si="2"/>
        <v>#NUM!</v>
      </c>
      <c r="L12" s="187"/>
      <c r="M12" s="189">
        <f t="shared" si="3"/>
        <v>0</v>
      </c>
      <c r="Z12" s="194"/>
      <c r="AA12" s="194"/>
      <c r="AG12" s="195"/>
      <c r="AH12" s="180" t="s">
        <v>61</v>
      </c>
      <c r="AI12" s="180">
        <f>AI11-1</f>
        <v>49</v>
      </c>
    </row>
    <row r="13" spans="1:36" ht="14.45" customHeight="1">
      <c r="A13" s="106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90">
        <v>8</v>
      </c>
      <c r="I13" s="191" t="str">
        <f t="shared" si="1"/>
        <v/>
      </c>
      <c r="J13" s="191" t="e">
        <f t="shared" si="5"/>
        <v>#NUM!</v>
      </c>
      <c r="K13" s="190" t="e">
        <f t="shared" si="2"/>
        <v>#NUM!</v>
      </c>
      <c r="L13" s="190"/>
      <c r="M13" s="192">
        <f t="shared" si="3"/>
        <v>0</v>
      </c>
      <c r="X13" s="193"/>
      <c r="AG13" s="195"/>
      <c r="AH13" s="180" t="s">
        <v>62</v>
      </c>
      <c r="AI13" s="180">
        <f>LOG(AI9)</f>
        <v>1.3617278360175928</v>
      </c>
    </row>
    <row r="14" spans="1:36">
      <c r="A14" s="102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187">
        <v>9</v>
      </c>
      <c r="I14" s="188" t="str">
        <f t="shared" si="1"/>
        <v/>
      </c>
      <c r="J14" s="188" t="e">
        <f t="shared" si="5"/>
        <v>#NUM!</v>
      </c>
      <c r="K14" s="187" t="e">
        <f t="shared" si="2"/>
        <v>#NUM!</v>
      </c>
      <c r="L14" s="187"/>
      <c r="M14" s="189">
        <f t="shared" si="3"/>
        <v>0</v>
      </c>
      <c r="X14" s="197"/>
      <c r="Z14" s="194"/>
      <c r="AA14" s="194"/>
      <c r="AG14" s="195"/>
      <c r="AH14" s="180" t="s">
        <v>64</v>
      </c>
      <c r="AI14" s="180">
        <f>LOG(AI10)</f>
        <v>1.6532125137753437</v>
      </c>
    </row>
    <row r="15" spans="1:36">
      <c r="A15" s="106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90">
        <v>10</v>
      </c>
      <c r="I15" s="191" t="str">
        <f t="shared" si="1"/>
        <v/>
      </c>
      <c r="J15" s="191" t="e">
        <f t="shared" si="5"/>
        <v>#NUM!</v>
      </c>
      <c r="K15" s="190" t="e">
        <f t="shared" si="2"/>
        <v>#NUM!</v>
      </c>
      <c r="L15" s="190"/>
      <c r="M15" s="192">
        <f t="shared" si="3"/>
        <v>0</v>
      </c>
      <c r="X15" s="193"/>
      <c r="Z15" s="194"/>
      <c r="AA15" s="194"/>
    </row>
    <row r="16" spans="1:36">
      <c r="A16" s="102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187">
        <v>11</v>
      </c>
      <c r="I16" s="188" t="str">
        <f t="shared" si="1"/>
        <v/>
      </c>
      <c r="J16" s="188" t="e">
        <f t="shared" si="5"/>
        <v>#NUM!</v>
      </c>
      <c r="K16" s="187" t="e">
        <f t="shared" si="2"/>
        <v>#NUM!</v>
      </c>
      <c r="L16" s="187"/>
      <c r="M16" s="189">
        <f t="shared" si="3"/>
        <v>0</v>
      </c>
      <c r="R16" s="198"/>
      <c r="Z16" s="194"/>
      <c r="AA16" s="194"/>
      <c r="AH16" s="199" t="s">
        <v>66</v>
      </c>
      <c r="AI16" s="180">
        <f>AI11-AI12*AI13/AI14</f>
        <v>9.6393909380186855</v>
      </c>
      <c r="AJ16" s="180" t="s">
        <v>67</v>
      </c>
    </row>
    <row r="17" spans="1:19">
      <c r="A17" s="106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90">
        <v>12</v>
      </c>
      <c r="I17" s="191" t="str">
        <f t="shared" si="1"/>
        <v/>
      </c>
      <c r="J17" s="191" t="e">
        <f t="shared" si="5"/>
        <v>#NUM!</v>
      </c>
      <c r="K17" s="190" t="e">
        <f t="shared" si="2"/>
        <v>#NUM!</v>
      </c>
      <c r="L17" s="190"/>
      <c r="M17" s="192">
        <f t="shared" si="3"/>
        <v>0</v>
      </c>
    </row>
    <row r="18" spans="1:19">
      <c r="A18" s="102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187">
        <v>13</v>
      </c>
      <c r="I18" s="188" t="str">
        <f t="shared" si="1"/>
        <v/>
      </c>
      <c r="J18" s="188" t="e">
        <f t="shared" si="5"/>
        <v>#NUM!</v>
      </c>
      <c r="K18" s="187" t="e">
        <f t="shared" si="2"/>
        <v>#NUM!</v>
      </c>
      <c r="L18" s="187"/>
      <c r="M18" s="189">
        <f t="shared" si="3"/>
        <v>0</v>
      </c>
    </row>
    <row r="19" spans="1:19">
      <c r="A19" s="106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90">
        <v>14</v>
      </c>
      <c r="I19" s="191" t="str">
        <f t="shared" si="1"/>
        <v/>
      </c>
      <c r="J19" s="191" t="e">
        <f t="shared" si="5"/>
        <v>#NUM!</v>
      </c>
      <c r="K19" s="190" t="e">
        <f t="shared" si="2"/>
        <v>#NUM!</v>
      </c>
      <c r="L19" s="190"/>
      <c r="M19" s="192">
        <f t="shared" si="3"/>
        <v>0</v>
      </c>
    </row>
    <row r="20" spans="1:19">
      <c r="A20" s="102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87">
        <v>15</v>
      </c>
      <c r="I20" s="188" t="str">
        <f t="shared" si="1"/>
        <v/>
      </c>
      <c r="J20" s="188" t="e">
        <f t="shared" si="5"/>
        <v>#NUM!</v>
      </c>
      <c r="K20" s="187" t="e">
        <f t="shared" si="2"/>
        <v>#NUM!</v>
      </c>
      <c r="L20" s="187"/>
      <c r="M20" s="189">
        <f t="shared" si="3"/>
        <v>0</v>
      </c>
      <c r="R20" s="200"/>
      <c r="S20" s="201"/>
    </row>
    <row r="21" spans="1:19">
      <c r="A21" s="106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90">
        <v>16</v>
      </c>
      <c r="I21" s="191" t="str">
        <f t="shared" si="1"/>
        <v/>
      </c>
      <c r="J21" s="191" t="e">
        <f t="shared" si="5"/>
        <v>#NUM!</v>
      </c>
      <c r="K21" s="190" t="e">
        <f t="shared" si="2"/>
        <v>#NUM!</v>
      </c>
      <c r="L21" s="190"/>
      <c r="M21" s="192">
        <f t="shared" si="3"/>
        <v>0</v>
      </c>
    </row>
    <row r="22" spans="1:19">
      <c r="A22" s="102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87">
        <v>17</v>
      </c>
      <c r="I22" s="188" t="str">
        <f t="shared" si="1"/>
        <v/>
      </c>
      <c r="J22" s="188" t="e">
        <f t="shared" si="5"/>
        <v>#NUM!</v>
      </c>
      <c r="K22" s="187" t="e">
        <f t="shared" si="2"/>
        <v>#NUM!</v>
      </c>
      <c r="L22" s="187"/>
      <c r="M22" s="189">
        <f t="shared" si="3"/>
        <v>0</v>
      </c>
    </row>
    <row r="23" spans="1:19">
      <c r="A23" s="106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90">
        <v>18</v>
      </c>
      <c r="I23" s="191" t="str">
        <f t="shared" si="1"/>
        <v/>
      </c>
      <c r="J23" s="191" t="e">
        <f t="shared" si="5"/>
        <v>#NUM!</v>
      </c>
      <c r="K23" s="190" t="e">
        <f t="shared" si="2"/>
        <v>#NUM!</v>
      </c>
      <c r="L23" s="190"/>
      <c r="M23" s="192">
        <f t="shared" si="3"/>
        <v>0</v>
      </c>
    </row>
    <row r="24" spans="1:19">
      <c r="A24" s="102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87">
        <v>19</v>
      </c>
      <c r="I24" s="188" t="str">
        <f t="shared" si="1"/>
        <v/>
      </c>
      <c r="J24" s="188" t="e">
        <f t="shared" si="5"/>
        <v>#NUM!</v>
      </c>
      <c r="K24" s="187" t="e">
        <f t="shared" si="2"/>
        <v>#NUM!</v>
      </c>
      <c r="L24" s="187"/>
      <c r="M24" s="189">
        <f t="shared" si="3"/>
        <v>0</v>
      </c>
      <c r="R24" s="200"/>
      <c r="S24" s="201"/>
    </row>
    <row r="25" spans="1:19">
      <c r="A25" s="106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90">
        <v>20</v>
      </c>
      <c r="I25" s="191" t="str">
        <f t="shared" si="1"/>
        <v/>
      </c>
      <c r="J25" s="191" t="e">
        <f t="shared" si="5"/>
        <v>#NUM!</v>
      </c>
      <c r="K25" s="190" t="e">
        <f t="shared" si="2"/>
        <v>#NUM!</v>
      </c>
      <c r="L25" s="190"/>
      <c r="M25" s="192">
        <f t="shared" si="3"/>
        <v>0</v>
      </c>
    </row>
    <row r="26" spans="1:19">
      <c r="A26" s="102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87">
        <v>21</v>
      </c>
      <c r="I26" s="188" t="str">
        <f t="shared" si="1"/>
        <v/>
      </c>
      <c r="J26" s="188" t="e">
        <f t="shared" si="5"/>
        <v>#NUM!</v>
      </c>
      <c r="K26" s="187" t="e">
        <f t="shared" si="2"/>
        <v>#NUM!</v>
      </c>
      <c r="L26" s="187"/>
      <c r="M26" s="189">
        <f t="shared" si="3"/>
        <v>0</v>
      </c>
    </row>
    <row r="27" spans="1:19">
      <c r="A27" s="106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90">
        <v>22</v>
      </c>
      <c r="I27" s="191" t="str">
        <f t="shared" si="1"/>
        <v/>
      </c>
      <c r="J27" s="191" t="e">
        <f t="shared" si="5"/>
        <v>#NUM!</v>
      </c>
      <c r="K27" s="190" t="e">
        <f t="shared" si="2"/>
        <v>#NUM!</v>
      </c>
      <c r="L27" s="190"/>
      <c r="M27" s="192">
        <f t="shared" si="3"/>
        <v>0</v>
      </c>
    </row>
    <row r="28" spans="1:19">
      <c r="A28" s="102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87">
        <v>23</v>
      </c>
      <c r="I28" s="188" t="str">
        <f t="shared" si="1"/>
        <v/>
      </c>
      <c r="J28" s="188" t="e">
        <f t="shared" si="5"/>
        <v>#NUM!</v>
      </c>
      <c r="K28" s="187" t="e">
        <f t="shared" si="2"/>
        <v>#NUM!</v>
      </c>
      <c r="L28" s="187"/>
      <c r="M28" s="189">
        <f t="shared" si="3"/>
        <v>0</v>
      </c>
      <c r="R28" s="200"/>
      <c r="S28" s="201"/>
    </row>
    <row r="29" spans="1:19">
      <c r="A29" s="106">
        <f t="shared" si="4"/>
        <v>0</v>
      </c>
      <c r="B29" s="41" t="str">
        <f t="shared" si="0"/>
        <v/>
      </c>
      <c r="C29" s="42"/>
      <c r="D29" s="42"/>
      <c r="E29" s="42"/>
      <c r="F29" s="42"/>
      <c r="G29" s="175"/>
      <c r="H29" s="190">
        <v>24</v>
      </c>
      <c r="I29" s="191" t="str">
        <f t="shared" si="1"/>
        <v/>
      </c>
      <c r="J29" s="191" t="e">
        <f t="shared" si="5"/>
        <v>#NUM!</v>
      </c>
      <c r="K29" s="190" t="e">
        <f t="shared" si="2"/>
        <v>#NUM!</v>
      </c>
      <c r="L29" s="190"/>
      <c r="M29" s="192">
        <f t="shared" si="3"/>
        <v>0</v>
      </c>
    </row>
    <row r="30" spans="1:19">
      <c r="A30" s="102">
        <f t="shared" si="4"/>
        <v>0</v>
      </c>
      <c r="B30" s="35" t="str">
        <f t="shared" si="0"/>
        <v/>
      </c>
      <c r="C30" s="36"/>
      <c r="D30" s="36"/>
      <c r="E30" s="36"/>
      <c r="F30" s="36"/>
      <c r="G30" s="175"/>
      <c r="H30" s="187">
        <v>25</v>
      </c>
      <c r="I30" s="188" t="str">
        <f t="shared" si="1"/>
        <v/>
      </c>
      <c r="J30" s="188" t="e">
        <f t="shared" si="5"/>
        <v>#NUM!</v>
      </c>
      <c r="K30" s="187" t="e">
        <f t="shared" si="2"/>
        <v>#NUM!</v>
      </c>
      <c r="L30" s="187"/>
      <c r="M30" s="189">
        <f t="shared" si="3"/>
        <v>0</v>
      </c>
    </row>
    <row r="31" spans="1:19">
      <c r="A31" s="106">
        <f t="shared" si="4"/>
        <v>0</v>
      </c>
      <c r="B31" s="41" t="str">
        <f t="shared" si="0"/>
        <v/>
      </c>
      <c r="C31" s="42"/>
      <c r="D31" s="42"/>
      <c r="E31" s="42"/>
      <c r="F31" s="42"/>
      <c r="G31" s="175"/>
      <c r="H31" s="190">
        <v>26</v>
      </c>
      <c r="I31" s="191" t="str">
        <f t="shared" si="1"/>
        <v/>
      </c>
      <c r="J31" s="191" t="e">
        <f t="shared" si="5"/>
        <v>#NUM!</v>
      </c>
      <c r="K31" s="190" t="e">
        <f t="shared" si="2"/>
        <v>#NUM!</v>
      </c>
      <c r="L31" s="190"/>
      <c r="M31" s="192">
        <f t="shared" si="3"/>
        <v>0</v>
      </c>
    </row>
    <row r="32" spans="1:19">
      <c r="A32" s="102">
        <f t="shared" si="4"/>
        <v>0</v>
      </c>
      <c r="B32" s="35" t="str">
        <f t="shared" si="0"/>
        <v/>
      </c>
      <c r="C32" s="36"/>
      <c r="D32" s="36"/>
      <c r="E32" s="36"/>
      <c r="F32" s="36"/>
      <c r="G32" s="175"/>
      <c r="H32" s="187">
        <v>27</v>
      </c>
      <c r="I32" s="188" t="str">
        <f t="shared" si="1"/>
        <v/>
      </c>
      <c r="J32" s="188" t="e">
        <f t="shared" si="5"/>
        <v>#NUM!</v>
      </c>
      <c r="K32" s="187" t="e">
        <f t="shared" si="2"/>
        <v>#NUM!</v>
      </c>
      <c r="L32" s="187"/>
      <c r="M32" s="189">
        <f t="shared" si="3"/>
        <v>0</v>
      </c>
      <c r="R32" s="200"/>
      <c r="S32" s="201"/>
    </row>
    <row r="33" spans="1:21">
      <c r="A33" s="106">
        <f t="shared" si="4"/>
        <v>0</v>
      </c>
      <c r="B33" s="41" t="str">
        <f t="shared" si="0"/>
        <v/>
      </c>
      <c r="C33" s="42"/>
      <c r="D33" s="42"/>
      <c r="E33" s="42"/>
      <c r="F33" s="42"/>
      <c r="G33" s="175"/>
      <c r="H33" s="190">
        <v>28</v>
      </c>
      <c r="I33" s="191" t="str">
        <f t="shared" si="1"/>
        <v/>
      </c>
      <c r="J33" s="191" t="e">
        <f t="shared" si="5"/>
        <v>#NUM!</v>
      </c>
      <c r="K33" s="190" t="e">
        <f t="shared" si="2"/>
        <v>#NUM!</v>
      </c>
      <c r="L33" s="190"/>
      <c r="M33" s="192">
        <f t="shared" si="3"/>
        <v>0</v>
      </c>
    </row>
    <row r="34" spans="1:21">
      <c r="A34" s="102">
        <f t="shared" si="4"/>
        <v>0</v>
      </c>
      <c r="B34" s="35" t="str">
        <f t="shared" si="0"/>
        <v/>
      </c>
      <c r="C34" s="36"/>
      <c r="D34" s="36"/>
      <c r="E34" s="36"/>
      <c r="F34" s="36"/>
      <c r="G34" s="175"/>
      <c r="H34" s="187">
        <v>29</v>
      </c>
      <c r="I34" s="188" t="str">
        <f t="shared" si="1"/>
        <v/>
      </c>
      <c r="J34" s="188" t="e">
        <f t="shared" si="5"/>
        <v>#NUM!</v>
      </c>
      <c r="K34" s="187" t="e">
        <f t="shared" si="2"/>
        <v>#NUM!</v>
      </c>
      <c r="L34" s="187"/>
      <c r="M34" s="189">
        <f t="shared" si="3"/>
        <v>0</v>
      </c>
    </row>
    <row r="35" spans="1:21">
      <c r="A35" s="106">
        <f t="shared" si="4"/>
        <v>0</v>
      </c>
      <c r="B35" s="41" t="str">
        <f t="shared" si="0"/>
        <v/>
      </c>
      <c r="C35" s="42"/>
      <c r="D35" s="42"/>
      <c r="E35" s="42"/>
      <c r="F35" s="42"/>
      <c r="G35" s="175"/>
      <c r="H35" s="190">
        <v>30</v>
      </c>
      <c r="I35" s="191" t="str">
        <f t="shared" si="1"/>
        <v/>
      </c>
      <c r="J35" s="191" t="e">
        <f t="shared" si="5"/>
        <v>#NUM!</v>
      </c>
      <c r="K35" s="190" t="e">
        <f t="shared" si="2"/>
        <v>#NUM!</v>
      </c>
      <c r="L35" s="190"/>
      <c r="M35" s="192">
        <f t="shared" si="3"/>
        <v>0</v>
      </c>
    </row>
    <row r="36" spans="1:21">
      <c r="A36" s="102">
        <f t="shared" si="4"/>
        <v>0</v>
      </c>
      <c r="B36" s="35" t="str">
        <f t="shared" si="0"/>
        <v/>
      </c>
      <c r="C36" s="36"/>
      <c r="D36" s="36"/>
      <c r="E36" s="36"/>
      <c r="F36" s="36"/>
      <c r="G36" s="175"/>
      <c r="H36" s="187">
        <v>31</v>
      </c>
      <c r="I36" s="188" t="str">
        <f t="shared" si="1"/>
        <v/>
      </c>
      <c r="J36" s="188" t="e">
        <f t="shared" si="5"/>
        <v>#NUM!</v>
      </c>
      <c r="K36" s="187" t="e">
        <f t="shared" si="2"/>
        <v>#NUM!</v>
      </c>
      <c r="L36" s="187"/>
      <c r="M36" s="189">
        <f t="shared" si="3"/>
        <v>0</v>
      </c>
      <c r="R36" s="200"/>
      <c r="S36" s="201"/>
    </row>
    <row r="37" spans="1:21">
      <c r="A37" s="106">
        <f t="shared" si="4"/>
        <v>0</v>
      </c>
      <c r="B37" s="41" t="str">
        <f t="shared" si="0"/>
        <v/>
      </c>
      <c r="C37" s="42"/>
      <c r="D37" s="42"/>
      <c r="E37" s="42"/>
      <c r="F37" s="42"/>
      <c r="G37" s="175"/>
      <c r="H37" s="190">
        <v>32</v>
      </c>
      <c r="I37" s="191" t="str">
        <f t="shared" si="1"/>
        <v/>
      </c>
      <c r="J37" s="191" t="e">
        <f t="shared" si="5"/>
        <v>#NUM!</v>
      </c>
      <c r="K37" s="190" t="e">
        <f t="shared" si="2"/>
        <v>#NUM!</v>
      </c>
      <c r="L37" s="190"/>
      <c r="M37" s="192">
        <f t="shared" si="3"/>
        <v>0</v>
      </c>
    </row>
    <row r="38" spans="1:21">
      <c r="A38" s="106">
        <f t="shared" si="4"/>
        <v>0</v>
      </c>
      <c r="B38" s="35" t="str">
        <f t="shared" si="0"/>
        <v/>
      </c>
      <c r="C38" s="36"/>
      <c r="D38" s="36"/>
      <c r="E38" s="36"/>
      <c r="F38" s="36"/>
      <c r="G38" s="175"/>
      <c r="H38" s="187">
        <v>33</v>
      </c>
      <c r="I38" s="188" t="str">
        <f t="shared" si="1"/>
        <v/>
      </c>
      <c r="J38" s="188" t="e">
        <f t="shared" si="5"/>
        <v>#NUM!</v>
      </c>
      <c r="K38" s="187" t="e">
        <f t="shared" si="2"/>
        <v>#NUM!</v>
      </c>
      <c r="L38" s="187"/>
      <c r="M38" s="189">
        <f t="shared" si="3"/>
        <v>0</v>
      </c>
    </row>
    <row r="39" spans="1:21">
      <c r="A39" s="106">
        <f t="shared" si="4"/>
        <v>0</v>
      </c>
      <c r="B39" s="41" t="str">
        <f t="shared" si="0"/>
        <v/>
      </c>
      <c r="C39" s="42"/>
      <c r="D39" s="42"/>
      <c r="E39" s="42"/>
      <c r="F39" s="42"/>
      <c r="G39" s="175"/>
      <c r="H39" s="190">
        <v>34</v>
      </c>
      <c r="I39" s="191" t="str">
        <f t="shared" si="1"/>
        <v/>
      </c>
      <c r="J39" s="191" t="e">
        <f t="shared" si="5"/>
        <v>#NUM!</v>
      </c>
      <c r="K39" s="190" t="e">
        <f t="shared" si="2"/>
        <v>#NUM!</v>
      </c>
      <c r="L39" s="190"/>
      <c r="M39" s="192">
        <f t="shared" si="3"/>
        <v>0</v>
      </c>
    </row>
    <row r="40" spans="1:21">
      <c r="A40" s="106">
        <f t="shared" si="4"/>
        <v>0</v>
      </c>
      <c r="B40" s="35" t="str">
        <f t="shared" si="0"/>
        <v/>
      </c>
      <c r="C40" s="36"/>
      <c r="D40" s="36"/>
      <c r="E40" s="36"/>
      <c r="F40" s="36"/>
      <c r="G40" s="175"/>
      <c r="H40" s="187">
        <v>35</v>
      </c>
      <c r="I40" s="188" t="str">
        <f t="shared" si="1"/>
        <v/>
      </c>
      <c r="J40" s="188" t="e">
        <f t="shared" si="5"/>
        <v>#NUM!</v>
      </c>
      <c r="K40" s="187" t="e">
        <f t="shared" si="2"/>
        <v>#NUM!</v>
      </c>
      <c r="L40" s="187"/>
      <c r="M40" s="189">
        <f t="shared" si="3"/>
        <v>0</v>
      </c>
    </row>
    <row r="41" spans="1:21">
      <c r="A41" s="106">
        <f t="shared" si="4"/>
        <v>0</v>
      </c>
      <c r="B41" s="41" t="str">
        <f t="shared" si="0"/>
        <v/>
      </c>
      <c r="C41" s="42"/>
      <c r="D41" s="42"/>
      <c r="E41" s="42"/>
      <c r="F41" s="42"/>
      <c r="G41" s="175"/>
      <c r="H41" s="190">
        <v>36</v>
      </c>
      <c r="I41" s="191" t="str">
        <f t="shared" si="1"/>
        <v/>
      </c>
      <c r="J41" s="191" t="e">
        <f t="shared" si="5"/>
        <v>#NUM!</v>
      </c>
      <c r="K41" s="190" t="e">
        <f t="shared" si="2"/>
        <v>#NUM!</v>
      </c>
      <c r="L41" s="190"/>
      <c r="M41" s="192">
        <f t="shared" si="3"/>
        <v>0</v>
      </c>
      <c r="S41" s="202"/>
    </row>
    <row r="42" spans="1:21">
      <c r="A42" s="106">
        <f t="shared" si="4"/>
        <v>0</v>
      </c>
      <c r="B42" s="35" t="str">
        <f t="shared" si="0"/>
        <v/>
      </c>
      <c r="C42" s="36"/>
      <c r="D42" s="36"/>
      <c r="E42" s="36"/>
      <c r="F42" s="36"/>
      <c r="G42" s="175"/>
      <c r="H42" s="187">
        <v>37</v>
      </c>
      <c r="I42" s="188" t="str">
        <f t="shared" si="1"/>
        <v/>
      </c>
      <c r="J42" s="188" t="e">
        <f t="shared" si="5"/>
        <v>#NUM!</v>
      </c>
      <c r="K42" s="187" t="e">
        <f t="shared" si="2"/>
        <v>#NUM!</v>
      </c>
      <c r="L42" s="187"/>
      <c r="M42" s="189">
        <f t="shared" si="3"/>
        <v>0</v>
      </c>
    </row>
    <row r="43" spans="1:21">
      <c r="A43" s="106">
        <f t="shared" si="4"/>
        <v>0</v>
      </c>
      <c r="B43" s="41" t="str">
        <f t="shared" si="0"/>
        <v/>
      </c>
      <c r="C43" s="42"/>
      <c r="D43" s="42"/>
      <c r="E43" s="42"/>
      <c r="F43" s="42"/>
      <c r="G43" s="175"/>
      <c r="H43" s="190">
        <v>38</v>
      </c>
      <c r="I43" s="191" t="str">
        <f t="shared" si="1"/>
        <v/>
      </c>
      <c r="J43" s="191" t="e">
        <f t="shared" si="5"/>
        <v>#NUM!</v>
      </c>
      <c r="K43" s="190" t="e">
        <f t="shared" si="2"/>
        <v>#NUM!</v>
      </c>
      <c r="L43" s="190"/>
      <c r="M43" s="192">
        <f t="shared" si="3"/>
        <v>0</v>
      </c>
    </row>
    <row r="44" spans="1:21">
      <c r="A44" s="106">
        <f t="shared" si="4"/>
        <v>0</v>
      </c>
      <c r="B44" s="35" t="str">
        <f t="shared" si="0"/>
        <v/>
      </c>
      <c r="C44" s="36"/>
      <c r="D44" s="36"/>
      <c r="E44" s="36"/>
      <c r="F44" s="36"/>
      <c r="G44" s="175"/>
      <c r="H44" s="187">
        <v>39</v>
      </c>
      <c r="I44" s="188" t="str">
        <f t="shared" si="1"/>
        <v/>
      </c>
      <c r="J44" s="188" t="e">
        <f t="shared" si="5"/>
        <v>#NUM!</v>
      </c>
      <c r="K44" s="187" t="e">
        <f t="shared" si="2"/>
        <v>#NUM!</v>
      </c>
      <c r="L44" s="187"/>
      <c r="M44" s="189">
        <f t="shared" si="3"/>
        <v>0</v>
      </c>
    </row>
    <row r="45" spans="1:21">
      <c r="A45" s="106">
        <f t="shared" si="4"/>
        <v>0</v>
      </c>
      <c r="B45" s="41" t="str">
        <f t="shared" si="0"/>
        <v/>
      </c>
      <c r="C45" s="42"/>
      <c r="D45" s="42"/>
      <c r="E45" s="42"/>
      <c r="F45" s="42"/>
      <c r="G45" s="175"/>
      <c r="H45" s="190">
        <v>40</v>
      </c>
      <c r="I45" s="191" t="str">
        <f t="shared" si="1"/>
        <v/>
      </c>
      <c r="J45" s="191" t="e">
        <f t="shared" si="5"/>
        <v>#NUM!</v>
      </c>
      <c r="K45" s="190" t="e">
        <f t="shared" si="2"/>
        <v>#NUM!</v>
      </c>
      <c r="L45" s="190"/>
      <c r="M45" s="192">
        <f t="shared" si="3"/>
        <v>0</v>
      </c>
    </row>
    <row r="46" spans="1:21">
      <c r="A46" s="106">
        <f t="shared" si="4"/>
        <v>0</v>
      </c>
      <c r="B46" s="35" t="str">
        <f t="shared" si="0"/>
        <v/>
      </c>
      <c r="C46" s="36"/>
      <c r="D46" s="36"/>
      <c r="E46" s="36"/>
      <c r="F46" s="36"/>
      <c r="G46" s="175"/>
      <c r="H46" s="187">
        <v>41</v>
      </c>
      <c r="I46" s="188" t="str">
        <f t="shared" si="1"/>
        <v/>
      </c>
      <c r="J46" s="188" t="e">
        <f t="shared" si="5"/>
        <v>#NUM!</v>
      </c>
      <c r="K46" s="187" t="e">
        <f t="shared" si="2"/>
        <v>#NUM!</v>
      </c>
      <c r="L46" s="187"/>
      <c r="M46" s="189">
        <f t="shared" si="3"/>
        <v>0</v>
      </c>
      <c r="R46" s="175" t="e">
        <f>LOG($H$2,2)</f>
        <v>#NUM!</v>
      </c>
      <c r="T46" s="180">
        <f>LOG(H38,2)</f>
        <v>5.0443941193584534</v>
      </c>
      <c r="U46" s="180" t="e">
        <f>R46-T46</f>
        <v>#NUM!</v>
      </c>
    </row>
    <row r="47" spans="1:21">
      <c r="A47" s="106">
        <f t="shared" si="4"/>
        <v>0</v>
      </c>
      <c r="B47" s="41" t="str">
        <f t="shared" si="0"/>
        <v/>
      </c>
      <c r="C47" s="42"/>
      <c r="D47" s="42"/>
      <c r="E47" s="42"/>
      <c r="F47" s="42"/>
      <c r="G47" s="175"/>
      <c r="H47" s="190">
        <v>42</v>
      </c>
      <c r="I47" s="191" t="str">
        <f t="shared" si="1"/>
        <v/>
      </c>
      <c r="J47" s="191" t="e">
        <f t="shared" si="5"/>
        <v>#NUM!</v>
      </c>
      <c r="K47" s="190" t="e">
        <f t="shared" si="2"/>
        <v>#NUM!</v>
      </c>
      <c r="L47" s="190"/>
      <c r="M47" s="192">
        <f t="shared" si="3"/>
        <v>0</v>
      </c>
    </row>
    <row r="48" spans="1:21">
      <c r="A48" s="106">
        <f t="shared" si="4"/>
        <v>0</v>
      </c>
      <c r="B48" s="35" t="str">
        <f t="shared" si="0"/>
        <v/>
      </c>
      <c r="C48" s="36"/>
      <c r="D48" s="36"/>
      <c r="E48" s="36"/>
      <c r="F48" s="36"/>
      <c r="G48" s="175"/>
      <c r="H48" s="187">
        <v>43</v>
      </c>
      <c r="I48" s="188" t="str">
        <f t="shared" si="1"/>
        <v/>
      </c>
      <c r="J48" s="188" t="e">
        <f t="shared" si="5"/>
        <v>#NUM!</v>
      </c>
      <c r="K48" s="187" t="e">
        <f t="shared" si="2"/>
        <v>#NUM!</v>
      </c>
      <c r="L48" s="187"/>
      <c r="M48" s="189">
        <f t="shared" si="3"/>
        <v>0</v>
      </c>
    </row>
    <row r="49" spans="1:13">
      <c r="A49" s="106">
        <f t="shared" si="4"/>
        <v>0</v>
      </c>
      <c r="B49" s="41" t="str">
        <f t="shared" si="0"/>
        <v/>
      </c>
      <c r="C49" s="42"/>
      <c r="D49" s="42"/>
      <c r="E49" s="42"/>
      <c r="F49" s="42"/>
      <c r="G49" s="175"/>
      <c r="H49" s="190">
        <v>44</v>
      </c>
      <c r="I49" s="191" t="str">
        <f t="shared" si="1"/>
        <v/>
      </c>
      <c r="J49" s="191" t="e">
        <f t="shared" si="5"/>
        <v>#NUM!</v>
      </c>
      <c r="K49" s="190" t="e">
        <f t="shared" si="2"/>
        <v>#NUM!</v>
      </c>
      <c r="L49" s="190"/>
      <c r="M49" s="192">
        <f t="shared" si="3"/>
        <v>0</v>
      </c>
    </row>
    <row r="50" spans="1:13">
      <c r="A50" s="106">
        <f t="shared" si="4"/>
        <v>0</v>
      </c>
      <c r="B50" s="35" t="str">
        <f t="shared" si="0"/>
        <v/>
      </c>
      <c r="C50" s="36"/>
      <c r="D50" s="36"/>
      <c r="E50" s="36"/>
      <c r="F50" s="36"/>
      <c r="G50" s="175"/>
      <c r="H50" s="187">
        <v>45</v>
      </c>
      <c r="I50" s="188" t="str">
        <f t="shared" si="1"/>
        <v/>
      </c>
      <c r="J50" s="188" t="e">
        <f t="shared" si="5"/>
        <v>#NUM!</v>
      </c>
      <c r="K50" s="187" t="e">
        <f t="shared" si="2"/>
        <v>#NUM!</v>
      </c>
      <c r="L50" s="187"/>
      <c r="M50" s="189">
        <f t="shared" si="3"/>
        <v>0</v>
      </c>
    </row>
    <row r="51" spans="1:13">
      <c r="A51" s="106">
        <f t="shared" si="4"/>
        <v>0</v>
      </c>
      <c r="B51" s="41" t="str">
        <f t="shared" si="0"/>
        <v/>
      </c>
      <c r="C51" s="42"/>
      <c r="D51" s="42"/>
      <c r="E51" s="42"/>
      <c r="F51" s="42"/>
      <c r="G51" s="175"/>
      <c r="H51" s="190">
        <v>46</v>
      </c>
      <c r="I51" s="191" t="str">
        <f t="shared" si="1"/>
        <v/>
      </c>
      <c r="J51" s="191" t="e">
        <f t="shared" si="5"/>
        <v>#NUM!</v>
      </c>
      <c r="K51" s="190" t="e">
        <f t="shared" si="2"/>
        <v>#NUM!</v>
      </c>
      <c r="L51" s="190"/>
      <c r="M51" s="192">
        <f t="shared" si="3"/>
        <v>0</v>
      </c>
    </row>
    <row r="52" spans="1:13">
      <c r="A52" s="106">
        <f t="shared" si="4"/>
        <v>0</v>
      </c>
      <c r="B52" s="35" t="str">
        <f t="shared" si="0"/>
        <v/>
      </c>
      <c r="C52" s="36"/>
      <c r="D52" s="36"/>
      <c r="E52" s="36"/>
      <c r="F52" s="36"/>
      <c r="G52" s="175"/>
      <c r="H52" s="187">
        <v>47</v>
      </c>
      <c r="I52" s="188" t="str">
        <f t="shared" si="1"/>
        <v/>
      </c>
      <c r="J52" s="188" t="e">
        <f t="shared" si="5"/>
        <v>#NUM!</v>
      </c>
      <c r="K52" s="187" t="e">
        <f t="shared" si="2"/>
        <v>#NUM!</v>
      </c>
      <c r="L52" s="187"/>
      <c r="M52" s="189">
        <f t="shared" si="3"/>
        <v>0</v>
      </c>
    </row>
    <row r="53" spans="1:13">
      <c r="A53" s="106">
        <f t="shared" si="4"/>
        <v>0</v>
      </c>
      <c r="B53" s="41" t="str">
        <f t="shared" si="0"/>
        <v/>
      </c>
      <c r="C53" s="42"/>
      <c r="D53" s="42"/>
      <c r="E53" s="42"/>
      <c r="F53" s="42"/>
      <c r="G53" s="175"/>
      <c r="H53" s="190">
        <v>48</v>
      </c>
      <c r="I53" s="191" t="str">
        <f t="shared" si="1"/>
        <v/>
      </c>
      <c r="J53" s="191" t="e">
        <f t="shared" si="5"/>
        <v>#NUM!</v>
      </c>
      <c r="K53" s="190" t="e">
        <f t="shared" si="2"/>
        <v>#NUM!</v>
      </c>
      <c r="L53" s="190"/>
      <c r="M53" s="192">
        <f t="shared" si="3"/>
        <v>0</v>
      </c>
    </row>
    <row r="54" spans="1:13">
      <c r="A54" s="106">
        <f t="shared" si="4"/>
        <v>0</v>
      </c>
      <c r="B54" s="35" t="str">
        <f t="shared" si="0"/>
        <v/>
      </c>
      <c r="C54" s="36"/>
      <c r="D54" s="36"/>
      <c r="E54" s="36"/>
      <c r="F54" s="36"/>
      <c r="G54" s="175"/>
      <c r="H54" s="187">
        <v>49</v>
      </c>
      <c r="I54" s="188" t="str">
        <f t="shared" si="1"/>
        <v/>
      </c>
      <c r="J54" s="188" t="e">
        <f t="shared" si="5"/>
        <v>#NUM!</v>
      </c>
      <c r="K54" s="187" t="e">
        <f t="shared" si="2"/>
        <v>#NUM!</v>
      </c>
      <c r="L54" s="187"/>
      <c r="M54" s="189">
        <f t="shared" si="3"/>
        <v>0</v>
      </c>
    </row>
    <row r="55" spans="1:13">
      <c r="A55" s="106">
        <f t="shared" si="4"/>
        <v>0</v>
      </c>
      <c r="B55" s="41" t="str">
        <f t="shared" si="0"/>
        <v/>
      </c>
      <c r="C55" s="42"/>
      <c r="D55" s="42"/>
      <c r="E55" s="42"/>
      <c r="F55" s="42"/>
      <c r="G55" s="175"/>
      <c r="H55" s="190">
        <v>50</v>
      </c>
      <c r="I55" s="191" t="str">
        <f t="shared" si="1"/>
        <v/>
      </c>
      <c r="J55" s="191" t="e">
        <f t="shared" si="5"/>
        <v>#NUM!</v>
      </c>
      <c r="K55" s="190" t="e">
        <f t="shared" si="2"/>
        <v>#NUM!</v>
      </c>
      <c r="L55" s="190"/>
      <c r="M55" s="192">
        <f t="shared" si="3"/>
        <v>0</v>
      </c>
    </row>
    <row r="56" spans="1:13">
      <c r="A56" s="106">
        <f t="shared" si="4"/>
        <v>0</v>
      </c>
      <c r="B56" s="35" t="str">
        <f t="shared" si="0"/>
        <v/>
      </c>
      <c r="C56" s="36"/>
      <c r="D56" s="36"/>
      <c r="E56" s="36"/>
      <c r="F56" s="36"/>
      <c r="G56" s="175"/>
      <c r="H56" s="187">
        <v>51</v>
      </c>
      <c r="I56" s="188" t="str">
        <f t="shared" si="1"/>
        <v/>
      </c>
      <c r="J56" s="188" t="e">
        <f t="shared" si="5"/>
        <v>#NUM!</v>
      </c>
      <c r="K56" s="187" t="e">
        <f t="shared" si="2"/>
        <v>#NUM!</v>
      </c>
      <c r="L56" s="187"/>
      <c r="M56" s="189">
        <f t="shared" si="3"/>
        <v>0</v>
      </c>
    </row>
    <row r="57" spans="1:13">
      <c r="A57" s="106">
        <f t="shared" si="4"/>
        <v>0</v>
      </c>
      <c r="B57" s="41" t="str">
        <f t="shared" si="0"/>
        <v/>
      </c>
      <c r="C57" s="42"/>
      <c r="D57" s="42"/>
      <c r="E57" s="42"/>
      <c r="F57" s="42"/>
      <c r="G57" s="175"/>
      <c r="H57" s="190">
        <v>52</v>
      </c>
      <c r="I57" s="191" t="str">
        <f t="shared" si="1"/>
        <v/>
      </c>
      <c r="J57" s="191" t="e">
        <f t="shared" si="5"/>
        <v>#NUM!</v>
      </c>
      <c r="K57" s="190" t="e">
        <f t="shared" si="2"/>
        <v>#NUM!</v>
      </c>
      <c r="L57" s="190"/>
      <c r="M57" s="192">
        <f t="shared" si="3"/>
        <v>0</v>
      </c>
    </row>
    <row r="58" spans="1:13">
      <c r="A58" s="106">
        <f t="shared" si="4"/>
        <v>0</v>
      </c>
      <c r="B58" s="35" t="str">
        <f t="shared" si="0"/>
        <v/>
      </c>
      <c r="C58" s="36"/>
      <c r="D58" s="36"/>
      <c r="E58" s="36"/>
      <c r="F58" s="36"/>
      <c r="G58" s="175"/>
      <c r="H58" s="187">
        <v>53</v>
      </c>
      <c r="I58" s="188" t="str">
        <f t="shared" si="1"/>
        <v/>
      </c>
      <c r="J58" s="188" t="e">
        <f t="shared" si="5"/>
        <v>#NUM!</v>
      </c>
      <c r="K58" s="187" t="e">
        <f t="shared" si="2"/>
        <v>#NUM!</v>
      </c>
      <c r="L58" s="187"/>
      <c r="M58" s="189">
        <f t="shared" si="3"/>
        <v>0</v>
      </c>
    </row>
    <row r="59" spans="1:13">
      <c r="A59" s="106">
        <f t="shared" si="4"/>
        <v>0</v>
      </c>
      <c r="B59" s="41" t="str">
        <f t="shared" si="0"/>
        <v/>
      </c>
      <c r="C59" s="42"/>
      <c r="D59" s="42"/>
      <c r="E59" s="42"/>
      <c r="F59" s="42"/>
      <c r="G59" s="175"/>
      <c r="H59" s="190">
        <v>54</v>
      </c>
      <c r="I59" s="191" t="str">
        <f t="shared" si="1"/>
        <v/>
      </c>
      <c r="J59" s="191" t="e">
        <f t="shared" si="5"/>
        <v>#NUM!</v>
      </c>
      <c r="K59" s="190" t="e">
        <f t="shared" si="2"/>
        <v>#NUM!</v>
      </c>
      <c r="L59" s="190"/>
      <c r="M59" s="192">
        <f t="shared" si="3"/>
        <v>0</v>
      </c>
    </row>
    <row r="60" spans="1:13">
      <c r="A60" s="106">
        <f t="shared" si="4"/>
        <v>0</v>
      </c>
      <c r="B60" s="35" t="str">
        <f t="shared" si="0"/>
        <v/>
      </c>
      <c r="C60" s="36"/>
      <c r="D60" s="36"/>
      <c r="E60" s="36"/>
      <c r="F60" s="36"/>
      <c r="G60" s="175"/>
      <c r="H60" s="187">
        <v>55</v>
      </c>
      <c r="I60" s="188" t="str">
        <f t="shared" si="1"/>
        <v/>
      </c>
      <c r="J60" s="188" t="e">
        <f t="shared" si="5"/>
        <v>#NUM!</v>
      </c>
      <c r="K60" s="187" t="e">
        <f t="shared" si="2"/>
        <v>#NUM!</v>
      </c>
      <c r="L60" s="187"/>
      <c r="M60" s="189">
        <f t="shared" si="3"/>
        <v>0</v>
      </c>
    </row>
    <row r="61" spans="1:13">
      <c r="A61" s="106">
        <f t="shared" si="4"/>
        <v>0</v>
      </c>
      <c r="B61" s="41" t="str">
        <f t="shared" si="0"/>
        <v/>
      </c>
      <c r="C61" s="42"/>
      <c r="D61" s="42"/>
      <c r="E61" s="42"/>
      <c r="F61" s="42"/>
      <c r="G61" s="175"/>
      <c r="H61" s="190">
        <v>56</v>
      </c>
      <c r="I61" s="191" t="str">
        <f t="shared" si="1"/>
        <v/>
      </c>
      <c r="J61" s="191" t="e">
        <f t="shared" si="5"/>
        <v>#NUM!</v>
      </c>
      <c r="K61" s="190" t="e">
        <f t="shared" si="2"/>
        <v>#NUM!</v>
      </c>
      <c r="L61" s="190"/>
      <c r="M61" s="192">
        <f t="shared" si="3"/>
        <v>0</v>
      </c>
    </row>
    <row r="62" spans="1:13">
      <c r="A62" s="106">
        <f t="shared" si="4"/>
        <v>0</v>
      </c>
      <c r="B62" s="35" t="str">
        <f t="shared" si="0"/>
        <v/>
      </c>
      <c r="C62" s="36"/>
      <c r="D62" s="36"/>
      <c r="E62" s="36"/>
      <c r="F62" s="36"/>
      <c r="G62" s="175"/>
      <c r="H62" s="187">
        <v>57</v>
      </c>
      <c r="I62" s="188" t="str">
        <f t="shared" si="1"/>
        <v/>
      </c>
      <c r="J62" s="188" t="e">
        <f t="shared" si="5"/>
        <v>#NUM!</v>
      </c>
      <c r="K62" s="187" t="e">
        <f t="shared" si="2"/>
        <v>#NUM!</v>
      </c>
      <c r="L62" s="187"/>
      <c r="M62" s="189">
        <f t="shared" si="3"/>
        <v>0</v>
      </c>
    </row>
    <row r="63" spans="1:13">
      <c r="A63" s="106">
        <f t="shared" si="4"/>
        <v>0</v>
      </c>
      <c r="B63" s="41" t="str">
        <f t="shared" si="0"/>
        <v/>
      </c>
      <c r="C63" s="42"/>
      <c r="D63" s="42"/>
      <c r="E63" s="42"/>
      <c r="F63" s="42"/>
      <c r="G63" s="175"/>
      <c r="H63" s="190">
        <v>58</v>
      </c>
      <c r="I63" s="191" t="str">
        <f t="shared" si="1"/>
        <v/>
      </c>
      <c r="J63" s="191" t="e">
        <f t="shared" si="5"/>
        <v>#NUM!</v>
      </c>
      <c r="K63" s="190" t="e">
        <f t="shared" si="2"/>
        <v>#NUM!</v>
      </c>
      <c r="L63" s="190"/>
      <c r="M63" s="192">
        <f t="shared" si="3"/>
        <v>0</v>
      </c>
    </row>
    <row r="64" spans="1:13">
      <c r="A64" s="106">
        <f t="shared" si="4"/>
        <v>0</v>
      </c>
      <c r="B64" s="35" t="str">
        <f t="shared" si="0"/>
        <v/>
      </c>
      <c r="C64" s="36"/>
      <c r="D64" s="36"/>
      <c r="E64" s="36"/>
      <c r="F64" s="36"/>
      <c r="G64" s="175"/>
      <c r="H64" s="187">
        <v>59</v>
      </c>
      <c r="I64" s="188" t="str">
        <f t="shared" si="1"/>
        <v/>
      </c>
      <c r="J64" s="188" t="e">
        <f t="shared" si="5"/>
        <v>#NUM!</v>
      </c>
      <c r="K64" s="187" t="e">
        <f t="shared" si="2"/>
        <v>#NUM!</v>
      </c>
      <c r="L64" s="187"/>
      <c r="M64" s="189">
        <f t="shared" si="3"/>
        <v>0</v>
      </c>
    </row>
    <row r="65" spans="1:13">
      <c r="A65" s="106">
        <f t="shared" si="4"/>
        <v>0</v>
      </c>
      <c r="B65" s="41" t="str">
        <f t="shared" si="0"/>
        <v/>
      </c>
      <c r="C65" s="42"/>
      <c r="D65" s="42"/>
      <c r="E65" s="42"/>
      <c r="F65" s="42"/>
      <c r="G65" s="175"/>
      <c r="H65" s="190">
        <v>60</v>
      </c>
      <c r="I65" s="191" t="str">
        <f t="shared" si="1"/>
        <v/>
      </c>
      <c r="J65" s="191" t="e">
        <f t="shared" si="5"/>
        <v>#NUM!</v>
      </c>
      <c r="K65" s="190" t="e">
        <f t="shared" si="2"/>
        <v>#NUM!</v>
      </c>
      <c r="L65" s="190"/>
      <c r="M65" s="192">
        <f t="shared" si="3"/>
        <v>0</v>
      </c>
    </row>
    <row r="66" spans="1:13">
      <c r="A66" s="106">
        <f t="shared" si="4"/>
        <v>0</v>
      </c>
      <c r="B66" s="35"/>
      <c r="G66" s="175"/>
      <c r="H66" s="187">
        <v>61</v>
      </c>
      <c r="I66" s="188" t="str">
        <f t="shared" si="1"/>
        <v/>
      </c>
      <c r="J66" s="188" t="e">
        <f t="shared" si="5"/>
        <v>#NUM!</v>
      </c>
      <c r="K66" s="187" t="e">
        <f t="shared" si="2"/>
        <v>#NUM!</v>
      </c>
      <c r="L66" s="187"/>
      <c r="M66" s="189">
        <f t="shared" si="3"/>
        <v>0</v>
      </c>
    </row>
    <row r="67" spans="1:13">
      <c r="A67" s="106">
        <f t="shared" si="4"/>
        <v>0</v>
      </c>
      <c r="B67" s="41"/>
      <c r="G67" s="175"/>
      <c r="H67" s="187">
        <v>62</v>
      </c>
      <c r="I67" s="188" t="str">
        <f t="shared" si="1"/>
        <v/>
      </c>
      <c r="J67" s="188" t="e">
        <f t="shared" si="5"/>
        <v>#NUM!</v>
      </c>
      <c r="K67" s="187" t="e">
        <f t="shared" si="2"/>
        <v>#NUM!</v>
      </c>
      <c r="L67" s="187"/>
      <c r="M67" s="189">
        <f t="shared" si="3"/>
        <v>0</v>
      </c>
    </row>
    <row r="68" spans="1:13">
      <c r="A68" s="106">
        <f t="shared" si="4"/>
        <v>0</v>
      </c>
      <c r="B68" s="35"/>
      <c r="G68" s="175"/>
      <c r="H68" s="187">
        <v>63</v>
      </c>
      <c r="I68" s="188" t="str">
        <f t="shared" si="1"/>
        <v/>
      </c>
      <c r="J68" s="188" t="e">
        <f t="shared" si="5"/>
        <v>#NUM!</v>
      </c>
      <c r="K68" s="187" t="e">
        <f t="shared" si="2"/>
        <v>#NUM!</v>
      </c>
      <c r="L68" s="187"/>
      <c r="M68" s="189">
        <f t="shared" si="3"/>
        <v>0</v>
      </c>
    </row>
    <row r="69" spans="1:13">
      <c r="A69" s="106">
        <f t="shared" si="4"/>
        <v>0</v>
      </c>
      <c r="B69" s="41"/>
      <c r="G69" s="175"/>
      <c r="H69" s="187">
        <v>64</v>
      </c>
      <c r="I69" s="188" t="str">
        <f t="shared" si="1"/>
        <v/>
      </c>
      <c r="J69" s="188" t="e">
        <f t="shared" si="5"/>
        <v>#NUM!</v>
      </c>
      <c r="K69" s="187" t="e">
        <f t="shared" si="2"/>
        <v>#NUM!</v>
      </c>
      <c r="L69" s="187"/>
      <c r="M69" s="189">
        <f t="shared" si="3"/>
        <v>0</v>
      </c>
    </row>
    <row r="70" spans="1:13">
      <c r="A70" s="106">
        <f t="shared" si="4"/>
        <v>0</v>
      </c>
      <c r="G70" s="175"/>
      <c r="H70" s="187">
        <v>65</v>
      </c>
      <c r="I70" s="188" t="str">
        <f t="shared" ref="I70:I133" si="6">IF(H70&lt;$H$2+1,($I$2-($I$2-1)*(LOG(H70)/LOG($H$2))),"")</f>
        <v/>
      </c>
      <c r="J70" s="188" t="e">
        <f t="shared" si="5"/>
        <v>#NUM!</v>
      </c>
      <c r="K70" s="187" t="e">
        <f t="shared" ref="K70:K133" si="7">J70*$J$2</f>
        <v>#NUM!</v>
      </c>
      <c r="L70" s="187"/>
      <c r="M70" s="189">
        <f t="shared" ref="M70:M133" si="8">IF(I70&lt;&gt;"",K70+I70+L70,0)</f>
        <v>0</v>
      </c>
    </row>
    <row r="71" spans="1:13">
      <c r="A71" s="106">
        <f t="shared" ref="A71:A79" si="9">M71</f>
        <v>0</v>
      </c>
      <c r="G71" s="175"/>
      <c r="H71" s="187">
        <v>66</v>
      </c>
      <c r="I71" s="188" t="str">
        <f t="shared" si="6"/>
        <v/>
      </c>
      <c r="J71" s="188" t="e">
        <f t="shared" ref="J71:J134" si="10">INT(LOG($H$2,2))-ROUNDUP(LOG(H71,2),0)+IF(OR($H$2=1,$H$2=2,$H$2=4,$H$2=8,$H$2=16,$H$2=32,$H$2=64,$H$2=128,$H$2=256),0,1)</f>
        <v>#NUM!</v>
      </c>
      <c r="K71" s="187" t="e">
        <f t="shared" si="7"/>
        <v>#NUM!</v>
      </c>
      <c r="L71" s="187"/>
      <c r="M71" s="189">
        <f t="shared" si="8"/>
        <v>0</v>
      </c>
    </row>
    <row r="72" spans="1:13">
      <c r="A72" s="106">
        <f t="shared" si="9"/>
        <v>0</v>
      </c>
      <c r="G72" s="175"/>
      <c r="H72" s="187">
        <v>67</v>
      </c>
      <c r="I72" s="188" t="str">
        <f t="shared" si="6"/>
        <v/>
      </c>
      <c r="J72" s="188" t="e">
        <f t="shared" si="10"/>
        <v>#NUM!</v>
      </c>
      <c r="K72" s="187" t="e">
        <f t="shared" si="7"/>
        <v>#NUM!</v>
      </c>
      <c r="L72" s="187"/>
      <c r="M72" s="189">
        <f t="shared" si="8"/>
        <v>0</v>
      </c>
    </row>
    <row r="73" spans="1:13">
      <c r="A73" s="106">
        <f t="shared" si="9"/>
        <v>0</v>
      </c>
      <c r="G73" s="175"/>
      <c r="H73" s="187">
        <v>68</v>
      </c>
      <c r="I73" s="188" t="str">
        <f t="shared" si="6"/>
        <v/>
      </c>
      <c r="J73" s="188" t="e">
        <f t="shared" si="10"/>
        <v>#NUM!</v>
      </c>
      <c r="K73" s="187" t="e">
        <f t="shared" si="7"/>
        <v>#NUM!</v>
      </c>
      <c r="L73" s="187"/>
      <c r="M73" s="189">
        <f t="shared" si="8"/>
        <v>0</v>
      </c>
    </row>
    <row r="74" spans="1:13">
      <c r="A74" s="106">
        <f t="shared" si="9"/>
        <v>0</v>
      </c>
      <c r="G74" s="175"/>
      <c r="H74" s="187">
        <v>69</v>
      </c>
      <c r="I74" s="188" t="str">
        <f t="shared" si="6"/>
        <v/>
      </c>
      <c r="J74" s="188" t="e">
        <f t="shared" si="10"/>
        <v>#NUM!</v>
      </c>
      <c r="K74" s="187" t="e">
        <f t="shared" si="7"/>
        <v>#NUM!</v>
      </c>
      <c r="L74" s="187"/>
      <c r="M74" s="189">
        <f t="shared" si="8"/>
        <v>0</v>
      </c>
    </row>
    <row r="75" spans="1:13">
      <c r="A75" s="106">
        <f t="shared" si="9"/>
        <v>0</v>
      </c>
      <c r="G75" s="175"/>
      <c r="H75" s="187">
        <v>70</v>
      </c>
      <c r="I75" s="188" t="str">
        <f t="shared" si="6"/>
        <v/>
      </c>
      <c r="J75" s="188" t="e">
        <f t="shared" si="10"/>
        <v>#NUM!</v>
      </c>
      <c r="K75" s="187" t="e">
        <f t="shared" si="7"/>
        <v>#NUM!</v>
      </c>
      <c r="L75" s="187"/>
      <c r="M75" s="189">
        <f t="shared" si="8"/>
        <v>0</v>
      </c>
    </row>
    <row r="76" spans="1:13">
      <c r="A76" s="106">
        <f t="shared" si="9"/>
        <v>0</v>
      </c>
      <c r="G76" s="175"/>
      <c r="H76" s="187">
        <v>71</v>
      </c>
      <c r="I76" s="188" t="str">
        <f t="shared" si="6"/>
        <v/>
      </c>
      <c r="J76" s="188" t="e">
        <f t="shared" si="10"/>
        <v>#NUM!</v>
      </c>
      <c r="K76" s="187" t="e">
        <f t="shared" si="7"/>
        <v>#NUM!</v>
      </c>
      <c r="L76" s="187"/>
      <c r="M76" s="189">
        <f t="shared" si="8"/>
        <v>0</v>
      </c>
    </row>
    <row r="77" spans="1:13">
      <c r="A77" s="106">
        <f t="shared" si="9"/>
        <v>0</v>
      </c>
      <c r="G77" s="175"/>
      <c r="H77" s="187">
        <v>72</v>
      </c>
      <c r="I77" s="188" t="str">
        <f t="shared" si="6"/>
        <v/>
      </c>
      <c r="J77" s="188" t="e">
        <f t="shared" si="10"/>
        <v>#NUM!</v>
      </c>
      <c r="K77" s="187" t="e">
        <f t="shared" si="7"/>
        <v>#NUM!</v>
      </c>
      <c r="L77" s="187"/>
      <c r="M77" s="189">
        <f t="shared" si="8"/>
        <v>0</v>
      </c>
    </row>
    <row r="78" spans="1:13">
      <c r="A78" s="106">
        <f t="shared" si="9"/>
        <v>0</v>
      </c>
      <c r="G78" s="175"/>
      <c r="H78" s="187">
        <v>73</v>
      </c>
      <c r="I78" s="188" t="str">
        <f t="shared" si="6"/>
        <v/>
      </c>
      <c r="J78" s="188" t="e">
        <f t="shared" si="10"/>
        <v>#NUM!</v>
      </c>
      <c r="K78" s="187" t="e">
        <f t="shared" si="7"/>
        <v>#NUM!</v>
      </c>
      <c r="L78" s="187"/>
      <c r="M78" s="189">
        <f t="shared" si="8"/>
        <v>0</v>
      </c>
    </row>
    <row r="79" spans="1:13">
      <c r="A79" s="106">
        <f t="shared" si="9"/>
        <v>0</v>
      </c>
      <c r="G79" s="175"/>
      <c r="H79" s="187">
        <v>74</v>
      </c>
      <c r="I79" s="188" t="str">
        <f t="shared" si="6"/>
        <v/>
      </c>
      <c r="J79" s="188" t="e">
        <f t="shared" si="10"/>
        <v>#NUM!</v>
      </c>
      <c r="K79" s="187" t="e">
        <f t="shared" si="7"/>
        <v>#NUM!</v>
      </c>
      <c r="L79" s="187"/>
      <c r="M79" s="189">
        <f t="shared" si="8"/>
        <v>0</v>
      </c>
    </row>
    <row r="80" spans="1:13">
      <c r="A80" s="102"/>
      <c r="G80" s="175"/>
      <c r="H80" s="187">
        <v>75</v>
      </c>
      <c r="I80" s="188" t="str">
        <f t="shared" si="6"/>
        <v/>
      </c>
      <c r="J80" s="188" t="e">
        <f t="shared" si="10"/>
        <v>#NUM!</v>
      </c>
      <c r="K80" s="187" t="e">
        <f t="shared" si="7"/>
        <v>#NUM!</v>
      </c>
      <c r="L80" s="187"/>
      <c r="M80" s="189">
        <f t="shared" si="8"/>
        <v>0</v>
      </c>
    </row>
    <row r="81" spans="1:13">
      <c r="A81" s="204"/>
      <c r="G81" s="175"/>
      <c r="H81" s="187">
        <v>76</v>
      </c>
      <c r="I81" s="188" t="str">
        <f t="shared" si="6"/>
        <v/>
      </c>
      <c r="J81" s="188" t="e">
        <f t="shared" si="10"/>
        <v>#NUM!</v>
      </c>
      <c r="K81" s="187" t="e">
        <f t="shared" si="7"/>
        <v>#NUM!</v>
      </c>
      <c r="L81" s="187"/>
      <c r="M81" s="189">
        <f t="shared" si="8"/>
        <v>0</v>
      </c>
    </row>
    <row r="82" spans="1:13">
      <c r="A82" s="204"/>
      <c r="G82" s="175"/>
      <c r="H82" s="187">
        <v>77</v>
      </c>
      <c r="I82" s="188" t="str">
        <f t="shared" si="6"/>
        <v/>
      </c>
      <c r="J82" s="188" t="e">
        <f t="shared" si="10"/>
        <v>#NUM!</v>
      </c>
      <c r="K82" s="187" t="e">
        <f t="shared" si="7"/>
        <v>#NUM!</v>
      </c>
      <c r="L82" s="187"/>
      <c r="M82" s="189">
        <f t="shared" si="8"/>
        <v>0</v>
      </c>
    </row>
    <row r="83" spans="1:13">
      <c r="A83" s="204"/>
      <c r="G83" s="175"/>
      <c r="H83" s="187">
        <v>78</v>
      </c>
      <c r="I83" s="188" t="str">
        <f t="shared" si="6"/>
        <v/>
      </c>
      <c r="J83" s="188" t="e">
        <f t="shared" si="10"/>
        <v>#NUM!</v>
      </c>
      <c r="K83" s="187" t="e">
        <f t="shared" si="7"/>
        <v>#NUM!</v>
      </c>
      <c r="L83" s="187"/>
      <c r="M83" s="189">
        <f t="shared" si="8"/>
        <v>0</v>
      </c>
    </row>
    <row r="84" spans="1:13">
      <c r="A84" s="204"/>
      <c r="G84" s="175"/>
      <c r="H84" s="187">
        <v>79</v>
      </c>
      <c r="I84" s="188" t="str">
        <f t="shared" si="6"/>
        <v/>
      </c>
      <c r="J84" s="188" t="e">
        <f t="shared" si="10"/>
        <v>#NUM!</v>
      </c>
      <c r="K84" s="187" t="e">
        <f t="shared" si="7"/>
        <v>#NUM!</v>
      </c>
      <c r="L84" s="187"/>
      <c r="M84" s="189">
        <f t="shared" si="8"/>
        <v>0</v>
      </c>
    </row>
    <row r="85" spans="1:13">
      <c r="A85" s="204"/>
      <c r="G85" s="175"/>
      <c r="H85" s="187">
        <v>80</v>
      </c>
      <c r="I85" s="188" t="str">
        <f t="shared" si="6"/>
        <v/>
      </c>
      <c r="J85" s="188" t="e">
        <f t="shared" si="10"/>
        <v>#NUM!</v>
      </c>
      <c r="K85" s="187" t="e">
        <f t="shared" si="7"/>
        <v>#NUM!</v>
      </c>
      <c r="L85" s="187"/>
      <c r="M85" s="189">
        <f t="shared" si="8"/>
        <v>0</v>
      </c>
    </row>
    <row r="86" spans="1:13">
      <c r="A86" s="204"/>
      <c r="G86" s="175"/>
      <c r="H86" s="187">
        <v>81</v>
      </c>
      <c r="I86" s="188" t="str">
        <f t="shared" si="6"/>
        <v/>
      </c>
      <c r="J86" s="188" t="e">
        <f t="shared" si="10"/>
        <v>#NUM!</v>
      </c>
      <c r="K86" s="187" t="e">
        <f t="shared" si="7"/>
        <v>#NUM!</v>
      </c>
      <c r="L86" s="187"/>
      <c r="M86" s="189">
        <f t="shared" si="8"/>
        <v>0</v>
      </c>
    </row>
    <row r="87" spans="1:13">
      <c r="A87" s="204"/>
      <c r="G87" s="175"/>
      <c r="H87" s="187">
        <v>82</v>
      </c>
      <c r="I87" s="188" t="str">
        <f t="shared" si="6"/>
        <v/>
      </c>
      <c r="J87" s="188" t="e">
        <f t="shared" si="10"/>
        <v>#NUM!</v>
      </c>
      <c r="K87" s="187" t="e">
        <f t="shared" si="7"/>
        <v>#NUM!</v>
      </c>
      <c r="L87" s="187"/>
      <c r="M87" s="189">
        <f t="shared" si="8"/>
        <v>0</v>
      </c>
    </row>
    <row r="88" spans="1:13">
      <c r="A88" s="204"/>
      <c r="G88" s="175"/>
      <c r="H88" s="187">
        <v>83</v>
      </c>
      <c r="I88" s="188" t="str">
        <f t="shared" si="6"/>
        <v/>
      </c>
      <c r="J88" s="188" t="e">
        <f t="shared" si="10"/>
        <v>#NUM!</v>
      </c>
      <c r="K88" s="187" t="e">
        <f t="shared" si="7"/>
        <v>#NUM!</v>
      </c>
      <c r="L88" s="187"/>
      <c r="M88" s="189">
        <f t="shared" si="8"/>
        <v>0</v>
      </c>
    </row>
    <row r="89" spans="1:13">
      <c r="A89" s="204"/>
      <c r="G89" s="175"/>
      <c r="H89" s="187">
        <v>84</v>
      </c>
      <c r="I89" s="188" t="str">
        <f t="shared" si="6"/>
        <v/>
      </c>
      <c r="J89" s="188" t="e">
        <f t="shared" si="10"/>
        <v>#NUM!</v>
      </c>
      <c r="K89" s="187" t="e">
        <f t="shared" si="7"/>
        <v>#NUM!</v>
      </c>
      <c r="L89" s="187"/>
      <c r="M89" s="189">
        <f t="shared" si="8"/>
        <v>0</v>
      </c>
    </row>
    <row r="90" spans="1:13">
      <c r="A90" s="204"/>
      <c r="G90" s="175"/>
      <c r="H90" s="187">
        <v>85</v>
      </c>
      <c r="I90" s="188" t="str">
        <f t="shared" si="6"/>
        <v/>
      </c>
      <c r="J90" s="188" t="e">
        <f t="shared" si="10"/>
        <v>#NUM!</v>
      </c>
      <c r="K90" s="187" t="e">
        <f t="shared" si="7"/>
        <v>#NUM!</v>
      </c>
      <c r="L90" s="187"/>
      <c r="M90" s="189">
        <f t="shared" si="8"/>
        <v>0</v>
      </c>
    </row>
    <row r="91" spans="1:13">
      <c r="A91" s="204"/>
      <c r="G91" s="175"/>
      <c r="H91" s="187">
        <v>86</v>
      </c>
      <c r="I91" s="188" t="str">
        <f t="shared" si="6"/>
        <v/>
      </c>
      <c r="J91" s="188" t="e">
        <f t="shared" si="10"/>
        <v>#NUM!</v>
      </c>
      <c r="K91" s="187" t="e">
        <f t="shared" si="7"/>
        <v>#NUM!</v>
      </c>
      <c r="L91" s="187"/>
      <c r="M91" s="189">
        <f t="shared" si="8"/>
        <v>0</v>
      </c>
    </row>
    <row r="92" spans="1:13">
      <c r="A92" s="204"/>
      <c r="G92" s="175"/>
      <c r="H92" s="187">
        <v>87</v>
      </c>
      <c r="I92" s="188" t="str">
        <f t="shared" si="6"/>
        <v/>
      </c>
      <c r="J92" s="188" t="e">
        <f t="shared" si="10"/>
        <v>#NUM!</v>
      </c>
      <c r="K92" s="187" t="e">
        <f t="shared" si="7"/>
        <v>#NUM!</v>
      </c>
      <c r="L92" s="187"/>
      <c r="M92" s="189">
        <f t="shared" si="8"/>
        <v>0</v>
      </c>
    </row>
    <row r="93" spans="1:13">
      <c r="A93" s="204"/>
      <c r="G93" s="175"/>
      <c r="H93" s="187">
        <v>88</v>
      </c>
      <c r="I93" s="188" t="str">
        <f t="shared" si="6"/>
        <v/>
      </c>
      <c r="J93" s="188" t="e">
        <f t="shared" si="10"/>
        <v>#NUM!</v>
      </c>
      <c r="K93" s="187" t="e">
        <f t="shared" si="7"/>
        <v>#NUM!</v>
      </c>
      <c r="L93" s="187"/>
      <c r="M93" s="189">
        <f t="shared" si="8"/>
        <v>0</v>
      </c>
    </row>
    <row r="94" spans="1:13">
      <c r="A94" s="204"/>
      <c r="G94" s="175"/>
      <c r="H94" s="187">
        <v>89</v>
      </c>
      <c r="I94" s="188" t="str">
        <f t="shared" si="6"/>
        <v/>
      </c>
      <c r="J94" s="188" t="e">
        <f t="shared" si="10"/>
        <v>#NUM!</v>
      </c>
      <c r="K94" s="187" t="e">
        <f t="shared" si="7"/>
        <v>#NUM!</v>
      </c>
      <c r="L94" s="187"/>
      <c r="M94" s="189">
        <f t="shared" si="8"/>
        <v>0</v>
      </c>
    </row>
    <row r="95" spans="1:13">
      <c r="A95" s="204"/>
      <c r="G95" s="175"/>
      <c r="H95" s="187">
        <v>90</v>
      </c>
      <c r="I95" s="188" t="str">
        <f t="shared" si="6"/>
        <v/>
      </c>
      <c r="J95" s="188" t="e">
        <f t="shared" si="10"/>
        <v>#NUM!</v>
      </c>
      <c r="K95" s="187" t="e">
        <f t="shared" si="7"/>
        <v>#NUM!</v>
      </c>
      <c r="L95" s="187"/>
      <c r="M95" s="189">
        <f t="shared" si="8"/>
        <v>0</v>
      </c>
    </row>
    <row r="96" spans="1:13">
      <c r="A96" s="204"/>
      <c r="G96" s="175"/>
      <c r="H96" s="187">
        <v>91</v>
      </c>
      <c r="I96" s="188" t="str">
        <f t="shared" si="6"/>
        <v/>
      </c>
      <c r="J96" s="188" t="e">
        <f t="shared" si="10"/>
        <v>#NUM!</v>
      </c>
      <c r="K96" s="187" t="e">
        <f t="shared" si="7"/>
        <v>#NUM!</v>
      </c>
      <c r="L96" s="187"/>
      <c r="M96" s="189">
        <f t="shared" si="8"/>
        <v>0</v>
      </c>
    </row>
    <row r="97" spans="1:13">
      <c r="A97" s="204"/>
      <c r="G97" s="175"/>
      <c r="H97" s="187">
        <v>92</v>
      </c>
      <c r="I97" s="188" t="str">
        <f t="shared" si="6"/>
        <v/>
      </c>
      <c r="J97" s="188" t="e">
        <f t="shared" si="10"/>
        <v>#NUM!</v>
      </c>
      <c r="K97" s="187" t="e">
        <f t="shared" si="7"/>
        <v>#NUM!</v>
      </c>
      <c r="L97" s="187"/>
      <c r="M97" s="189">
        <f t="shared" si="8"/>
        <v>0</v>
      </c>
    </row>
    <row r="98" spans="1:13">
      <c r="A98" s="204"/>
      <c r="G98" s="175"/>
      <c r="H98" s="187">
        <v>93</v>
      </c>
      <c r="I98" s="188" t="str">
        <f t="shared" si="6"/>
        <v/>
      </c>
      <c r="J98" s="188" t="e">
        <f t="shared" si="10"/>
        <v>#NUM!</v>
      </c>
      <c r="K98" s="187" t="e">
        <f t="shared" si="7"/>
        <v>#NUM!</v>
      </c>
      <c r="L98" s="187"/>
      <c r="M98" s="189">
        <f t="shared" si="8"/>
        <v>0</v>
      </c>
    </row>
    <row r="99" spans="1:13">
      <c r="A99" s="204"/>
      <c r="G99" s="175"/>
      <c r="H99" s="187">
        <v>94</v>
      </c>
      <c r="I99" s="188" t="str">
        <f t="shared" si="6"/>
        <v/>
      </c>
      <c r="J99" s="188" t="e">
        <f t="shared" si="10"/>
        <v>#NUM!</v>
      </c>
      <c r="K99" s="187" t="e">
        <f t="shared" si="7"/>
        <v>#NUM!</v>
      </c>
      <c r="L99" s="187"/>
      <c r="M99" s="189">
        <f t="shared" si="8"/>
        <v>0</v>
      </c>
    </row>
    <row r="100" spans="1:13">
      <c r="A100" s="204"/>
      <c r="G100" s="175"/>
      <c r="H100" s="187">
        <v>95</v>
      </c>
      <c r="I100" s="188" t="str">
        <f t="shared" si="6"/>
        <v/>
      </c>
      <c r="J100" s="188" t="e">
        <f t="shared" si="10"/>
        <v>#NUM!</v>
      </c>
      <c r="K100" s="187" t="e">
        <f t="shared" si="7"/>
        <v>#NUM!</v>
      </c>
      <c r="L100" s="187"/>
      <c r="M100" s="189">
        <f t="shared" si="8"/>
        <v>0</v>
      </c>
    </row>
    <row r="101" spans="1:13">
      <c r="A101" s="204"/>
      <c r="G101" s="175"/>
      <c r="H101" s="187">
        <v>96</v>
      </c>
      <c r="I101" s="188" t="str">
        <f t="shared" si="6"/>
        <v/>
      </c>
      <c r="J101" s="188" t="e">
        <f t="shared" si="10"/>
        <v>#NUM!</v>
      </c>
      <c r="K101" s="187" t="e">
        <f t="shared" si="7"/>
        <v>#NUM!</v>
      </c>
      <c r="L101" s="187"/>
      <c r="M101" s="189">
        <f t="shared" si="8"/>
        <v>0</v>
      </c>
    </row>
    <row r="102" spans="1:13">
      <c r="A102" s="204"/>
      <c r="G102" s="175"/>
      <c r="H102" s="187">
        <v>97</v>
      </c>
      <c r="I102" s="188" t="str">
        <f t="shared" si="6"/>
        <v/>
      </c>
      <c r="J102" s="188" t="e">
        <f t="shared" si="10"/>
        <v>#NUM!</v>
      </c>
      <c r="K102" s="187" t="e">
        <f t="shared" si="7"/>
        <v>#NUM!</v>
      </c>
      <c r="L102" s="187"/>
      <c r="M102" s="189">
        <f t="shared" si="8"/>
        <v>0</v>
      </c>
    </row>
    <row r="103" spans="1:13">
      <c r="A103" s="204"/>
      <c r="G103" s="175"/>
      <c r="H103" s="187">
        <v>98</v>
      </c>
      <c r="I103" s="188" t="str">
        <f t="shared" si="6"/>
        <v/>
      </c>
      <c r="J103" s="188" t="e">
        <f t="shared" si="10"/>
        <v>#NUM!</v>
      </c>
      <c r="K103" s="187" t="e">
        <f t="shared" si="7"/>
        <v>#NUM!</v>
      </c>
      <c r="L103" s="187"/>
      <c r="M103" s="189">
        <f t="shared" si="8"/>
        <v>0</v>
      </c>
    </row>
    <row r="104" spans="1:13">
      <c r="A104" s="204"/>
      <c r="G104" s="175"/>
      <c r="H104" s="187">
        <v>99</v>
      </c>
      <c r="I104" s="188" t="str">
        <f t="shared" si="6"/>
        <v/>
      </c>
      <c r="J104" s="188" t="e">
        <f t="shared" si="10"/>
        <v>#NUM!</v>
      </c>
      <c r="K104" s="187" t="e">
        <f t="shared" si="7"/>
        <v>#NUM!</v>
      </c>
      <c r="L104" s="187"/>
      <c r="M104" s="189">
        <f t="shared" si="8"/>
        <v>0</v>
      </c>
    </row>
    <row r="105" spans="1:13">
      <c r="A105" s="204"/>
      <c r="G105" s="175"/>
      <c r="H105" s="187">
        <v>100</v>
      </c>
      <c r="I105" s="188" t="str">
        <f t="shared" si="6"/>
        <v/>
      </c>
      <c r="J105" s="188" t="e">
        <f t="shared" si="10"/>
        <v>#NUM!</v>
      </c>
      <c r="K105" s="187" t="e">
        <f t="shared" si="7"/>
        <v>#NUM!</v>
      </c>
      <c r="L105" s="187"/>
      <c r="M105" s="189">
        <f t="shared" si="8"/>
        <v>0</v>
      </c>
    </row>
    <row r="106" spans="1:13">
      <c r="A106" s="204"/>
      <c r="G106" s="175"/>
      <c r="H106" s="187">
        <v>101</v>
      </c>
      <c r="I106" s="188" t="str">
        <f t="shared" si="6"/>
        <v/>
      </c>
      <c r="J106" s="188" t="e">
        <f t="shared" si="10"/>
        <v>#NUM!</v>
      </c>
      <c r="K106" s="187" t="e">
        <f t="shared" si="7"/>
        <v>#NUM!</v>
      </c>
      <c r="L106" s="187"/>
      <c r="M106" s="189">
        <f t="shared" si="8"/>
        <v>0</v>
      </c>
    </row>
    <row r="107" spans="1:13">
      <c r="A107" s="204"/>
      <c r="G107" s="175"/>
      <c r="H107" s="187">
        <v>102</v>
      </c>
      <c r="I107" s="188" t="str">
        <f t="shared" si="6"/>
        <v/>
      </c>
      <c r="J107" s="188" t="e">
        <f t="shared" si="10"/>
        <v>#NUM!</v>
      </c>
      <c r="K107" s="187" t="e">
        <f t="shared" si="7"/>
        <v>#NUM!</v>
      </c>
      <c r="L107" s="187"/>
      <c r="M107" s="189">
        <f t="shared" si="8"/>
        <v>0</v>
      </c>
    </row>
    <row r="108" spans="1:13">
      <c r="A108" s="204"/>
      <c r="G108" s="175"/>
      <c r="H108" s="187">
        <v>103</v>
      </c>
      <c r="I108" s="188" t="str">
        <f t="shared" si="6"/>
        <v/>
      </c>
      <c r="J108" s="188" t="e">
        <f t="shared" si="10"/>
        <v>#NUM!</v>
      </c>
      <c r="K108" s="187" t="e">
        <f t="shared" si="7"/>
        <v>#NUM!</v>
      </c>
      <c r="L108" s="187"/>
      <c r="M108" s="189">
        <f t="shared" si="8"/>
        <v>0</v>
      </c>
    </row>
    <row r="109" spans="1:13">
      <c r="A109" s="204"/>
      <c r="G109" s="175"/>
      <c r="H109" s="187">
        <v>104</v>
      </c>
      <c r="I109" s="188" t="str">
        <f t="shared" si="6"/>
        <v/>
      </c>
      <c r="J109" s="188" t="e">
        <f t="shared" si="10"/>
        <v>#NUM!</v>
      </c>
      <c r="K109" s="187" t="e">
        <f t="shared" si="7"/>
        <v>#NUM!</v>
      </c>
      <c r="L109" s="187"/>
      <c r="M109" s="189">
        <f t="shared" si="8"/>
        <v>0</v>
      </c>
    </row>
    <row r="110" spans="1:13">
      <c r="A110" s="204"/>
      <c r="G110" s="175"/>
      <c r="H110" s="187">
        <v>105</v>
      </c>
      <c r="I110" s="188" t="str">
        <f t="shared" si="6"/>
        <v/>
      </c>
      <c r="J110" s="188" t="e">
        <f t="shared" si="10"/>
        <v>#NUM!</v>
      </c>
      <c r="K110" s="187" t="e">
        <f t="shared" si="7"/>
        <v>#NUM!</v>
      </c>
      <c r="L110" s="187"/>
      <c r="M110" s="189">
        <f t="shared" si="8"/>
        <v>0</v>
      </c>
    </row>
    <row r="111" spans="1:13">
      <c r="A111" s="204"/>
      <c r="G111" s="175"/>
      <c r="H111" s="187">
        <v>106</v>
      </c>
      <c r="I111" s="188" t="str">
        <f t="shared" si="6"/>
        <v/>
      </c>
      <c r="J111" s="188" t="e">
        <f t="shared" si="10"/>
        <v>#NUM!</v>
      </c>
      <c r="K111" s="187" t="e">
        <f t="shared" si="7"/>
        <v>#NUM!</v>
      </c>
      <c r="L111" s="187"/>
      <c r="M111" s="189">
        <f t="shared" si="8"/>
        <v>0</v>
      </c>
    </row>
    <row r="112" spans="1:13">
      <c r="A112" s="204"/>
      <c r="G112" s="175"/>
      <c r="H112" s="187">
        <v>107</v>
      </c>
      <c r="I112" s="188" t="str">
        <f t="shared" si="6"/>
        <v/>
      </c>
      <c r="J112" s="188" t="e">
        <f t="shared" si="10"/>
        <v>#NUM!</v>
      </c>
      <c r="K112" s="187" t="e">
        <f t="shared" si="7"/>
        <v>#NUM!</v>
      </c>
      <c r="L112" s="187"/>
      <c r="M112" s="189">
        <f t="shared" si="8"/>
        <v>0</v>
      </c>
    </row>
    <row r="113" spans="1:13">
      <c r="A113" s="204"/>
      <c r="G113" s="175"/>
      <c r="H113" s="187">
        <v>108</v>
      </c>
      <c r="I113" s="188" t="str">
        <f t="shared" si="6"/>
        <v/>
      </c>
      <c r="J113" s="188" t="e">
        <f t="shared" si="10"/>
        <v>#NUM!</v>
      </c>
      <c r="K113" s="187" t="e">
        <f t="shared" si="7"/>
        <v>#NUM!</v>
      </c>
      <c r="L113" s="187"/>
      <c r="M113" s="189">
        <f t="shared" si="8"/>
        <v>0</v>
      </c>
    </row>
    <row r="114" spans="1:13">
      <c r="A114" s="204"/>
      <c r="G114" s="175"/>
      <c r="H114" s="187">
        <v>109</v>
      </c>
      <c r="I114" s="188" t="str">
        <f t="shared" si="6"/>
        <v/>
      </c>
      <c r="J114" s="188" t="e">
        <f t="shared" si="10"/>
        <v>#NUM!</v>
      </c>
      <c r="K114" s="187" t="e">
        <f t="shared" si="7"/>
        <v>#NUM!</v>
      </c>
      <c r="L114" s="187"/>
      <c r="M114" s="189">
        <f t="shared" si="8"/>
        <v>0</v>
      </c>
    </row>
    <row r="115" spans="1:13">
      <c r="A115" s="204"/>
      <c r="G115" s="175"/>
      <c r="H115" s="187">
        <v>110</v>
      </c>
      <c r="I115" s="188" t="str">
        <f t="shared" si="6"/>
        <v/>
      </c>
      <c r="J115" s="188" t="e">
        <f t="shared" si="10"/>
        <v>#NUM!</v>
      </c>
      <c r="K115" s="187" t="e">
        <f t="shared" si="7"/>
        <v>#NUM!</v>
      </c>
      <c r="L115" s="187"/>
      <c r="M115" s="189">
        <f t="shared" si="8"/>
        <v>0</v>
      </c>
    </row>
    <row r="116" spans="1:13">
      <c r="A116" s="204"/>
      <c r="G116" s="175"/>
      <c r="H116" s="187">
        <v>111</v>
      </c>
      <c r="I116" s="188" t="str">
        <f t="shared" si="6"/>
        <v/>
      </c>
      <c r="J116" s="188" t="e">
        <f t="shared" si="10"/>
        <v>#NUM!</v>
      </c>
      <c r="K116" s="187" t="e">
        <f t="shared" si="7"/>
        <v>#NUM!</v>
      </c>
      <c r="L116" s="187"/>
      <c r="M116" s="189">
        <f t="shared" si="8"/>
        <v>0</v>
      </c>
    </row>
    <row r="117" spans="1:13">
      <c r="A117" s="204"/>
      <c r="G117" s="175"/>
      <c r="H117" s="187">
        <v>112</v>
      </c>
      <c r="I117" s="188" t="str">
        <f t="shared" si="6"/>
        <v/>
      </c>
      <c r="J117" s="188" t="e">
        <f t="shared" si="10"/>
        <v>#NUM!</v>
      </c>
      <c r="K117" s="187" t="e">
        <f t="shared" si="7"/>
        <v>#NUM!</v>
      </c>
      <c r="L117" s="187"/>
      <c r="M117" s="189">
        <f t="shared" si="8"/>
        <v>0</v>
      </c>
    </row>
    <row r="118" spans="1:13">
      <c r="A118" s="204"/>
      <c r="G118" s="175"/>
      <c r="H118" s="187">
        <v>113</v>
      </c>
      <c r="I118" s="188" t="str">
        <f t="shared" si="6"/>
        <v/>
      </c>
      <c r="J118" s="188" t="e">
        <f t="shared" si="10"/>
        <v>#NUM!</v>
      </c>
      <c r="K118" s="187" t="e">
        <f t="shared" si="7"/>
        <v>#NUM!</v>
      </c>
      <c r="L118" s="187"/>
      <c r="M118" s="189">
        <f t="shared" si="8"/>
        <v>0</v>
      </c>
    </row>
    <row r="119" spans="1:13">
      <c r="A119" s="204"/>
      <c r="G119" s="175"/>
      <c r="H119" s="187">
        <v>114</v>
      </c>
      <c r="I119" s="188" t="str">
        <f t="shared" si="6"/>
        <v/>
      </c>
      <c r="J119" s="188" t="e">
        <f t="shared" si="10"/>
        <v>#NUM!</v>
      </c>
      <c r="K119" s="187" t="e">
        <f t="shared" si="7"/>
        <v>#NUM!</v>
      </c>
      <c r="L119" s="187"/>
      <c r="M119" s="189">
        <f t="shared" si="8"/>
        <v>0</v>
      </c>
    </row>
    <row r="120" spans="1:13">
      <c r="A120" s="204"/>
      <c r="G120" s="175"/>
      <c r="H120" s="187">
        <v>115</v>
      </c>
      <c r="I120" s="188" t="str">
        <f t="shared" si="6"/>
        <v/>
      </c>
      <c r="J120" s="188" t="e">
        <f t="shared" si="10"/>
        <v>#NUM!</v>
      </c>
      <c r="K120" s="187" t="e">
        <f t="shared" si="7"/>
        <v>#NUM!</v>
      </c>
      <c r="L120" s="187"/>
      <c r="M120" s="189">
        <f t="shared" si="8"/>
        <v>0</v>
      </c>
    </row>
    <row r="121" spans="1:13">
      <c r="A121" s="204"/>
      <c r="G121" s="175"/>
      <c r="H121" s="187">
        <v>116</v>
      </c>
      <c r="I121" s="188" t="str">
        <f t="shared" si="6"/>
        <v/>
      </c>
      <c r="J121" s="188" t="e">
        <f t="shared" si="10"/>
        <v>#NUM!</v>
      </c>
      <c r="K121" s="187" t="e">
        <f t="shared" si="7"/>
        <v>#NUM!</v>
      </c>
      <c r="L121" s="187"/>
      <c r="M121" s="189">
        <f t="shared" si="8"/>
        <v>0</v>
      </c>
    </row>
    <row r="122" spans="1:13">
      <c r="A122" s="204"/>
      <c r="G122" s="175"/>
      <c r="H122" s="187">
        <v>117</v>
      </c>
      <c r="I122" s="188" t="str">
        <f t="shared" si="6"/>
        <v/>
      </c>
      <c r="J122" s="188" t="e">
        <f t="shared" si="10"/>
        <v>#NUM!</v>
      </c>
      <c r="K122" s="187" t="e">
        <f t="shared" si="7"/>
        <v>#NUM!</v>
      </c>
      <c r="L122" s="187"/>
      <c r="M122" s="189">
        <f t="shared" si="8"/>
        <v>0</v>
      </c>
    </row>
    <row r="123" spans="1:13">
      <c r="A123" s="204"/>
      <c r="G123" s="175"/>
      <c r="H123" s="187">
        <v>118</v>
      </c>
      <c r="I123" s="188" t="str">
        <f t="shared" si="6"/>
        <v/>
      </c>
      <c r="J123" s="188" t="e">
        <f t="shared" si="10"/>
        <v>#NUM!</v>
      </c>
      <c r="K123" s="187" t="e">
        <f t="shared" si="7"/>
        <v>#NUM!</v>
      </c>
      <c r="L123" s="187"/>
      <c r="M123" s="189">
        <f t="shared" si="8"/>
        <v>0</v>
      </c>
    </row>
    <row r="124" spans="1:13">
      <c r="A124" s="204"/>
      <c r="G124" s="175"/>
      <c r="H124" s="187">
        <v>119</v>
      </c>
      <c r="I124" s="188" t="str">
        <f t="shared" si="6"/>
        <v/>
      </c>
      <c r="J124" s="188" t="e">
        <f t="shared" si="10"/>
        <v>#NUM!</v>
      </c>
      <c r="K124" s="187" t="e">
        <f t="shared" si="7"/>
        <v>#NUM!</v>
      </c>
      <c r="L124" s="187"/>
      <c r="M124" s="189">
        <f t="shared" si="8"/>
        <v>0</v>
      </c>
    </row>
    <row r="125" spans="1:13">
      <c r="A125" s="204"/>
      <c r="G125" s="175"/>
      <c r="H125" s="187">
        <v>120</v>
      </c>
      <c r="I125" s="188" t="str">
        <f t="shared" si="6"/>
        <v/>
      </c>
      <c r="J125" s="188" t="e">
        <f t="shared" si="10"/>
        <v>#NUM!</v>
      </c>
      <c r="K125" s="187" t="e">
        <f t="shared" si="7"/>
        <v>#NUM!</v>
      </c>
      <c r="L125" s="187"/>
      <c r="M125" s="189">
        <f t="shared" si="8"/>
        <v>0</v>
      </c>
    </row>
    <row r="126" spans="1:13">
      <c r="A126" s="204"/>
      <c r="G126" s="175"/>
      <c r="H126" s="187">
        <v>121</v>
      </c>
      <c r="I126" s="188" t="str">
        <f t="shared" si="6"/>
        <v/>
      </c>
      <c r="J126" s="188" t="e">
        <f t="shared" si="10"/>
        <v>#NUM!</v>
      </c>
      <c r="K126" s="187" t="e">
        <f t="shared" si="7"/>
        <v>#NUM!</v>
      </c>
      <c r="L126" s="187"/>
      <c r="M126" s="189">
        <f t="shared" si="8"/>
        <v>0</v>
      </c>
    </row>
    <row r="127" spans="1:13">
      <c r="A127" s="204"/>
      <c r="G127" s="175"/>
      <c r="H127" s="187">
        <v>122</v>
      </c>
      <c r="I127" s="188" t="str">
        <f t="shared" si="6"/>
        <v/>
      </c>
      <c r="J127" s="188" t="e">
        <f t="shared" si="10"/>
        <v>#NUM!</v>
      </c>
      <c r="K127" s="187" t="e">
        <f t="shared" si="7"/>
        <v>#NUM!</v>
      </c>
      <c r="L127" s="187"/>
      <c r="M127" s="189">
        <f t="shared" si="8"/>
        <v>0</v>
      </c>
    </row>
    <row r="128" spans="1:13">
      <c r="A128" s="204"/>
      <c r="G128" s="175"/>
      <c r="H128" s="187">
        <v>123</v>
      </c>
      <c r="I128" s="188" t="str">
        <f t="shared" si="6"/>
        <v/>
      </c>
      <c r="J128" s="188" t="e">
        <f t="shared" si="10"/>
        <v>#NUM!</v>
      </c>
      <c r="K128" s="187" t="e">
        <f t="shared" si="7"/>
        <v>#NUM!</v>
      </c>
      <c r="L128" s="187"/>
      <c r="M128" s="189">
        <f t="shared" si="8"/>
        <v>0</v>
      </c>
    </row>
    <row r="129" spans="1:13">
      <c r="A129" s="204"/>
      <c r="G129" s="175"/>
      <c r="H129" s="187">
        <v>124</v>
      </c>
      <c r="I129" s="188" t="str">
        <f t="shared" si="6"/>
        <v/>
      </c>
      <c r="J129" s="188" t="e">
        <f t="shared" si="10"/>
        <v>#NUM!</v>
      </c>
      <c r="K129" s="187" t="e">
        <f t="shared" si="7"/>
        <v>#NUM!</v>
      </c>
      <c r="L129" s="187"/>
      <c r="M129" s="189">
        <f t="shared" si="8"/>
        <v>0</v>
      </c>
    </row>
    <row r="130" spans="1:13">
      <c r="A130" s="204"/>
      <c r="G130" s="175"/>
      <c r="H130" s="187">
        <v>125</v>
      </c>
      <c r="I130" s="188" t="str">
        <f t="shared" si="6"/>
        <v/>
      </c>
      <c r="J130" s="188" t="e">
        <f t="shared" si="10"/>
        <v>#NUM!</v>
      </c>
      <c r="K130" s="187" t="e">
        <f t="shared" si="7"/>
        <v>#NUM!</v>
      </c>
      <c r="L130" s="187"/>
      <c r="M130" s="189">
        <f t="shared" si="8"/>
        <v>0</v>
      </c>
    </row>
    <row r="131" spans="1:13">
      <c r="A131" s="204"/>
      <c r="G131" s="175"/>
      <c r="H131" s="187">
        <v>126</v>
      </c>
      <c r="I131" s="188" t="str">
        <f t="shared" si="6"/>
        <v/>
      </c>
      <c r="J131" s="188" t="e">
        <f t="shared" si="10"/>
        <v>#NUM!</v>
      </c>
      <c r="K131" s="187" t="e">
        <f t="shared" si="7"/>
        <v>#NUM!</v>
      </c>
      <c r="L131" s="187"/>
      <c r="M131" s="189">
        <f t="shared" si="8"/>
        <v>0</v>
      </c>
    </row>
    <row r="132" spans="1:13">
      <c r="A132" s="204"/>
      <c r="G132" s="175"/>
      <c r="H132" s="187">
        <v>127</v>
      </c>
      <c r="I132" s="188" t="str">
        <f t="shared" si="6"/>
        <v/>
      </c>
      <c r="J132" s="188" t="e">
        <f t="shared" si="10"/>
        <v>#NUM!</v>
      </c>
      <c r="K132" s="187" t="e">
        <f t="shared" si="7"/>
        <v>#NUM!</v>
      </c>
      <c r="L132" s="187"/>
      <c r="M132" s="189">
        <f t="shared" si="8"/>
        <v>0</v>
      </c>
    </row>
    <row r="133" spans="1:13">
      <c r="A133" s="204"/>
      <c r="G133" s="175"/>
      <c r="H133" s="187">
        <v>128</v>
      </c>
      <c r="I133" s="188" t="str">
        <f t="shared" si="6"/>
        <v/>
      </c>
      <c r="J133" s="188" t="e">
        <f t="shared" si="10"/>
        <v>#NUM!</v>
      </c>
      <c r="K133" s="187" t="e">
        <f t="shared" si="7"/>
        <v>#NUM!</v>
      </c>
      <c r="L133" s="187"/>
      <c r="M133" s="189">
        <f t="shared" si="8"/>
        <v>0</v>
      </c>
    </row>
    <row r="134" spans="1:13">
      <c r="A134" s="204"/>
      <c r="G134" s="175"/>
      <c r="H134" s="187">
        <v>129</v>
      </c>
      <c r="I134" s="188" t="str">
        <f t="shared" ref="I134:I197" si="11">IF(H134&lt;$H$2+1,($I$2-($I$2-1)*(LOG(H134)/LOG($H$2))),"")</f>
        <v/>
      </c>
      <c r="J134" s="188" t="e">
        <f t="shared" si="10"/>
        <v>#NUM!</v>
      </c>
      <c r="K134" s="187" t="e">
        <f t="shared" ref="K134:K197" si="12">J134*$J$2</f>
        <v>#NUM!</v>
      </c>
      <c r="L134" s="187"/>
      <c r="M134" s="189">
        <f t="shared" ref="M134:M197" si="13">IF(I134&lt;&gt;"",K134+I134+L134,0)</f>
        <v>0</v>
      </c>
    </row>
    <row r="135" spans="1:13">
      <c r="A135" s="204"/>
      <c r="G135" s="175"/>
      <c r="H135" s="187">
        <v>130</v>
      </c>
      <c r="I135" s="188" t="str">
        <f t="shared" si="11"/>
        <v/>
      </c>
      <c r="J135" s="188" t="e">
        <f t="shared" ref="J135:J198" si="14">INT(LOG($H$2,2))-ROUNDUP(LOG(H135,2),0)+IF(OR($H$2=1,$H$2=2,$H$2=4,$H$2=8,$H$2=16,$H$2=32,$H$2=64,$H$2=128,$H$2=256),0,1)</f>
        <v>#NUM!</v>
      </c>
      <c r="K135" s="187" t="e">
        <f t="shared" si="12"/>
        <v>#NUM!</v>
      </c>
      <c r="L135" s="187"/>
      <c r="M135" s="189">
        <f t="shared" si="13"/>
        <v>0</v>
      </c>
    </row>
    <row r="136" spans="1:13">
      <c r="A136" s="204"/>
      <c r="G136" s="175"/>
      <c r="H136" s="187">
        <v>131</v>
      </c>
      <c r="I136" s="188" t="str">
        <f t="shared" si="11"/>
        <v/>
      </c>
      <c r="J136" s="188" t="e">
        <f t="shared" si="14"/>
        <v>#NUM!</v>
      </c>
      <c r="K136" s="187" t="e">
        <f t="shared" si="12"/>
        <v>#NUM!</v>
      </c>
      <c r="L136" s="187"/>
      <c r="M136" s="189">
        <f t="shared" si="13"/>
        <v>0</v>
      </c>
    </row>
    <row r="137" spans="1:13">
      <c r="A137" s="204"/>
      <c r="G137" s="175"/>
      <c r="H137" s="187">
        <v>132</v>
      </c>
      <c r="I137" s="188" t="str">
        <f t="shared" si="11"/>
        <v/>
      </c>
      <c r="J137" s="188" t="e">
        <f t="shared" si="14"/>
        <v>#NUM!</v>
      </c>
      <c r="K137" s="187" t="e">
        <f t="shared" si="12"/>
        <v>#NUM!</v>
      </c>
      <c r="L137" s="187"/>
      <c r="M137" s="189">
        <f t="shared" si="13"/>
        <v>0</v>
      </c>
    </row>
    <row r="138" spans="1:13">
      <c r="A138" s="204"/>
      <c r="G138" s="175"/>
      <c r="H138" s="187">
        <v>133</v>
      </c>
      <c r="I138" s="188" t="str">
        <f t="shared" si="11"/>
        <v/>
      </c>
      <c r="J138" s="188" t="e">
        <f t="shared" si="14"/>
        <v>#NUM!</v>
      </c>
      <c r="K138" s="187" t="e">
        <f t="shared" si="12"/>
        <v>#NUM!</v>
      </c>
      <c r="L138" s="187"/>
      <c r="M138" s="189">
        <f t="shared" si="13"/>
        <v>0</v>
      </c>
    </row>
    <row r="139" spans="1:13">
      <c r="A139" s="204"/>
      <c r="G139" s="175"/>
      <c r="H139" s="187">
        <v>134</v>
      </c>
      <c r="I139" s="188" t="str">
        <f t="shared" si="11"/>
        <v/>
      </c>
      <c r="J139" s="188" t="e">
        <f t="shared" si="14"/>
        <v>#NUM!</v>
      </c>
      <c r="K139" s="187" t="e">
        <f t="shared" si="12"/>
        <v>#NUM!</v>
      </c>
      <c r="L139" s="187"/>
      <c r="M139" s="189">
        <f t="shared" si="13"/>
        <v>0</v>
      </c>
    </row>
    <row r="140" spans="1:13">
      <c r="A140" s="204"/>
      <c r="G140" s="175"/>
      <c r="H140" s="187">
        <v>135</v>
      </c>
      <c r="I140" s="188" t="str">
        <f t="shared" si="11"/>
        <v/>
      </c>
      <c r="J140" s="188" t="e">
        <f t="shared" si="14"/>
        <v>#NUM!</v>
      </c>
      <c r="K140" s="187" t="e">
        <f t="shared" si="12"/>
        <v>#NUM!</v>
      </c>
      <c r="L140" s="187"/>
      <c r="M140" s="189">
        <f t="shared" si="13"/>
        <v>0</v>
      </c>
    </row>
    <row r="141" spans="1:13">
      <c r="A141" s="204"/>
      <c r="G141" s="175"/>
      <c r="H141" s="187">
        <v>136</v>
      </c>
      <c r="I141" s="188" t="str">
        <f t="shared" si="11"/>
        <v/>
      </c>
      <c r="J141" s="188" t="e">
        <f t="shared" si="14"/>
        <v>#NUM!</v>
      </c>
      <c r="K141" s="187" t="e">
        <f t="shared" si="12"/>
        <v>#NUM!</v>
      </c>
      <c r="L141" s="187"/>
      <c r="M141" s="189">
        <f t="shared" si="13"/>
        <v>0</v>
      </c>
    </row>
    <row r="142" spans="1:13">
      <c r="A142" s="204"/>
      <c r="G142" s="175"/>
      <c r="H142" s="187">
        <v>137</v>
      </c>
      <c r="I142" s="188" t="str">
        <f t="shared" si="11"/>
        <v/>
      </c>
      <c r="J142" s="188" t="e">
        <f t="shared" si="14"/>
        <v>#NUM!</v>
      </c>
      <c r="K142" s="187" t="e">
        <f t="shared" si="12"/>
        <v>#NUM!</v>
      </c>
      <c r="L142" s="187"/>
      <c r="M142" s="189">
        <f t="shared" si="13"/>
        <v>0</v>
      </c>
    </row>
    <row r="143" spans="1:13">
      <c r="A143" s="204"/>
      <c r="G143" s="175"/>
      <c r="H143" s="187">
        <v>138</v>
      </c>
      <c r="I143" s="188" t="str">
        <f t="shared" si="11"/>
        <v/>
      </c>
      <c r="J143" s="188" t="e">
        <f t="shared" si="14"/>
        <v>#NUM!</v>
      </c>
      <c r="K143" s="187" t="e">
        <f t="shared" si="12"/>
        <v>#NUM!</v>
      </c>
      <c r="L143" s="187"/>
      <c r="M143" s="189">
        <f t="shared" si="13"/>
        <v>0</v>
      </c>
    </row>
    <row r="144" spans="1:13">
      <c r="A144" s="204"/>
      <c r="G144" s="175"/>
      <c r="H144" s="187">
        <v>139</v>
      </c>
      <c r="I144" s="188" t="str">
        <f t="shared" si="11"/>
        <v/>
      </c>
      <c r="J144" s="188" t="e">
        <f t="shared" si="14"/>
        <v>#NUM!</v>
      </c>
      <c r="K144" s="187" t="e">
        <f t="shared" si="12"/>
        <v>#NUM!</v>
      </c>
      <c r="L144" s="187"/>
      <c r="M144" s="189">
        <f t="shared" si="13"/>
        <v>0</v>
      </c>
    </row>
    <row r="145" spans="1:13">
      <c r="A145" s="204"/>
      <c r="G145" s="175"/>
      <c r="H145" s="187">
        <v>140</v>
      </c>
      <c r="I145" s="188" t="str">
        <f t="shared" si="11"/>
        <v/>
      </c>
      <c r="J145" s="188" t="e">
        <f t="shared" si="14"/>
        <v>#NUM!</v>
      </c>
      <c r="K145" s="187" t="e">
        <f t="shared" si="12"/>
        <v>#NUM!</v>
      </c>
      <c r="L145" s="187"/>
      <c r="M145" s="189">
        <f t="shared" si="13"/>
        <v>0</v>
      </c>
    </row>
    <row r="146" spans="1:13">
      <c r="A146" s="204"/>
      <c r="G146" s="175"/>
      <c r="H146" s="187">
        <v>141</v>
      </c>
      <c r="I146" s="188" t="str">
        <f t="shared" si="11"/>
        <v/>
      </c>
      <c r="J146" s="188" t="e">
        <f t="shared" si="14"/>
        <v>#NUM!</v>
      </c>
      <c r="K146" s="187" t="e">
        <f t="shared" si="12"/>
        <v>#NUM!</v>
      </c>
      <c r="L146" s="187"/>
      <c r="M146" s="189">
        <f t="shared" si="13"/>
        <v>0</v>
      </c>
    </row>
    <row r="147" spans="1:13">
      <c r="A147" s="204"/>
      <c r="G147" s="175"/>
      <c r="H147" s="187">
        <v>142</v>
      </c>
      <c r="I147" s="188" t="str">
        <f t="shared" si="11"/>
        <v/>
      </c>
      <c r="J147" s="188" t="e">
        <f t="shared" si="14"/>
        <v>#NUM!</v>
      </c>
      <c r="K147" s="187" t="e">
        <f t="shared" si="12"/>
        <v>#NUM!</v>
      </c>
      <c r="L147" s="187"/>
      <c r="M147" s="189">
        <f t="shared" si="13"/>
        <v>0</v>
      </c>
    </row>
    <row r="148" spans="1:13">
      <c r="A148" s="204"/>
      <c r="G148" s="175"/>
      <c r="H148" s="187">
        <v>143</v>
      </c>
      <c r="I148" s="188" t="str">
        <f t="shared" si="11"/>
        <v/>
      </c>
      <c r="J148" s="188" t="e">
        <f t="shared" si="14"/>
        <v>#NUM!</v>
      </c>
      <c r="K148" s="187" t="e">
        <f t="shared" si="12"/>
        <v>#NUM!</v>
      </c>
      <c r="L148" s="187"/>
      <c r="M148" s="189">
        <f t="shared" si="13"/>
        <v>0</v>
      </c>
    </row>
    <row r="149" spans="1:13">
      <c r="A149" s="204"/>
      <c r="G149" s="175"/>
      <c r="H149" s="187">
        <v>144</v>
      </c>
      <c r="I149" s="188" t="str">
        <f t="shared" si="11"/>
        <v/>
      </c>
      <c r="J149" s="188" t="e">
        <f t="shared" si="14"/>
        <v>#NUM!</v>
      </c>
      <c r="K149" s="187" t="e">
        <f t="shared" si="12"/>
        <v>#NUM!</v>
      </c>
      <c r="L149" s="187"/>
      <c r="M149" s="189">
        <f t="shared" si="13"/>
        <v>0</v>
      </c>
    </row>
    <row r="150" spans="1:13">
      <c r="A150" s="204"/>
      <c r="G150" s="175"/>
      <c r="H150" s="187">
        <v>145</v>
      </c>
      <c r="I150" s="188" t="str">
        <f t="shared" si="11"/>
        <v/>
      </c>
      <c r="J150" s="188" t="e">
        <f t="shared" si="14"/>
        <v>#NUM!</v>
      </c>
      <c r="K150" s="187" t="e">
        <f t="shared" si="12"/>
        <v>#NUM!</v>
      </c>
      <c r="L150" s="187"/>
      <c r="M150" s="189">
        <f t="shared" si="13"/>
        <v>0</v>
      </c>
    </row>
    <row r="151" spans="1:13">
      <c r="A151" s="204"/>
      <c r="G151" s="175"/>
      <c r="H151" s="187">
        <v>146</v>
      </c>
      <c r="I151" s="188" t="str">
        <f t="shared" si="11"/>
        <v/>
      </c>
      <c r="J151" s="188" t="e">
        <f t="shared" si="14"/>
        <v>#NUM!</v>
      </c>
      <c r="K151" s="187" t="e">
        <f t="shared" si="12"/>
        <v>#NUM!</v>
      </c>
      <c r="L151" s="187"/>
      <c r="M151" s="189">
        <f t="shared" si="13"/>
        <v>0</v>
      </c>
    </row>
    <row r="152" spans="1:13">
      <c r="A152" s="204"/>
      <c r="G152" s="175"/>
      <c r="H152" s="187">
        <v>147</v>
      </c>
      <c r="I152" s="188" t="str">
        <f t="shared" si="11"/>
        <v/>
      </c>
      <c r="J152" s="188" t="e">
        <f t="shared" si="14"/>
        <v>#NUM!</v>
      </c>
      <c r="K152" s="187" t="e">
        <f t="shared" si="12"/>
        <v>#NUM!</v>
      </c>
      <c r="L152" s="187"/>
      <c r="M152" s="189">
        <f t="shared" si="13"/>
        <v>0</v>
      </c>
    </row>
    <row r="153" spans="1:13">
      <c r="A153" s="204"/>
      <c r="G153" s="175"/>
      <c r="H153" s="187">
        <v>148</v>
      </c>
      <c r="I153" s="188" t="str">
        <f t="shared" si="11"/>
        <v/>
      </c>
      <c r="J153" s="188" t="e">
        <f t="shared" si="14"/>
        <v>#NUM!</v>
      </c>
      <c r="K153" s="187" t="e">
        <f t="shared" si="12"/>
        <v>#NUM!</v>
      </c>
      <c r="L153" s="187"/>
      <c r="M153" s="189">
        <f t="shared" si="13"/>
        <v>0</v>
      </c>
    </row>
    <row r="154" spans="1:13">
      <c r="A154" s="204"/>
      <c r="G154" s="175"/>
      <c r="H154" s="187">
        <v>149</v>
      </c>
      <c r="I154" s="188" t="str">
        <f t="shared" si="11"/>
        <v/>
      </c>
      <c r="J154" s="188" t="e">
        <f t="shared" si="14"/>
        <v>#NUM!</v>
      </c>
      <c r="K154" s="187" t="e">
        <f t="shared" si="12"/>
        <v>#NUM!</v>
      </c>
      <c r="L154" s="187"/>
      <c r="M154" s="189">
        <f t="shared" si="13"/>
        <v>0</v>
      </c>
    </row>
    <row r="155" spans="1:13">
      <c r="A155" s="204"/>
      <c r="G155" s="175"/>
      <c r="H155" s="187">
        <v>150</v>
      </c>
      <c r="I155" s="188" t="str">
        <f t="shared" si="11"/>
        <v/>
      </c>
      <c r="J155" s="188" t="e">
        <f t="shared" si="14"/>
        <v>#NUM!</v>
      </c>
      <c r="K155" s="187" t="e">
        <f t="shared" si="12"/>
        <v>#NUM!</v>
      </c>
      <c r="L155" s="187"/>
      <c r="M155" s="189">
        <f t="shared" si="13"/>
        <v>0</v>
      </c>
    </row>
    <row r="156" spans="1:13">
      <c r="A156" s="204"/>
      <c r="G156" s="175"/>
      <c r="H156" s="187">
        <v>151</v>
      </c>
      <c r="I156" s="188" t="str">
        <f t="shared" si="11"/>
        <v/>
      </c>
      <c r="J156" s="188" t="e">
        <f t="shared" si="14"/>
        <v>#NUM!</v>
      </c>
      <c r="K156" s="187" t="e">
        <f t="shared" si="12"/>
        <v>#NUM!</v>
      </c>
      <c r="L156" s="187"/>
      <c r="M156" s="189">
        <f t="shared" si="13"/>
        <v>0</v>
      </c>
    </row>
    <row r="157" spans="1:13">
      <c r="A157" s="204"/>
      <c r="G157" s="175"/>
      <c r="H157" s="187">
        <v>152</v>
      </c>
      <c r="I157" s="188" t="str">
        <f t="shared" si="11"/>
        <v/>
      </c>
      <c r="J157" s="188" t="e">
        <f t="shared" si="14"/>
        <v>#NUM!</v>
      </c>
      <c r="K157" s="187" t="e">
        <f t="shared" si="12"/>
        <v>#NUM!</v>
      </c>
      <c r="L157" s="187"/>
      <c r="M157" s="189">
        <f t="shared" si="13"/>
        <v>0</v>
      </c>
    </row>
    <row r="158" spans="1:13">
      <c r="A158" s="204"/>
      <c r="G158" s="175"/>
      <c r="H158" s="187">
        <v>153</v>
      </c>
      <c r="I158" s="188" t="str">
        <f t="shared" si="11"/>
        <v/>
      </c>
      <c r="J158" s="188" t="e">
        <f t="shared" si="14"/>
        <v>#NUM!</v>
      </c>
      <c r="K158" s="187" t="e">
        <f t="shared" si="12"/>
        <v>#NUM!</v>
      </c>
      <c r="L158" s="187"/>
      <c r="M158" s="189">
        <f t="shared" si="13"/>
        <v>0</v>
      </c>
    </row>
    <row r="159" spans="1:13">
      <c r="A159" s="204"/>
      <c r="G159" s="175"/>
      <c r="H159" s="187">
        <v>154</v>
      </c>
      <c r="I159" s="188" t="str">
        <f t="shared" si="11"/>
        <v/>
      </c>
      <c r="J159" s="188" t="e">
        <f t="shared" si="14"/>
        <v>#NUM!</v>
      </c>
      <c r="K159" s="187" t="e">
        <f t="shared" si="12"/>
        <v>#NUM!</v>
      </c>
      <c r="L159" s="187"/>
      <c r="M159" s="189">
        <f t="shared" si="13"/>
        <v>0</v>
      </c>
    </row>
    <row r="160" spans="1:13">
      <c r="A160" s="204"/>
      <c r="G160" s="175"/>
      <c r="H160" s="187">
        <v>155</v>
      </c>
      <c r="I160" s="188" t="str">
        <f t="shared" si="11"/>
        <v/>
      </c>
      <c r="J160" s="188" t="e">
        <f t="shared" si="14"/>
        <v>#NUM!</v>
      </c>
      <c r="K160" s="187" t="e">
        <f t="shared" si="12"/>
        <v>#NUM!</v>
      </c>
      <c r="L160" s="187"/>
      <c r="M160" s="189">
        <f t="shared" si="13"/>
        <v>0</v>
      </c>
    </row>
    <row r="161" spans="1:13">
      <c r="A161" s="204"/>
      <c r="G161" s="175"/>
      <c r="H161" s="187">
        <v>156</v>
      </c>
      <c r="I161" s="188" t="str">
        <f t="shared" si="11"/>
        <v/>
      </c>
      <c r="J161" s="188" t="e">
        <f t="shared" si="14"/>
        <v>#NUM!</v>
      </c>
      <c r="K161" s="187" t="e">
        <f t="shared" si="12"/>
        <v>#NUM!</v>
      </c>
      <c r="L161" s="187"/>
      <c r="M161" s="189">
        <f t="shared" si="13"/>
        <v>0</v>
      </c>
    </row>
    <row r="162" spans="1:13">
      <c r="A162" s="204"/>
      <c r="G162" s="175"/>
      <c r="H162" s="187">
        <v>157</v>
      </c>
      <c r="I162" s="188" t="str">
        <f t="shared" si="11"/>
        <v/>
      </c>
      <c r="J162" s="188" t="e">
        <f t="shared" si="14"/>
        <v>#NUM!</v>
      </c>
      <c r="K162" s="187" t="e">
        <f t="shared" si="12"/>
        <v>#NUM!</v>
      </c>
      <c r="L162" s="187"/>
      <c r="M162" s="189">
        <f t="shared" si="13"/>
        <v>0</v>
      </c>
    </row>
    <row r="163" spans="1:13">
      <c r="A163" s="204"/>
      <c r="G163" s="175"/>
      <c r="H163" s="187">
        <v>158</v>
      </c>
      <c r="I163" s="188" t="str">
        <f t="shared" si="11"/>
        <v/>
      </c>
      <c r="J163" s="188" t="e">
        <f t="shared" si="14"/>
        <v>#NUM!</v>
      </c>
      <c r="K163" s="187" t="e">
        <f t="shared" si="12"/>
        <v>#NUM!</v>
      </c>
      <c r="L163" s="187"/>
      <c r="M163" s="189">
        <f t="shared" si="13"/>
        <v>0</v>
      </c>
    </row>
    <row r="164" spans="1:13">
      <c r="A164" s="204"/>
      <c r="G164" s="175"/>
      <c r="H164" s="187">
        <v>159</v>
      </c>
      <c r="I164" s="188" t="str">
        <f t="shared" si="11"/>
        <v/>
      </c>
      <c r="J164" s="188" t="e">
        <f t="shared" si="14"/>
        <v>#NUM!</v>
      </c>
      <c r="K164" s="187" t="e">
        <f t="shared" si="12"/>
        <v>#NUM!</v>
      </c>
      <c r="L164" s="187"/>
      <c r="M164" s="189">
        <f t="shared" si="13"/>
        <v>0</v>
      </c>
    </row>
    <row r="165" spans="1:13">
      <c r="A165" s="204"/>
      <c r="G165" s="175"/>
      <c r="H165" s="187">
        <v>160</v>
      </c>
      <c r="I165" s="188" t="str">
        <f t="shared" si="11"/>
        <v/>
      </c>
      <c r="J165" s="188" t="e">
        <f t="shared" si="14"/>
        <v>#NUM!</v>
      </c>
      <c r="K165" s="187" t="e">
        <f t="shared" si="12"/>
        <v>#NUM!</v>
      </c>
      <c r="L165" s="187"/>
      <c r="M165" s="189">
        <f t="shared" si="13"/>
        <v>0</v>
      </c>
    </row>
    <row r="166" spans="1:13">
      <c r="A166" s="204"/>
      <c r="G166" s="175"/>
      <c r="H166" s="187">
        <v>161</v>
      </c>
      <c r="I166" s="188" t="str">
        <f t="shared" si="11"/>
        <v/>
      </c>
      <c r="J166" s="188" t="e">
        <f t="shared" si="14"/>
        <v>#NUM!</v>
      </c>
      <c r="K166" s="187" t="e">
        <f t="shared" si="12"/>
        <v>#NUM!</v>
      </c>
      <c r="L166" s="187"/>
      <c r="M166" s="189">
        <f t="shared" si="13"/>
        <v>0</v>
      </c>
    </row>
    <row r="167" spans="1:13">
      <c r="A167" s="204"/>
      <c r="G167" s="175"/>
      <c r="H167" s="187">
        <v>162</v>
      </c>
      <c r="I167" s="188" t="str">
        <f t="shared" si="11"/>
        <v/>
      </c>
      <c r="J167" s="188" t="e">
        <f t="shared" si="14"/>
        <v>#NUM!</v>
      </c>
      <c r="K167" s="187" t="e">
        <f t="shared" si="12"/>
        <v>#NUM!</v>
      </c>
      <c r="L167" s="187"/>
      <c r="M167" s="189">
        <f t="shared" si="13"/>
        <v>0</v>
      </c>
    </row>
    <row r="168" spans="1:13">
      <c r="A168" s="204"/>
      <c r="G168" s="175"/>
      <c r="H168" s="187">
        <v>163</v>
      </c>
      <c r="I168" s="188" t="str">
        <f t="shared" si="11"/>
        <v/>
      </c>
      <c r="J168" s="188" t="e">
        <f t="shared" si="14"/>
        <v>#NUM!</v>
      </c>
      <c r="K168" s="187" t="e">
        <f t="shared" si="12"/>
        <v>#NUM!</v>
      </c>
      <c r="L168" s="187"/>
      <c r="M168" s="189">
        <f t="shared" si="13"/>
        <v>0</v>
      </c>
    </row>
    <row r="169" spans="1:13">
      <c r="A169" s="204"/>
      <c r="C169" s="203" t="s">
        <v>57</v>
      </c>
      <c r="G169" s="175"/>
      <c r="H169" s="187">
        <v>164</v>
      </c>
      <c r="I169" s="188" t="str">
        <f t="shared" si="11"/>
        <v/>
      </c>
      <c r="J169" s="188" t="e">
        <f t="shared" si="14"/>
        <v>#NUM!</v>
      </c>
      <c r="K169" s="187" t="e">
        <f t="shared" si="12"/>
        <v>#NUM!</v>
      </c>
      <c r="L169" s="187"/>
      <c r="M169" s="189">
        <f t="shared" si="13"/>
        <v>0</v>
      </c>
    </row>
    <row r="170" spans="1:13">
      <c r="A170" s="204"/>
      <c r="G170" s="175"/>
      <c r="H170" s="187">
        <v>165</v>
      </c>
      <c r="I170" s="188" t="str">
        <f t="shared" si="11"/>
        <v/>
      </c>
      <c r="J170" s="188" t="e">
        <f t="shared" si="14"/>
        <v>#NUM!</v>
      </c>
      <c r="K170" s="187" t="e">
        <f t="shared" si="12"/>
        <v>#NUM!</v>
      </c>
      <c r="L170" s="187"/>
      <c r="M170" s="189">
        <f t="shared" si="13"/>
        <v>0</v>
      </c>
    </row>
    <row r="171" spans="1:13">
      <c r="A171" s="204"/>
      <c r="G171" s="175"/>
      <c r="H171" s="187">
        <v>166</v>
      </c>
      <c r="I171" s="188" t="str">
        <f t="shared" si="11"/>
        <v/>
      </c>
      <c r="J171" s="188" t="e">
        <f t="shared" si="14"/>
        <v>#NUM!</v>
      </c>
      <c r="K171" s="187" t="e">
        <f t="shared" si="12"/>
        <v>#NUM!</v>
      </c>
      <c r="L171" s="187"/>
      <c r="M171" s="189">
        <f t="shared" si="13"/>
        <v>0</v>
      </c>
    </row>
    <row r="172" spans="1:13">
      <c r="A172" s="204"/>
      <c r="G172" s="175"/>
      <c r="H172" s="187">
        <v>167</v>
      </c>
      <c r="I172" s="188" t="str">
        <f t="shared" si="11"/>
        <v/>
      </c>
      <c r="J172" s="188" t="e">
        <f t="shared" si="14"/>
        <v>#NUM!</v>
      </c>
      <c r="K172" s="187" t="e">
        <f t="shared" si="12"/>
        <v>#NUM!</v>
      </c>
      <c r="L172" s="187"/>
      <c r="M172" s="189">
        <f t="shared" si="13"/>
        <v>0</v>
      </c>
    </row>
    <row r="173" spans="1:13">
      <c r="A173" s="204"/>
      <c r="G173" s="175"/>
      <c r="H173" s="187">
        <v>168</v>
      </c>
      <c r="I173" s="188" t="str">
        <f t="shared" si="11"/>
        <v/>
      </c>
      <c r="J173" s="188" t="e">
        <f t="shared" si="14"/>
        <v>#NUM!</v>
      </c>
      <c r="K173" s="187" t="e">
        <f t="shared" si="12"/>
        <v>#NUM!</v>
      </c>
      <c r="L173" s="187"/>
      <c r="M173" s="189">
        <f t="shared" si="13"/>
        <v>0</v>
      </c>
    </row>
    <row r="174" spans="1:13">
      <c r="A174" s="204"/>
      <c r="G174" s="175"/>
      <c r="H174" s="187">
        <v>169</v>
      </c>
      <c r="I174" s="188" t="str">
        <f t="shared" si="11"/>
        <v/>
      </c>
      <c r="J174" s="188" t="e">
        <f t="shared" si="14"/>
        <v>#NUM!</v>
      </c>
      <c r="K174" s="187" t="e">
        <f t="shared" si="12"/>
        <v>#NUM!</v>
      </c>
      <c r="L174" s="187"/>
      <c r="M174" s="189">
        <f t="shared" si="13"/>
        <v>0</v>
      </c>
    </row>
    <row r="175" spans="1:13">
      <c r="A175" s="204"/>
      <c r="G175" s="175"/>
      <c r="H175" s="187">
        <v>170</v>
      </c>
      <c r="I175" s="188" t="str">
        <f t="shared" si="11"/>
        <v/>
      </c>
      <c r="J175" s="188" t="e">
        <f t="shared" si="14"/>
        <v>#NUM!</v>
      </c>
      <c r="K175" s="187" t="e">
        <f t="shared" si="12"/>
        <v>#NUM!</v>
      </c>
      <c r="L175" s="187"/>
      <c r="M175" s="189">
        <f t="shared" si="13"/>
        <v>0</v>
      </c>
    </row>
    <row r="176" spans="1:13">
      <c r="A176" s="204"/>
      <c r="G176" s="175"/>
      <c r="H176" s="187">
        <v>171</v>
      </c>
      <c r="I176" s="188" t="str">
        <f t="shared" si="11"/>
        <v/>
      </c>
      <c r="J176" s="188" t="e">
        <f t="shared" si="14"/>
        <v>#NUM!</v>
      </c>
      <c r="K176" s="187" t="e">
        <f t="shared" si="12"/>
        <v>#NUM!</v>
      </c>
      <c r="L176" s="187"/>
      <c r="M176" s="189">
        <f t="shared" si="13"/>
        <v>0</v>
      </c>
    </row>
    <row r="177" spans="1:13">
      <c r="A177" s="204"/>
      <c r="G177" s="175"/>
      <c r="H177" s="187">
        <v>172</v>
      </c>
      <c r="I177" s="188" t="str">
        <f t="shared" si="11"/>
        <v/>
      </c>
      <c r="J177" s="188" t="e">
        <f t="shared" si="14"/>
        <v>#NUM!</v>
      </c>
      <c r="K177" s="187" t="e">
        <f t="shared" si="12"/>
        <v>#NUM!</v>
      </c>
      <c r="L177" s="187"/>
      <c r="M177" s="189">
        <f t="shared" si="13"/>
        <v>0</v>
      </c>
    </row>
    <row r="178" spans="1:13">
      <c r="A178" s="204"/>
      <c r="G178" s="175"/>
      <c r="H178" s="187">
        <v>173</v>
      </c>
      <c r="I178" s="188" t="str">
        <f t="shared" si="11"/>
        <v/>
      </c>
      <c r="J178" s="188" t="e">
        <f t="shared" si="14"/>
        <v>#NUM!</v>
      </c>
      <c r="K178" s="187" t="e">
        <f t="shared" si="12"/>
        <v>#NUM!</v>
      </c>
      <c r="L178" s="187"/>
      <c r="M178" s="189">
        <f t="shared" si="13"/>
        <v>0</v>
      </c>
    </row>
    <row r="179" spans="1:13">
      <c r="A179" s="204"/>
      <c r="G179" s="175"/>
      <c r="H179" s="187">
        <v>174</v>
      </c>
      <c r="I179" s="188" t="str">
        <f t="shared" si="11"/>
        <v/>
      </c>
      <c r="J179" s="188" t="e">
        <f t="shared" si="14"/>
        <v>#NUM!</v>
      </c>
      <c r="K179" s="187" t="e">
        <f t="shared" si="12"/>
        <v>#NUM!</v>
      </c>
      <c r="L179" s="187"/>
      <c r="M179" s="189">
        <f t="shared" si="13"/>
        <v>0</v>
      </c>
    </row>
    <row r="180" spans="1:13">
      <c r="A180" s="204"/>
      <c r="G180" s="175"/>
      <c r="H180" s="187">
        <v>175</v>
      </c>
      <c r="I180" s="188" t="str">
        <f t="shared" si="11"/>
        <v/>
      </c>
      <c r="J180" s="188" t="e">
        <f t="shared" si="14"/>
        <v>#NUM!</v>
      </c>
      <c r="K180" s="187" t="e">
        <f t="shared" si="12"/>
        <v>#NUM!</v>
      </c>
      <c r="L180" s="187"/>
      <c r="M180" s="189">
        <f t="shared" si="13"/>
        <v>0</v>
      </c>
    </row>
    <row r="181" spans="1:13">
      <c r="A181" s="204"/>
      <c r="G181" s="175"/>
      <c r="H181" s="187">
        <v>176</v>
      </c>
      <c r="I181" s="188" t="str">
        <f t="shared" si="11"/>
        <v/>
      </c>
      <c r="J181" s="188" t="e">
        <f t="shared" si="14"/>
        <v>#NUM!</v>
      </c>
      <c r="K181" s="187" t="e">
        <f t="shared" si="12"/>
        <v>#NUM!</v>
      </c>
      <c r="L181" s="187"/>
      <c r="M181" s="189">
        <f t="shared" si="13"/>
        <v>0</v>
      </c>
    </row>
    <row r="182" spans="1:13">
      <c r="A182" s="204"/>
      <c r="G182" s="175"/>
      <c r="H182" s="187">
        <v>177</v>
      </c>
      <c r="I182" s="188" t="str">
        <f t="shared" si="11"/>
        <v/>
      </c>
      <c r="J182" s="188" t="e">
        <f t="shared" si="14"/>
        <v>#NUM!</v>
      </c>
      <c r="K182" s="187" t="e">
        <f t="shared" si="12"/>
        <v>#NUM!</v>
      </c>
      <c r="L182" s="187"/>
      <c r="M182" s="189">
        <f t="shared" si="13"/>
        <v>0</v>
      </c>
    </row>
    <row r="183" spans="1:13">
      <c r="A183" s="204"/>
      <c r="G183" s="175"/>
      <c r="H183" s="187">
        <v>178</v>
      </c>
      <c r="I183" s="188" t="str">
        <f t="shared" si="11"/>
        <v/>
      </c>
      <c r="J183" s="188" t="e">
        <f t="shared" si="14"/>
        <v>#NUM!</v>
      </c>
      <c r="K183" s="187" t="e">
        <f t="shared" si="12"/>
        <v>#NUM!</v>
      </c>
      <c r="L183" s="187"/>
      <c r="M183" s="189">
        <f t="shared" si="13"/>
        <v>0</v>
      </c>
    </row>
    <row r="184" spans="1:13">
      <c r="A184" s="204"/>
      <c r="G184" s="175"/>
      <c r="H184" s="187">
        <v>179</v>
      </c>
      <c r="I184" s="188" t="str">
        <f t="shared" si="11"/>
        <v/>
      </c>
      <c r="J184" s="188" t="e">
        <f t="shared" si="14"/>
        <v>#NUM!</v>
      </c>
      <c r="K184" s="187" t="e">
        <f t="shared" si="12"/>
        <v>#NUM!</v>
      </c>
      <c r="L184" s="187"/>
      <c r="M184" s="189">
        <f t="shared" si="13"/>
        <v>0</v>
      </c>
    </row>
    <row r="185" spans="1:13">
      <c r="A185" s="204"/>
      <c r="G185" s="175"/>
      <c r="H185" s="187">
        <v>180</v>
      </c>
      <c r="I185" s="188" t="str">
        <f t="shared" si="11"/>
        <v/>
      </c>
      <c r="J185" s="188" t="e">
        <f t="shared" si="14"/>
        <v>#NUM!</v>
      </c>
      <c r="K185" s="187" t="e">
        <f t="shared" si="12"/>
        <v>#NUM!</v>
      </c>
      <c r="L185" s="187"/>
      <c r="M185" s="189">
        <f t="shared" si="13"/>
        <v>0</v>
      </c>
    </row>
    <row r="186" spans="1:13">
      <c r="A186" s="204"/>
      <c r="G186" s="175"/>
      <c r="H186" s="187">
        <v>181</v>
      </c>
      <c r="I186" s="188" t="str">
        <f t="shared" si="11"/>
        <v/>
      </c>
      <c r="J186" s="188" t="e">
        <f t="shared" si="14"/>
        <v>#NUM!</v>
      </c>
      <c r="K186" s="187" t="e">
        <f t="shared" si="12"/>
        <v>#NUM!</v>
      </c>
      <c r="L186" s="187"/>
      <c r="M186" s="189">
        <f t="shared" si="13"/>
        <v>0</v>
      </c>
    </row>
    <row r="187" spans="1:13">
      <c r="A187" s="204"/>
      <c r="G187" s="175"/>
      <c r="H187" s="187">
        <v>182</v>
      </c>
      <c r="I187" s="188" t="str">
        <f t="shared" si="11"/>
        <v/>
      </c>
      <c r="J187" s="188" t="e">
        <f t="shared" si="14"/>
        <v>#NUM!</v>
      </c>
      <c r="K187" s="187" t="e">
        <f t="shared" si="12"/>
        <v>#NUM!</v>
      </c>
      <c r="L187" s="187"/>
      <c r="M187" s="189">
        <f t="shared" si="13"/>
        <v>0</v>
      </c>
    </row>
    <row r="188" spans="1:13">
      <c r="A188" s="204"/>
      <c r="G188" s="175"/>
      <c r="H188" s="187">
        <v>183</v>
      </c>
      <c r="I188" s="188" t="str">
        <f t="shared" si="11"/>
        <v/>
      </c>
      <c r="J188" s="188" t="e">
        <f t="shared" si="14"/>
        <v>#NUM!</v>
      </c>
      <c r="K188" s="187" t="e">
        <f t="shared" si="12"/>
        <v>#NUM!</v>
      </c>
      <c r="L188" s="187"/>
      <c r="M188" s="189">
        <f t="shared" si="13"/>
        <v>0</v>
      </c>
    </row>
    <row r="189" spans="1:13">
      <c r="A189" s="204"/>
      <c r="G189" s="175"/>
      <c r="H189" s="187">
        <v>184</v>
      </c>
      <c r="I189" s="188" t="str">
        <f t="shared" si="11"/>
        <v/>
      </c>
      <c r="J189" s="188" t="e">
        <f t="shared" si="14"/>
        <v>#NUM!</v>
      </c>
      <c r="K189" s="187" t="e">
        <f t="shared" si="12"/>
        <v>#NUM!</v>
      </c>
      <c r="L189" s="187"/>
      <c r="M189" s="189">
        <f t="shared" si="13"/>
        <v>0</v>
      </c>
    </row>
    <row r="190" spans="1:13">
      <c r="A190" s="204"/>
      <c r="G190" s="175"/>
      <c r="H190" s="187">
        <v>185</v>
      </c>
      <c r="I190" s="188" t="str">
        <f t="shared" si="11"/>
        <v/>
      </c>
      <c r="J190" s="188" t="e">
        <f t="shared" si="14"/>
        <v>#NUM!</v>
      </c>
      <c r="K190" s="187" t="e">
        <f t="shared" si="12"/>
        <v>#NUM!</v>
      </c>
      <c r="L190" s="187"/>
      <c r="M190" s="189">
        <f t="shared" si="13"/>
        <v>0</v>
      </c>
    </row>
    <row r="191" spans="1:13">
      <c r="A191" s="204"/>
      <c r="G191" s="175"/>
      <c r="H191" s="187">
        <v>186</v>
      </c>
      <c r="I191" s="188" t="str">
        <f t="shared" si="11"/>
        <v/>
      </c>
      <c r="J191" s="188" t="e">
        <f t="shared" si="14"/>
        <v>#NUM!</v>
      </c>
      <c r="K191" s="187" t="e">
        <f t="shared" si="12"/>
        <v>#NUM!</v>
      </c>
      <c r="L191" s="187"/>
      <c r="M191" s="189">
        <f t="shared" si="13"/>
        <v>0</v>
      </c>
    </row>
    <row r="192" spans="1:13">
      <c r="A192" s="204"/>
      <c r="G192" s="175"/>
      <c r="H192" s="187">
        <v>187</v>
      </c>
      <c r="I192" s="188" t="str">
        <f t="shared" si="11"/>
        <v/>
      </c>
      <c r="J192" s="188" t="e">
        <f t="shared" si="14"/>
        <v>#NUM!</v>
      </c>
      <c r="K192" s="187" t="e">
        <f t="shared" si="12"/>
        <v>#NUM!</v>
      </c>
      <c r="L192" s="187"/>
      <c r="M192" s="189">
        <f t="shared" si="13"/>
        <v>0</v>
      </c>
    </row>
    <row r="193" spans="1:13">
      <c r="A193" s="204"/>
      <c r="G193" s="175"/>
      <c r="H193" s="187">
        <v>188</v>
      </c>
      <c r="I193" s="188" t="str">
        <f t="shared" si="11"/>
        <v/>
      </c>
      <c r="J193" s="188" t="e">
        <f t="shared" si="14"/>
        <v>#NUM!</v>
      </c>
      <c r="K193" s="187" t="e">
        <f t="shared" si="12"/>
        <v>#NUM!</v>
      </c>
      <c r="L193" s="187"/>
      <c r="M193" s="189">
        <f t="shared" si="13"/>
        <v>0</v>
      </c>
    </row>
    <row r="194" spans="1:13">
      <c r="A194" s="204"/>
      <c r="G194" s="175"/>
      <c r="H194" s="187">
        <v>189</v>
      </c>
      <c r="I194" s="188" t="str">
        <f t="shared" si="11"/>
        <v/>
      </c>
      <c r="J194" s="188" t="e">
        <f t="shared" si="14"/>
        <v>#NUM!</v>
      </c>
      <c r="K194" s="187" t="e">
        <f t="shared" si="12"/>
        <v>#NUM!</v>
      </c>
      <c r="L194" s="187"/>
      <c r="M194" s="189">
        <f t="shared" si="13"/>
        <v>0</v>
      </c>
    </row>
    <row r="195" spans="1:13">
      <c r="A195" s="204"/>
      <c r="G195" s="175"/>
      <c r="H195" s="187">
        <v>190</v>
      </c>
      <c r="I195" s="188" t="str">
        <f t="shared" si="11"/>
        <v/>
      </c>
      <c r="J195" s="188" t="e">
        <f t="shared" si="14"/>
        <v>#NUM!</v>
      </c>
      <c r="K195" s="187" t="e">
        <f t="shared" si="12"/>
        <v>#NUM!</v>
      </c>
      <c r="L195" s="187"/>
      <c r="M195" s="189">
        <f t="shared" si="13"/>
        <v>0</v>
      </c>
    </row>
    <row r="196" spans="1:13">
      <c r="A196" s="204"/>
      <c r="G196" s="175"/>
      <c r="H196" s="187">
        <v>191</v>
      </c>
      <c r="I196" s="188" t="str">
        <f t="shared" si="11"/>
        <v/>
      </c>
      <c r="J196" s="188" t="e">
        <f t="shared" si="14"/>
        <v>#NUM!</v>
      </c>
      <c r="K196" s="187" t="e">
        <f t="shared" si="12"/>
        <v>#NUM!</v>
      </c>
      <c r="L196" s="187"/>
      <c r="M196" s="189">
        <f t="shared" si="13"/>
        <v>0</v>
      </c>
    </row>
    <row r="197" spans="1:13">
      <c r="A197" s="204"/>
      <c r="G197" s="175"/>
      <c r="H197" s="187">
        <v>192</v>
      </c>
      <c r="I197" s="188" t="str">
        <f t="shared" si="11"/>
        <v/>
      </c>
      <c r="J197" s="188" t="e">
        <f t="shared" si="14"/>
        <v>#NUM!</v>
      </c>
      <c r="K197" s="187" t="e">
        <f t="shared" si="12"/>
        <v>#NUM!</v>
      </c>
      <c r="L197" s="187"/>
      <c r="M197" s="189">
        <f t="shared" si="13"/>
        <v>0</v>
      </c>
    </row>
    <row r="198" spans="1:13">
      <c r="A198" s="204"/>
      <c r="G198" s="175"/>
      <c r="H198" s="187">
        <v>193</v>
      </c>
      <c r="I198" s="188" t="str">
        <f t="shared" ref="I198:I261" si="15">IF(H198&lt;$H$2+1,($I$2-($I$2-1)*(LOG(H198)/LOG($H$2))),"")</f>
        <v/>
      </c>
      <c r="J198" s="188" t="e">
        <f t="shared" si="14"/>
        <v>#NUM!</v>
      </c>
      <c r="K198" s="187" t="e">
        <f t="shared" ref="K198:K261" si="16">J198*$J$2</f>
        <v>#NUM!</v>
      </c>
      <c r="L198" s="187"/>
      <c r="M198" s="189">
        <f t="shared" ref="M198:M261" si="17">IF(I198&lt;&gt;"",K198+I198+L198,0)</f>
        <v>0</v>
      </c>
    </row>
    <row r="199" spans="1:13">
      <c r="A199" s="204"/>
      <c r="G199" s="175"/>
      <c r="H199" s="187">
        <v>194</v>
      </c>
      <c r="I199" s="188" t="str">
        <f t="shared" si="15"/>
        <v/>
      </c>
      <c r="J199" s="188" t="e">
        <f t="shared" ref="J199:J262" si="18">INT(LOG($H$2,2))-ROUNDUP(LOG(H199,2),0)+IF(OR($H$2=1,$H$2=2,$H$2=4,$H$2=8,$H$2=16,$H$2=32,$H$2=64,$H$2=128,$H$2=256),0,1)</f>
        <v>#NUM!</v>
      </c>
      <c r="K199" s="187" t="e">
        <f t="shared" si="16"/>
        <v>#NUM!</v>
      </c>
      <c r="L199" s="187"/>
      <c r="M199" s="189">
        <f t="shared" si="17"/>
        <v>0</v>
      </c>
    </row>
    <row r="200" spans="1:13">
      <c r="A200" s="204"/>
      <c r="G200" s="175"/>
      <c r="H200" s="187">
        <v>195</v>
      </c>
      <c r="I200" s="188" t="str">
        <f t="shared" si="15"/>
        <v/>
      </c>
      <c r="J200" s="188" t="e">
        <f t="shared" si="18"/>
        <v>#NUM!</v>
      </c>
      <c r="K200" s="187" t="e">
        <f t="shared" si="16"/>
        <v>#NUM!</v>
      </c>
      <c r="L200" s="187"/>
      <c r="M200" s="189">
        <f t="shared" si="17"/>
        <v>0</v>
      </c>
    </row>
    <row r="201" spans="1:13">
      <c r="A201" s="204"/>
      <c r="G201" s="175"/>
      <c r="H201" s="187">
        <v>196</v>
      </c>
      <c r="I201" s="188" t="str">
        <f t="shared" si="15"/>
        <v/>
      </c>
      <c r="J201" s="188" t="e">
        <f t="shared" si="18"/>
        <v>#NUM!</v>
      </c>
      <c r="K201" s="187" t="e">
        <f t="shared" si="16"/>
        <v>#NUM!</v>
      </c>
      <c r="L201" s="187"/>
      <c r="M201" s="189">
        <f t="shared" si="17"/>
        <v>0</v>
      </c>
    </row>
    <row r="202" spans="1:13">
      <c r="A202" s="204"/>
      <c r="G202" s="175"/>
      <c r="H202" s="187">
        <v>197</v>
      </c>
      <c r="I202" s="188" t="str">
        <f t="shared" si="15"/>
        <v/>
      </c>
      <c r="J202" s="188" t="e">
        <f t="shared" si="18"/>
        <v>#NUM!</v>
      </c>
      <c r="K202" s="187" t="e">
        <f t="shared" si="16"/>
        <v>#NUM!</v>
      </c>
      <c r="L202" s="187"/>
      <c r="M202" s="189">
        <f t="shared" si="17"/>
        <v>0</v>
      </c>
    </row>
    <row r="203" spans="1:13">
      <c r="A203" s="204"/>
      <c r="G203" s="175"/>
      <c r="H203" s="187">
        <v>198</v>
      </c>
      <c r="I203" s="188" t="str">
        <f t="shared" si="15"/>
        <v/>
      </c>
      <c r="J203" s="188" t="e">
        <f t="shared" si="18"/>
        <v>#NUM!</v>
      </c>
      <c r="K203" s="187" t="e">
        <f t="shared" si="16"/>
        <v>#NUM!</v>
      </c>
      <c r="L203" s="187"/>
      <c r="M203" s="189">
        <f t="shared" si="17"/>
        <v>0</v>
      </c>
    </row>
    <row r="204" spans="1:13">
      <c r="A204" s="204"/>
      <c r="G204" s="175"/>
      <c r="H204" s="187">
        <v>199</v>
      </c>
      <c r="I204" s="188" t="str">
        <f t="shared" si="15"/>
        <v/>
      </c>
      <c r="J204" s="188" t="e">
        <f t="shared" si="18"/>
        <v>#NUM!</v>
      </c>
      <c r="K204" s="187" t="e">
        <f t="shared" si="16"/>
        <v>#NUM!</v>
      </c>
      <c r="L204" s="187"/>
      <c r="M204" s="189">
        <f t="shared" si="17"/>
        <v>0</v>
      </c>
    </row>
    <row r="205" spans="1:13">
      <c r="A205" s="204"/>
      <c r="G205" s="175"/>
      <c r="H205" s="187">
        <v>200</v>
      </c>
      <c r="I205" s="188" t="str">
        <f t="shared" si="15"/>
        <v/>
      </c>
      <c r="J205" s="188" t="e">
        <f t="shared" si="18"/>
        <v>#NUM!</v>
      </c>
      <c r="K205" s="187" t="e">
        <f t="shared" si="16"/>
        <v>#NUM!</v>
      </c>
      <c r="L205" s="187"/>
      <c r="M205" s="189">
        <f t="shared" si="17"/>
        <v>0</v>
      </c>
    </row>
    <row r="206" spans="1:13">
      <c r="A206" s="204"/>
      <c r="G206" s="175"/>
      <c r="H206" s="187">
        <v>201</v>
      </c>
      <c r="I206" s="188" t="str">
        <f t="shared" si="15"/>
        <v/>
      </c>
      <c r="J206" s="188" t="e">
        <f t="shared" si="18"/>
        <v>#NUM!</v>
      </c>
      <c r="K206" s="187" t="e">
        <f t="shared" si="16"/>
        <v>#NUM!</v>
      </c>
      <c r="L206" s="187"/>
      <c r="M206" s="189">
        <f t="shared" si="17"/>
        <v>0</v>
      </c>
    </row>
    <row r="207" spans="1:13">
      <c r="A207" s="204"/>
      <c r="G207" s="175"/>
      <c r="H207" s="187">
        <v>202</v>
      </c>
      <c r="I207" s="188" t="str">
        <f t="shared" si="15"/>
        <v/>
      </c>
      <c r="J207" s="188" t="e">
        <f t="shared" si="18"/>
        <v>#NUM!</v>
      </c>
      <c r="K207" s="187" t="e">
        <f t="shared" si="16"/>
        <v>#NUM!</v>
      </c>
      <c r="L207" s="187"/>
      <c r="M207" s="189">
        <f t="shared" si="17"/>
        <v>0</v>
      </c>
    </row>
    <row r="208" spans="1:13">
      <c r="A208" s="204"/>
      <c r="G208" s="175"/>
      <c r="H208" s="187">
        <v>203</v>
      </c>
      <c r="I208" s="188" t="str">
        <f t="shared" si="15"/>
        <v/>
      </c>
      <c r="J208" s="188" t="e">
        <f t="shared" si="18"/>
        <v>#NUM!</v>
      </c>
      <c r="K208" s="187" t="e">
        <f t="shared" si="16"/>
        <v>#NUM!</v>
      </c>
      <c r="L208" s="187"/>
      <c r="M208" s="189">
        <f t="shared" si="17"/>
        <v>0</v>
      </c>
    </row>
    <row r="209" spans="1:13">
      <c r="A209" s="204"/>
      <c r="G209" s="175"/>
      <c r="H209" s="187">
        <v>204</v>
      </c>
      <c r="I209" s="188" t="str">
        <f t="shared" si="15"/>
        <v/>
      </c>
      <c r="J209" s="188" t="e">
        <f t="shared" si="18"/>
        <v>#NUM!</v>
      </c>
      <c r="K209" s="187" t="e">
        <f t="shared" si="16"/>
        <v>#NUM!</v>
      </c>
      <c r="L209" s="187"/>
      <c r="M209" s="189">
        <f t="shared" si="17"/>
        <v>0</v>
      </c>
    </row>
    <row r="210" spans="1:13">
      <c r="A210" s="204"/>
      <c r="G210" s="175"/>
      <c r="H210" s="187">
        <v>205</v>
      </c>
      <c r="I210" s="188" t="str">
        <f t="shared" si="15"/>
        <v/>
      </c>
      <c r="J210" s="188" t="e">
        <f t="shared" si="18"/>
        <v>#NUM!</v>
      </c>
      <c r="K210" s="187" t="e">
        <f t="shared" si="16"/>
        <v>#NUM!</v>
      </c>
      <c r="L210" s="187"/>
      <c r="M210" s="189">
        <f t="shared" si="17"/>
        <v>0</v>
      </c>
    </row>
    <row r="211" spans="1:13">
      <c r="A211" s="204"/>
      <c r="G211" s="175"/>
      <c r="H211" s="187">
        <v>206</v>
      </c>
      <c r="I211" s="188" t="str">
        <f t="shared" si="15"/>
        <v/>
      </c>
      <c r="J211" s="188" t="e">
        <f t="shared" si="18"/>
        <v>#NUM!</v>
      </c>
      <c r="K211" s="187" t="e">
        <f t="shared" si="16"/>
        <v>#NUM!</v>
      </c>
      <c r="L211" s="187"/>
      <c r="M211" s="189">
        <f t="shared" si="17"/>
        <v>0</v>
      </c>
    </row>
    <row r="212" spans="1:13">
      <c r="A212" s="204"/>
      <c r="G212" s="175"/>
      <c r="H212" s="187">
        <v>207</v>
      </c>
      <c r="I212" s="188" t="str">
        <f t="shared" si="15"/>
        <v/>
      </c>
      <c r="J212" s="188" t="e">
        <f t="shared" si="18"/>
        <v>#NUM!</v>
      </c>
      <c r="K212" s="187" t="e">
        <f t="shared" si="16"/>
        <v>#NUM!</v>
      </c>
      <c r="L212" s="187"/>
      <c r="M212" s="189">
        <f t="shared" si="17"/>
        <v>0</v>
      </c>
    </row>
    <row r="213" spans="1:13">
      <c r="A213" s="204"/>
      <c r="G213" s="175"/>
      <c r="H213" s="187">
        <v>208</v>
      </c>
      <c r="I213" s="188" t="str">
        <f t="shared" si="15"/>
        <v/>
      </c>
      <c r="J213" s="188" t="e">
        <f t="shared" si="18"/>
        <v>#NUM!</v>
      </c>
      <c r="K213" s="187" t="e">
        <f t="shared" si="16"/>
        <v>#NUM!</v>
      </c>
      <c r="L213" s="187"/>
      <c r="M213" s="189">
        <f t="shared" si="17"/>
        <v>0</v>
      </c>
    </row>
    <row r="214" spans="1:13">
      <c r="A214" s="204"/>
      <c r="G214" s="175"/>
      <c r="H214" s="187">
        <v>209</v>
      </c>
      <c r="I214" s="188" t="str">
        <f t="shared" si="15"/>
        <v/>
      </c>
      <c r="J214" s="188" t="e">
        <f t="shared" si="18"/>
        <v>#NUM!</v>
      </c>
      <c r="K214" s="187" t="e">
        <f t="shared" si="16"/>
        <v>#NUM!</v>
      </c>
      <c r="L214" s="187"/>
      <c r="M214" s="189">
        <f t="shared" si="17"/>
        <v>0</v>
      </c>
    </row>
    <row r="215" spans="1:13">
      <c r="A215" s="204"/>
      <c r="G215" s="175"/>
      <c r="H215" s="187">
        <v>210</v>
      </c>
      <c r="I215" s="188" t="str">
        <f t="shared" si="15"/>
        <v/>
      </c>
      <c r="J215" s="188" t="e">
        <f t="shared" si="18"/>
        <v>#NUM!</v>
      </c>
      <c r="K215" s="187" t="e">
        <f t="shared" si="16"/>
        <v>#NUM!</v>
      </c>
      <c r="L215" s="187"/>
      <c r="M215" s="189">
        <f t="shared" si="17"/>
        <v>0</v>
      </c>
    </row>
    <row r="216" spans="1:13">
      <c r="A216" s="204"/>
      <c r="G216" s="175"/>
      <c r="H216" s="187">
        <v>211</v>
      </c>
      <c r="I216" s="188" t="str">
        <f t="shared" si="15"/>
        <v/>
      </c>
      <c r="J216" s="188" t="e">
        <f t="shared" si="18"/>
        <v>#NUM!</v>
      </c>
      <c r="K216" s="187" t="e">
        <f t="shared" si="16"/>
        <v>#NUM!</v>
      </c>
      <c r="L216" s="187"/>
      <c r="M216" s="189">
        <f t="shared" si="17"/>
        <v>0</v>
      </c>
    </row>
    <row r="217" spans="1:13">
      <c r="A217" s="204"/>
      <c r="G217" s="175"/>
      <c r="H217" s="187">
        <v>212</v>
      </c>
      <c r="I217" s="188" t="str">
        <f t="shared" si="15"/>
        <v/>
      </c>
      <c r="J217" s="188" t="e">
        <f t="shared" si="18"/>
        <v>#NUM!</v>
      </c>
      <c r="K217" s="187" t="e">
        <f t="shared" si="16"/>
        <v>#NUM!</v>
      </c>
      <c r="L217" s="187"/>
      <c r="M217" s="189">
        <f t="shared" si="17"/>
        <v>0</v>
      </c>
    </row>
    <row r="218" spans="1:13">
      <c r="A218" s="204"/>
      <c r="G218" s="175"/>
      <c r="H218" s="187">
        <v>213</v>
      </c>
      <c r="I218" s="188" t="str">
        <f t="shared" si="15"/>
        <v/>
      </c>
      <c r="J218" s="188" t="e">
        <f t="shared" si="18"/>
        <v>#NUM!</v>
      </c>
      <c r="K218" s="187" t="e">
        <f t="shared" si="16"/>
        <v>#NUM!</v>
      </c>
      <c r="L218" s="187"/>
      <c r="M218" s="189">
        <f t="shared" si="17"/>
        <v>0</v>
      </c>
    </row>
    <row r="219" spans="1:13">
      <c r="A219" s="204"/>
      <c r="G219" s="175"/>
      <c r="H219" s="187">
        <v>214</v>
      </c>
      <c r="I219" s="188" t="str">
        <f t="shared" si="15"/>
        <v/>
      </c>
      <c r="J219" s="188" t="e">
        <f t="shared" si="18"/>
        <v>#NUM!</v>
      </c>
      <c r="K219" s="187" t="e">
        <f t="shared" si="16"/>
        <v>#NUM!</v>
      </c>
      <c r="L219" s="187"/>
      <c r="M219" s="189">
        <f t="shared" si="17"/>
        <v>0</v>
      </c>
    </row>
    <row r="220" spans="1:13">
      <c r="A220" s="204"/>
      <c r="G220" s="175"/>
      <c r="H220" s="187">
        <v>215</v>
      </c>
      <c r="I220" s="188" t="str">
        <f t="shared" si="15"/>
        <v/>
      </c>
      <c r="J220" s="188" t="e">
        <f t="shared" si="18"/>
        <v>#NUM!</v>
      </c>
      <c r="K220" s="187" t="e">
        <f t="shared" si="16"/>
        <v>#NUM!</v>
      </c>
      <c r="L220" s="187"/>
      <c r="M220" s="189">
        <f t="shared" si="17"/>
        <v>0</v>
      </c>
    </row>
    <row r="221" spans="1:13">
      <c r="A221" s="204"/>
      <c r="G221" s="175"/>
      <c r="H221" s="187">
        <v>216</v>
      </c>
      <c r="I221" s="188" t="str">
        <f t="shared" si="15"/>
        <v/>
      </c>
      <c r="J221" s="188" t="e">
        <f t="shared" si="18"/>
        <v>#NUM!</v>
      </c>
      <c r="K221" s="187" t="e">
        <f t="shared" si="16"/>
        <v>#NUM!</v>
      </c>
      <c r="L221" s="187"/>
      <c r="M221" s="189">
        <f t="shared" si="17"/>
        <v>0</v>
      </c>
    </row>
    <row r="222" spans="1:13">
      <c r="A222" s="204"/>
      <c r="G222" s="175"/>
      <c r="H222" s="187">
        <v>217</v>
      </c>
      <c r="I222" s="188" t="str">
        <f t="shared" si="15"/>
        <v/>
      </c>
      <c r="J222" s="188" t="e">
        <f t="shared" si="18"/>
        <v>#NUM!</v>
      </c>
      <c r="K222" s="187" t="e">
        <f t="shared" si="16"/>
        <v>#NUM!</v>
      </c>
      <c r="L222" s="187"/>
      <c r="M222" s="189">
        <f t="shared" si="17"/>
        <v>0</v>
      </c>
    </row>
    <row r="223" spans="1:13">
      <c r="A223" s="204"/>
      <c r="G223" s="175"/>
      <c r="H223" s="187">
        <v>218</v>
      </c>
      <c r="I223" s="188" t="str">
        <f t="shared" si="15"/>
        <v/>
      </c>
      <c r="J223" s="188" t="e">
        <f t="shared" si="18"/>
        <v>#NUM!</v>
      </c>
      <c r="K223" s="187" t="e">
        <f t="shared" si="16"/>
        <v>#NUM!</v>
      </c>
      <c r="L223" s="187"/>
      <c r="M223" s="189">
        <f t="shared" si="17"/>
        <v>0</v>
      </c>
    </row>
    <row r="224" spans="1:13">
      <c r="A224" s="204"/>
      <c r="G224" s="175"/>
      <c r="H224" s="187">
        <v>219</v>
      </c>
      <c r="I224" s="188" t="str">
        <f t="shared" si="15"/>
        <v/>
      </c>
      <c r="J224" s="188" t="e">
        <f t="shared" si="18"/>
        <v>#NUM!</v>
      </c>
      <c r="K224" s="187" t="e">
        <f t="shared" si="16"/>
        <v>#NUM!</v>
      </c>
      <c r="L224" s="187"/>
      <c r="M224" s="189">
        <f t="shared" si="17"/>
        <v>0</v>
      </c>
    </row>
    <row r="225" spans="1:13">
      <c r="A225" s="204"/>
      <c r="G225" s="175"/>
      <c r="H225" s="187">
        <v>220</v>
      </c>
      <c r="I225" s="188" t="str">
        <f t="shared" si="15"/>
        <v/>
      </c>
      <c r="J225" s="188" t="e">
        <f t="shared" si="18"/>
        <v>#NUM!</v>
      </c>
      <c r="K225" s="187" t="e">
        <f t="shared" si="16"/>
        <v>#NUM!</v>
      </c>
      <c r="L225" s="187"/>
      <c r="M225" s="189">
        <f t="shared" si="17"/>
        <v>0</v>
      </c>
    </row>
    <row r="226" spans="1:13">
      <c r="A226" s="204"/>
      <c r="G226" s="175"/>
      <c r="H226" s="187">
        <v>221</v>
      </c>
      <c r="I226" s="188" t="str">
        <f t="shared" si="15"/>
        <v/>
      </c>
      <c r="J226" s="188" t="e">
        <f t="shared" si="18"/>
        <v>#NUM!</v>
      </c>
      <c r="K226" s="187" t="e">
        <f t="shared" si="16"/>
        <v>#NUM!</v>
      </c>
      <c r="L226" s="187"/>
      <c r="M226" s="189">
        <f t="shared" si="17"/>
        <v>0</v>
      </c>
    </row>
    <row r="227" spans="1:13">
      <c r="A227" s="204"/>
      <c r="G227" s="175"/>
      <c r="H227" s="187">
        <v>222</v>
      </c>
      <c r="I227" s="188" t="str">
        <f t="shared" si="15"/>
        <v/>
      </c>
      <c r="J227" s="188" t="e">
        <f t="shared" si="18"/>
        <v>#NUM!</v>
      </c>
      <c r="K227" s="187" t="e">
        <f t="shared" si="16"/>
        <v>#NUM!</v>
      </c>
      <c r="L227" s="187"/>
      <c r="M227" s="189">
        <f t="shared" si="17"/>
        <v>0</v>
      </c>
    </row>
    <row r="228" spans="1:13">
      <c r="A228" s="204"/>
      <c r="G228" s="175"/>
      <c r="H228" s="187">
        <v>223</v>
      </c>
      <c r="I228" s="188" t="str">
        <f t="shared" si="15"/>
        <v/>
      </c>
      <c r="J228" s="188" t="e">
        <f t="shared" si="18"/>
        <v>#NUM!</v>
      </c>
      <c r="K228" s="187" t="e">
        <f t="shared" si="16"/>
        <v>#NUM!</v>
      </c>
      <c r="L228" s="187"/>
      <c r="M228" s="189">
        <f t="shared" si="17"/>
        <v>0</v>
      </c>
    </row>
    <row r="229" spans="1:13">
      <c r="A229" s="204"/>
      <c r="G229" s="175"/>
      <c r="H229" s="187">
        <v>224</v>
      </c>
      <c r="I229" s="188" t="str">
        <f t="shared" si="15"/>
        <v/>
      </c>
      <c r="J229" s="188" t="e">
        <f t="shared" si="18"/>
        <v>#NUM!</v>
      </c>
      <c r="K229" s="187" t="e">
        <f t="shared" si="16"/>
        <v>#NUM!</v>
      </c>
      <c r="L229" s="187"/>
      <c r="M229" s="189">
        <f t="shared" si="17"/>
        <v>0</v>
      </c>
    </row>
    <row r="230" spans="1:13">
      <c r="A230" s="204"/>
      <c r="G230" s="175"/>
      <c r="H230" s="187">
        <v>225</v>
      </c>
      <c r="I230" s="188" t="str">
        <f t="shared" si="15"/>
        <v/>
      </c>
      <c r="J230" s="188" t="e">
        <f t="shared" si="18"/>
        <v>#NUM!</v>
      </c>
      <c r="K230" s="187" t="e">
        <f t="shared" si="16"/>
        <v>#NUM!</v>
      </c>
      <c r="L230" s="187"/>
      <c r="M230" s="189">
        <f t="shared" si="17"/>
        <v>0</v>
      </c>
    </row>
    <row r="231" spans="1:13">
      <c r="A231" s="204"/>
      <c r="G231" s="175"/>
      <c r="H231" s="187">
        <v>226</v>
      </c>
      <c r="I231" s="188" t="str">
        <f t="shared" si="15"/>
        <v/>
      </c>
      <c r="J231" s="188" t="e">
        <f t="shared" si="18"/>
        <v>#NUM!</v>
      </c>
      <c r="K231" s="187" t="e">
        <f t="shared" si="16"/>
        <v>#NUM!</v>
      </c>
      <c r="L231" s="187"/>
      <c r="M231" s="189">
        <f t="shared" si="17"/>
        <v>0</v>
      </c>
    </row>
    <row r="232" spans="1:13">
      <c r="A232" s="204"/>
      <c r="G232" s="175"/>
      <c r="H232" s="187">
        <v>227</v>
      </c>
      <c r="I232" s="188" t="str">
        <f t="shared" si="15"/>
        <v/>
      </c>
      <c r="J232" s="188" t="e">
        <f t="shared" si="18"/>
        <v>#NUM!</v>
      </c>
      <c r="K232" s="187" t="e">
        <f t="shared" si="16"/>
        <v>#NUM!</v>
      </c>
      <c r="L232" s="187"/>
      <c r="M232" s="189">
        <f t="shared" si="17"/>
        <v>0</v>
      </c>
    </row>
    <row r="233" spans="1:13">
      <c r="A233" s="204"/>
      <c r="G233" s="175"/>
      <c r="H233" s="187">
        <v>228</v>
      </c>
      <c r="I233" s="188" t="str">
        <f t="shared" si="15"/>
        <v/>
      </c>
      <c r="J233" s="188" t="e">
        <f t="shared" si="18"/>
        <v>#NUM!</v>
      </c>
      <c r="K233" s="187" t="e">
        <f t="shared" si="16"/>
        <v>#NUM!</v>
      </c>
      <c r="L233" s="187"/>
      <c r="M233" s="189">
        <f t="shared" si="17"/>
        <v>0</v>
      </c>
    </row>
    <row r="234" spans="1:13">
      <c r="A234" s="204"/>
      <c r="G234" s="175"/>
      <c r="H234" s="187">
        <v>229</v>
      </c>
      <c r="I234" s="188" t="str">
        <f t="shared" si="15"/>
        <v/>
      </c>
      <c r="J234" s="188" t="e">
        <f t="shared" si="18"/>
        <v>#NUM!</v>
      </c>
      <c r="K234" s="187" t="e">
        <f t="shared" si="16"/>
        <v>#NUM!</v>
      </c>
      <c r="L234" s="187"/>
      <c r="M234" s="189">
        <f t="shared" si="17"/>
        <v>0</v>
      </c>
    </row>
    <row r="235" spans="1:13">
      <c r="A235" s="204"/>
      <c r="G235" s="175"/>
      <c r="H235" s="187">
        <v>230</v>
      </c>
      <c r="I235" s="188" t="str">
        <f t="shared" si="15"/>
        <v/>
      </c>
      <c r="J235" s="188" t="e">
        <f t="shared" si="18"/>
        <v>#NUM!</v>
      </c>
      <c r="K235" s="187" t="e">
        <f t="shared" si="16"/>
        <v>#NUM!</v>
      </c>
      <c r="L235" s="187"/>
      <c r="M235" s="189">
        <f t="shared" si="17"/>
        <v>0</v>
      </c>
    </row>
    <row r="236" spans="1:13">
      <c r="A236" s="204"/>
      <c r="G236" s="175"/>
      <c r="H236" s="187">
        <v>231</v>
      </c>
      <c r="I236" s="188" t="str">
        <f t="shared" si="15"/>
        <v/>
      </c>
      <c r="J236" s="188" t="e">
        <f t="shared" si="18"/>
        <v>#NUM!</v>
      </c>
      <c r="K236" s="187" t="e">
        <f t="shared" si="16"/>
        <v>#NUM!</v>
      </c>
      <c r="L236" s="187"/>
      <c r="M236" s="189">
        <f t="shared" si="17"/>
        <v>0</v>
      </c>
    </row>
    <row r="237" spans="1:13">
      <c r="A237" s="204"/>
      <c r="G237" s="175"/>
      <c r="H237" s="187">
        <v>232</v>
      </c>
      <c r="I237" s="188" t="str">
        <f t="shared" si="15"/>
        <v/>
      </c>
      <c r="J237" s="188" t="e">
        <f t="shared" si="18"/>
        <v>#NUM!</v>
      </c>
      <c r="K237" s="187" t="e">
        <f t="shared" si="16"/>
        <v>#NUM!</v>
      </c>
      <c r="L237" s="187"/>
      <c r="M237" s="189">
        <f t="shared" si="17"/>
        <v>0</v>
      </c>
    </row>
    <row r="238" spans="1:13">
      <c r="A238" s="204"/>
      <c r="G238" s="175"/>
      <c r="H238" s="187">
        <v>233</v>
      </c>
      <c r="I238" s="188" t="str">
        <f t="shared" si="15"/>
        <v/>
      </c>
      <c r="J238" s="188" t="e">
        <f t="shared" si="18"/>
        <v>#NUM!</v>
      </c>
      <c r="K238" s="187" t="e">
        <f t="shared" si="16"/>
        <v>#NUM!</v>
      </c>
      <c r="L238" s="187"/>
      <c r="M238" s="189">
        <f t="shared" si="17"/>
        <v>0</v>
      </c>
    </row>
    <row r="239" spans="1:13">
      <c r="A239" s="204"/>
      <c r="G239" s="175"/>
      <c r="H239" s="187">
        <v>234</v>
      </c>
      <c r="I239" s="188" t="str">
        <f t="shared" si="15"/>
        <v/>
      </c>
      <c r="J239" s="188" t="e">
        <f t="shared" si="18"/>
        <v>#NUM!</v>
      </c>
      <c r="K239" s="187" t="e">
        <f t="shared" si="16"/>
        <v>#NUM!</v>
      </c>
      <c r="L239" s="187"/>
      <c r="M239" s="189">
        <f t="shared" si="17"/>
        <v>0</v>
      </c>
    </row>
    <row r="240" spans="1:13">
      <c r="A240" s="204"/>
      <c r="G240" s="175"/>
      <c r="H240" s="187">
        <v>235</v>
      </c>
      <c r="I240" s="188" t="str">
        <f t="shared" si="15"/>
        <v/>
      </c>
      <c r="J240" s="188" t="e">
        <f t="shared" si="18"/>
        <v>#NUM!</v>
      </c>
      <c r="K240" s="187" t="e">
        <f t="shared" si="16"/>
        <v>#NUM!</v>
      </c>
      <c r="L240" s="187"/>
      <c r="M240" s="189">
        <f t="shared" si="17"/>
        <v>0</v>
      </c>
    </row>
    <row r="241" spans="1:13">
      <c r="A241" s="204"/>
      <c r="G241" s="175"/>
      <c r="H241" s="187">
        <v>236</v>
      </c>
      <c r="I241" s="188" t="str">
        <f t="shared" si="15"/>
        <v/>
      </c>
      <c r="J241" s="188" t="e">
        <f t="shared" si="18"/>
        <v>#NUM!</v>
      </c>
      <c r="K241" s="187" t="e">
        <f t="shared" si="16"/>
        <v>#NUM!</v>
      </c>
      <c r="L241" s="187"/>
      <c r="M241" s="189">
        <f t="shared" si="17"/>
        <v>0</v>
      </c>
    </row>
    <row r="242" spans="1:13">
      <c r="A242" s="204"/>
      <c r="G242" s="175"/>
      <c r="H242" s="187">
        <v>237</v>
      </c>
      <c r="I242" s="188" t="str">
        <f t="shared" si="15"/>
        <v/>
      </c>
      <c r="J242" s="188" t="e">
        <f t="shared" si="18"/>
        <v>#NUM!</v>
      </c>
      <c r="K242" s="187" t="e">
        <f t="shared" si="16"/>
        <v>#NUM!</v>
      </c>
      <c r="L242" s="187"/>
      <c r="M242" s="189">
        <f t="shared" si="17"/>
        <v>0</v>
      </c>
    </row>
    <row r="243" spans="1:13">
      <c r="A243" s="204"/>
      <c r="G243" s="175"/>
      <c r="H243" s="187">
        <v>238</v>
      </c>
      <c r="I243" s="188" t="str">
        <f t="shared" si="15"/>
        <v/>
      </c>
      <c r="J243" s="188" t="e">
        <f t="shared" si="18"/>
        <v>#NUM!</v>
      </c>
      <c r="K243" s="187" t="e">
        <f t="shared" si="16"/>
        <v>#NUM!</v>
      </c>
      <c r="L243" s="187"/>
      <c r="M243" s="189">
        <f t="shared" si="17"/>
        <v>0</v>
      </c>
    </row>
    <row r="244" spans="1:13">
      <c r="A244" s="204"/>
      <c r="G244" s="175"/>
      <c r="H244" s="187">
        <v>239</v>
      </c>
      <c r="I244" s="188" t="str">
        <f t="shared" si="15"/>
        <v/>
      </c>
      <c r="J244" s="188" t="e">
        <f t="shared" si="18"/>
        <v>#NUM!</v>
      </c>
      <c r="K244" s="187" t="e">
        <f t="shared" si="16"/>
        <v>#NUM!</v>
      </c>
      <c r="L244" s="187"/>
      <c r="M244" s="189">
        <f t="shared" si="17"/>
        <v>0</v>
      </c>
    </row>
    <row r="245" spans="1:13">
      <c r="A245" s="204"/>
      <c r="G245" s="175"/>
      <c r="H245" s="187">
        <v>240</v>
      </c>
      <c r="I245" s="188" t="str">
        <f t="shared" si="15"/>
        <v/>
      </c>
      <c r="J245" s="188" t="e">
        <f t="shared" si="18"/>
        <v>#NUM!</v>
      </c>
      <c r="K245" s="187" t="e">
        <f t="shared" si="16"/>
        <v>#NUM!</v>
      </c>
      <c r="L245" s="187"/>
      <c r="M245" s="189">
        <f t="shared" si="17"/>
        <v>0</v>
      </c>
    </row>
    <row r="246" spans="1:13">
      <c r="A246" s="204"/>
      <c r="G246" s="175"/>
      <c r="H246" s="187">
        <v>241</v>
      </c>
      <c r="I246" s="188" t="str">
        <f t="shared" si="15"/>
        <v/>
      </c>
      <c r="J246" s="188" t="e">
        <f t="shared" si="18"/>
        <v>#NUM!</v>
      </c>
      <c r="K246" s="187" t="e">
        <f t="shared" si="16"/>
        <v>#NUM!</v>
      </c>
      <c r="L246" s="187"/>
      <c r="M246" s="189">
        <f t="shared" si="17"/>
        <v>0</v>
      </c>
    </row>
    <row r="247" spans="1:13">
      <c r="A247" s="204"/>
      <c r="G247" s="175"/>
      <c r="H247" s="187">
        <v>242</v>
      </c>
      <c r="I247" s="188" t="str">
        <f t="shared" si="15"/>
        <v/>
      </c>
      <c r="J247" s="188" t="e">
        <f t="shared" si="18"/>
        <v>#NUM!</v>
      </c>
      <c r="K247" s="187" t="e">
        <f t="shared" si="16"/>
        <v>#NUM!</v>
      </c>
      <c r="L247" s="187"/>
      <c r="M247" s="189">
        <f t="shared" si="17"/>
        <v>0</v>
      </c>
    </row>
    <row r="248" spans="1:13">
      <c r="A248" s="204"/>
      <c r="G248" s="175"/>
      <c r="H248" s="187">
        <v>243</v>
      </c>
      <c r="I248" s="188" t="str">
        <f t="shared" si="15"/>
        <v/>
      </c>
      <c r="J248" s="188" t="e">
        <f t="shared" si="18"/>
        <v>#NUM!</v>
      </c>
      <c r="K248" s="187" t="e">
        <f t="shared" si="16"/>
        <v>#NUM!</v>
      </c>
      <c r="L248" s="187"/>
      <c r="M248" s="189">
        <f t="shared" si="17"/>
        <v>0</v>
      </c>
    </row>
    <row r="249" spans="1:13">
      <c r="A249" s="204"/>
      <c r="G249" s="175"/>
      <c r="H249" s="187">
        <v>244</v>
      </c>
      <c r="I249" s="188" t="str">
        <f t="shared" si="15"/>
        <v/>
      </c>
      <c r="J249" s="188" t="e">
        <f t="shared" si="18"/>
        <v>#NUM!</v>
      </c>
      <c r="K249" s="187" t="e">
        <f t="shared" si="16"/>
        <v>#NUM!</v>
      </c>
      <c r="L249" s="187"/>
      <c r="M249" s="189">
        <f t="shared" si="17"/>
        <v>0</v>
      </c>
    </row>
    <row r="250" spans="1:13">
      <c r="A250" s="204"/>
      <c r="G250" s="175"/>
      <c r="H250" s="187">
        <v>245</v>
      </c>
      <c r="I250" s="188" t="str">
        <f t="shared" si="15"/>
        <v/>
      </c>
      <c r="J250" s="188" t="e">
        <f t="shared" si="18"/>
        <v>#NUM!</v>
      </c>
      <c r="K250" s="187" t="e">
        <f t="shared" si="16"/>
        <v>#NUM!</v>
      </c>
      <c r="L250" s="187"/>
      <c r="M250" s="189">
        <f t="shared" si="17"/>
        <v>0</v>
      </c>
    </row>
    <row r="251" spans="1:13">
      <c r="A251" s="204"/>
      <c r="G251" s="175"/>
      <c r="H251" s="187">
        <v>246</v>
      </c>
      <c r="I251" s="188" t="str">
        <f t="shared" si="15"/>
        <v/>
      </c>
      <c r="J251" s="188" t="e">
        <f t="shared" si="18"/>
        <v>#NUM!</v>
      </c>
      <c r="K251" s="187" t="e">
        <f t="shared" si="16"/>
        <v>#NUM!</v>
      </c>
      <c r="L251" s="187"/>
      <c r="M251" s="189">
        <f t="shared" si="17"/>
        <v>0</v>
      </c>
    </row>
    <row r="252" spans="1:13">
      <c r="A252" s="204"/>
      <c r="G252" s="175"/>
      <c r="H252" s="187">
        <v>247</v>
      </c>
      <c r="I252" s="188" t="str">
        <f t="shared" si="15"/>
        <v/>
      </c>
      <c r="J252" s="188" t="e">
        <f t="shared" si="18"/>
        <v>#NUM!</v>
      </c>
      <c r="K252" s="187" t="e">
        <f t="shared" si="16"/>
        <v>#NUM!</v>
      </c>
      <c r="L252" s="187"/>
      <c r="M252" s="189">
        <f t="shared" si="17"/>
        <v>0</v>
      </c>
    </row>
    <row r="253" spans="1:13">
      <c r="A253" s="204"/>
      <c r="G253" s="175"/>
      <c r="H253" s="187">
        <v>248</v>
      </c>
      <c r="I253" s="188" t="str">
        <f t="shared" si="15"/>
        <v/>
      </c>
      <c r="J253" s="188" t="e">
        <f t="shared" si="18"/>
        <v>#NUM!</v>
      </c>
      <c r="K253" s="187" t="e">
        <f t="shared" si="16"/>
        <v>#NUM!</v>
      </c>
      <c r="L253" s="187"/>
      <c r="M253" s="189">
        <f t="shared" si="17"/>
        <v>0</v>
      </c>
    </row>
    <row r="254" spans="1:13">
      <c r="A254" s="204"/>
      <c r="G254" s="175"/>
      <c r="H254" s="187">
        <v>249</v>
      </c>
      <c r="I254" s="188" t="str">
        <f t="shared" si="15"/>
        <v/>
      </c>
      <c r="J254" s="188" t="e">
        <f t="shared" si="18"/>
        <v>#NUM!</v>
      </c>
      <c r="K254" s="187" t="e">
        <f t="shared" si="16"/>
        <v>#NUM!</v>
      </c>
      <c r="L254" s="187"/>
      <c r="M254" s="189">
        <f t="shared" si="17"/>
        <v>0</v>
      </c>
    </row>
    <row r="255" spans="1:13">
      <c r="A255" s="204"/>
      <c r="G255" s="175"/>
      <c r="H255" s="187">
        <v>250</v>
      </c>
      <c r="I255" s="188" t="str">
        <f t="shared" si="15"/>
        <v/>
      </c>
      <c r="J255" s="188" t="e">
        <f t="shared" si="18"/>
        <v>#NUM!</v>
      </c>
      <c r="K255" s="187" t="e">
        <f t="shared" si="16"/>
        <v>#NUM!</v>
      </c>
      <c r="L255" s="187"/>
      <c r="M255" s="189">
        <f t="shared" si="17"/>
        <v>0</v>
      </c>
    </row>
    <row r="256" spans="1:13">
      <c r="A256" s="204"/>
      <c r="G256" s="175"/>
      <c r="H256" s="187">
        <v>251</v>
      </c>
      <c r="I256" s="188" t="str">
        <f t="shared" si="15"/>
        <v/>
      </c>
      <c r="J256" s="188" t="e">
        <f t="shared" si="18"/>
        <v>#NUM!</v>
      </c>
      <c r="K256" s="187" t="e">
        <f t="shared" si="16"/>
        <v>#NUM!</v>
      </c>
      <c r="L256" s="187"/>
      <c r="M256" s="189">
        <f t="shared" si="17"/>
        <v>0</v>
      </c>
    </row>
    <row r="257" spans="1:13">
      <c r="A257" s="204"/>
      <c r="G257" s="175"/>
      <c r="H257" s="187">
        <v>252</v>
      </c>
      <c r="I257" s="188" t="str">
        <f t="shared" si="15"/>
        <v/>
      </c>
      <c r="J257" s="188" t="e">
        <f t="shared" si="18"/>
        <v>#NUM!</v>
      </c>
      <c r="K257" s="187" t="e">
        <f t="shared" si="16"/>
        <v>#NUM!</v>
      </c>
      <c r="L257" s="187"/>
      <c r="M257" s="189">
        <f t="shared" si="17"/>
        <v>0</v>
      </c>
    </row>
    <row r="258" spans="1:13">
      <c r="A258" s="204"/>
      <c r="G258" s="175"/>
      <c r="H258" s="187">
        <v>253</v>
      </c>
      <c r="I258" s="188" t="str">
        <f t="shared" si="15"/>
        <v/>
      </c>
      <c r="J258" s="188" t="e">
        <f t="shared" si="18"/>
        <v>#NUM!</v>
      </c>
      <c r="K258" s="187" t="e">
        <f t="shared" si="16"/>
        <v>#NUM!</v>
      </c>
      <c r="L258" s="187"/>
      <c r="M258" s="189">
        <f t="shared" si="17"/>
        <v>0</v>
      </c>
    </row>
    <row r="259" spans="1:13">
      <c r="A259" s="204"/>
      <c r="G259" s="175"/>
      <c r="H259" s="187">
        <v>254</v>
      </c>
      <c r="I259" s="188" t="str">
        <f t="shared" si="15"/>
        <v/>
      </c>
      <c r="J259" s="188" t="e">
        <f t="shared" si="18"/>
        <v>#NUM!</v>
      </c>
      <c r="K259" s="187" t="e">
        <f t="shared" si="16"/>
        <v>#NUM!</v>
      </c>
      <c r="L259" s="187"/>
      <c r="M259" s="189">
        <f t="shared" si="17"/>
        <v>0</v>
      </c>
    </row>
    <row r="260" spans="1:13">
      <c r="A260" s="204"/>
      <c r="G260" s="175"/>
      <c r="H260" s="187">
        <v>255</v>
      </c>
      <c r="I260" s="188" t="str">
        <f t="shared" si="15"/>
        <v/>
      </c>
      <c r="J260" s="188" t="e">
        <f t="shared" si="18"/>
        <v>#NUM!</v>
      </c>
      <c r="K260" s="187" t="e">
        <f t="shared" si="16"/>
        <v>#NUM!</v>
      </c>
      <c r="L260" s="187"/>
      <c r="M260" s="189">
        <f t="shared" si="17"/>
        <v>0</v>
      </c>
    </row>
    <row r="261" spans="1:13">
      <c r="A261" s="204"/>
      <c r="G261" s="175"/>
      <c r="H261" s="187">
        <v>256</v>
      </c>
      <c r="I261" s="188" t="str">
        <f t="shared" si="15"/>
        <v/>
      </c>
      <c r="J261" s="188" t="e">
        <f t="shared" si="18"/>
        <v>#NUM!</v>
      </c>
      <c r="K261" s="187" t="e">
        <f t="shared" si="16"/>
        <v>#NUM!</v>
      </c>
      <c r="L261" s="187"/>
      <c r="M261" s="189">
        <f t="shared" si="17"/>
        <v>0</v>
      </c>
    </row>
    <row r="262" spans="1:13">
      <c r="A262" s="204"/>
      <c r="G262" s="175"/>
      <c r="H262" s="187">
        <v>257</v>
      </c>
      <c r="I262" s="188" t="str">
        <f t="shared" ref="I262:I305" si="19">IF(H262&lt;$H$2+1,($I$2-($I$2-1)*(LOG(H262)/LOG($H$2))),"")</f>
        <v/>
      </c>
      <c r="J262" s="188" t="e">
        <f t="shared" si="18"/>
        <v>#NUM!</v>
      </c>
      <c r="K262" s="187" t="e">
        <f t="shared" ref="K262:K305" si="20">J262*$J$2</f>
        <v>#NUM!</v>
      </c>
      <c r="L262" s="187"/>
      <c r="M262" s="189">
        <f t="shared" ref="M262:M305" si="21">IF(I262&lt;&gt;"",K262+I262+L262,0)</f>
        <v>0</v>
      </c>
    </row>
    <row r="263" spans="1:13">
      <c r="A263" s="204"/>
      <c r="G263" s="175"/>
      <c r="H263" s="187">
        <v>258</v>
      </c>
      <c r="I263" s="188" t="str">
        <f t="shared" si="19"/>
        <v/>
      </c>
      <c r="J263" s="188" t="e">
        <f t="shared" ref="J263:J305" si="22">INT(LOG($H$2,2))-ROUNDUP(LOG(H263,2),0)+IF(OR($H$2=1,$H$2=2,$H$2=4,$H$2=8,$H$2=16,$H$2=32,$H$2=64,$H$2=128,$H$2=256),0,1)</f>
        <v>#NUM!</v>
      </c>
      <c r="K263" s="187" t="e">
        <f t="shared" si="20"/>
        <v>#NUM!</v>
      </c>
      <c r="L263" s="187"/>
      <c r="M263" s="189">
        <f t="shared" si="21"/>
        <v>0</v>
      </c>
    </row>
    <row r="264" spans="1:13">
      <c r="A264" s="204"/>
      <c r="G264" s="175"/>
      <c r="H264" s="187">
        <v>259</v>
      </c>
      <c r="I264" s="188" t="str">
        <f t="shared" si="19"/>
        <v/>
      </c>
      <c r="J264" s="188" t="e">
        <f t="shared" si="22"/>
        <v>#NUM!</v>
      </c>
      <c r="K264" s="187" t="e">
        <f t="shared" si="20"/>
        <v>#NUM!</v>
      </c>
      <c r="L264" s="187"/>
      <c r="M264" s="189">
        <f t="shared" si="21"/>
        <v>0</v>
      </c>
    </row>
    <row r="265" spans="1:13">
      <c r="A265" s="204"/>
      <c r="G265" s="175"/>
      <c r="H265" s="187">
        <v>260</v>
      </c>
      <c r="I265" s="188" t="str">
        <f t="shared" si="19"/>
        <v/>
      </c>
      <c r="J265" s="188" t="e">
        <f t="shared" si="22"/>
        <v>#NUM!</v>
      </c>
      <c r="K265" s="187" t="e">
        <f t="shared" si="20"/>
        <v>#NUM!</v>
      </c>
      <c r="L265" s="187"/>
      <c r="M265" s="189">
        <f t="shared" si="21"/>
        <v>0</v>
      </c>
    </row>
    <row r="266" spans="1:13">
      <c r="A266" s="204"/>
      <c r="G266" s="175"/>
      <c r="H266" s="187">
        <v>261</v>
      </c>
      <c r="I266" s="188" t="str">
        <f t="shared" si="19"/>
        <v/>
      </c>
      <c r="J266" s="188" t="e">
        <f t="shared" si="22"/>
        <v>#NUM!</v>
      </c>
      <c r="K266" s="187" t="e">
        <f t="shared" si="20"/>
        <v>#NUM!</v>
      </c>
      <c r="L266" s="187"/>
      <c r="M266" s="189">
        <f t="shared" si="21"/>
        <v>0</v>
      </c>
    </row>
    <row r="267" spans="1:13">
      <c r="A267" s="204"/>
      <c r="G267" s="175"/>
      <c r="H267" s="187">
        <v>262</v>
      </c>
      <c r="I267" s="188" t="str">
        <f t="shared" si="19"/>
        <v/>
      </c>
      <c r="J267" s="188" t="e">
        <f t="shared" si="22"/>
        <v>#NUM!</v>
      </c>
      <c r="K267" s="187" t="e">
        <f t="shared" si="20"/>
        <v>#NUM!</v>
      </c>
      <c r="L267" s="187"/>
      <c r="M267" s="189">
        <f t="shared" si="21"/>
        <v>0</v>
      </c>
    </row>
    <row r="268" spans="1:13">
      <c r="A268" s="204"/>
      <c r="G268" s="175"/>
      <c r="H268" s="187">
        <v>263</v>
      </c>
      <c r="I268" s="188" t="str">
        <f t="shared" si="19"/>
        <v/>
      </c>
      <c r="J268" s="188" t="e">
        <f t="shared" si="22"/>
        <v>#NUM!</v>
      </c>
      <c r="K268" s="187" t="e">
        <f t="shared" si="20"/>
        <v>#NUM!</v>
      </c>
      <c r="L268" s="187"/>
      <c r="M268" s="189">
        <f t="shared" si="21"/>
        <v>0</v>
      </c>
    </row>
    <row r="269" spans="1:13">
      <c r="A269" s="204"/>
      <c r="G269" s="175"/>
      <c r="H269" s="187">
        <v>264</v>
      </c>
      <c r="I269" s="188" t="str">
        <f t="shared" si="19"/>
        <v/>
      </c>
      <c r="J269" s="188" t="e">
        <f t="shared" si="22"/>
        <v>#NUM!</v>
      </c>
      <c r="K269" s="187" t="e">
        <f t="shared" si="20"/>
        <v>#NUM!</v>
      </c>
      <c r="L269" s="187"/>
      <c r="M269" s="189">
        <f t="shared" si="21"/>
        <v>0</v>
      </c>
    </row>
    <row r="270" spans="1:13">
      <c r="A270" s="204"/>
      <c r="G270" s="175"/>
      <c r="H270" s="187">
        <v>265</v>
      </c>
      <c r="I270" s="188" t="str">
        <f t="shared" si="19"/>
        <v/>
      </c>
      <c r="J270" s="188" t="e">
        <f t="shared" si="22"/>
        <v>#NUM!</v>
      </c>
      <c r="K270" s="187" t="e">
        <f t="shared" si="20"/>
        <v>#NUM!</v>
      </c>
      <c r="L270" s="187"/>
      <c r="M270" s="189">
        <f t="shared" si="21"/>
        <v>0</v>
      </c>
    </row>
    <row r="271" spans="1:13">
      <c r="A271" s="204"/>
      <c r="G271" s="175"/>
      <c r="H271" s="187">
        <v>266</v>
      </c>
      <c r="I271" s="188" t="str">
        <f t="shared" si="19"/>
        <v/>
      </c>
      <c r="J271" s="188" t="e">
        <f t="shared" si="22"/>
        <v>#NUM!</v>
      </c>
      <c r="K271" s="187" t="e">
        <f t="shared" si="20"/>
        <v>#NUM!</v>
      </c>
      <c r="L271" s="187"/>
      <c r="M271" s="189">
        <f t="shared" si="21"/>
        <v>0</v>
      </c>
    </row>
    <row r="272" spans="1:13">
      <c r="A272" s="204"/>
      <c r="G272" s="175"/>
      <c r="H272" s="187">
        <v>267</v>
      </c>
      <c r="I272" s="188" t="str">
        <f t="shared" si="19"/>
        <v/>
      </c>
      <c r="J272" s="188" t="e">
        <f t="shared" si="22"/>
        <v>#NUM!</v>
      </c>
      <c r="K272" s="187" t="e">
        <f t="shared" si="20"/>
        <v>#NUM!</v>
      </c>
      <c r="L272" s="187"/>
      <c r="M272" s="189">
        <f t="shared" si="21"/>
        <v>0</v>
      </c>
    </row>
    <row r="273" spans="1:13">
      <c r="A273" s="204"/>
      <c r="G273" s="175"/>
      <c r="H273" s="187">
        <v>268</v>
      </c>
      <c r="I273" s="188" t="str">
        <f t="shared" si="19"/>
        <v/>
      </c>
      <c r="J273" s="188" t="e">
        <f t="shared" si="22"/>
        <v>#NUM!</v>
      </c>
      <c r="K273" s="187" t="e">
        <f t="shared" si="20"/>
        <v>#NUM!</v>
      </c>
      <c r="L273" s="187"/>
      <c r="M273" s="189">
        <f t="shared" si="21"/>
        <v>0</v>
      </c>
    </row>
    <row r="274" spans="1:13">
      <c r="A274" s="204"/>
      <c r="G274" s="175"/>
      <c r="H274" s="187">
        <v>269</v>
      </c>
      <c r="I274" s="188" t="str">
        <f t="shared" si="19"/>
        <v/>
      </c>
      <c r="J274" s="188" t="e">
        <f t="shared" si="22"/>
        <v>#NUM!</v>
      </c>
      <c r="K274" s="187" t="e">
        <f t="shared" si="20"/>
        <v>#NUM!</v>
      </c>
      <c r="L274" s="187"/>
      <c r="M274" s="189">
        <f t="shared" si="21"/>
        <v>0</v>
      </c>
    </row>
    <row r="275" spans="1:13">
      <c r="A275" s="204"/>
      <c r="G275" s="175"/>
      <c r="H275" s="187">
        <v>270</v>
      </c>
      <c r="I275" s="188" t="str">
        <f t="shared" si="19"/>
        <v/>
      </c>
      <c r="J275" s="188" t="e">
        <f t="shared" si="22"/>
        <v>#NUM!</v>
      </c>
      <c r="K275" s="187" t="e">
        <f t="shared" si="20"/>
        <v>#NUM!</v>
      </c>
      <c r="L275" s="187"/>
      <c r="M275" s="189">
        <f t="shared" si="21"/>
        <v>0</v>
      </c>
    </row>
    <row r="276" spans="1:13">
      <c r="A276" s="204"/>
      <c r="G276" s="175"/>
      <c r="H276" s="187">
        <v>271</v>
      </c>
      <c r="I276" s="188" t="str">
        <f t="shared" si="19"/>
        <v/>
      </c>
      <c r="J276" s="188" t="e">
        <f t="shared" si="22"/>
        <v>#NUM!</v>
      </c>
      <c r="K276" s="187" t="e">
        <f t="shared" si="20"/>
        <v>#NUM!</v>
      </c>
      <c r="L276" s="187"/>
      <c r="M276" s="189">
        <f t="shared" si="21"/>
        <v>0</v>
      </c>
    </row>
    <row r="277" spans="1:13">
      <c r="A277" s="204"/>
      <c r="G277" s="175"/>
      <c r="H277" s="187">
        <v>272</v>
      </c>
      <c r="I277" s="188" t="str">
        <f t="shared" si="19"/>
        <v/>
      </c>
      <c r="J277" s="188" t="e">
        <f t="shared" si="22"/>
        <v>#NUM!</v>
      </c>
      <c r="K277" s="187" t="e">
        <f t="shared" si="20"/>
        <v>#NUM!</v>
      </c>
      <c r="L277" s="187"/>
      <c r="M277" s="189">
        <f t="shared" si="21"/>
        <v>0</v>
      </c>
    </row>
    <row r="278" spans="1:13">
      <c r="A278" s="204"/>
      <c r="G278" s="175"/>
      <c r="H278" s="187">
        <v>273</v>
      </c>
      <c r="I278" s="188" t="str">
        <f t="shared" si="19"/>
        <v/>
      </c>
      <c r="J278" s="188" t="e">
        <f t="shared" si="22"/>
        <v>#NUM!</v>
      </c>
      <c r="K278" s="187" t="e">
        <f t="shared" si="20"/>
        <v>#NUM!</v>
      </c>
      <c r="L278" s="187"/>
      <c r="M278" s="189">
        <f t="shared" si="21"/>
        <v>0</v>
      </c>
    </row>
    <row r="279" spans="1:13">
      <c r="A279" s="204"/>
      <c r="G279" s="175"/>
      <c r="H279" s="187">
        <v>274</v>
      </c>
      <c r="I279" s="188" t="str">
        <f t="shared" si="19"/>
        <v/>
      </c>
      <c r="J279" s="188" t="e">
        <f t="shared" si="22"/>
        <v>#NUM!</v>
      </c>
      <c r="K279" s="187" t="e">
        <f t="shared" si="20"/>
        <v>#NUM!</v>
      </c>
      <c r="L279" s="187"/>
      <c r="M279" s="189">
        <f t="shared" si="21"/>
        <v>0</v>
      </c>
    </row>
    <row r="280" spans="1:13">
      <c r="A280" s="204"/>
      <c r="G280" s="175"/>
      <c r="H280" s="187">
        <v>275</v>
      </c>
      <c r="I280" s="188" t="str">
        <f t="shared" si="19"/>
        <v/>
      </c>
      <c r="J280" s="188" t="e">
        <f t="shared" si="22"/>
        <v>#NUM!</v>
      </c>
      <c r="K280" s="187" t="e">
        <f t="shared" si="20"/>
        <v>#NUM!</v>
      </c>
      <c r="L280" s="187"/>
      <c r="M280" s="189">
        <f t="shared" si="21"/>
        <v>0</v>
      </c>
    </row>
    <row r="281" spans="1:13">
      <c r="A281" s="204"/>
      <c r="G281" s="175"/>
      <c r="H281" s="187">
        <v>276</v>
      </c>
      <c r="I281" s="188" t="str">
        <f t="shared" si="19"/>
        <v/>
      </c>
      <c r="J281" s="188" t="e">
        <f t="shared" si="22"/>
        <v>#NUM!</v>
      </c>
      <c r="K281" s="187" t="e">
        <f t="shared" si="20"/>
        <v>#NUM!</v>
      </c>
      <c r="L281" s="187"/>
      <c r="M281" s="189">
        <f t="shared" si="21"/>
        <v>0</v>
      </c>
    </row>
    <row r="282" spans="1:13">
      <c r="A282" s="204"/>
      <c r="G282" s="175"/>
      <c r="H282" s="187">
        <v>277</v>
      </c>
      <c r="I282" s="188" t="str">
        <f t="shared" si="19"/>
        <v/>
      </c>
      <c r="J282" s="188" t="e">
        <f t="shared" si="22"/>
        <v>#NUM!</v>
      </c>
      <c r="K282" s="187" t="e">
        <f t="shared" si="20"/>
        <v>#NUM!</v>
      </c>
      <c r="L282" s="187"/>
      <c r="M282" s="189">
        <f t="shared" si="21"/>
        <v>0</v>
      </c>
    </row>
    <row r="283" spans="1:13">
      <c r="A283" s="204"/>
      <c r="G283" s="175"/>
      <c r="H283" s="187">
        <v>278</v>
      </c>
      <c r="I283" s="188" t="str">
        <f t="shared" si="19"/>
        <v/>
      </c>
      <c r="J283" s="188" t="e">
        <f t="shared" si="22"/>
        <v>#NUM!</v>
      </c>
      <c r="K283" s="187" t="e">
        <f t="shared" si="20"/>
        <v>#NUM!</v>
      </c>
      <c r="L283" s="187"/>
      <c r="M283" s="189">
        <f t="shared" si="21"/>
        <v>0</v>
      </c>
    </row>
    <row r="284" spans="1:13">
      <c r="A284" s="204"/>
      <c r="G284" s="175"/>
      <c r="H284" s="187">
        <v>279</v>
      </c>
      <c r="I284" s="188" t="str">
        <f t="shared" si="19"/>
        <v/>
      </c>
      <c r="J284" s="188" t="e">
        <f t="shared" si="22"/>
        <v>#NUM!</v>
      </c>
      <c r="K284" s="187" t="e">
        <f t="shared" si="20"/>
        <v>#NUM!</v>
      </c>
      <c r="L284" s="187"/>
      <c r="M284" s="189">
        <f t="shared" si="21"/>
        <v>0</v>
      </c>
    </row>
    <row r="285" spans="1:13">
      <c r="A285" s="204"/>
      <c r="G285" s="175"/>
      <c r="H285" s="187">
        <v>280</v>
      </c>
      <c r="I285" s="188" t="str">
        <f t="shared" si="19"/>
        <v/>
      </c>
      <c r="J285" s="188" t="e">
        <f t="shared" si="22"/>
        <v>#NUM!</v>
      </c>
      <c r="K285" s="187" t="e">
        <f t="shared" si="20"/>
        <v>#NUM!</v>
      </c>
      <c r="L285" s="187"/>
      <c r="M285" s="189">
        <f t="shared" si="21"/>
        <v>0</v>
      </c>
    </row>
    <row r="286" spans="1:13">
      <c r="A286" s="204"/>
      <c r="G286" s="175"/>
      <c r="H286" s="187">
        <v>281</v>
      </c>
      <c r="I286" s="188" t="str">
        <f t="shared" si="19"/>
        <v/>
      </c>
      <c r="J286" s="188" t="e">
        <f t="shared" si="22"/>
        <v>#NUM!</v>
      </c>
      <c r="K286" s="187" t="e">
        <f t="shared" si="20"/>
        <v>#NUM!</v>
      </c>
      <c r="L286" s="187"/>
      <c r="M286" s="189">
        <f t="shared" si="21"/>
        <v>0</v>
      </c>
    </row>
    <row r="287" spans="1:13">
      <c r="A287" s="204"/>
      <c r="G287" s="175"/>
      <c r="H287" s="187">
        <v>282</v>
      </c>
      <c r="I287" s="188" t="str">
        <f t="shared" si="19"/>
        <v/>
      </c>
      <c r="J287" s="188" t="e">
        <f t="shared" si="22"/>
        <v>#NUM!</v>
      </c>
      <c r="K287" s="187" t="e">
        <f t="shared" si="20"/>
        <v>#NUM!</v>
      </c>
      <c r="L287" s="187"/>
      <c r="M287" s="189">
        <f t="shared" si="21"/>
        <v>0</v>
      </c>
    </row>
    <row r="288" spans="1:13">
      <c r="A288" s="204"/>
      <c r="G288" s="175"/>
      <c r="H288" s="187">
        <v>283</v>
      </c>
      <c r="I288" s="188" t="str">
        <f t="shared" si="19"/>
        <v/>
      </c>
      <c r="J288" s="188" t="e">
        <f t="shared" si="22"/>
        <v>#NUM!</v>
      </c>
      <c r="K288" s="187" t="e">
        <f t="shared" si="20"/>
        <v>#NUM!</v>
      </c>
      <c r="L288" s="187"/>
      <c r="M288" s="189">
        <f t="shared" si="21"/>
        <v>0</v>
      </c>
    </row>
    <row r="289" spans="1:13">
      <c r="A289" s="204"/>
      <c r="G289" s="175"/>
      <c r="H289" s="187">
        <v>284</v>
      </c>
      <c r="I289" s="188" t="str">
        <f t="shared" si="19"/>
        <v/>
      </c>
      <c r="J289" s="188" t="e">
        <f t="shared" si="22"/>
        <v>#NUM!</v>
      </c>
      <c r="K289" s="187" t="e">
        <f t="shared" si="20"/>
        <v>#NUM!</v>
      </c>
      <c r="L289" s="187"/>
      <c r="M289" s="189">
        <f t="shared" si="21"/>
        <v>0</v>
      </c>
    </row>
    <row r="290" spans="1:13">
      <c r="A290" s="204"/>
      <c r="G290" s="175"/>
      <c r="H290" s="187">
        <v>285</v>
      </c>
      <c r="I290" s="188" t="str">
        <f t="shared" si="19"/>
        <v/>
      </c>
      <c r="J290" s="188" t="e">
        <f t="shared" si="22"/>
        <v>#NUM!</v>
      </c>
      <c r="K290" s="187" t="e">
        <f t="shared" si="20"/>
        <v>#NUM!</v>
      </c>
      <c r="L290" s="187"/>
      <c r="M290" s="189">
        <f t="shared" si="21"/>
        <v>0</v>
      </c>
    </row>
    <row r="291" spans="1:13">
      <c r="A291" s="204"/>
      <c r="G291" s="175"/>
      <c r="H291" s="187">
        <v>286</v>
      </c>
      <c r="I291" s="188" t="str">
        <f t="shared" si="19"/>
        <v/>
      </c>
      <c r="J291" s="188" t="e">
        <f t="shared" si="22"/>
        <v>#NUM!</v>
      </c>
      <c r="K291" s="187" t="e">
        <f t="shared" si="20"/>
        <v>#NUM!</v>
      </c>
      <c r="L291" s="187"/>
      <c r="M291" s="189">
        <f t="shared" si="21"/>
        <v>0</v>
      </c>
    </row>
    <row r="292" spans="1:13">
      <c r="A292" s="204"/>
      <c r="G292" s="175"/>
      <c r="H292" s="187">
        <v>287</v>
      </c>
      <c r="I292" s="188" t="str">
        <f t="shared" si="19"/>
        <v/>
      </c>
      <c r="J292" s="188" t="e">
        <f t="shared" si="22"/>
        <v>#NUM!</v>
      </c>
      <c r="K292" s="187" t="e">
        <f t="shared" si="20"/>
        <v>#NUM!</v>
      </c>
      <c r="L292" s="187"/>
      <c r="M292" s="189">
        <f t="shared" si="21"/>
        <v>0</v>
      </c>
    </row>
    <row r="293" spans="1:13">
      <c r="A293" s="204"/>
      <c r="G293" s="175"/>
      <c r="H293" s="187">
        <v>288</v>
      </c>
      <c r="I293" s="188" t="str">
        <f t="shared" si="19"/>
        <v/>
      </c>
      <c r="J293" s="188" t="e">
        <f t="shared" si="22"/>
        <v>#NUM!</v>
      </c>
      <c r="K293" s="187" t="e">
        <f t="shared" si="20"/>
        <v>#NUM!</v>
      </c>
      <c r="L293" s="187"/>
      <c r="M293" s="189">
        <f t="shared" si="21"/>
        <v>0</v>
      </c>
    </row>
    <row r="294" spans="1:13">
      <c r="A294" s="204"/>
      <c r="G294" s="175"/>
      <c r="H294" s="187">
        <v>289</v>
      </c>
      <c r="I294" s="188" t="str">
        <f t="shared" si="19"/>
        <v/>
      </c>
      <c r="J294" s="188" t="e">
        <f t="shared" si="22"/>
        <v>#NUM!</v>
      </c>
      <c r="K294" s="187" t="e">
        <f t="shared" si="20"/>
        <v>#NUM!</v>
      </c>
      <c r="L294" s="187"/>
      <c r="M294" s="189">
        <f t="shared" si="21"/>
        <v>0</v>
      </c>
    </row>
    <row r="295" spans="1:13">
      <c r="A295" s="204"/>
      <c r="G295" s="175"/>
      <c r="H295" s="187">
        <v>290</v>
      </c>
      <c r="I295" s="188" t="str">
        <f t="shared" si="19"/>
        <v/>
      </c>
      <c r="J295" s="188" t="e">
        <f t="shared" si="22"/>
        <v>#NUM!</v>
      </c>
      <c r="K295" s="187" t="e">
        <f t="shared" si="20"/>
        <v>#NUM!</v>
      </c>
      <c r="L295" s="187"/>
      <c r="M295" s="189">
        <f t="shared" si="21"/>
        <v>0</v>
      </c>
    </row>
    <row r="296" spans="1:13">
      <c r="A296" s="204"/>
      <c r="G296" s="175"/>
      <c r="H296" s="187">
        <v>291</v>
      </c>
      <c r="I296" s="188" t="str">
        <f t="shared" si="19"/>
        <v/>
      </c>
      <c r="J296" s="188" t="e">
        <f t="shared" si="22"/>
        <v>#NUM!</v>
      </c>
      <c r="K296" s="187" t="e">
        <f t="shared" si="20"/>
        <v>#NUM!</v>
      </c>
      <c r="L296" s="187"/>
      <c r="M296" s="189">
        <f t="shared" si="21"/>
        <v>0</v>
      </c>
    </row>
    <row r="297" spans="1:13">
      <c r="A297" s="204"/>
      <c r="G297" s="175"/>
      <c r="H297" s="187">
        <v>292</v>
      </c>
      <c r="I297" s="188" t="str">
        <f t="shared" si="19"/>
        <v/>
      </c>
      <c r="J297" s="188" t="e">
        <f t="shared" si="22"/>
        <v>#NUM!</v>
      </c>
      <c r="K297" s="187" t="e">
        <f t="shared" si="20"/>
        <v>#NUM!</v>
      </c>
      <c r="L297" s="187"/>
      <c r="M297" s="189">
        <f t="shared" si="21"/>
        <v>0</v>
      </c>
    </row>
    <row r="298" spans="1:13">
      <c r="A298" s="204"/>
      <c r="G298" s="175"/>
      <c r="H298" s="187">
        <v>293</v>
      </c>
      <c r="I298" s="188" t="str">
        <f t="shared" si="19"/>
        <v/>
      </c>
      <c r="J298" s="188" t="e">
        <f t="shared" si="22"/>
        <v>#NUM!</v>
      </c>
      <c r="K298" s="187" t="e">
        <f t="shared" si="20"/>
        <v>#NUM!</v>
      </c>
      <c r="L298" s="187"/>
      <c r="M298" s="189">
        <f t="shared" si="21"/>
        <v>0</v>
      </c>
    </row>
    <row r="299" spans="1:13">
      <c r="A299" s="204"/>
      <c r="G299" s="175"/>
      <c r="H299" s="187">
        <v>294</v>
      </c>
      <c r="I299" s="188" t="str">
        <f t="shared" si="19"/>
        <v/>
      </c>
      <c r="J299" s="188" t="e">
        <f t="shared" si="22"/>
        <v>#NUM!</v>
      </c>
      <c r="K299" s="187" t="e">
        <f t="shared" si="20"/>
        <v>#NUM!</v>
      </c>
      <c r="L299" s="187"/>
      <c r="M299" s="189">
        <f t="shared" si="21"/>
        <v>0</v>
      </c>
    </row>
    <row r="300" spans="1:13">
      <c r="A300" s="204"/>
      <c r="G300" s="175"/>
      <c r="H300" s="187">
        <v>295</v>
      </c>
      <c r="I300" s="188" t="str">
        <f t="shared" si="19"/>
        <v/>
      </c>
      <c r="J300" s="188" t="e">
        <f t="shared" si="22"/>
        <v>#NUM!</v>
      </c>
      <c r="K300" s="187" t="e">
        <f t="shared" si="20"/>
        <v>#NUM!</v>
      </c>
      <c r="L300" s="187"/>
      <c r="M300" s="189">
        <f t="shared" si="21"/>
        <v>0</v>
      </c>
    </row>
    <row r="301" spans="1:13">
      <c r="A301" s="204"/>
      <c r="G301" s="175"/>
      <c r="H301" s="187">
        <v>296</v>
      </c>
      <c r="I301" s="188" t="str">
        <f t="shared" si="19"/>
        <v/>
      </c>
      <c r="J301" s="188" t="e">
        <f t="shared" si="22"/>
        <v>#NUM!</v>
      </c>
      <c r="K301" s="187" t="e">
        <f t="shared" si="20"/>
        <v>#NUM!</v>
      </c>
      <c r="L301" s="187"/>
      <c r="M301" s="189">
        <f t="shared" si="21"/>
        <v>0</v>
      </c>
    </row>
    <row r="302" spans="1:13">
      <c r="A302" s="204"/>
      <c r="G302" s="175"/>
      <c r="H302" s="187">
        <v>297</v>
      </c>
      <c r="I302" s="188" t="str">
        <f t="shared" si="19"/>
        <v/>
      </c>
      <c r="J302" s="188" t="e">
        <f t="shared" si="22"/>
        <v>#NUM!</v>
      </c>
      <c r="K302" s="187" t="e">
        <f t="shared" si="20"/>
        <v>#NUM!</v>
      </c>
      <c r="L302" s="187"/>
      <c r="M302" s="189">
        <f t="shared" si="21"/>
        <v>0</v>
      </c>
    </row>
    <row r="303" spans="1:13">
      <c r="A303" s="204"/>
      <c r="G303" s="175"/>
      <c r="H303" s="187">
        <v>298</v>
      </c>
      <c r="I303" s="188" t="str">
        <f t="shared" si="19"/>
        <v/>
      </c>
      <c r="J303" s="188" t="e">
        <f t="shared" si="22"/>
        <v>#NUM!</v>
      </c>
      <c r="K303" s="187" t="e">
        <f t="shared" si="20"/>
        <v>#NUM!</v>
      </c>
      <c r="L303" s="187"/>
      <c r="M303" s="189">
        <f t="shared" si="21"/>
        <v>0</v>
      </c>
    </row>
    <row r="304" spans="1:13">
      <c r="A304" s="204"/>
      <c r="G304" s="175"/>
      <c r="H304" s="187">
        <v>299</v>
      </c>
      <c r="I304" s="188" t="str">
        <f t="shared" si="19"/>
        <v/>
      </c>
      <c r="J304" s="188" t="e">
        <f t="shared" si="22"/>
        <v>#NUM!</v>
      </c>
      <c r="K304" s="187" t="e">
        <f t="shared" si="20"/>
        <v>#NUM!</v>
      </c>
      <c r="L304" s="187"/>
      <c r="M304" s="189">
        <f t="shared" si="21"/>
        <v>0</v>
      </c>
    </row>
    <row r="305" spans="1:16">
      <c r="A305" s="204"/>
      <c r="G305" s="175"/>
      <c r="H305" s="187">
        <v>300</v>
      </c>
      <c r="I305" s="188" t="str">
        <f t="shared" si="19"/>
        <v/>
      </c>
      <c r="J305" s="188" t="e">
        <f t="shared" si="22"/>
        <v>#NUM!</v>
      </c>
      <c r="K305" s="187" t="e">
        <f t="shared" si="20"/>
        <v>#NUM!</v>
      </c>
      <c r="L305" s="187"/>
      <c r="M305" s="189">
        <f t="shared" si="21"/>
        <v>0</v>
      </c>
    </row>
    <row r="306" spans="1:16">
      <c r="A306" s="205"/>
    </row>
    <row r="314" spans="1:16">
      <c r="L314" s="208"/>
      <c r="P314" s="198"/>
    </row>
    <row r="315" spans="1:16">
      <c r="L315" s="208"/>
      <c r="P315" s="198"/>
    </row>
    <row r="316" spans="1:16">
      <c r="L316" s="208"/>
      <c r="P316" s="198"/>
    </row>
    <row r="317" spans="1:16">
      <c r="L317" s="208"/>
      <c r="P317" s="198"/>
    </row>
  </sheetData>
  <conditionalFormatting sqref="J9:K9">
    <cfRule type="cellIs" dxfId="7" priority="1" operator="lessThanOrEqual">
      <formula>0</formula>
    </cfRule>
  </conditionalFormatting>
  <conditionalFormatting sqref="K6:K8 K10:K305">
    <cfRule type="cellIs" dxfId="6" priority="2" operator="lessThanOrEqual">
      <formula>0</formula>
    </cfRule>
  </conditionalFormatting>
  <hyperlinks>
    <hyperlink ref="C2" r:id="rId1" xr:uid="{EEACD826-D78F-4F22-AFF6-D341B00D6859}"/>
  </hyperlinks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121EF-0FDD-490D-9875-099FED9EDFFC}">
  <sheetPr>
    <tabColor rgb="FF92D050"/>
  </sheetPr>
  <dimension ref="A1:AL374"/>
  <sheetViews>
    <sheetView zoomScaleNormal="100" workbookViewId="0">
      <selection activeCell="C3" sqref="C3"/>
    </sheetView>
  </sheetViews>
  <sheetFormatPr defaultColWidth="8.85546875" defaultRowHeight="14.25"/>
  <cols>
    <col min="1" max="1" width="8" style="203" customWidth="1"/>
    <col min="2" max="2" width="8.28515625" style="203" customWidth="1"/>
    <col min="3" max="3" width="34.7109375" style="203" customWidth="1"/>
    <col min="4" max="4" width="11.28515625" style="203" customWidth="1"/>
    <col min="5" max="6" width="8.85546875" style="203"/>
    <col min="7" max="7" width="0.85546875" style="203" customWidth="1"/>
    <col min="8" max="8" width="8.85546875" style="206"/>
    <col min="9" max="9" width="11" style="206" customWidth="1"/>
    <col min="10" max="10" width="15.28515625" style="206" customWidth="1"/>
    <col min="11" max="11" width="8.7109375" style="206" customWidth="1"/>
    <col min="12" max="12" width="11" style="206" customWidth="1"/>
    <col min="13" max="13" width="12.28515625" style="207" customWidth="1"/>
    <col min="14" max="15" width="13.85546875" style="175" customWidth="1"/>
    <col min="16" max="18" width="8.85546875" style="175"/>
    <col min="19" max="20" width="8.85546875" style="180"/>
    <col min="21" max="21" width="12.140625" style="180" customWidth="1"/>
    <col min="22" max="22" width="27.42578125" style="180" customWidth="1"/>
    <col min="23" max="38" width="8.85546875" style="180"/>
    <col min="39" max="16384" width="8.85546875" style="203"/>
  </cols>
  <sheetData>
    <row r="1" spans="1:36">
      <c r="A1" s="175"/>
      <c r="B1" s="175"/>
      <c r="C1" s="175"/>
      <c r="D1" s="175"/>
      <c r="E1" s="175"/>
      <c r="F1" s="175"/>
      <c r="G1" s="175"/>
      <c r="H1" s="176" t="s">
        <v>34</v>
      </c>
      <c r="I1" s="177" t="s">
        <v>35</v>
      </c>
      <c r="J1" s="177" t="s">
        <v>36</v>
      </c>
      <c r="K1" s="178" t="s">
        <v>131</v>
      </c>
      <c r="L1" s="179"/>
      <c r="M1" s="179"/>
    </row>
    <row r="2" spans="1:36">
      <c r="A2" s="175"/>
      <c r="B2" s="21" t="s">
        <v>38</v>
      </c>
      <c r="C2" s="133" t="s">
        <v>134</v>
      </c>
      <c r="D2" s="73"/>
      <c r="E2" s="22"/>
      <c r="F2" s="22"/>
      <c r="G2" s="22"/>
      <c r="H2" s="181">
        <v>27</v>
      </c>
      <c r="I2" s="182">
        <v>50</v>
      </c>
      <c r="J2" s="182">
        <v>10</v>
      </c>
      <c r="K2" s="209">
        <f>3*H2^(1/3)</f>
        <v>8.9999999999999982</v>
      </c>
      <c r="L2" s="179"/>
      <c r="M2" s="179"/>
    </row>
    <row r="3" spans="1:36">
      <c r="A3" s="175"/>
      <c r="B3" s="184" t="s">
        <v>40</v>
      </c>
      <c r="C3" s="74" t="s">
        <v>149</v>
      </c>
      <c r="D3" s="74"/>
      <c r="E3" s="27"/>
      <c r="F3" s="27"/>
      <c r="G3" s="27"/>
      <c r="H3" s="179"/>
      <c r="I3" s="179"/>
      <c r="J3" s="210"/>
      <c r="K3" s="179"/>
      <c r="L3" s="179"/>
      <c r="M3" s="179"/>
    </row>
    <row r="4" spans="1:36" ht="10.15" customHeight="1">
      <c r="A4" s="29"/>
      <c r="B4" s="27"/>
      <c r="C4" s="29"/>
      <c r="D4" s="29"/>
      <c r="E4" s="29"/>
      <c r="F4" s="29"/>
      <c r="G4" s="29"/>
      <c r="H4" s="179"/>
      <c r="I4" s="179"/>
      <c r="J4" s="210"/>
      <c r="K4" s="179"/>
      <c r="L4" s="179"/>
      <c r="M4" s="179"/>
    </row>
    <row r="5" spans="1:36" ht="34.700000000000003">
      <c r="A5" s="1" t="s">
        <v>42</v>
      </c>
      <c r="B5" s="30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9"/>
      <c r="H5" s="185" t="s">
        <v>48</v>
      </c>
      <c r="I5" s="186" t="s">
        <v>49</v>
      </c>
      <c r="J5" s="211" t="s">
        <v>50</v>
      </c>
      <c r="K5" s="186" t="s">
        <v>51</v>
      </c>
      <c r="L5" s="186" t="s">
        <v>52</v>
      </c>
      <c r="M5" s="185" t="s">
        <v>53</v>
      </c>
    </row>
    <row r="6" spans="1:36" ht="14.45" customHeight="1">
      <c r="A6" s="102">
        <f>M6</f>
        <v>127</v>
      </c>
      <c r="B6" s="35">
        <f>IF(H6&gt;$H$2,"",(ROW()-5))</f>
        <v>1</v>
      </c>
      <c r="C6" s="36" t="s">
        <v>57</v>
      </c>
      <c r="D6" s="36"/>
      <c r="E6" s="36"/>
      <c r="F6" s="36" t="s">
        <v>55</v>
      </c>
      <c r="G6" s="29"/>
      <c r="H6" s="187">
        <v>1</v>
      </c>
      <c r="I6" s="188">
        <f t="shared" ref="I6:I69" si="0">IF(H6&lt;$H$2+1,($I$2-($I$2-1)*(LOG(H6)/LOG($H$2))),"")</f>
        <v>50</v>
      </c>
      <c r="J6" s="187">
        <f>INT(LOG($H$2,2))-ROUNDUP(LOG(H6,2),0)+IF(OR($H$2=1,$H$2=2,$H$2=4,$H$2=8,$H$2=16,$H$2=32,$H$2=64,$H$2=128,$H$2=256),0,1)</f>
        <v>5</v>
      </c>
      <c r="K6" s="187">
        <f t="shared" ref="K6:K69" si="1">J6*$J$2</f>
        <v>50</v>
      </c>
      <c r="L6" s="189">
        <f>3*K2</f>
        <v>26.999999999999993</v>
      </c>
      <c r="M6" s="189">
        <f t="shared" ref="M6:M69" si="2">IF(I6&lt;&gt;"",K6+I6+L6,0)</f>
        <v>127</v>
      </c>
    </row>
    <row r="7" spans="1:36" ht="14.45" customHeight="1">
      <c r="A7" s="106">
        <f t="shared" ref="A7:A37" si="3">M7</f>
        <v>97.69481402499953</v>
      </c>
      <c r="B7" s="41">
        <f t="shared" ref="B7:B65" si="4">IF(H7&gt;$H$2,"",(ROW()-5))</f>
        <v>2</v>
      </c>
      <c r="C7" s="42" t="s">
        <v>57</v>
      </c>
      <c r="D7" s="42"/>
      <c r="E7" s="42"/>
      <c r="F7" s="42" t="s">
        <v>55</v>
      </c>
      <c r="G7" s="29"/>
      <c r="H7" s="190">
        <v>2</v>
      </c>
      <c r="I7" s="191">
        <f t="shared" si="0"/>
        <v>39.69481402499953</v>
      </c>
      <c r="J7" s="190">
        <f t="shared" ref="J7:J70" si="5">INT(LOG($H$2,2))-ROUNDUP(LOG(H7,2),0)+IF(OR($H$2=1,$H$2=2,$H$2=4,$H$2=8,$H$2=16,$H$2=32,$H$2=64,$H$2=128,$H$2=256),0,1)</f>
        <v>4</v>
      </c>
      <c r="K7" s="190">
        <f t="shared" si="1"/>
        <v>40</v>
      </c>
      <c r="L7" s="192">
        <f>2*K2</f>
        <v>17.999999999999996</v>
      </c>
      <c r="M7" s="192">
        <f t="shared" si="2"/>
        <v>97.69481402499953</v>
      </c>
    </row>
    <row r="8" spans="1:36" ht="14.45" customHeight="1">
      <c r="A8" s="102">
        <f t="shared" si="3"/>
        <v>72.666666666666671</v>
      </c>
      <c r="B8" s="35">
        <f t="shared" si="4"/>
        <v>3</v>
      </c>
      <c r="C8" s="36" t="s">
        <v>57</v>
      </c>
      <c r="D8" s="36"/>
      <c r="E8" s="36"/>
      <c r="F8" s="36" t="s">
        <v>55</v>
      </c>
      <c r="G8" s="29"/>
      <c r="H8" s="187">
        <v>3</v>
      </c>
      <c r="I8" s="188">
        <f t="shared" si="0"/>
        <v>33.666666666666671</v>
      </c>
      <c r="J8" s="187">
        <f t="shared" si="5"/>
        <v>3</v>
      </c>
      <c r="K8" s="187">
        <f t="shared" si="1"/>
        <v>30</v>
      </c>
      <c r="L8" s="189">
        <f>K2</f>
        <v>8.9999999999999982</v>
      </c>
      <c r="M8" s="189">
        <f t="shared" si="2"/>
        <v>72.666666666666671</v>
      </c>
    </row>
    <row r="9" spans="1:36" s="180" customFormat="1" ht="14.45" customHeight="1">
      <c r="A9" s="106">
        <f t="shared" si="3"/>
        <v>72.666666666666671</v>
      </c>
      <c r="B9" s="41">
        <f>IF(H9&gt;$H$2,"",3)</f>
        <v>3</v>
      </c>
      <c r="C9" s="42" t="s">
        <v>57</v>
      </c>
      <c r="D9" s="42"/>
      <c r="E9" s="42"/>
      <c r="F9" s="42"/>
      <c r="G9" s="29"/>
      <c r="H9" s="190">
        <v>3</v>
      </c>
      <c r="I9" s="191">
        <f t="shared" si="0"/>
        <v>33.666666666666671</v>
      </c>
      <c r="J9" s="190">
        <f t="shared" si="5"/>
        <v>3</v>
      </c>
      <c r="K9" s="190">
        <f t="shared" si="1"/>
        <v>30</v>
      </c>
      <c r="L9" s="192">
        <f>K2</f>
        <v>8.9999999999999982</v>
      </c>
      <c r="M9" s="192">
        <f t="shared" si="2"/>
        <v>72.666666666666671</v>
      </c>
      <c r="N9" s="175"/>
      <c r="O9" s="175"/>
      <c r="P9" s="175"/>
      <c r="Q9" s="175"/>
      <c r="R9" s="175"/>
      <c r="V9" s="193"/>
      <c r="Z9" s="194"/>
      <c r="AA9" s="194"/>
      <c r="AG9" s="195"/>
      <c r="AH9" s="180" t="s">
        <v>57</v>
      </c>
      <c r="AI9" s="180">
        <v>23</v>
      </c>
    </row>
    <row r="10" spans="1:36" ht="14.45" customHeight="1">
      <c r="A10" s="102">
        <f t="shared" si="3"/>
        <v>46.072099161607184</v>
      </c>
      <c r="B10" s="35">
        <f t="shared" si="4"/>
        <v>5</v>
      </c>
      <c r="C10" s="36" t="s">
        <v>57</v>
      </c>
      <c r="D10" s="36"/>
      <c r="E10" s="36"/>
      <c r="F10" s="36"/>
      <c r="G10" s="29"/>
      <c r="H10" s="187">
        <v>5</v>
      </c>
      <c r="I10" s="188">
        <f t="shared" si="0"/>
        <v>26.072099161607188</v>
      </c>
      <c r="J10" s="187">
        <f t="shared" si="5"/>
        <v>2</v>
      </c>
      <c r="K10" s="187">
        <f t="shared" si="1"/>
        <v>20</v>
      </c>
      <c r="L10" s="187"/>
      <c r="M10" s="189">
        <f t="shared" si="2"/>
        <v>46.072099161607184</v>
      </c>
      <c r="V10" s="193"/>
      <c r="Z10" s="194"/>
      <c r="AA10" s="194"/>
      <c r="AG10" s="195"/>
      <c r="AH10" s="180" t="s">
        <v>58</v>
      </c>
      <c r="AI10" s="180">
        <v>45</v>
      </c>
    </row>
    <row r="11" spans="1:36" ht="14.45" customHeight="1">
      <c r="A11" s="106">
        <f t="shared" si="3"/>
        <v>43.361480691666195</v>
      </c>
      <c r="B11" s="41">
        <f t="shared" si="4"/>
        <v>6</v>
      </c>
      <c r="C11" s="42" t="s">
        <v>57</v>
      </c>
      <c r="D11" s="42"/>
      <c r="E11" s="42"/>
      <c r="F11" s="42"/>
      <c r="G11" s="29"/>
      <c r="H11" s="190">
        <v>6</v>
      </c>
      <c r="I11" s="191">
        <f t="shared" si="0"/>
        <v>23.361480691666195</v>
      </c>
      <c r="J11" s="190">
        <f t="shared" si="5"/>
        <v>2</v>
      </c>
      <c r="K11" s="190">
        <f t="shared" si="1"/>
        <v>20</v>
      </c>
      <c r="L11" s="190"/>
      <c r="M11" s="192">
        <f t="shared" si="2"/>
        <v>43.361480691666195</v>
      </c>
      <c r="V11" s="196"/>
      <c r="Z11" s="194"/>
      <c r="AA11" s="194"/>
      <c r="AG11" s="195"/>
      <c r="AH11" s="180" t="s">
        <v>60</v>
      </c>
      <c r="AI11" s="180">
        <v>50</v>
      </c>
    </row>
    <row r="12" spans="1:36" ht="14.45" customHeight="1">
      <c r="A12" s="102">
        <f t="shared" si="3"/>
        <v>41.069685430363435</v>
      </c>
      <c r="B12" s="35">
        <f t="shared" si="4"/>
        <v>7</v>
      </c>
      <c r="C12" s="36" t="s">
        <v>57</v>
      </c>
      <c r="D12" s="36"/>
      <c r="E12" s="36"/>
      <c r="F12" s="36"/>
      <c r="G12" s="29"/>
      <c r="H12" s="187">
        <v>7</v>
      </c>
      <c r="I12" s="188">
        <f t="shared" si="0"/>
        <v>21.069685430363439</v>
      </c>
      <c r="J12" s="187">
        <f t="shared" si="5"/>
        <v>2</v>
      </c>
      <c r="K12" s="187">
        <f t="shared" si="1"/>
        <v>20</v>
      </c>
      <c r="L12" s="187"/>
      <c r="M12" s="189">
        <f t="shared" si="2"/>
        <v>41.069685430363435</v>
      </c>
      <c r="Z12" s="194"/>
      <c r="AA12" s="194"/>
      <c r="AG12" s="195"/>
      <c r="AH12" s="180" t="s">
        <v>61</v>
      </c>
      <c r="AI12" s="180">
        <f>AI11-1</f>
        <v>49</v>
      </c>
    </row>
    <row r="13" spans="1:36" ht="14.45" customHeight="1">
      <c r="A13" s="106">
        <f t="shared" si="3"/>
        <v>39.084442074998591</v>
      </c>
      <c r="B13" s="41">
        <f t="shared" si="4"/>
        <v>8</v>
      </c>
      <c r="C13" s="42" t="s">
        <v>57</v>
      </c>
      <c r="D13" s="42"/>
      <c r="E13" s="42"/>
      <c r="F13" s="42"/>
      <c r="G13" s="29"/>
      <c r="H13" s="190">
        <v>8</v>
      </c>
      <c r="I13" s="191">
        <f t="shared" si="0"/>
        <v>19.084442074998588</v>
      </c>
      <c r="J13" s="190">
        <f t="shared" si="5"/>
        <v>2</v>
      </c>
      <c r="K13" s="190">
        <f t="shared" si="1"/>
        <v>20</v>
      </c>
      <c r="L13" s="190"/>
      <c r="M13" s="192">
        <f t="shared" si="2"/>
        <v>39.084442074998591</v>
      </c>
      <c r="X13" s="193"/>
      <c r="AG13" s="195"/>
      <c r="AH13" s="180" t="s">
        <v>62</v>
      </c>
      <c r="AI13" s="180">
        <f>LOG(AI9)</f>
        <v>1.3617278360175928</v>
      </c>
    </row>
    <row r="14" spans="1:36">
      <c r="A14" s="102">
        <f t="shared" si="3"/>
        <v>27.333333333333336</v>
      </c>
      <c r="B14" s="35">
        <f t="shared" si="4"/>
        <v>9</v>
      </c>
      <c r="C14" s="36" t="s">
        <v>57</v>
      </c>
      <c r="D14" s="36"/>
      <c r="E14" s="36"/>
      <c r="F14" s="36"/>
      <c r="G14" s="29"/>
      <c r="H14" s="187">
        <v>9</v>
      </c>
      <c r="I14" s="188">
        <f t="shared" si="0"/>
        <v>17.333333333333336</v>
      </c>
      <c r="J14" s="187">
        <f t="shared" si="5"/>
        <v>1</v>
      </c>
      <c r="K14" s="187">
        <f t="shared" si="1"/>
        <v>10</v>
      </c>
      <c r="L14" s="187"/>
      <c r="M14" s="189">
        <f t="shared" si="2"/>
        <v>27.333333333333336</v>
      </c>
      <c r="X14" s="197"/>
      <c r="Z14" s="194"/>
      <c r="AA14" s="194"/>
      <c r="AG14" s="195"/>
      <c r="AH14" s="180" t="s">
        <v>64</v>
      </c>
      <c r="AI14" s="180">
        <f>LOG(AI10)</f>
        <v>1.6532125137753437</v>
      </c>
    </row>
    <row r="15" spans="1:36">
      <c r="A15" s="106">
        <f t="shared" si="3"/>
        <v>25.766913186606715</v>
      </c>
      <c r="B15" s="41">
        <f t="shared" si="4"/>
        <v>10</v>
      </c>
      <c r="C15" s="42" t="s">
        <v>57</v>
      </c>
      <c r="D15" s="42"/>
      <c r="E15" s="42"/>
      <c r="F15" s="42"/>
      <c r="G15" s="29"/>
      <c r="H15" s="190">
        <v>10</v>
      </c>
      <c r="I15" s="191">
        <f t="shared" si="0"/>
        <v>15.766913186606715</v>
      </c>
      <c r="J15" s="190">
        <f t="shared" si="5"/>
        <v>1</v>
      </c>
      <c r="K15" s="190">
        <f t="shared" si="1"/>
        <v>10</v>
      </c>
      <c r="L15" s="190"/>
      <c r="M15" s="192">
        <f t="shared" si="2"/>
        <v>25.766913186606715</v>
      </c>
      <c r="X15" s="193"/>
      <c r="Z15" s="194"/>
      <c r="AA15" s="194"/>
    </row>
    <row r="16" spans="1:36">
      <c r="A16" s="102">
        <f t="shared" si="3"/>
        <v>24.349913802145743</v>
      </c>
      <c r="B16" s="35">
        <f t="shared" si="4"/>
        <v>11</v>
      </c>
      <c r="C16" s="36" t="s">
        <v>57</v>
      </c>
      <c r="D16" s="36"/>
      <c r="E16" s="36"/>
      <c r="F16" s="36"/>
      <c r="G16" s="29"/>
      <c r="H16" s="187">
        <v>11</v>
      </c>
      <c r="I16" s="188">
        <f t="shared" si="0"/>
        <v>14.349913802145743</v>
      </c>
      <c r="J16" s="187">
        <f t="shared" si="5"/>
        <v>1</v>
      </c>
      <c r="K16" s="187">
        <f t="shared" si="1"/>
        <v>10</v>
      </c>
      <c r="L16" s="187"/>
      <c r="M16" s="189">
        <f t="shared" si="2"/>
        <v>24.349913802145743</v>
      </c>
      <c r="R16" s="198"/>
      <c r="Z16" s="194"/>
      <c r="AA16" s="194"/>
      <c r="AH16" s="199" t="s">
        <v>66</v>
      </c>
      <c r="AI16" s="180">
        <f>AI11-AI12*AI13/AI14</f>
        <v>9.6393909380186855</v>
      </c>
      <c r="AJ16" s="180" t="s">
        <v>67</v>
      </c>
    </row>
    <row r="17" spans="1:19">
      <c r="A17" s="106">
        <f t="shared" si="3"/>
        <v>23.056294716665725</v>
      </c>
      <c r="B17" s="41">
        <f t="shared" si="4"/>
        <v>12</v>
      </c>
      <c r="C17" s="42" t="s">
        <v>57</v>
      </c>
      <c r="D17" s="42"/>
      <c r="E17" s="42"/>
      <c r="F17" s="42"/>
      <c r="G17" s="29"/>
      <c r="H17" s="190">
        <v>12</v>
      </c>
      <c r="I17" s="191">
        <f t="shared" si="0"/>
        <v>13.056294716665725</v>
      </c>
      <c r="J17" s="190">
        <f t="shared" si="5"/>
        <v>1</v>
      </c>
      <c r="K17" s="190">
        <f t="shared" si="1"/>
        <v>10</v>
      </c>
      <c r="L17" s="190"/>
      <c r="M17" s="192">
        <f t="shared" si="2"/>
        <v>23.056294716665725</v>
      </c>
    </row>
    <row r="18" spans="1:19">
      <c r="A18" s="102">
        <f t="shared" si="3"/>
        <v>21.866280515277722</v>
      </c>
      <c r="B18" s="35">
        <f t="shared" si="4"/>
        <v>13</v>
      </c>
      <c r="C18" s="36" t="s">
        <v>57</v>
      </c>
      <c r="D18" s="36"/>
      <c r="E18" s="36"/>
      <c r="F18" s="36"/>
      <c r="G18" s="29"/>
      <c r="H18" s="187">
        <v>13</v>
      </c>
      <c r="I18" s="188">
        <f t="shared" si="0"/>
        <v>11.866280515277722</v>
      </c>
      <c r="J18" s="187">
        <f t="shared" si="5"/>
        <v>1</v>
      </c>
      <c r="K18" s="187">
        <f t="shared" si="1"/>
        <v>10</v>
      </c>
      <c r="L18" s="187"/>
      <c r="M18" s="189">
        <f t="shared" si="2"/>
        <v>21.866280515277722</v>
      </c>
    </row>
    <row r="19" spans="1:19">
      <c r="A19" s="106">
        <f t="shared" si="3"/>
        <v>20.764499455362966</v>
      </c>
      <c r="B19" s="41">
        <f t="shared" si="4"/>
        <v>14</v>
      </c>
      <c r="C19" s="42" t="s">
        <v>57</v>
      </c>
      <c r="D19" s="42"/>
      <c r="E19" s="42"/>
      <c r="F19" s="42"/>
      <c r="G19" s="29"/>
      <c r="H19" s="190">
        <v>14</v>
      </c>
      <c r="I19" s="191">
        <f t="shared" si="0"/>
        <v>10.764499455362966</v>
      </c>
      <c r="J19" s="190">
        <f t="shared" si="5"/>
        <v>1</v>
      </c>
      <c r="K19" s="190">
        <f t="shared" si="1"/>
        <v>10</v>
      </c>
      <c r="L19" s="190"/>
      <c r="M19" s="192">
        <f t="shared" si="2"/>
        <v>20.764499455362966</v>
      </c>
    </row>
    <row r="20" spans="1:19">
      <c r="A20" s="102">
        <f t="shared" si="3"/>
        <v>19.738765828273856</v>
      </c>
      <c r="B20" s="35">
        <f t="shared" si="4"/>
        <v>15</v>
      </c>
      <c r="C20" s="36" t="s">
        <v>57</v>
      </c>
      <c r="D20" s="36"/>
      <c r="E20" s="36"/>
      <c r="F20" s="36"/>
      <c r="G20" s="29"/>
      <c r="H20" s="187">
        <v>15</v>
      </c>
      <c r="I20" s="188">
        <f t="shared" si="0"/>
        <v>9.7387658282738556</v>
      </c>
      <c r="J20" s="187">
        <f t="shared" si="5"/>
        <v>1</v>
      </c>
      <c r="K20" s="187">
        <f t="shared" si="1"/>
        <v>10</v>
      </c>
      <c r="L20" s="187"/>
      <c r="M20" s="189">
        <f t="shared" si="2"/>
        <v>19.738765828273856</v>
      </c>
      <c r="R20" s="200"/>
      <c r="S20" s="201"/>
    </row>
    <row r="21" spans="1:19">
      <c r="A21" s="106">
        <f t="shared" si="3"/>
        <v>18.779256099998115</v>
      </c>
      <c r="B21" s="41">
        <f t="shared" si="4"/>
        <v>16</v>
      </c>
      <c r="C21" s="42" t="s">
        <v>57</v>
      </c>
      <c r="D21" s="42"/>
      <c r="E21" s="42"/>
      <c r="F21" s="42"/>
      <c r="G21" s="29"/>
      <c r="H21" s="190">
        <v>16</v>
      </c>
      <c r="I21" s="191">
        <f t="shared" si="0"/>
        <v>8.7792560999981148</v>
      </c>
      <c r="J21" s="190">
        <f t="shared" si="5"/>
        <v>1</v>
      </c>
      <c r="K21" s="190">
        <f t="shared" si="1"/>
        <v>10</v>
      </c>
      <c r="L21" s="190"/>
      <c r="M21" s="192">
        <f t="shared" si="2"/>
        <v>18.779256099998115</v>
      </c>
    </row>
    <row r="22" spans="1:19">
      <c r="A22" s="102">
        <f t="shared" si="3"/>
        <v>7.8779352550114297</v>
      </c>
      <c r="B22" s="35">
        <f t="shared" si="4"/>
        <v>17</v>
      </c>
      <c r="C22" s="267" t="s">
        <v>33</v>
      </c>
      <c r="D22" s="36"/>
      <c r="E22" s="36"/>
      <c r="F22" s="36"/>
      <c r="G22" s="29"/>
      <c r="H22" s="187">
        <v>17</v>
      </c>
      <c r="I22" s="188">
        <f t="shared" si="0"/>
        <v>7.8779352550114297</v>
      </c>
      <c r="J22" s="187">
        <f t="shared" si="5"/>
        <v>0</v>
      </c>
      <c r="K22" s="187">
        <f t="shared" si="1"/>
        <v>0</v>
      </c>
      <c r="L22" s="187"/>
      <c r="M22" s="189">
        <f t="shared" si="2"/>
        <v>7.8779352550114297</v>
      </c>
    </row>
    <row r="23" spans="1:19">
      <c r="A23" s="106">
        <f t="shared" si="3"/>
        <v>7.0281473583328662</v>
      </c>
      <c r="B23" s="41">
        <f t="shared" si="4"/>
        <v>18</v>
      </c>
      <c r="C23" s="42" t="s">
        <v>57</v>
      </c>
      <c r="D23" s="42"/>
      <c r="E23" s="42"/>
      <c r="F23" s="42"/>
      <c r="G23" s="29"/>
      <c r="H23" s="190">
        <v>18</v>
      </c>
      <c r="I23" s="191">
        <f t="shared" si="0"/>
        <v>7.0281473583328662</v>
      </c>
      <c r="J23" s="190">
        <f t="shared" si="5"/>
        <v>0</v>
      </c>
      <c r="K23" s="190">
        <f t="shared" si="1"/>
        <v>0</v>
      </c>
      <c r="L23" s="190"/>
      <c r="M23" s="192">
        <f t="shared" si="2"/>
        <v>7.0281473583328662</v>
      </c>
    </row>
    <row r="24" spans="1:19">
      <c r="A24" s="102">
        <f t="shared" si="3"/>
        <v>6.2243169656425437</v>
      </c>
      <c r="B24" s="35">
        <f t="shared" si="4"/>
        <v>19</v>
      </c>
      <c r="C24" s="36" t="s">
        <v>57</v>
      </c>
      <c r="D24" s="36"/>
      <c r="E24" s="36"/>
      <c r="F24" s="36"/>
      <c r="G24" s="29"/>
      <c r="H24" s="187">
        <v>19</v>
      </c>
      <c r="I24" s="188">
        <f t="shared" si="0"/>
        <v>6.2243169656425437</v>
      </c>
      <c r="J24" s="187">
        <f t="shared" si="5"/>
        <v>0</v>
      </c>
      <c r="K24" s="187">
        <f t="shared" si="1"/>
        <v>0</v>
      </c>
      <c r="L24" s="187"/>
      <c r="M24" s="189">
        <f t="shared" si="2"/>
        <v>6.2243169656425437</v>
      </c>
      <c r="R24" s="200"/>
      <c r="S24" s="201"/>
    </row>
    <row r="25" spans="1:19">
      <c r="A25" s="106">
        <f t="shared" si="3"/>
        <v>5.4617272116062452</v>
      </c>
      <c r="B25" s="41">
        <f t="shared" si="4"/>
        <v>20</v>
      </c>
      <c r="C25" s="42" t="s">
        <v>57</v>
      </c>
      <c r="D25" s="42"/>
      <c r="E25" s="42"/>
      <c r="F25" s="42"/>
      <c r="G25" s="29"/>
      <c r="H25" s="190">
        <v>20</v>
      </c>
      <c r="I25" s="191">
        <f t="shared" si="0"/>
        <v>5.4617272116062452</v>
      </c>
      <c r="J25" s="190">
        <f t="shared" si="5"/>
        <v>0</v>
      </c>
      <c r="K25" s="190">
        <f t="shared" si="1"/>
        <v>0</v>
      </c>
      <c r="L25" s="190"/>
      <c r="M25" s="192">
        <f t="shared" si="2"/>
        <v>5.4617272116062452</v>
      </c>
    </row>
    <row r="26" spans="1:19">
      <c r="A26" s="102">
        <f t="shared" si="3"/>
        <v>4.7363520970301067</v>
      </c>
      <c r="B26" s="35">
        <f t="shared" si="4"/>
        <v>21</v>
      </c>
      <c r="C26" s="36" t="s">
        <v>57</v>
      </c>
      <c r="D26" s="36"/>
      <c r="E26" s="36"/>
      <c r="F26" s="36"/>
      <c r="G26" s="29"/>
      <c r="H26" s="187">
        <v>21</v>
      </c>
      <c r="I26" s="188">
        <f t="shared" si="0"/>
        <v>4.7363520970301067</v>
      </c>
      <c r="J26" s="187">
        <f t="shared" si="5"/>
        <v>0</v>
      </c>
      <c r="K26" s="187">
        <f t="shared" si="1"/>
        <v>0</v>
      </c>
      <c r="L26" s="187"/>
      <c r="M26" s="189">
        <f t="shared" si="2"/>
        <v>4.7363520970301067</v>
      </c>
    </row>
    <row r="27" spans="1:19">
      <c r="A27" s="106">
        <f t="shared" si="3"/>
        <v>4.0447278271452731</v>
      </c>
      <c r="B27" s="41">
        <f t="shared" si="4"/>
        <v>22</v>
      </c>
      <c r="C27" s="42" t="s">
        <v>57</v>
      </c>
      <c r="D27" s="42"/>
      <c r="E27" s="42"/>
      <c r="F27" s="42"/>
      <c r="G27" s="29"/>
      <c r="H27" s="190">
        <v>22</v>
      </c>
      <c r="I27" s="191">
        <f t="shared" si="0"/>
        <v>4.0447278271452731</v>
      </c>
      <c r="J27" s="190">
        <f t="shared" si="5"/>
        <v>0</v>
      </c>
      <c r="K27" s="190">
        <f t="shared" si="1"/>
        <v>0</v>
      </c>
      <c r="L27" s="190"/>
      <c r="M27" s="192">
        <f t="shared" si="2"/>
        <v>4.0447278271452731</v>
      </c>
    </row>
    <row r="28" spans="1:19">
      <c r="A28" s="102">
        <f t="shared" si="3"/>
        <v>3.3838527733955743</v>
      </c>
      <c r="B28" s="35">
        <f t="shared" si="4"/>
        <v>23</v>
      </c>
      <c r="C28" s="36" t="s">
        <v>57</v>
      </c>
      <c r="D28" s="36"/>
      <c r="E28" s="36"/>
      <c r="F28" s="36"/>
      <c r="G28" s="29"/>
      <c r="H28" s="187">
        <v>23</v>
      </c>
      <c r="I28" s="188">
        <f t="shared" si="0"/>
        <v>3.3838527733955743</v>
      </c>
      <c r="J28" s="187">
        <f t="shared" si="5"/>
        <v>0</v>
      </c>
      <c r="K28" s="187">
        <f t="shared" si="1"/>
        <v>0</v>
      </c>
      <c r="L28" s="187"/>
      <c r="M28" s="189">
        <f t="shared" si="2"/>
        <v>3.3838527733955743</v>
      </c>
      <c r="R28" s="200"/>
      <c r="S28" s="201"/>
    </row>
    <row r="29" spans="1:19">
      <c r="A29" s="106">
        <f t="shared" si="3"/>
        <v>2.7511087416652558</v>
      </c>
      <c r="B29" s="41">
        <f t="shared" si="4"/>
        <v>24</v>
      </c>
      <c r="C29" s="42" t="s">
        <v>57</v>
      </c>
      <c r="D29" s="42"/>
      <c r="E29" s="42"/>
      <c r="F29" s="42"/>
      <c r="G29" s="175"/>
      <c r="H29" s="190">
        <v>24</v>
      </c>
      <c r="I29" s="191">
        <f t="shared" si="0"/>
        <v>2.7511087416652558</v>
      </c>
      <c r="J29" s="190">
        <f t="shared" si="5"/>
        <v>0</v>
      </c>
      <c r="K29" s="190">
        <f t="shared" si="1"/>
        <v>0</v>
      </c>
      <c r="L29" s="190"/>
      <c r="M29" s="192">
        <f t="shared" si="2"/>
        <v>2.7511087416652558</v>
      </c>
    </row>
    <row r="30" spans="1:19">
      <c r="A30" s="102">
        <f t="shared" si="3"/>
        <v>2.1441983232143755</v>
      </c>
      <c r="B30" s="35">
        <f t="shared" si="4"/>
        <v>25</v>
      </c>
      <c r="C30" s="36" t="s">
        <v>57</v>
      </c>
      <c r="D30" s="36"/>
      <c r="E30" s="36"/>
      <c r="F30" s="36"/>
      <c r="G30" s="175"/>
      <c r="H30" s="187">
        <v>25</v>
      </c>
      <c r="I30" s="188">
        <f t="shared" si="0"/>
        <v>2.1441983232143755</v>
      </c>
      <c r="J30" s="187">
        <f t="shared" si="5"/>
        <v>0</v>
      </c>
      <c r="K30" s="187">
        <f t="shared" si="1"/>
        <v>0</v>
      </c>
      <c r="L30" s="187"/>
      <c r="M30" s="189">
        <f t="shared" si="2"/>
        <v>2.1441983232143755</v>
      </c>
    </row>
    <row r="31" spans="1:19">
      <c r="A31" s="106">
        <f t="shared" si="3"/>
        <v>1.5610945402772529</v>
      </c>
      <c r="B31" s="41">
        <f t="shared" si="4"/>
        <v>26</v>
      </c>
      <c r="C31" s="42" t="s">
        <v>57</v>
      </c>
      <c r="D31" s="42"/>
      <c r="E31" s="42"/>
      <c r="F31" s="42"/>
      <c r="G31" s="175"/>
      <c r="H31" s="190">
        <v>26</v>
      </c>
      <c r="I31" s="191">
        <f t="shared" si="0"/>
        <v>1.5610945402772529</v>
      </c>
      <c r="J31" s="190">
        <f t="shared" si="5"/>
        <v>0</v>
      </c>
      <c r="K31" s="190">
        <f t="shared" si="1"/>
        <v>0</v>
      </c>
      <c r="L31" s="190"/>
      <c r="M31" s="192">
        <f t="shared" si="2"/>
        <v>1.5610945402772529</v>
      </c>
    </row>
    <row r="32" spans="1:19">
      <c r="A32" s="102">
        <f t="shared" si="3"/>
        <v>1</v>
      </c>
      <c r="B32" s="35">
        <f t="shared" si="4"/>
        <v>27</v>
      </c>
      <c r="C32" s="36" t="s">
        <v>57</v>
      </c>
      <c r="D32" s="36"/>
      <c r="E32" s="36"/>
      <c r="F32" s="36"/>
      <c r="G32" s="175"/>
      <c r="H32" s="187">
        <v>27</v>
      </c>
      <c r="I32" s="188">
        <f t="shared" si="0"/>
        <v>1</v>
      </c>
      <c r="J32" s="187">
        <f t="shared" si="5"/>
        <v>0</v>
      </c>
      <c r="K32" s="187">
        <f t="shared" si="1"/>
        <v>0</v>
      </c>
      <c r="L32" s="187"/>
      <c r="M32" s="189">
        <f t="shared" si="2"/>
        <v>1</v>
      </c>
      <c r="R32" s="200"/>
      <c r="S32" s="201"/>
    </row>
    <row r="33" spans="1:21">
      <c r="A33" s="106">
        <f t="shared" si="3"/>
        <v>0</v>
      </c>
      <c r="B33" s="41" t="str">
        <f t="shared" si="4"/>
        <v/>
      </c>
      <c r="C33" s="42"/>
      <c r="D33" s="42"/>
      <c r="E33" s="42"/>
      <c r="F33" s="42"/>
      <c r="G33" s="175"/>
      <c r="H33" s="190">
        <v>28</v>
      </c>
      <c r="I33" s="191" t="str">
        <f t="shared" si="0"/>
        <v/>
      </c>
      <c r="J33" s="190">
        <f t="shared" si="5"/>
        <v>0</v>
      </c>
      <c r="K33" s="190">
        <f t="shared" si="1"/>
        <v>0</v>
      </c>
      <c r="L33" s="190"/>
      <c r="M33" s="192">
        <f t="shared" si="2"/>
        <v>0</v>
      </c>
    </row>
    <row r="34" spans="1:21">
      <c r="A34" s="102">
        <f t="shared" si="3"/>
        <v>0</v>
      </c>
      <c r="B34" s="35" t="str">
        <f t="shared" si="4"/>
        <v/>
      </c>
      <c r="C34" s="36"/>
      <c r="D34" s="36"/>
      <c r="E34" s="36"/>
      <c r="F34" s="36"/>
      <c r="G34" s="175"/>
      <c r="H34" s="187">
        <v>29</v>
      </c>
      <c r="I34" s="188" t="str">
        <f t="shared" si="0"/>
        <v/>
      </c>
      <c r="J34" s="187">
        <f t="shared" si="5"/>
        <v>0</v>
      </c>
      <c r="K34" s="187">
        <f t="shared" si="1"/>
        <v>0</v>
      </c>
      <c r="L34" s="187"/>
      <c r="M34" s="189">
        <f t="shared" si="2"/>
        <v>0</v>
      </c>
    </row>
    <row r="35" spans="1:21">
      <c r="A35" s="106">
        <f t="shared" si="3"/>
        <v>0</v>
      </c>
      <c r="B35" s="41" t="str">
        <f t="shared" si="4"/>
        <v/>
      </c>
      <c r="C35" s="42"/>
      <c r="D35" s="42"/>
      <c r="E35" s="42"/>
      <c r="F35" s="42"/>
      <c r="G35" s="175"/>
      <c r="H35" s="190">
        <v>30</v>
      </c>
      <c r="I35" s="191" t="str">
        <f t="shared" si="0"/>
        <v/>
      </c>
      <c r="J35" s="190">
        <f t="shared" si="5"/>
        <v>0</v>
      </c>
      <c r="K35" s="190">
        <f t="shared" si="1"/>
        <v>0</v>
      </c>
      <c r="L35" s="190"/>
      <c r="M35" s="192">
        <f t="shared" si="2"/>
        <v>0</v>
      </c>
    </row>
    <row r="36" spans="1:21">
      <c r="A36" s="102">
        <f t="shared" si="3"/>
        <v>0</v>
      </c>
      <c r="B36" s="35" t="str">
        <f t="shared" si="4"/>
        <v/>
      </c>
      <c r="C36" s="36"/>
      <c r="D36" s="36"/>
      <c r="E36" s="36"/>
      <c r="F36" s="36"/>
      <c r="G36" s="175"/>
      <c r="H36" s="187">
        <v>31</v>
      </c>
      <c r="I36" s="188" t="str">
        <f t="shared" si="0"/>
        <v/>
      </c>
      <c r="J36" s="187">
        <f t="shared" si="5"/>
        <v>0</v>
      </c>
      <c r="K36" s="187">
        <f t="shared" si="1"/>
        <v>0</v>
      </c>
      <c r="L36" s="187"/>
      <c r="M36" s="189">
        <f t="shared" si="2"/>
        <v>0</v>
      </c>
      <c r="R36" s="200"/>
      <c r="S36" s="201"/>
    </row>
    <row r="37" spans="1:21">
      <c r="A37" s="106">
        <f t="shared" si="3"/>
        <v>0</v>
      </c>
      <c r="B37" s="41" t="str">
        <f t="shared" si="4"/>
        <v/>
      </c>
      <c r="C37" s="42"/>
      <c r="D37" s="42"/>
      <c r="E37" s="42"/>
      <c r="F37" s="42"/>
      <c r="G37" s="175"/>
      <c r="H37" s="190">
        <v>32</v>
      </c>
      <c r="I37" s="191" t="str">
        <f t="shared" si="0"/>
        <v/>
      </c>
      <c r="J37" s="190">
        <f t="shared" si="5"/>
        <v>0</v>
      </c>
      <c r="K37" s="190">
        <f t="shared" si="1"/>
        <v>0</v>
      </c>
      <c r="L37" s="190"/>
      <c r="M37" s="192">
        <f t="shared" si="2"/>
        <v>0</v>
      </c>
    </row>
    <row r="38" spans="1:21">
      <c r="A38" s="102"/>
      <c r="B38" s="35" t="str">
        <f t="shared" si="4"/>
        <v/>
      </c>
      <c r="C38" s="36"/>
      <c r="D38" s="36"/>
      <c r="E38" s="36"/>
      <c r="F38" s="36"/>
      <c r="G38" s="175"/>
      <c r="H38" s="187">
        <v>33</v>
      </c>
      <c r="I38" s="188" t="str">
        <f t="shared" si="0"/>
        <v/>
      </c>
      <c r="J38" s="187">
        <f t="shared" si="5"/>
        <v>-1</v>
      </c>
      <c r="K38" s="187">
        <f t="shared" si="1"/>
        <v>-10</v>
      </c>
      <c r="L38" s="187"/>
      <c r="M38" s="189">
        <f t="shared" si="2"/>
        <v>0</v>
      </c>
    </row>
    <row r="39" spans="1:21">
      <c r="A39" s="106"/>
      <c r="B39" s="41" t="str">
        <f t="shared" si="4"/>
        <v/>
      </c>
      <c r="C39" s="42"/>
      <c r="D39" s="42"/>
      <c r="E39" s="42"/>
      <c r="F39" s="42"/>
      <c r="G39" s="175"/>
      <c r="H39" s="190">
        <v>34</v>
      </c>
      <c r="I39" s="191" t="str">
        <f t="shared" si="0"/>
        <v/>
      </c>
      <c r="J39" s="190">
        <f t="shared" si="5"/>
        <v>-1</v>
      </c>
      <c r="K39" s="190">
        <f t="shared" si="1"/>
        <v>-10</v>
      </c>
      <c r="L39" s="190"/>
      <c r="M39" s="192">
        <f t="shared" si="2"/>
        <v>0</v>
      </c>
    </row>
    <row r="40" spans="1:21">
      <c r="A40" s="102"/>
      <c r="B40" s="35" t="str">
        <f t="shared" si="4"/>
        <v/>
      </c>
      <c r="C40" s="36"/>
      <c r="D40" s="36"/>
      <c r="E40" s="36"/>
      <c r="F40" s="36"/>
      <c r="G40" s="175"/>
      <c r="H40" s="187">
        <v>35</v>
      </c>
      <c r="I40" s="188" t="str">
        <f t="shared" si="0"/>
        <v/>
      </c>
      <c r="J40" s="187">
        <f t="shared" si="5"/>
        <v>-1</v>
      </c>
      <c r="K40" s="187">
        <f t="shared" si="1"/>
        <v>-10</v>
      </c>
      <c r="L40" s="187"/>
      <c r="M40" s="189">
        <f t="shared" si="2"/>
        <v>0</v>
      </c>
    </row>
    <row r="41" spans="1:21">
      <c r="A41" s="106"/>
      <c r="B41" s="41" t="str">
        <f t="shared" si="4"/>
        <v/>
      </c>
      <c r="C41" s="42"/>
      <c r="D41" s="42"/>
      <c r="E41" s="42"/>
      <c r="F41" s="42"/>
      <c r="G41" s="175"/>
      <c r="H41" s="190">
        <v>36</v>
      </c>
      <c r="I41" s="191" t="str">
        <f t="shared" si="0"/>
        <v/>
      </c>
      <c r="J41" s="190">
        <f t="shared" si="5"/>
        <v>-1</v>
      </c>
      <c r="K41" s="190">
        <f t="shared" si="1"/>
        <v>-10</v>
      </c>
      <c r="L41" s="190"/>
      <c r="M41" s="192">
        <f t="shared" si="2"/>
        <v>0</v>
      </c>
      <c r="S41" s="202"/>
    </row>
    <row r="42" spans="1:21">
      <c r="A42" s="102"/>
      <c r="B42" s="35" t="str">
        <f t="shared" si="4"/>
        <v/>
      </c>
      <c r="C42" s="36"/>
      <c r="D42" s="36"/>
      <c r="E42" s="36"/>
      <c r="F42" s="36"/>
      <c r="G42" s="175"/>
      <c r="H42" s="187">
        <v>37</v>
      </c>
      <c r="I42" s="188" t="str">
        <f t="shared" si="0"/>
        <v/>
      </c>
      <c r="J42" s="187">
        <f t="shared" si="5"/>
        <v>-1</v>
      </c>
      <c r="K42" s="187">
        <f t="shared" si="1"/>
        <v>-10</v>
      </c>
      <c r="L42" s="187"/>
      <c r="M42" s="189">
        <f t="shared" si="2"/>
        <v>0</v>
      </c>
    </row>
    <row r="43" spans="1:21">
      <c r="A43" s="106"/>
      <c r="B43" s="41" t="str">
        <f t="shared" si="4"/>
        <v/>
      </c>
      <c r="C43" s="42"/>
      <c r="D43" s="42"/>
      <c r="E43" s="42"/>
      <c r="F43" s="42"/>
      <c r="G43" s="175"/>
      <c r="H43" s="190">
        <v>38</v>
      </c>
      <c r="I43" s="191" t="str">
        <f t="shared" si="0"/>
        <v/>
      </c>
      <c r="J43" s="190">
        <f t="shared" si="5"/>
        <v>-1</v>
      </c>
      <c r="K43" s="190">
        <f t="shared" si="1"/>
        <v>-10</v>
      </c>
      <c r="L43" s="190"/>
      <c r="M43" s="192">
        <f t="shared" si="2"/>
        <v>0</v>
      </c>
    </row>
    <row r="44" spans="1:21">
      <c r="A44" s="102"/>
      <c r="B44" s="35" t="str">
        <f t="shared" si="4"/>
        <v/>
      </c>
      <c r="C44" s="36"/>
      <c r="D44" s="36"/>
      <c r="E44" s="36"/>
      <c r="F44" s="36"/>
      <c r="G44" s="175"/>
      <c r="H44" s="187">
        <v>39</v>
      </c>
      <c r="I44" s="188" t="str">
        <f t="shared" si="0"/>
        <v/>
      </c>
      <c r="J44" s="187">
        <f t="shared" si="5"/>
        <v>-1</v>
      </c>
      <c r="K44" s="187">
        <f t="shared" si="1"/>
        <v>-10</v>
      </c>
      <c r="L44" s="187"/>
      <c r="M44" s="189">
        <f t="shared" si="2"/>
        <v>0</v>
      </c>
    </row>
    <row r="45" spans="1:21">
      <c r="A45" s="106"/>
      <c r="B45" s="41" t="str">
        <f t="shared" si="4"/>
        <v/>
      </c>
      <c r="C45" s="42"/>
      <c r="D45" s="42"/>
      <c r="E45" s="42"/>
      <c r="F45" s="42"/>
      <c r="G45" s="175"/>
      <c r="H45" s="190">
        <v>40</v>
      </c>
      <c r="I45" s="191" t="str">
        <f t="shared" si="0"/>
        <v/>
      </c>
      <c r="J45" s="190">
        <f t="shared" si="5"/>
        <v>-1</v>
      </c>
      <c r="K45" s="190">
        <f t="shared" si="1"/>
        <v>-10</v>
      </c>
      <c r="L45" s="190"/>
      <c r="M45" s="192">
        <f t="shared" si="2"/>
        <v>0</v>
      </c>
    </row>
    <row r="46" spans="1:21">
      <c r="A46" s="102"/>
      <c r="B46" s="35" t="str">
        <f t="shared" si="4"/>
        <v/>
      </c>
      <c r="C46" s="36"/>
      <c r="D46" s="36"/>
      <c r="E46" s="36"/>
      <c r="F46" s="36"/>
      <c r="G46" s="175"/>
      <c r="H46" s="187">
        <v>41</v>
      </c>
      <c r="I46" s="188" t="str">
        <f t="shared" si="0"/>
        <v/>
      </c>
      <c r="J46" s="187">
        <f t="shared" si="5"/>
        <v>-1</v>
      </c>
      <c r="K46" s="187">
        <f t="shared" si="1"/>
        <v>-10</v>
      </c>
      <c r="L46" s="187"/>
      <c r="M46" s="189">
        <f t="shared" si="2"/>
        <v>0</v>
      </c>
      <c r="R46" s="175">
        <f>LOG($H$2,2)</f>
        <v>4.7548875021634691</v>
      </c>
      <c r="T46" s="180">
        <f>LOG(H38,2)</f>
        <v>5.0443941193584534</v>
      </c>
      <c r="U46" s="180">
        <f>R46-T46</f>
        <v>-0.28950661719498427</v>
      </c>
    </row>
    <row r="47" spans="1:21">
      <c r="A47" s="106"/>
      <c r="B47" s="41" t="str">
        <f t="shared" si="4"/>
        <v/>
      </c>
      <c r="C47" s="42"/>
      <c r="D47" s="42"/>
      <c r="E47" s="42"/>
      <c r="F47" s="42"/>
      <c r="G47" s="175"/>
      <c r="H47" s="190">
        <v>42</v>
      </c>
      <c r="I47" s="191" t="str">
        <f t="shared" si="0"/>
        <v/>
      </c>
      <c r="J47" s="190">
        <f t="shared" si="5"/>
        <v>-1</v>
      </c>
      <c r="K47" s="190">
        <f t="shared" si="1"/>
        <v>-10</v>
      </c>
      <c r="L47" s="190"/>
      <c r="M47" s="192">
        <f t="shared" si="2"/>
        <v>0</v>
      </c>
    </row>
    <row r="48" spans="1:21">
      <c r="A48" s="102"/>
      <c r="B48" s="35" t="str">
        <f t="shared" si="4"/>
        <v/>
      </c>
      <c r="C48" s="36"/>
      <c r="D48" s="36"/>
      <c r="E48" s="36"/>
      <c r="F48" s="36"/>
      <c r="G48" s="175"/>
      <c r="H48" s="187">
        <v>43</v>
      </c>
      <c r="I48" s="188" t="str">
        <f t="shared" si="0"/>
        <v/>
      </c>
      <c r="J48" s="187">
        <f t="shared" si="5"/>
        <v>-1</v>
      </c>
      <c r="K48" s="187">
        <f t="shared" si="1"/>
        <v>-10</v>
      </c>
      <c r="L48" s="187"/>
      <c r="M48" s="189">
        <f t="shared" si="2"/>
        <v>0</v>
      </c>
    </row>
    <row r="49" spans="1:13">
      <c r="A49" s="106"/>
      <c r="B49" s="41" t="str">
        <f t="shared" si="4"/>
        <v/>
      </c>
      <c r="C49" s="42"/>
      <c r="D49" s="42"/>
      <c r="E49" s="42"/>
      <c r="F49" s="42"/>
      <c r="G49" s="175"/>
      <c r="H49" s="190">
        <v>44</v>
      </c>
      <c r="I49" s="191" t="str">
        <f t="shared" si="0"/>
        <v/>
      </c>
      <c r="J49" s="190">
        <f t="shared" si="5"/>
        <v>-1</v>
      </c>
      <c r="K49" s="190">
        <f t="shared" si="1"/>
        <v>-10</v>
      </c>
      <c r="L49" s="190"/>
      <c r="M49" s="192">
        <f t="shared" si="2"/>
        <v>0</v>
      </c>
    </row>
    <row r="50" spans="1:13">
      <c r="A50" s="102"/>
      <c r="B50" s="35" t="str">
        <f t="shared" si="4"/>
        <v/>
      </c>
      <c r="C50" s="36"/>
      <c r="D50" s="36"/>
      <c r="E50" s="36"/>
      <c r="F50" s="36"/>
      <c r="G50" s="175"/>
      <c r="H50" s="187">
        <v>45</v>
      </c>
      <c r="I50" s="188" t="str">
        <f t="shared" si="0"/>
        <v/>
      </c>
      <c r="J50" s="187">
        <f t="shared" si="5"/>
        <v>-1</v>
      </c>
      <c r="K50" s="187">
        <f t="shared" si="1"/>
        <v>-10</v>
      </c>
      <c r="L50" s="187"/>
      <c r="M50" s="189">
        <f t="shared" si="2"/>
        <v>0</v>
      </c>
    </row>
    <row r="51" spans="1:13">
      <c r="A51" s="106"/>
      <c r="B51" s="41" t="str">
        <f t="shared" si="4"/>
        <v/>
      </c>
      <c r="C51" s="42"/>
      <c r="D51" s="42"/>
      <c r="E51" s="42"/>
      <c r="F51" s="42"/>
      <c r="G51" s="175"/>
      <c r="H51" s="190">
        <v>46</v>
      </c>
      <c r="I51" s="191" t="str">
        <f t="shared" si="0"/>
        <v/>
      </c>
      <c r="J51" s="190">
        <f t="shared" si="5"/>
        <v>-1</v>
      </c>
      <c r="K51" s="190">
        <f t="shared" si="1"/>
        <v>-10</v>
      </c>
      <c r="L51" s="190"/>
      <c r="M51" s="192">
        <f t="shared" si="2"/>
        <v>0</v>
      </c>
    </row>
    <row r="52" spans="1:13">
      <c r="A52" s="102"/>
      <c r="B52" s="35" t="str">
        <f t="shared" si="4"/>
        <v/>
      </c>
      <c r="C52" s="36"/>
      <c r="D52" s="36"/>
      <c r="E52" s="36"/>
      <c r="F52" s="36"/>
      <c r="G52" s="175"/>
      <c r="H52" s="187">
        <v>47</v>
      </c>
      <c r="I52" s="188" t="str">
        <f t="shared" si="0"/>
        <v/>
      </c>
      <c r="J52" s="187">
        <f t="shared" si="5"/>
        <v>-1</v>
      </c>
      <c r="K52" s="187">
        <f t="shared" si="1"/>
        <v>-10</v>
      </c>
      <c r="L52" s="187"/>
      <c r="M52" s="189">
        <f t="shared" si="2"/>
        <v>0</v>
      </c>
    </row>
    <row r="53" spans="1:13">
      <c r="A53" s="106"/>
      <c r="B53" s="41" t="str">
        <f t="shared" si="4"/>
        <v/>
      </c>
      <c r="C53" s="42"/>
      <c r="D53" s="42"/>
      <c r="E53" s="42"/>
      <c r="F53" s="42"/>
      <c r="G53" s="175"/>
      <c r="H53" s="190">
        <v>48</v>
      </c>
      <c r="I53" s="191" t="str">
        <f t="shared" si="0"/>
        <v/>
      </c>
      <c r="J53" s="190">
        <f t="shared" si="5"/>
        <v>-1</v>
      </c>
      <c r="K53" s="190">
        <f t="shared" si="1"/>
        <v>-10</v>
      </c>
      <c r="L53" s="190"/>
      <c r="M53" s="192">
        <f t="shared" si="2"/>
        <v>0</v>
      </c>
    </row>
    <row r="54" spans="1:13">
      <c r="A54" s="102"/>
      <c r="B54" s="35" t="str">
        <f t="shared" si="4"/>
        <v/>
      </c>
      <c r="C54" s="36"/>
      <c r="D54" s="36"/>
      <c r="E54" s="36"/>
      <c r="F54" s="36"/>
      <c r="G54" s="175"/>
      <c r="H54" s="187">
        <v>49</v>
      </c>
      <c r="I54" s="188" t="str">
        <f t="shared" si="0"/>
        <v/>
      </c>
      <c r="J54" s="187">
        <f t="shared" si="5"/>
        <v>-1</v>
      </c>
      <c r="K54" s="187">
        <f t="shared" si="1"/>
        <v>-10</v>
      </c>
      <c r="L54" s="187"/>
      <c r="M54" s="189">
        <f t="shared" si="2"/>
        <v>0</v>
      </c>
    </row>
    <row r="55" spans="1:13">
      <c r="A55" s="106"/>
      <c r="B55" s="41" t="str">
        <f t="shared" si="4"/>
        <v/>
      </c>
      <c r="C55" s="42"/>
      <c r="D55" s="42"/>
      <c r="E55" s="42"/>
      <c r="F55" s="42"/>
      <c r="G55" s="175"/>
      <c r="H55" s="190">
        <v>50</v>
      </c>
      <c r="I55" s="191" t="str">
        <f t="shared" si="0"/>
        <v/>
      </c>
      <c r="J55" s="190">
        <f t="shared" si="5"/>
        <v>-1</v>
      </c>
      <c r="K55" s="190">
        <f t="shared" si="1"/>
        <v>-10</v>
      </c>
      <c r="L55" s="190"/>
      <c r="M55" s="192">
        <f t="shared" si="2"/>
        <v>0</v>
      </c>
    </row>
    <row r="56" spans="1:13">
      <c r="A56" s="102"/>
      <c r="B56" s="35" t="str">
        <f t="shared" si="4"/>
        <v/>
      </c>
      <c r="C56" s="36"/>
      <c r="D56" s="36"/>
      <c r="E56" s="36"/>
      <c r="F56" s="36"/>
      <c r="G56" s="175"/>
      <c r="H56" s="187">
        <v>51</v>
      </c>
      <c r="I56" s="188" t="str">
        <f t="shared" si="0"/>
        <v/>
      </c>
      <c r="J56" s="187">
        <f t="shared" si="5"/>
        <v>-1</v>
      </c>
      <c r="K56" s="187">
        <f t="shared" si="1"/>
        <v>-10</v>
      </c>
      <c r="L56" s="187"/>
      <c r="M56" s="189">
        <f t="shared" si="2"/>
        <v>0</v>
      </c>
    </row>
    <row r="57" spans="1:13">
      <c r="A57" s="106"/>
      <c r="B57" s="41" t="str">
        <f t="shared" si="4"/>
        <v/>
      </c>
      <c r="C57" s="42"/>
      <c r="D57" s="42"/>
      <c r="E57" s="42"/>
      <c r="F57" s="42"/>
      <c r="G57" s="175"/>
      <c r="H57" s="190">
        <v>52</v>
      </c>
      <c r="I57" s="191" t="str">
        <f t="shared" si="0"/>
        <v/>
      </c>
      <c r="J57" s="190">
        <f t="shared" si="5"/>
        <v>-1</v>
      </c>
      <c r="K57" s="190">
        <f t="shared" si="1"/>
        <v>-10</v>
      </c>
      <c r="L57" s="190"/>
      <c r="M57" s="192">
        <f t="shared" si="2"/>
        <v>0</v>
      </c>
    </row>
    <row r="58" spans="1:13">
      <c r="A58" s="102"/>
      <c r="B58" s="35" t="str">
        <f t="shared" si="4"/>
        <v/>
      </c>
      <c r="C58" s="36"/>
      <c r="D58" s="36"/>
      <c r="E58" s="36"/>
      <c r="F58" s="36"/>
      <c r="G58" s="175"/>
      <c r="H58" s="187">
        <v>53</v>
      </c>
      <c r="I58" s="188" t="str">
        <f t="shared" si="0"/>
        <v/>
      </c>
      <c r="J58" s="187">
        <f t="shared" si="5"/>
        <v>-1</v>
      </c>
      <c r="K58" s="187">
        <f t="shared" si="1"/>
        <v>-10</v>
      </c>
      <c r="L58" s="187"/>
      <c r="M58" s="189">
        <f t="shared" si="2"/>
        <v>0</v>
      </c>
    </row>
    <row r="59" spans="1:13">
      <c r="A59" s="106"/>
      <c r="B59" s="41" t="str">
        <f t="shared" si="4"/>
        <v/>
      </c>
      <c r="C59" s="42"/>
      <c r="D59" s="42"/>
      <c r="E59" s="42"/>
      <c r="F59" s="42"/>
      <c r="G59" s="175"/>
      <c r="H59" s="190">
        <v>54</v>
      </c>
      <c r="I59" s="191" t="str">
        <f t="shared" si="0"/>
        <v/>
      </c>
      <c r="J59" s="190">
        <f t="shared" si="5"/>
        <v>-1</v>
      </c>
      <c r="K59" s="190">
        <f t="shared" si="1"/>
        <v>-10</v>
      </c>
      <c r="L59" s="190"/>
      <c r="M59" s="192">
        <f t="shared" si="2"/>
        <v>0</v>
      </c>
    </row>
    <row r="60" spans="1:13">
      <c r="A60" s="102"/>
      <c r="B60" s="35" t="str">
        <f t="shared" si="4"/>
        <v/>
      </c>
      <c r="C60" s="36"/>
      <c r="D60" s="36"/>
      <c r="E60" s="36"/>
      <c r="F60" s="36"/>
      <c r="G60" s="175"/>
      <c r="H60" s="187">
        <v>55</v>
      </c>
      <c r="I60" s="188" t="str">
        <f t="shared" si="0"/>
        <v/>
      </c>
      <c r="J60" s="187">
        <f t="shared" si="5"/>
        <v>-1</v>
      </c>
      <c r="K60" s="187">
        <f t="shared" si="1"/>
        <v>-10</v>
      </c>
      <c r="L60" s="187"/>
      <c r="M60" s="189">
        <f t="shared" si="2"/>
        <v>0</v>
      </c>
    </row>
    <row r="61" spans="1:13">
      <c r="A61" s="106"/>
      <c r="B61" s="41" t="str">
        <f t="shared" si="4"/>
        <v/>
      </c>
      <c r="C61" s="42"/>
      <c r="D61" s="42"/>
      <c r="E61" s="42"/>
      <c r="F61" s="42"/>
      <c r="G61" s="175"/>
      <c r="H61" s="190">
        <v>56</v>
      </c>
      <c r="I61" s="191" t="str">
        <f t="shared" si="0"/>
        <v/>
      </c>
      <c r="J61" s="190">
        <f t="shared" si="5"/>
        <v>-1</v>
      </c>
      <c r="K61" s="190">
        <f t="shared" si="1"/>
        <v>-10</v>
      </c>
      <c r="L61" s="190"/>
      <c r="M61" s="192">
        <f t="shared" si="2"/>
        <v>0</v>
      </c>
    </row>
    <row r="62" spans="1:13">
      <c r="A62" s="102"/>
      <c r="B62" s="35" t="str">
        <f t="shared" si="4"/>
        <v/>
      </c>
      <c r="C62" s="36"/>
      <c r="D62" s="36"/>
      <c r="E62" s="36"/>
      <c r="F62" s="36"/>
      <c r="G62" s="175"/>
      <c r="H62" s="187">
        <v>57</v>
      </c>
      <c r="I62" s="188" t="str">
        <f t="shared" si="0"/>
        <v/>
      </c>
      <c r="J62" s="187">
        <f t="shared" si="5"/>
        <v>-1</v>
      </c>
      <c r="K62" s="187">
        <f t="shared" si="1"/>
        <v>-10</v>
      </c>
      <c r="L62" s="187"/>
      <c r="M62" s="189">
        <f t="shared" si="2"/>
        <v>0</v>
      </c>
    </row>
    <row r="63" spans="1:13">
      <c r="A63" s="106"/>
      <c r="B63" s="41" t="str">
        <f t="shared" si="4"/>
        <v/>
      </c>
      <c r="C63" s="42"/>
      <c r="D63" s="42"/>
      <c r="E63" s="42"/>
      <c r="F63" s="42"/>
      <c r="G63" s="175"/>
      <c r="H63" s="190">
        <v>58</v>
      </c>
      <c r="I63" s="191" t="str">
        <f t="shared" si="0"/>
        <v/>
      </c>
      <c r="J63" s="190">
        <f t="shared" si="5"/>
        <v>-1</v>
      </c>
      <c r="K63" s="190">
        <f t="shared" si="1"/>
        <v>-10</v>
      </c>
      <c r="L63" s="190"/>
      <c r="M63" s="192">
        <f t="shared" si="2"/>
        <v>0</v>
      </c>
    </row>
    <row r="64" spans="1:13">
      <c r="A64" s="102"/>
      <c r="B64" s="35" t="str">
        <f t="shared" si="4"/>
        <v/>
      </c>
      <c r="C64" s="36"/>
      <c r="D64" s="36"/>
      <c r="E64" s="36"/>
      <c r="F64" s="36"/>
      <c r="G64" s="175"/>
      <c r="H64" s="187">
        <v>59</v>
      </c>
      <c r="I64" s="188" t="str">
        <f t="shared" si="0"/>
        <v/>
      </c>
      <c r="J64" s="187">
        <f t="shared" si="5"/>
        <v>-1</v>
      </c>
      <c r="K64" s="187">
        <f t="shared" si="1"/>
        <v>-10</v>
      </c>
      <c r="L64" s="187"/>
      <c r="M64" s="189">
        <f t="shared" si="2"/>
        <v>0</v>
      </c>
    </row>
    <row r="65" spans="1:13">
      <c r="A65" s="106"/>
      <c r="B65" s="41" t="str">
        <f t="shared" si="4"/>
        <v/>
      </c>
      <c r="C65" s="42"/>
      <c r="D65" s="42"/>
      <c r="E65" s="42"/>
      <c r="F65" s="42"/>
      <c r="G65" s="175"/>
      <c r="H65" s="190">
        <v>60</v>
      </c>
      <c r="I65" s="191" t="str">
        <f t="shared" si="0"/>
        <v/>
      </c>
      <c r="J65" s="190">
        <f t="shared" si="5"/>
        <v>-1</v>
      </c>
      <c r="K65" s="190">
        <f t="shared" si="1"/>
        <v>-10</v>
      </c>
      <c r="L65" s="190"/>
      <c r="M65" s="192">
        <f t="shared" si="2"/>
        <v>0</v>
      </c>
    </row>
    <row r="66" spans="1:13">
      <c r="A66" s="212"/>
      <c r="B66" s="35"/>
      <c r="G66" s="175"/>
      <c r="H66" s="187">
        <v>61</v>
      </c>
      <c r="I66" s="188" t="str">
        <f t="shared" si="0"/>
        <v/>
      </c>
      <c r="J66" s="187">
        <f t="shared" si="5"/>
        <v>-1</v>
      </c>
      <c r="K66" s="187">
        <f t="shared" si="1"/>
        <v>-10</v>
      </c>
      <c r="L66" s="187"/>
      <c r="M66" s="189">
        <f t="shared" si="2"/>
        <v>0</v>
      </c>
    </row>
    <row r="67" spans="1:13">
      <c r="A67" s="212"/>
      <c r="B67" s="41"/>
      <c r="G67" s="175"/>
      <c r="H67" s="187">
        <v>62</v>
      </c>
      <c r="I67" s="188" t="str">
        <f t="shared" si="0"/>
        <v/>
      </c>
      <c r="J67" s="187">
        <f t="shared" si="5"/>
        <v>-1</v>
      </c>
      <c r="K67" s="187">
        <f t="shared" si="1"/>
        <v>-10</v>
      </c>
      <c r="L67" s="187"/>
      <c r="M67" s="189">
        <f t="shared" si="2"/>
        <v>0</v>
      </c>
    </row>
    <row r="68" spans="1:13">
      <c r="A68" s="212"/>
      <c r="B68" s="35"/>
      <c r="G68" s="175"/>
      <c r="H68" s="187">
        <v>63</v>
      </c>
      <c r="I68" s="188" t="str">
        <f t="shared" si="0"/>
        <v/>
      </c>
      <c r="J68" s="187">
        <f t="shared" si="5"/>
        <v>-1</v>
      </c>
      <c r="K68" s="187">
        <f t="shared" si="1"/>
        <v>-10</v>
      </c>
      <c r="L68" s="187"/>
      <c r="M68" s="189">
        <f t="shared" si="2"/>
        <v>0</v>
      </c>
    </row>
    <row r="69" spans="1:13">
      <c r="A69" s="212"/>
      <c r="B69" s="41"/>
      <c r="G69" s="175"/>
      <c r="H69" s="187">
        <v>64</v>
      </c>
      <c r="I69" s="188" t="str">
        <f t="shared" si="0"/>
        <v/>
      </c>
      <c r="J69" s="187">
        <f t="shared" si="5"/>
        <v>-1</v>
      </c>
      <c r="K69" s="187">
        <f t="shared" si="1"/>
        <v>-10</v>
      </c>
      <c r="L69" s="187"/>
      <c r="M69" s="189">
        <f t="shared" si="2"/>
        <v>0</v>
      </c>
    </row>
    <row r="70" spans="1:13">
      <c r="A70" s="212"/>
      <c r="G70" s="175"/>
      <c r="H70" s="187">
        <v>65</v>
      </c>
      <c r="I70" s="188" t="str">
        <f t="shared" ref="I70:I133" si="6">IF(H70&lt;$H$2+1,($I$2-($I$2-1)*(LOG(H70)/LOG($H$2))),"")</f>
        <v/>
      </c>
      <c r="J70" s="187">
        <f t="shared" si="5"/>
        <v>-2</v>
      </c>
      <c r="K70" s="187">
        <f t="shared" ref="K70:K133" si="7">J70*$J$2</f>
        <v>-20</v>
      </c>
      <c r="L70" s="187"/>
      <c r="M70" s="189">
        <f t="shared" ref="M70:M133" si="8">IF(I70&lt;&gt;"",K70+I70+L70,0)</f>
        <v>0</v>
      </c>
    </row>
    <row r="71" spans="1:13">
      <c r="A71" s="212"/>
      <c r="G71" s="175"/>
      <c r="H71" s="187">
        <v>66</v>
      </c>
      <c r="I71" s="188" t="str">
        <f t="shared" si="6"/>
        <v/>
      </c>
      <c r="J71" s="187">
        <f t="shared" ref="J71:J134" si="9">INT(LOG($H$2,2))-ROUNDUP(LOG(H71,2),0)+IF(OR($H$2=1,$H$2=2,$H$2=4,$H$2=8,$H$2=16,$H$2=32,$H$2=64,$H$2=128,$H$2=256),0,1)</f>
        <v>-2</v>
      </c>
      <c r="K71" s="187">
        <f t="shared" si="7"/>
        <v>-20</v>
      </c>
      <c r="L71" s="187"/>
      <c r="M71" s="189">
        <f t="shared" si="8"/>
        <v>0</v>
      </c>
    </row>
    <row r="72" spans="1:13">
      <c r="A72" s="212"/>
      <c r="G72" s="175"/>
      <c r="H72" s="187">
        <v>67</v>
      </c>
      <c r="I72" s="188" t="str">
        <f t="shared" si="6"/>
        <v/>
      </c>
      <c r="J72" s="187">
        <f t="shared" si="9"/>
        <v>-2</v>
      </c>
      <c r="K72" s="187">
        <f t="shared" si="7"/>
        <v>-20</v>
      </c>
      <c r="L72" s="187"/>
      <c r="M72" s="189">
        <f t="shared" si="8"/>
        <v>0</v>
      </c>
    </row>
    <row r="73" spans="1:13">
      <c r="A73" s="212"/>
      <c r="G73" s="175"/>
      <c r="H73" s="187">
        <v>68</v>
      </c>
      <c r="I73" s="188" t="str">
        <f t="shared" si="6"/>
        <v/>
      </c>
      <c r="J73" s="187">
        <f t="shared" si="9"/>
        <v>-2</v>
      </c>
      <c r="K73" s="187">
        <f t="shared" si="7"/>
        <v>-20</v>
      </c>
      <c r="L73" s="187"/>
      <c r="M73" s="189">
        <f t="shared" si="8"/>
        <v>0</v>
      </c>
    </row>
    <row r="74" spans="1:13">
      <c r="A74" s="212"/>
      <c r="G74" s="175"/>
      <c r="H74" s="187">
        <v>69</v>
      </c>
      <c r="I74" s="188" t="str">
        <f t="shared" si="6"/>
        <v/>
      </c>
      <c r="J74" s="187">
        <f t="shared" si="9"/>
        <v>-2</v>
      </c>
      <c r="K74" s="187">
        <f t="shared" si="7"/>
        <v>-20</v>
      </c>
      <c r="L74" s="187"/>
      <c r="M74" s="189">
        <f t="shared" si="8"/>
        <v>0</v>
      </c>
    </row>
    <row r="75" spans="1:13">
      <c r="A75" s="212"/>
      <c r="G75" s="175"/>
      <c r="H75" s="187">
        <v>70</v>
      </c>
      <c r="I75" s="188" t="str">
        <f t="shared" si="6"/>
        <v/>
      </c>
      <c r="J75" s="187">
        <f t="shared" si="9"/>
        <v>-2</v>
      </c>
      <c r="K75" s="187">
        <f t="shared" si="7"/>
        <v>-20</v>
      </c>
      <c r="L75" s="187"/>
      <c r="M75" s="189">
        <f t="shared" si="8"/>
        <v>0</v>
      </c>
    </row>
    <row r="76" spans="1:13">
      <c r="A76" s="212"/>
      <c r="G76" s="175"/>
      <c r="H76" s="187">
        <v>71</v>
      </c>
      <c r="I76" s="188" t="str">
        <f t="shared" si="6"/>
        <v/>
      </c>
      <c r="J76" s="187">
        <f t="shared" si="9"/>
        <v>-2</v>
      </c>
      <c r="K76" s="187">
        <f t="shared" si="7"/>
        <v>-20</v>
      </c>
      <c r="L76" s="187"/>
      <c r="M76" s="189">
        <f t="shared" si="8"/>
        <v>0</v>
      </c>
    </row>
    <row r="77" spans="1:13">
      <c r="A77" s="212"/>
      <c r="G77" s="175"/>
      <c r="H77" s="187">
        <v>72</v>
      </c>
      <c r="I77" s="188" t="str">
        <f t="shared" si="6"/>
        <v/>
      </c>
      <c r="J77" s="187">
        <f t="shared" si="9"/>
        <v>-2</v>
      </c>
      <c r="K77" s="187">
        <f t="shared" si="7"/>
        <v>-20</v>
      </c>
      <c r="L77" s="187"/>
      <c r="M77" s="189">
        <f t="shared" si="8"/>
        <v>0</v>
      </c>
    </row>
    <row r="78" spans="1:13">
      <c r="A78" s="212"/>
      <c r="G78" s="175"/>
      <c r="H78" s="187">
        <v>73</v>
      </c>
      <c r="I78" s="188" t="str">
        <f t="shared" si="6"/>
        <v/>
      </c>
      <c r="J78" s="187">
        <f t="shared" si="9"/>
        <v>-2</v>
      </c>
      <c r="K78" s="187">
        <f t="shared" si="7"/>
        <v>-20</v>
      </c>
      <c r="L78" s="187"/>
      <c r="M78" s="189">
        <f t="shared" si="8"/>
        <v>0</v>
      </c>
    </row>
    <row r="79" spans="1:13">
      <c r="A79" s="212"/>
      <c r="G79" s="175"/>
      <c r="H79" s="187">
        <v>74</v>
      </c>
      <c r="I79" s="188" t="str">
        <f t="shared" si="6"/>
        <v/>
      </c>
      <c r="J79" s="187">
        <f t="shared" si="9"/>
        <v>-2</v>
      </c>
      <c r="K79" s="187">
        <f t="shared" si="7"/>
        <v>-20</v>
      </c>
      <c r="L79" s="187"/>
      <c r="M79" s="189">
        <f t="shared" si="8"/>
        <v>0</v>
      </c>
    </row>
    <row r="80" spans="1:13">
      <c r="A80" s="212"/>
      <c r="G80" s="175"/>
      <c r="H80" s="187">
        <v>75</v>
      </c>
      <c r="I80" s="188" t="str">
        <f t="shared" si="6"/>
        <v/>
      </c>
      <c r="J80" s="187">
        <f t="shared" si="9"/>
        <v>-2</v>
      </c>
      <c r="K80" s="187">
        <f t="shared" si="7"/>
        <v>-20</v>
      </c>
      <c r="L80" s="187"/>
      <c r="M80" s="189">
        <f t="shared" si="8"/>
        <v>0</v>
      </c>
    </row>
    <row r="81" spans="1:13">
      <c r="A81" s="212"/>
      <c r="G81" s="175"/>
      <c r="H81" s="187">
        <v>76</v>
      </c>
      <c r="I81" s="188" t="str">
        <f t="shared" si="6"/>
        <v/>
      </c>
      <c r="J81" s="187">
        <f t="shared" si="9"/>
        <v>-2</v>
      </c>
      <c r="K81" s="187">
        <f t="shared" si="7"/>
        <v>-20</v>
      </c>
      <c r="L81" s="187"/>
      <c r="M81" s="189">
        <f t="shared" si="8"/>
        <v>0</v>
      </c>
    </row>
    <row r="82" spans="1:13">
      <c r="A82" s="212"/>
      <c r="G82" s="175"/>
      <c r="H82" s="187">
        <v>77</v>
      </c>
      <c r="I82" s="188" t="str">
        <f t="shared" si="6"/>
        <v/>
      </c>
      <c r="J82" s="187">
        <f t="shared" si="9"/>
        <v>-2</v>
      </c>
      <c r="K82" s="187">
        <f t="shared" si="7"/>
        <v>-20</v>
      </c>
      <c r="L82" s="187"/>
      <c r="M82" s="189">
        <f t="shared" si="8"/>
        <v>0</v>
      </c>
    </row>
    <row r="83" spans="1:13">
      <c r="A83" s="212"/>
      <c r="G83" s="175"/>
      <c r="H83" s="187">
        <v>78</v>
      </c>
      <c r="I83" s="188" t="str">
        <f t="shared" si="6"/>
        <v/>
      </c>
      <c r="J83" s="187">
        <f t="shared" si="9"/>
        <v>-2</v>
      </c>
      <c r="K83" s="187">
        <f t="shared" si="7"/>
        <v>-20</v>
      </c>
      <c r="L83" s="187"/>
      <c r="M83" s="189">
        <f t="shared" si="8"/>
        <v>0</v>
      </c>
    </row>
    <row r="84" spans="1:13">
      <c r="A84" s="212"/>
      <c r="G84" s="175"/>
      <c r="H84" s="187">
        <v>79</v>
      </c>
      <c r="I84" s="188" t="str">
        <f t="shared" si="6"/>
        <v/>
      </c>
      <c r="J84" s="187">
        <f t="shared" si="9"/>
        <v>-2</v>
      </c>
      <c r="K84" s="187">
        <f t="shared" si="7"/>
        <v>-20</v>
      </c>
      <c r="L84" s="187"/>
      <c r="M84" s="189">
        <f t="shared" si="8"/>
        <v>0</v>
      </c>
    </row>
    <row r="85" spans="1:13">
      <c r="A85" s="212"/>
      <c r="G85" s="175"/>
      <c r="H85" s="187">
        <v>80</v>
      </c>
      <c r="I85" s="188" t="str">
        <f t="shared" si="6"/>
        <v/>
      </c>
      <c r="J85" s="187">
        <f t="shared" si="9"/>
        <v>-2</v>
      </c>
      <c r="K85" s="187">
        <f t="shared" si="7"/>
        <v>-20</v>
      </c>
      <c r="L85" s="187"/>
      <c r="M85" s="189">
        <f t="shared" si="8"/>
        <v>0</v>
      </c>
    </row>
    <row r="86" spans="1:13">
      <c r="A86" s="212"/>
      <c r="G86" s="175"/>
      <c r="H86" s="187">
        <v>81</v>
      </c>
      <c r="I86" s="188" t="str">
        <f t="shared" si="6"/>
        <v/>
      </c>
      <c r="J86" s="187">
        <f t="shared" si="9"/>
        <v>-2</v>
      </c>
      <c r="K86" s="187">
        <f t="shared" si="7"/>
        <v>-20</v>
      </c>
      <c r="L86" s="187"/>
      <c r="M86" s="189">
        <f t="shared" si="8"/>
        <v>0</v>
      </c>
    </row>
    <row r="87" spans="1:13">
      <c r="A87" s="212"/>
      <c r="G87" s="175"/>
      <c r="H87" s="187">
        <v>82</v>
      </c>
      <c r="I87" s="188" t="str">
        <f t="shared" si="6"/>
        <v/>
      </c>
      <c r="J87" s="187">
        <f t="shared" si="9"/>
        <v>-2</v>
      </c>
      <c r="K87" s="187">
        <f t="shared" si="7"/>
        <v>-20</v>
      </c>
      <c r="L87" s="187"/>
      <c r="M87" s="189">
        <f t="shared" si="8"/>
        <v>0</v>
      </c>
    </row>
    <row r="88" spans="1:13">
      <c r="A88" s="212"/>
      <c r="G88" s="175"/>
      <c r="H88" s="187">
        <v>83</v>
      </c>
      <c r="I88" s="188" t="str">
        <f t="shared" si="6"/>
        <v/>
      </c>
      <c r="J88" s="187">
        <f t="shared" si="9"/>
        <v>-2</v>
      </c>
      <c r="K88" s="187">
        <f t="shared" si="7"/>
        <v>-20</v>
      </c>
      <c r="L88" s="187"/>
      <c r="M88" s="189">
        <f t="shared" si="8"/>
        <v>0</v>
      </c>
    </row>
    <row r="89" spans="1:13">
      <c r="A89" s="212"/>
      <c r="G89" s="175"/>
      <c r="H89" s="187">
        <v>84</v>
      </c>
      <c r="I89" s="188" t="str">
        <f t="shared" si="6"/>
        <v/>
      </c>
      <c r="J89" s="187">
        <f t="shared" si="9"/>
        <v>-2</v>
      </c>
      <c r="K89" s="187">
        <f t="shared" si="7"/>
        <v>-20</v>
      </c>
      <c r="L89" s="187"/>
      <c r="M89" s="189">
        <f t="shared" si="8"/>
        <v>0</v>
      </c>
    </row>
    <row r="90" spans="1:13">
      <c r="A90" s="212"/>
      <c r="G90" s="175"/>
      <c r="H90" s="187">
        <v>85</v>
      </c>
      <c r="I90" s="188" t="str">
        <f t="shared" si="6"/>
        <v/>
      </c>
      <c r="J90" s="187">
        <f t="shared" si="9"/>
        <v>-2</v>
      </c>
      <c r="K90" s="187">
        <f t="shared" si="7"/>
        <v>-20</v>
      </c>
      <c r="L90" s="187"/>
      <c r="M90" s="189">
        <f t="shared" si="8"/>
        <v>0</v>
      </c>
    </row>
    <row r="91" spans="1:13">
      <c r="A91" s="212"/>
      <c r="G91" s="175"/>
      <c r="H91" s="187">
        <v>86</v>
      </c>
      <c r="I91" s="188" t="str">
        <f t="shared" si="6"/>
        <v/>
      </c>
      <c r="J91" s="187">
        <f t="shared" si="9"/>
        <v>-2</v>
      </c>
      <c r="K91" s="187">
        <f t="shared" si="7"/>
        <v>-20</v>
      </c>
      <c r="L91" s="187"/>
      <c r="M91" s="189">
        <f t="shared" si="8"/>
        <v>0</v>
      </c>
    </row>
    <row r="92" spans="1:13">
      <c r="A92" s="212"/>
      <c r="G92" s="175"/>
      <c r="H92" s="187">
        <v>87</v>
      </c>
      <c r="I92" s="188" t="str">
        <f t="shared" si="6"/>
        <v/>
      </c>
      <c r="J92" s="187">
        <f t="shared" si="9"/>
        <v>-2</v>
      </c>
      <c r="K92" s="187">
        <f t="shared" si="7"/>
        <v>-20</v>
      </c>
      <c r="L92" s="187"/>
      <c r="M92" s="189">
        <f t="shared" si="8"/>
        <v>0</v>
      </c>
    </row>
    <row r="93" spans="1:13">
      <c r="A93" s="212"/>
      <c r="G93" s="175"/>
      <c r="H93" s="187">
        <v>88</v>
      </c>
      <c r="I93" s="188" t="str">
        <f t="shared" si="6"/>
        <v/>
      </c>
      <c r="J93" s="187">
        <f t="shared" si="9"/>
        <v>-2</v>
      </c>
      <c r="K93" s="187">
        <f t="shared" si="7"/>
        <v>-20</v>
      </c>
      <c r="L93" s="187"/>
      <c r="M93" s="189">
        <f t="shared" si="8"/>
        <v>0</v>
      </c>
    </row>
    <row r="94" spans="1:13">
      <c r="A94" s="212"/>
      <c r="G94" s="175"/>
      <c r="H94" s="187">
        <v>89</v>
      </c>
      <c r="I94" s="188" t="str">
        <f t="shared" si="6"/>
        <v/>
      </c>
      <c r="J94" s="187">
        <f t="shared" si="9"/>
        <v>-2</v>
      </c>
      <c r="K94" s="187">
        <f t="shared" si="7"/>
        <v>-20</v>
      </c>
      <c r="L94" s="187"/>
      <c r="M94" s="189">
        <f t="shared" si="8"/>
        <v>0</v>
      </c>
    </row>
    <row r="95" spans="1:13">
      <c r="A95" s="212"/>
      <c r="G95" s="175"/>
      <c r="H95" s="187">
        <v>90</v>
      </c>
      <c r="I95" s="188" t="str">
        <f t="shared" si="6"/>
        <v/>
      </c>
      <c r="J95" s="187">
        <f t="shared" si="9"/>
        <v>-2</v>
      </c>
      <c r="K95" s="187">
        <f t="shared" si="7"/>
        <v>-20</v>
      </c>
      <c r="L95" s="187"/>
      <c r="M95" s="189">
        <f t="shared" si="8"/>
        <v>0</v>
      </c>
    </row>
    <row r="96" spans="1:13">
      <c r="A96" s="212"/>
      <c r="G96" s="175"/>
      <c r="H96" s="187">
        <v>91</v>
      </c>
      <c r="I96" s="188" t="str">
        <f t="shared" si="6"/>
        <v/>
      </c>
      <c r="J96" s="187">
        <f t="shared" si="9"/>
        <v>-2</v>
      </c>
      <c r="K96" s="187">
        <f t="shared" si="7"/>
        <v>-20</v>
      </c>
      <c r="L96" s="187"/>
      <c r="M96" s="189">
        <f t="shared" si="8"/>
        <v>0</v>
      </c>
    </row>
    <row r="97" spans="1:13">
      <c r="A97" s="212"/>
      <c r="G97" s="175"/>
      <c r="H97" s="187">
        <v>92</v>
      </c>
      <c r="I97" s="188" t="str">
        <f t="shared" si="6"/>
        <v/>
      </c>
      <c r="J97" s="187">
        <f t="shared" si="9"/>
        <v>-2</v>
      </c>
      <c r="K97" s="187">
        <f t="shared" si="7"/>
        <v>-20</v>
      </c>
      <c r="L97" s="187"/>
      <c r="M97" s="189">
        <f t="shared" si="8"/>
        <v>0</v>
      </c>
    </row>
    <row r="98" spans="1:13">
      <c r="A98" s="212"/>
      <c r="G98" s="175"/>
      <c r="H98" s="187">
        <v>93</v>
      </c>
      <c r="I98" s="188" t="str">
        <f t="shared" si="6"/>
        <v/>
      </c>
      <c r="J98" s="187">
        <f t="shared" si="9"/>
        <v>-2</v>
      </c>
      <c r="K98" s="187">
        <f t="shared" si="7"/>
        <v>-20</v>
      </c>
      <c r="L98" s="187"/>
      <c r="M98" s="189">
        <f t="shared" si="8"/>
        <v>0</v>
      </c>
    </row>
    <row r="99" spans="1:13">
      <c r="A99" s="212"/>
      <c r="G99" s="175"/>
      <c r="H99" s="187">
        <v>94</v>
      </c>
      <c r="I99" s="188" t="str">
        <f t="shared" si="6"/>
        <v/>
      </c>
      <c r="J99" s="187">
        <f t="shared" si="9"/>
        <v>-2</v>
      </c>
      <c r="K99" s="187">
        <f t="shared" si="7"/>
        <v>-20</v>
      </c>
      <c r="L99" s="187"/>
      <c r="M99" s="189">
        <f t="shared" si="8"/>
        <v>0</v>
      </c>
    </row>
    <row r="100" spans="1:13">
      <c r="A100" s="212"/>
      <c r="G100" s="175"/>
      <c r="H100" s="187">
        <v>95</v>
      </c>
      <c r="I100" s="188" t="str">
        <f t="shared" si="6"/>
        <v/>
      </c>
      <c r="J100" s="187">
        <f t="shared" si="9"/>
        <v>-2</v>
      </c>
      <c r="K100" s="187">
        <f t="shared" si="7"/>
        <v>-20</v>
      </c>
      <c r="L100" s="187"/>
      <c r="M100" s="189">
        <f t="shared" si="8"/>
        <v>0</v>
      </c>
    </row>
    <row r="101" spans="1:13">
      <c r="A101" s="204"/>
      <c r="G101" s="175"/>
      <c r="H101" s="187">
        <v>96</v>
      </c>
      <c r="I101" s="188" t="str">
        <f t="shared" si="6"/>
        <v/>
      </c>
      <c r="J101" s="187">
        <f t="shared" si="9"/>
        <v>-2</v>
      </c>
      <c r="K101" s="187">
        <f t="shared" si="7"/>
        <v>-20</v>
      </c>
      <c r="L101" s="187"/>
      <c r="M101" s="189">
        <f t="shared" si="8"/>
        <v>0</v>
      </c>
    </row>
    <row r="102" spans="1:13">
      <c r="A102" s="204"/>
      <c r="G102" s="175"/>
      <c r="H102" s="187">
        <v>97</v>
      </c>
      <c r="I102" s="188" t="str">
        <f t="shared" si="6"/>
        <v/>
      </c>
      <c r="J102" s="187">
        <f t="shared" si="9"/>
        <v>-2</v>
      </c>
      <c r="K102" s="187">
        <f t="shared" si="7"/>
        <v>-20</v>
      </c>
      <c r="L102" s="187"/>
      <c r="M102" s="189">
        <f t="shared" si="8"/>
        <v>0</v>
      </c>
    </row>
    <row r="103" spans="1:13">
      <c r="A103" s="204"/>
      <c r="G103" s="175"/>
      <c r="H103" s="187">
        <v>98</v>
      </c>
      <c r="I103" s="188" t="str">
        <f t="shared" si="6"/>
        <v/>
      </c>
      <c r="J103" s="187">
        <f t="shared" si="9"/>
        <v>-2</v>
      </c>
      <c r="K103" s="187">
        <f t="shared" si="7"/>
        <v>-20</v>
      </c>
      <c r="L103" s="187"/>
      <c r="M103" s="189">
        <f t="shared" si="8"/>
        <v>0</v>
      </c>
    </row>
    <row r="104" spans="1:13">
      <c r="A104" s="204"/>
      <c r="G104" s="175"/>
      <c r="H104" s="187">
        <v>99</v>
      </c>
      <c r="I104" s="188" t="str">
        <f t="shared" si="6"/>
        <v/>
      </c>
      <c r="J104" s="187">
        <f t="shared" si="9"/>
        <v>-2</v>
      </c>
      <c r="K104" s="187">
        <f t="shared" si="7"/>
        <v>-20</v>
      </c>
      <c r="L104" s="187"/>
      <c r="M104" s="189">
        <f t="shared" si="8"/>
        <v>0</v>
      </c>
    </row>
    <row r="105" spans="1:13">
      <c r="A105" s="204"/>
      <c r="G105" s="175"/>
      <c r="H105" s="187">
        <v>100</v>
      </c>
      <c r="I105" s="188" t="str">
        <f t="shared" si="6"/>
        <v/>
      </c>
      <c r="J105" s="187">
        <f t="shared" si="9"/>
        <v>-2</v>
      </c>
      <c r="K105" s="187">
        <f t="shared" si="7"/>
        <v>-20</v>
      </c>
      <c r="L105" s="187"/>
      <c r="M105" s="189">
        <f t="shared" si="8"/>
        <v>0</v>
      </c>
    </row>
    <row r="106" spans="1:13">
      <c r="A106" s="204"/>
      <c r="G106" s="175"/>
      <c r="H106" s="187">
        <v>101</v>
      </c>
      <c r="I106" s="188" t="str">
        <f t="shared" si="6"/>
        <v/>
      </c>
      <c r="J106" s="187">
        <f t="shared" si="9"/>
        <v>-2</v>
      </c>
      <c r="K106" s="187">
        <f t="shared" si="7"/>
        <v>-20</v>
      </c>
      <c r="L106" s="187"/>
      <c r="M106" s="189">
        <f t="shared" si="8"/>
        <v>0</v>
      </c>
    </row>
    <row r="107" spans="1:13">
      <c r="A107" s="204"/>
      <c r="G107" s="175"/>
      <c r="H107" s="187">
        <v>102</v>
      </c>
      <c r="I107" s="188" t="str">
        <f t="shared" si="6"/>
        <v/>
      </c>
      <c r="J107" s="187">
        <f t="shared" si="9"/>
        <v>-2</v>
      </c>
      <c r="K107" s="187">
        <f t="shared" si="7"/>
        <v>-20</v>
      </c>
      <c r="L107" s="187"/>
      <c r="M107" s="189">
        <f t="shared" si="8"/>
        <v>0</v>
      </c>
    </row>
    <row r="108" spans="1:13">
      <c r="A108" s="204"/>
      <c r="G108" s="175"/>
      <c r="H108" s="187">
        <v>103</v>
      </c>
      <c r="I108" s="188" t="str">
        <f t="shared" si="6"/>
        <v/>
      </c>
      <c r="J108" s="187">
        <f t="shared" si="9"/>
        <v>-2</v>
      </c>
      <c r="K108" s="187">
        <f t="shared" si="7"/>
        <v>-20</v>
      </c>
      <c r="L108" s="187"/>
      <c r="M108" s="189">
        <f t="shared" si="8"/>
        <v>0</v>
      </c>
    </row>
    <row r="109" spans="1:13">
      <c r="A109" s="204"/>
      <c r="G109" s="175"/>
      <c r="H109" s="187">
        <v>104</v>
      </c>
      <c r="I109" s="188" t="str">
        <f t="shared" si="6"/>
        <v/>
      </c>
      <c r="J109" s="187">
        <f t="shared" si="9"/>
        <v>-2</v>
      </c>
      <c r="K109" s="187">
        <f t="shared" si="7"/>
        <v>-20</v>
      </c>
      <c r="L109" s="187"/>
      <c r="M109" s="189">
        <f t="shared" si="8"/>
        <v>0</v>
      </c>
    </row>
    <row r="110" spans="1:13">
      <c r="A110" s="204"/>
      <c r="G110" s="175"/>
      <c r="H110" s="187">
        <v>105</v>
      </c>
      <c r="I110" s="188" t="str">
        <f t="shared" si="6"/>
        <v/>
      </c>
      <c r="J110" s="187">
        <f t="shared" si="9"/>
        <v>-2</v>
      </c>
      <c r="K110" s="187">
        <f t="shared" si="7"/>
        <v>-20</v>
      </c>
      <c r="L110" s="187"/>
      <c r="M110" s="189">
        <f t="shared" si="8"/>
        <v>0</v>
      </c>
    </row>
    <row r="111" spans="1:13">
      <c r="A111" s="204"/>
      <c r="G111" s="175"/>
      <c r="H111" s="187">
        <v>106</v>
      </c>
      <c r="I111" s="188" t="str">
        <f t="shared" si="6"/>
        <v/>
      </c>
      <c r="J111" s="187">
        <f t="shared" si="9"/>
        <v>-2</v>
      </c>
      <c r="K111" s="187">
        <f t="shared" si="7"/>
        <v>-20</v>
      </c>
      <c r="L111" s="187"/>
      <c r="M111" s="189">
        <f t="shared" si="8"/>
        <v>0</v>
      </c>
    </row>
    <row r="112" spans="1:13">
      <c r="A112" s="204"/>
      <c r="G112" s="175"/>
      <c r="H112" s="187">
        <v>107</v>
      </c>
      <c r="I112" s="188" t="str">
        <f t="shared" si="6"/>
        <v/>
      </c>
      <c r="J112" s="187">
        <f t="shared" si="9"/>
        <v>-2</v>
      </c>
      <c r="K112" s="187">
        <f t="shared" si="7"/>
        <v>-20</v>
      </c>
      <c r="L112" s="187"/>
      <c r="M112" s="189">
        <f t="shared" si="8"/>
        <v>0</v>
      </c>
    </row>
    <row r="113" spans="1:13">
      <c r="A113" s="204"/>
      <c r="G113" s="175"/>
      <c r="H113" s="187">
        <v>108</v>
      </c>
      <c r="I113" s="188" t="str">
        <f t="shared" si="6"/>
        <v/>
      </c>
      <c r="J113" s="187">
        <f t="shared" si="9"/>
        <v>-2</v>
      </c>
      <c r="K113" s="187">
        <f t="shared" si="7"/>
        <v>-20</v>
      </c>
      <c r="L113" s="187"/>
      <c r="M113" s="189">
        <f t="shared" si="8"/>
        <v>0</v>
      </c>
    </row>
    <row r="114" spans="1:13">
      <c r="A114" s="204"/>
      <c r="G114" s="175"/>
      <c r="H114" s="187">
        <v>109</v>
      </c>
      <c r="I114" s="188" t="str">
        <f t="shared" si="6"/>
        <v/>
      </c>
      <c r="J114" s="187">
        <f t="shared" si="9"/>
        <v>-2</v>
      </c>
      <c r="K114" s="187">
        <f t="shared" si="7"/>
        <v>-20</v>
      </c>
      <c r="L114" s="187"/>
      <c r="M114" s="189">
        <f t="shared" si="8"/>
        <v>0</v>
      </c>
    </row>
    <row r="115" spans="1:13">
      <c r="A115" s="204"/>
      <c r="G115" s="175"/>
      <c r="H115" s="187">
        <v>110</v>
      </c>
      <c r="I115" s="188" t="str">
        <f t="shared" si="6"/>
        <v/>
      </c>
      <c r="J115" s="187">
        <f t="shared" si="9"/>
        <v>-2</v>
      </c>
      <c r="K115" s="187">
        <f t="shared" si="7"/>
        <v>-20</v>
      </c>
      <c r="L115" s="187"/>
      <c r="M115" s="189">
        <f t="shared" si="8"/>
        <v>0</v>
      </c>
    </row>
    <row r="116" spans="1:13">
      <c r="A116" s="204"/>
      <c r="G116" s="175"/>
      <c r="H116" s="187">
        <v>111</v>
      </c>
      <c r="I116" s="188" t="str">
        <f t="shared" si="6"/>
        <v/>
      </c>
      <c r="J116" s="187">
        <f t="shared" si="9"/>
        <v>-2</v>
      </c>
      <c r="K116" s="187">
        <f t="shared" si="7"/>
        <v>-20</v>
      </c>
      <c r="L116" s="187"/>
      <c r="M116" s="189">
        <f t="shared" si="8"/>
        <v>0</v>
      </c>
    </row>
    <row r="117" spans="1:13">
      <c r="A117" s="204"/>
      <c r="G117" s="175"/>
      <c r="H117" s="187">
        <v>112</v>
      </c>
      <c r="I117" s="188" t="str">
        <f t="shared" si="6"/>
        <v/>
      </c>
      <c r="J117" s="187">
        <f t="shared" si="9"/>
        <v>-2</v>
      </c>
      <c r="K117" s="187">
        <f t="shared" si="7"/>
        <v>-20</v>
      </c>
      <c r="L117" s="187"/>
      <c r="M117" s="189">
        <f t="shared" si="8"/>
        <v>0</v>
      </c>
    </row>
    <row r="118" spans="1:13">
      <c r="A118" s="204"/>
      <c r="G118" s="175"/>
      <c r="H118" s="187">
        <v>113</v>
      </c>
      <c r="I118" s="188" t="str">
        <f t="shared" si="6"/>
        <v/>
      </c>
      <c r="J118" s="187">
        <f t="shared" si="9"/>
        <v>-2</v>
      </c>
      <c r="K118" s="187">
        <f t="shared" si="7"/>
        <v>-20</v>
      </c>
      <c r="L118" s="187"/>
      <c r="M118" s="189">
        <f t="shared" si="8"/>
        <v>0</v>
      </c>
    </row>
    <row r="119" spans="1:13">
      <c r="A119" s="204"/>
      <c r="G119" s="175"/>
      <c r="H119" s="187">
        <v>114</v>
      </c>
      <c r="I119" s="188" t="str">
        <f t="shared" si="6"/>
        <v/>
      </c>
      <c r="J119" s="187">
        <f t="shared" si="9"/>
        <v>-2</v>
      </c>
      <c r="K119" s="187">
        <f t="shared" si="7"/>
        <v>-20</v>
      </c>
      <c r="L119" s="187"/>
      <c r="M119" s="189">
        <f t="shared" si="8"/>
        <v>0</v>
      </c>
    </row>
    <row r="120" spans="1:13">
      <c r="A120" s="204"/>
      <c r="G120" s="175"/>
      <c r="H120" s="187">
        <v>115</v>
      </c>
      <c r="I120" s="188" t="str">
        <f t="shared" si="6"/>
        <v/>
      </c>
      <c r="J120" s="187">
        <f t="shared" si="9"/>
        <v>-2</v>
      </c>
      <c r="K120" s="187">
        <f t="shared" si="7"/>
        <v>-20</v>
      </c>
      <c r="L120" s="187"/>
      <c r="M120" s="189">
        <f t="shared" si="8"/>
        <v>0</v>
      </c>
    </row>
    <row r="121" spans="1:13">
      <c r="A121" s="204"/>
      <c r="G121" s="175"/>
      <c r="H121" s="187">
        <v>116</v>
      </c>
      <c r="I121" s="188" t="str">
        <f t="shared" si="6"/>
        <v/>
      </c>
      <c r="J121" s="187">
        <f t="shared" si="9"/>
        <v>-2</v>
      </c>
      <c r="K121" s="187">
        <f t="shared" si="7"/>
        <v>-20</v>
      </c>
      <c r="L121" s="187"/>
      <c r="M121" s="189">
        <f t="shared" si="8"/>
        <v>0</v>
      </c>
    </row>
    <row r="122" spans="1:13">
      <c r="A122" s="204"/>
      <c r="G122" s="175"/>
      <c r="H122" s="187">
        <v>117</v>
      </c>
      <c r="I122" s="188" t="str">
        <f t="shared" si="6"/>
        <v/>
      </c>
      <c r="J122" s="187">
        <f t="shared" si="9"/>
        <v>-2</v>
      </c>
      <c r="K122" s="187">
        <f t="shared" si="7"/>
        <v>-20</v>
      </c>
      <c r="L122" s="187"/>
      <c r="M122" s="189">
        <f t="shared" si="8"/>
        <v>0</v>
      </c>
    </row>
    <row r="123" spans="1:13">
      <c r="A123" s="204"/>
      <c r="G123" s="175"/>
      <c r="H123" s="187">
        <v>118</v>
      </c>
      <c r="I123" s="188" t="str">
        <f t="shared" si="6"/>
        <v/>
      </c>
      <c r="J123" s="187">
        <f t="shared" si="9"/>
        <v>-2</v>
      </c>
      <c r="K123" s="187">
        <f t="shared" si="7"/>
        <v>-20</v>
      </c>
      <c r="L123" s="187"/>
      <c r="M123" s="189">
        <f t="shared" si="8"/>
        <v>0</v>
      </c>
    </row>
    <row r="124" spans="1:13">
      <c r="A124" s="204"/>
      <c r="G124" s="175"/>
      <c r="H124" s="187">
        <v>119</v>
      </c>
      <c r="I124" s="188" t="str">
        <f t="shared" si="6"/>
        <v/>
      </c>
      <c r="J124" s="187">
        <f t="shared" si="9"/>
        <v>-2</v>
      </c>
      <c r="K124" s="187">
        <f t="shared" si="7"/>
        <v>-20</v>
      </c>
      <c r="L124" s="187"/>
      <c r="M124" s="189">
        <f t="shared" si="8"/>
        <v>0</v>
      </c>
    </row>
    <row r="125" spans="1:13">
      <c r="A125" s="204"/>
      <c r="G125" s="175"/>
      <c r="H125" s="187">
        <v>120</v>
      </c>
      <c r="I125" s="188" t="str">
        <f t="shared" si="6"/>
        <v/>
      </c>
      <c r="J125" s="187">
        <f t="shared" si="9"/>
        <v>-2</v>
      </c>
      <c r="K125" s="187">
        <f t="shared" si="7"/>
        <v>-20</v>
      </c>
      <c r="L125" s="187"/>
      <c r="M125" s="189">
        <f t="shared" si="8"/>
        <v>0</v>
      </c>
    </row>
    <row r="126" spans="1:13">
      <c r="A126" s="204"/>
      <c r="G126" s="175"/>
      <c r="H126" s="187">
        <v>121</v>
      </c>
      <c r="I126" s="188" t="str">
        <f t="shared" si="6"/>
        <v/>
      </c>
      <c r="J126" s="187">
        <f t="shared" si="9"/>
        <v>-2</v>
      </c>
      <c r="K126" s="187">
        <f t="shared" si="7"/>
        <v>-20</v>
      </c>
      <c r="L126" s="187"/>
      <c r="M126" s="189">
        <f t="shared" si="8"/>
        <v>0</v>
      </c>
    </row>
    <row r="127" spans="1:13">
      <c r="A127" s="204"/>
      <c r="G127" s="175"/>
      <c r="H127" s="187">
        <v>122</v>
      </c>
      <c r="I127" s="188" t="str">
        <f t="shared" si="6"/>
        <v/>
      </c>
      <c r="J127" s="187">
        <f t="shared" si="9"/>
        <v>-2</v>
      </c>
      <c r="K127" s="187">
        <f t="shared" si="7"/>
        <v>-20</v>
      </c>
      <c r="L127" s="187"/>
      <c r="M127" s="189">
        <f t="shared" si="8"/>
        <v>0</v>
      </c>
    </row>
    <row r="128" spans="1:13">
      <c r="A128" s="204"/>
      <c r="G128" s="175"/>
      <c r="H128" s="187">
        <v>123</v>
      </c>
      <c r="I128" s="188" t="str">
        <f t="shared" si="6"/>
        <v/>
      </c>
      <c r="J128" s="187">
        <f t="shared" si="9"/>
        <v>-2</v>
      </c>
      <c r="K128" s="187">
        <f t="shared" si="7"/>
        <v>-20</v>
      </c>
      <c r="L128" s="187"/>
      <c r="M128" s="189">
        <f t="shared" si="8"/>
        <v>0</v>
      </c>
    </row>
    <row r="129" spans="1:13">
      <c r="A129" s="204"/>
      <c r="G129" s="175"/>
      <c r="H129" s="187">
        <v>124</v>
      </c>
      <c r="I129" s="188" t="str">
        <f t="shared" si="6"/>
        <v/>
      </c>
      <c r="J129" s="187">
        <f t="shared" si="9"/>
        <v>-2</v>
      </c>
      <c r="K129" s="187">
        <f t="shared" si="7"/>
        <v>-20</v>
      </c>
      <c r="L129" s="187"/>
      <c r="M129" s="189">
        <f t="shared" si="8"/>
        <v>0</v>
      </c>
    </row>
    <row r="130" spans="1:13">
      <c r="A130" s="204"/>
      <c r="G130" s="175"/>
      <c r="H130" s="187">
        <v>125</v>
      </c>
      <c r="I130" s="188" t="str">
        <f t="shared" si="6"/>
        <v/>
      </c>
      <c r="J130" s="187">
        <f t="shared" si="9"/>
        <v>-2</v>
      </c>
      <c r="K130" s="187">
        <f t="shared" si="7"/>
        <v>-20</v>
      </c>
      <c r="L130" s="187"/>
      <c r="M130" s="189">
        <f t="shared" si="8"/>
        <v>0</v>
      </c>
    </row>
    <row r="131" spans="1:13">
      <c r="A131" s="204"/>
      <c r="G131" s="175"/>
      <c r="H131" s="187">
        <v>126</v>
      </c>
      <c r="I131" s="188" t="str">
        <f t="shared" si="6"/>
        <v/>
      </c>
      <c r="J131" s="187">
        <f t="shared" si="9"/>
        <v>-2</v>
      </c>
      <c r="K131" s="187">
        <f t="shared" si="7"/>
        <v>-20</v>
      </c>
      <c r="L131" s="187"/>
      <c r="M131" s="189">
        <f t="shared" si="8"/>
        <v>0</v>
      </c>
    </row>
    <row r="132" spans="1:13">
      <c r="A132" s="204"/>
      <c r="G132" s="175"/>
      <c r="H132" s="187">
        <v>127</v>
      </c>
      <c r="I132" s="188" t="str">
        <f t="shared" si="6"/>
        <v/>
      </c>
      <c r="J132" s="187">
        <f t="shared" si="9"/>
        <v>-2</v>
      </c>
      <c r="K132" s="187">
        <f t="shared" si="7"/>
        <v>-20</v>
      </c>
      <c r="L132" s="187"/>
      <c r="M132" s="189">
        <f t="shared" si="8"/>
        <v>0</v>
      </c>
    </row>
    <row r="133" spans="1:13">
      <c r="A133" s="204"/>
      <c r="G133" s="175"/>
      <c r="H133" s="187">
        <v>128</v>
      </c>
      <c r="I133" s="188" t="str">
        <f t="shared" si="6"/>
        <v/>
      </c>
      <c r="J133" s="187">
        <f t="shared" si="9"/>
        <v>-2</v>
      </c>
      <c r="K133" s="187">
        <f t="shared" si="7"/>
        <v>-20</v>
      </c>
      <c r="L133" s="187"/>
      <c r="M133" s="189">
        <f t="shared" si="8"/>
        <v>0</v>
      </c>
    </row>
    <row r="134" spans="1:13">
      <c r="A134" s="204"/>
      <c r="G134" s="175"/>
      <c r="H134" s="187">
        <v>129</v>
      </c>
      <c r="I134" s="188" t="str">
        <f t="shared" ref="I134:I197" si="10">IF(H134&lt;$H$2+1,($I$2-($I$2-1)*(LOG(H134)/LOG($H$2))),"")</f>
        <v/>
      </c>
      <c r="J134" s="187">
        <f t="shared" si="9"/>
        <v>-3</v>
      </c>
      <c r="K134" s="187">
        <f t="shared" ref="K134:K197" si="11">J134*$J$2</f>
        <v>-30</v>
      </c>
      <c r="L134" s="187"/>
      <c r="M134" s="189">
        <f t="shared" ref="M134:M197" si="12">IF(I134&lt;&gt;"",K134+I134+L134,0)</f>
        <v>0</v>
      </c>
    </row>
    <row r="135" spans="1:13">
      <c r="A135" s="204"/>
      <c r="G135" s="175"/>
      <c r="H135" s="187">
        <v>130</v>
      </c>
      <c r="I135" s="188" t="str">
        <f t="shared" si="10"/>
        <v/>
      </c>
      <c r="J135" s="187">
        <f t="shared" ref="J135:J198" si="13">INT(LOG($H$2,2))-ROUNDUP(LOG(H135,2),0)+IF(OR($H$2=1,$H$2=2,$H$2=4,$H$2=8,$H$2=16,$H$2=32,$H$2=64,$H$2=128,$H$2=256),0,1)</f>
        <v>-3</v>
      </c>
      <c r="K135" s="187">
        <f t="shared" si="11"/>
        <v>-30</v>
      </c>
      <c r="L135" s="187"/>
      <c r="M135" s="189">
        <f t="shared" si="12"/>
        <v>0</v>
      </c>
    </row>
    <row r="136" spans="1:13">
      <c r="A136" s="204"/>
      <c r="G136" s="175"/>
      <c r="H136" s="187">
        <v>131</v>
      </c>
      <c r="I136" s="188" t="str">
        <f t="shared" si="10"/>
        <v/>
      </c>
      <c r="J136" s="187">
        <f t="shared" si="13"/>
        <v>-3</v>
      </c>
      <c r="K136" s="187">
        <f t="shared" si="11"/>
        <v>-30</v>
      </c>
      <c r="L136" s="187"/>
      <c r="M136" s="189">
        <f t="shared" si="12"/>
        <v>0</v>
      </c>
    </row>
    <row r="137" spans="1:13">
      <c r="A137" s="204"/>
      <c r="G137" s="175"/>
      <c r="H137" s="187">
        <v>132</v>
      </c>
      <c r="I137" s="188" t="str">
        <f t="shared" si="10"/>
        <v/>
      </c>
      <c r="J137" s="187">
        <f t="shared" si="13"/>
        <v>-3</v>
      </c>
      <c r="K137" s="187">
        <f t="shared" si="11"/>
        <v>-30</v>
      </c>
      <c r="L137" s="187"/>
      <c r="M137" s="189">
        <f t="shared" si="12"/>
        <v>0</v>
      </c>
    </row>
    <row r="138" spans="1:13">
      <c r="A138" s="204"/>
      <c r="G138" s="175"/>
      <c r="H138" s="187">
        <v>133</v>
      </c>
      <c r="I138" s="188" t="str">
        <f t="shared" si="10"/>
        <v/>
      </c>
      <c r="J138" s="187">
        <f t="shared" si="13"/>
        <v>-3</v>
      </c>
      <c r="K138" s="187">
        <f t="shared" si="11"/>
        <v>-30</v>
      </c>
      <c r="L138" s="187"/>
      <c r="M138" s="189">
        <f t="shared" si="12"/>
        <v>0</v>
      </c>
    </row>
    <row r="139" spans="1:13">
      <c r="A139" s="204"/>
      <c r="G139" s="175"/>
      <c r="H139" s="187">
        <v>134</v>
      </c>
      <c r="I139" s="188" t="str">
        <f t="shared" si="10"/>
        <v/>
      </c>
      <c r="J139" s="187">
        <f t="shared" si="13"/>
        <v>-3</v>
      </c>
      <c r="K139" s="187">
        <f t="shared" si="11"/>
        <v>-30</v>
      </c>
      <c r="L139" s="187"/>
      <c r="M139" s="189">
        <f t="shared" si="12"/>
        <v>0</v>
      </c>
    </row>
    <row r="140" spans="1:13">
      <c r="A140" s="204"/>
      <c r="G140" s="175"/>
      <c r="H140" s="187">
        <v>135</v>
      </c>
      <c r="I140" s="188" t="str">
        <f t="shared" si="10"/>
        <v/>
      </c>
      <c r="J140" s="187">
        <f t="shared" si="13"/>
        <v>-3</v>
      </c>
      <c r="K140" s="187">
        <f t="shared" si="11"/>
        <v>-30</v>
      </c>
      <c r="L140" s="187"/>
      <c r="M140" s="189">
        <f t="shared" si="12"/>
        <v>0</v>
      </c>
    </row>
    <row r="141" spans="1:13">
      <c r="A141" s="204"/>
      <c r="G141" s="175"/>
      <c r="H141" s="187">
        <v>136</v>
      </c>
      <c r="I141" s="188" t="str">
        <f t="shared" si="10"/>
        <v/>
      </c>
      <c r="J141" s="187">
        <f t="shared" si="13"/>
        <v>-3</v>
      </c>
      <c r="K141" s="187">
        <f t="shared" si="11"/>
        <v>-30</v>
      </c>
      <c r="L141" s="187"/>
      <c r="M141" s="189">
        <f t="shared" si="12"/>
        <v>0</v>
      </c>
    </row>
    <row r="142" spans="1:13">
      <c r="A142" s="204"/>
      <c r="G142" s="175"/>
      <c r="H142" s="187">
        <v>137</v>
      </c>
      <c r="I142" s="188" t="str">
        <f t="shared" si="10"/>
        <v/>
      </c>
      <c r="J142" s="187">
        <f t="shared" si="13"/>
        <v>-3</v>
      </c>
      <c r="K142" s="187">
        <f t="shared" si="11"/>
        <v>-30</v>
      </c>
      <c r="L142" s="187"/>
      <c r="M142" s="189">
        <f t="shared" si="12"/>
        <v>0</v>
      </c>
    </row>
    <row r="143" spans="1:13">
      <c r="A143" s="204"/>
      <c r="G143" s="175"/>
      <c r="H143" s="187">
        <v>138</v>
      </c>
      <c r="I143" s="188" t="str">
        <f t="shared" si="10"/>
        <v/>
      </c>
      <c r="J143" s="187">
        <f t="shared" si="13"/>
        <v>-3</v>
      </c>
      <c r="K143" s="187">
        <f t="shared" si="11"/>
        <v>-30</v>
      </c>
      <c r="L143" s="187"/>
      <c r="M143" s="189">
        <f t="shared" si="12"/>
        <v>0</v>
      </c>
    </row>
    <row r="144" spans="1:13">
      <c r="A144" s="204"/>
      <c r="G144" s="175"/>
      <c r="H144" s="187">
        <v>139</v>
      </c>
      <c r="I144" s="188" t="str">
        <f t="shared" si="10"/>
        <v/>
      </c>
      <c r="J144" s="187">
        <f t="shared" si="13"/>
        <v>-3</v>
      </c>
      <c r="K144" s="187">
        <f t="shared" si="11"/>
        <v>-30</v>
      </c>
      <c r="L144" s="187"/>
      <c r="M144" s="189">
        <f t="shared" si="12"/>
        <v>0</v>
      </c>
    </row>
    <row r="145" spans="1:13">
      <c r="A145" s="204"/>
      <c r="G145" s="175"/>
      <c r="H145" s="187">
        <v>140</v>
      </c>
      <c r="I145" s="188" t="str">
        <f t="shared" si="10"/>
        <v/>
      </c>
      <c r="J145" s="187">
        <f t="shared" si="13"/>
        <v>-3</v>
      </c>
      <c r="K145" s="187">
        <f t="shared" si="11"/>
        <v>-30</v>
      </c>
      <c r="L145" s="187"/>
      <c r="M145" s="189">
        <f t="shared" si="12"/>
        <v>0</v>
      </c>
    </row>
    <row r="146" spans="1:13">
      <c r="A146" s="204"/>
      <c r="G146" s="175"/>
      <c r="H146" s="187">
        <v>141</v>
      </c>
      <c r="I146" s="188" t="str">
        <f t="shared" si="10"/>
        <v/>
      </c>
      <c r="J146" s="187">
        <f t="shared" si="13"/>
        <v>-3</v>
      </c>
      <c r="K146" s="187">
        <f t="shared" si="11"/>
        <v>-30</v>
      </c>
      <c r="L146" s="187"/>
      <c r="M146" s="189">
        <f t="shared" si="12"/>
        <v>0</v>
      </c>
    </row>
    <row r="147" spans="1:13">
      <c r="A147" s="204"/>
      <c r="G147" s="175"/>
      <c r="H147" s="187">
        <v>142</v>
      </c>
      <c r="I147" s="188" t="str">
        <f t="shared" si="10"/>
        <v/>
      </c>
      <c r="J147" s="187">
        <f t="shared" si="13"/>
        <v>-3</v>
      </c>
      <c r="K147" s="187">
        <f t="shared" si="11"/>
        <v>-30</v>
      </c>
      <c r="L147" s="187"/>
      <c r="M147" s="189">
        <f t="shared" si="12"/>
        <v>0</v>
      </c>
    </row>
    <row r="148" spans="1:13">
      <c r="A148" s="204"/>
      <c r="G148" s="175"/>
      <c r="H148" s="187">
        <v>143</v>
      </c>
      <c r="I148" s="188" t="str">
        <f t="shared" si="10"/>
        <v/>
      </c>
      <c r="J148" s="187">
        <f t="shared" si="13"/>
        <v>-3</v>
      </c>
      <c r="K148" s="187">
        <f t="shared" si="11"/>
        <v>-30</v>
      </c>
      <c r="L148" s="187"/>
      <c r="M148" s="189">
        <f t="shared" si="12"/>
        <v>0</v>
      </c>
    </row>
    <row r="149" spans="1:13">
      <c r="A149" s="204"/>
      <c r="G149" s="175"/>
      <c r="H149" s="187">
        <v>144</v>
      </c>
      <c r="I149" s="188" t="str">
        <f t="shared" si="10"/>
        <v/>
      </c>
      <c r="J149" s="187">
        <f t="shared" si="13"/>
        <v>-3</v>
      </c>
      <c r="K149" s="187">
        <f t="shared" si="11"/>
        <v>-30</v>
      </c>
      <c r="L149" s="187"/>
      <c r="M149" s="189">
        <f t="shared" si="12"/>
        <v>0</v>
      </c>
    </row>
    <row r="150" spans="1:13">
      <c r="A150" s="204"/>
      <c r="G150" s="175"/>
      <c r="H150" s="187">
        <v>145</v>
      </c>
      <c r="I150" s="188" t="str">
        <f t="shared" si="10"/>
        <v/>
      </c>
      <c r="J150" s="187">
        <f t="shared" si="13"/>
        <v>-3</v>
      </c>
      <c r="K150" s="187">
        <f t="shared" si="11"/>
        <v>-30</v>
      </c>
      <c r="L150" s="187"/>
      <c r="M150" s="189">
        <f t="shared" si="12"/>
        <v>0</v>
      </c>
    </row>
    <row r="151" spans="1:13">
      <c r="A151" s="204"/>
      <c r="G151" s="175"/>
      <c r="H151" s="187">
        <v>146</v>
      </c>
      <c r="I151" s="188" t="str">
        <f t="shared" si="10"/>
        <v/>
      </c>
      <c r="J151" s="187">
        <f t="shared" si="13"/>
        <v>-3</v>
      </c>
      <c r="K151" s="187">
        <f t="shared" si="11"/>
        <v>-30</v>
      </c>
      <c r="L151" s="187"/>
      <c r="M151" s="189">
        <f t="shared" si="12"/>
        <v>0</v>
      </c>
    </row>
    <row r="152" spans="1:13">
      <c r="A152" s="204"/>
      <c r="G152" s="175"/>
      <c r="H152" s="187">
        <v>147</v>
      </c>
      <c r="I152" s="188" t="str">
        <f t="shared" si="10"/>
        <v/>
      </c>
      <c r="J152" s="187">
        <f t="shared" si="13"/>
        <v>-3</v>
      </c>
      <c r="K152" s="187">
        <f t="shared" si="11"/>
        <v>-30</v>
      </c>
      <c r="L152" s="187"/>
      <c r="M152" s="189">
        <f t="shared" si="12"/>
        <v>0</v>
      </c>
    </row>
    <row r="153" spans="1:13">
      <c r="A153" s="204"/>
      <c r="G153" s="175"/>
      <c r="H153" s="187">
        <v>148</v>
      </c>
      <c r="I153" s="188" t="str">
        <f t="shared" si="10"/>
        <v/>
      </c>
      <c r="J153" s="187">
        <f t="shared" si="13"/>
        <v>-3</v>
      </c>
      <c r="K153" s="187">
        <f t="shared" si="11"/>
        <v>-30</v>
      </c>
      <c r="L153" s="187"/>
      <c r="M153" s="189">
        <f t="shared" si="12"/>
        <v>0</v>
      </c>
    </row>
    <row r="154" spans="1:13">
      <c r="A154" s="204"/>
      <c r="G154" s="175"/>
      <c r="H154" s="187">
        <v>149</v>
      </c>
      <c r="I154" s="188" t="str">
        <f t="shared" si="10"/>
        <v/>
      </c>
      <c r="J154" s="187">
        <f t="shared" si="13"/>
        <v>-3</v>
      </c>
      <c r="K154" s="187">
        <f t="shared" si="11"/>
        <v>-30</v>
      </c>
      <c r="L154" s="187"/>
      <c r="M154" s="189">
        <f t="shared" si="12"/>
        <v>0</v>
      </c>
    </row>
    <row r="155" spans="1:13">
      <c r="A155" s="204"/>
      <c r="G155" s="175"/>
      <c r="H155" s="187">
        <v>150</v>
      </c>
      <c r="I155" s="188" t="str">
        <f t="shared" si="10"/>
        <v/>
      </c>
      <c r="J155" s="187">
        <f t="shared" si="13"/>
        <v>-3</v>
      </c>
      <c r="K155" s="187">
        <f t="shared" si="11"/>
        <v>-30</v>
      </c>
      <c r="L155" s="187"/>
      <c r="M155" s="189">
        <f t="shared" si="12"/>
        <v>0</v>
      </c>
    </row>
    <row r="156" spans="1:13">
      <c r="A156" s="204"/>
      <c r="G156" s="175"/>
      <c r="H156" s="187">
        <v>151</v>
      </c>
      <c r="I156" s="188" t="str">
        <f t="shared" si="10"/>
        <v/>
      </c>
      <c r="J156" s="187">
        <f t="shared" si="13"/>
        <v>-3</v>
      </c>
      <c r="K156" s="187">
        <f t="shared" si="11"/>
        <v>-30</v>
      </c>
      <c r="L156" s="187"/>
      <c r="M156" s="189">
        <f t="shared" si="12"/>
        <v>0</v>
      </c>
    </row>
    <row r="157" spans="1:13">
      <c r="A157" s="204"/>
      <c r="G157" s="175"/>
      <c r="H157" s="187">
        <v>152</v>
      </c>
      <c r="I157" s="188" t="str">
        <f t="shared" si="10"/>
        <v/>
      </c>
      <c r="J157" s="187">
        <f t="shared" si="13"/>
        <v>-3</v>
      </c>
      <c r="K157" s="187">
        <f t="shared" si="11"/>
        <v>-30</v>
      </c>
      <c r="L157" s="187"/>
      <c r="M157" s="189">
        <f t="shared" si="12"/>
        <v>0</v>
      </c>
    </row>
    <row r="158" spans="1:13">
      <c r="A158" s="204"/>
      <c r="G158" s="175"/>
      <c r="H158" s="187">
        <v>153</v>
      </c>
      <c r="I158" s="188" t="str">
        <f t="shared" si="10"/>
        <v/>
      </c>
      <c r="J158" s="187">
        <f t="shared" si="13"/>
        <v>-3</v>
      </c>
      <c r="K158" s="187">
        <f t="shared" si="11"/>
        <v>-30</v>
      </c>
      <c r="L158" s="187"/>
      <c r="M158" s="189">
        <f t="shared" si="12"/>
        <v>0</v>
      </c>
    </row>
    <row r="159" spans="1:13">
      <c r="A159" s="204"/>
      <c r="G159" s="175"/>
      <c r="H159" s="187">
        <v>154</v>
      </c>
      <c r="I159" s="188" t="str">
        <f t="shared" si="10"/>
        <v/>
      </c>
      <c r="J159" s="187">
        <f t="shared" si="13"/>
        <v>-3</v>
      </c>
      <c r="K159" s="187">
        <f t="shared" si="11"/>
        <v>-30</v>
      </c>
      <c r="L159" s="187"/>
      <c r="M159" s="189">
        <f t="shared" si="12"/>
        <v>0</v>
      </c>
    </row>
    <row r="160" spans="1:13">
      <c r="A160" s="204"/>
      <c r="G160" s="175"/>
      <c r="H160" s="187">
        <v>155</v>
      </c>
      <c r="I160" s="188" t="str">
        <f t="shared" si="10"/>
        <v/>
      </c>
      <c r="J160" s="187">
        <f t="shared" si="13"/>
        <v>-3</v>
      </c>
      <c r="K160" s="187">
        <f t="shared" si="11"/>
        <v>-30</v>
      </c>
      <c r="L160" s="187"/>
      <c r="M160" s="189">
        <f t="shared" si="12"/>
        <v>0</v>
      </c>
    </row>
    <row r="161" spans="1:13">
      <c r="A161" s="204"/>
      <c r="G161" s="175"/>
      <c r="H161" s="187">
        <v>156</v>
      </c>
      <c r="I161" s="188" t="str">
        <f t="shared" si="10"/>
        <v/>
      </c>
      <c r="J161" s="187">
        <f t="shared" si="13"/>
        <v>-3</v>
      </c>
      <c r="K161" s="187">
        <f t="shared" si="11"/>
        <v>-30</v>
      </c>
      <c r="L161" s="187"/>
      <c r="M161" s="189">
        <f t="shared" si="12"/>
        <v>0</v>
      </c>
    </row>
    <row r="162" spans="1:13">
      <c r="A162" s="204"/>
      <c r="G162" s="175"/>
      <c r="H162" s="187">
        <v>157</v>
      </c>
      <c r="I162" s="188" t="str">
        <f t="shared" si="10"/>
        <v/>
      </c>
      <c r="J162" s="187">
        <f t="shared" si="13"/>
        <v>-3</v>
      </c>
      <c r="K162" s="187">
        <f t="shared" si="11"/>
        <v>-30</v>
      </c>
      <c r="L162" s="187"/>
      <c r="M162" s="189">
        <f t="shared" si="12"/>
        <v>0</v>
      </c>
    </row>
    <row r="163" spans="1:13">
      <c r="A163" s="204"/>
      <c r="G163" s="175"/>
      <c r="H163" s="187">
        <v>158</v>
      </c>
      <c r="I163" s="188" t="str">
        <f t="shared" si="10"/>
        <v/>
      </c>
      <c r="J163" s="187">
        <f t="shared" si="13"/>
        <v>-3</v>
      </c>
      <c r="K163" s="187">
        <f t="shared" si="11"/>
        <v>-30</v>
      </c>
      <c r="L163" s="187"/>
      <c r="M163" s="189">
        <f t="shared" si="12"/>
        <v>0</v>
      </c>
    </row>
    <row r="164" spans="1:13">
      <c r="A164" s="204"/>
      <c r="G164" s="175"/>
      <c r="H164" s="187">
        <v>159</v>
      </c>
      <c r="I164" s="188" t="str">
        <f t="shared" si="10"/>
        <v/>
      </c>
      <c r="J164" s="187">
        <f t="shared" si="13"/>
        <v>-3</v>
      </c>
      <c r="K164" s="187">
        <f t="shared" si="11"/>
        <v>-30</v>
      </c>
      <c r="L164" s="187"/>
      <c r="M164" s="189">
        <f t="shared" si="12"/>
        <v>0</v>
      </c>
    </row>
    <row r="165" spans="1:13">
      <c r="A165" s="204"/>
      <c r="G165" s="175"/>
      <c r="H165" s="187">
        <v>160</v>
      </c>
      <c r="I165" s="188" t="str">
        <f t="shared" si="10"/>
        <v/>
      </c>
      <c r="J165" s="187">
        <f t="shared" si="13"/>
        <v>-3</v>
      </c>
      <c r="K165" s="187">
        <f t="shared" si="11"/>
        <v>-30</v>
      </c>
      <c r="L165" s="187"/>
      <c r="M165" s="189">
        <f t="shared" si="12"/>
        <v>0</v>
      </c>
    </row>
    <row r="166" spans="1:13">
      <c r="A166" s="204"/>
      <c r="G166" s="175"/>
      <c r="H166" s="187">
        <v>161</v>
      </c>
      <c r="I166" s="188" t="str">
        <f t="shared" si="10"/>
        <v/>
      </c>
      <c r="J166" s="187">
        <f t="shared" si="13"/>
        <v>-3</v>
      </c>
      <c r="K166" s="187">
        <f t="shared" si="11"/>
        <v>-30</v>
      </c>
      <c r="L166" s="187"/>
      <c r="M166" s="189">
        <f t="shared" si="12"/>
        <v>0</v>
      </c>
    </row>
    <row r="167" spans="1:13">
      <c r="A167" s="204"/>
      <c r="G167" s="175"/>
      <c r="H167" s="187">
        <v>162</v>
      </c>
      <c r="I167" s="188" t="str">
        <f t="shared" si="10"/>
        <v/>
      </c>
      <c r="J167" s="187">
        <f t="shared" si="13"/>
        <v>-3</v>
      </c>
      <c r="K167" s="187">
        <f t="shared" si="11"/>
        <v>-30</v>
      </c>
      <c r="L167" s="187"/>
      <c r="M167" s="189">
        <f t="shared" si="12"/>
        <v>0</v>
      </c>
    </row>
    <row r="168" spans="1:13">
      <c r="A168" s="204"/>
      <c r="G168" s="175"/>
      <c r="H168" s="187">
        <v>163</v>
      </c>
      <c r="I168" s="188" t="str">
        <f t="shared" si="10"/>
        <v/>
      </c>
      <c r="J168" s="187">
        <f t="shared" si="13"/>
        <v>-3</v>
      </c>
      <c r="K168" s="187">
        <f t="shared" si="11"/>
        <v>-30</v>
      </c>
      <c r="L168" s="187"/>
      <c r="M168" s="189">
        <f t="shared" si="12"/>
        <v>0</v>
      </c>
    </row>
    <row r="169" spans="1:13">
      <c r="A169" s="204"/>
      <c r="C169" s="203" t="s">
        <v>57</v>
      </c>
      <c r="G169" s="175"/>
      <c r="H169" s="187">
        <v>164</v>
      </c>
      <c r="I169" s="188" t="str">
        <f t="shared" si="10"/>
        <v/>
      </c>
      <c r="J169" s="187">
        <f t="shared" si="13"/>
        <v>-3</v>
      </c>
      <c r="K169" s="187">
        <f t="shared" si="11"/>
        <v>-30</v>
      </c>
      <c r="L169" s="187"/>
      <c r="M169" s="189">
        <f t="shared" si="12"/>
        <v>0</v>
      </c>
    </row>
    <row r="170" spans="1:13">
      <c r="A170" s="204"/>
      <c r="G170" s="175"/>
      <c r="H170" s="187">
        <v>165</v>
      </c>
      <c r="I170" s="188" t="str">
        <f t="shared" si="10"/>
        <v/>
      </c>
      <c r="J170" s="187">
        <f t="shared" si="13"/>
        <v>-3</v>
      </c>
      <c r="K170" s="187">
        <f t="shared" si="11"/>
        <v>-30</v>
      </c>
      <c r="L170" s="187"/>
      <c r="M170" s="189">
        <f t="shared" si="12"/>
        <v>0</v>
      </c>
    </row>
    <row r="171" spans="1:13">
      <c r="A171" s="204"/>
      <c r="G171" s="175"/>
      <c r="H171" s="187">
        <v>166</v>
      </c>
      <c r="I171" s="188" t="str">
        <f t="shared" si="10"/>
        <v/>
      </c>
      <c r="J171" s="187">
        <f t="shared" si="13"/>
        <v>-3</v>
      </c>
      <c r="K171" s="187">
        <f t="shared" si="11"/>
        <v>-30</v>
      </c>
      <c r="L171" s="187"/>
      <c r="M171" s="189">
        <f t="shared" si="12"/>
        <v>0</v>
      </c>
    </row>
    <row r="172" spans="1:13">
      <c r="A172" s="204"/>
      <c r="G172" s="175"/>
      <c r="H172" s="187">
        <v>167</v>
      </c>
      <c r="I172" s="188" t="str">
        <f t="shared" si="10"/>
        <v/>
      </c>
      <c r="J172" s="187">
        <f t="shared" si="13"/>
        <v>-3</v>
      </c>
      <c r="K172" s="187">
        <f t="shared" si="11"/>
        <v>-30</v>
      </c>
      <c r="L172" s="187"/>
      <c r="M172" s="189">
        <f t="shared" si="12"/>
        <v>0</v>
      </c>
    </row>
    <row r="173" spans="1:13">
      <c r="A173" s="204"/>
      <c r="G173" s="175"/>
      <c r="H173" s="187">
        <v>168</v>
      </c>
      <c r="I173" s="188" t="str">
        <f t="shared" si="10"/>
        <v/>
      </c>
      <c r="J173" s="187">
        <f t="shared" si="13"/>
        <v>-3</v>
      </c>
      <c r="K173" s="187">
        <f t="shared" si="11"/>
        <v>-30</v>
      </c>
      <c r="L173" s="187"/>
      <c r="M173" s="189">
        <f t="shared" si="12"/>
        <v>0</v>
      </c>
    </row>
    <row r="174" spans="1:13">
      <c r="A174" s="204"/>
      <c r="G174" s="175"/>
      <c r="H174" s="187">
        <v>169</v>
      </c>
      <c r="I174" s="188" t="str">
        <f t="shared" si="10"/>
        <v/>
      </c>
      <c r="J174" s="187">
        <f t="shared" si="13"/>
        <v>-3</v>
      </c>
      <c r="K174" s="187">
        <f t="shared" si="11"/>
        <v>-30</v>
      </c>
      <c r="L174" s="187"/>
      <c r="M174" s="189">
        <f t="shared" si="12"/>
        <v>0</v>
      </c>
    </row>
    <row r="175" spans="1:13">
      <c r="A175" s="204"/>
      <c r="G175" s="175"/>
      <c r="H175" s="187">
        <v>170</v>
      </c>
      <c r="I175" s="188" t="str">
        <f t="shared" si="10"/>
        <v/>
      </c>
      <c r="J175" s="187">
        <f t="shared" si="13"/>
        <v>-3</v>
      </c>
      <c r="K175" s="187">
        <f t="shared" si="11"/>
        <v>-30</v>
      </c>
      <c r="L175" s="187"/>
      <c r="M175" s="189">
        <f t="shared" si="12"/>
        <v>0</v>
      </c>
    </row>
    <row r="176" spans="1:13">
      <c r="A176" s="204"/>
      <c r="G176" s="175"/>
      <c r="H176" s="187">
        <v>171</v>
      </c>
      <c r="I176" s="188" t="str">
        <f t="shared" si="10"/>
        <v/>
      </c>
      <c r="J176" s="187">
        <f t="shared" si="13"/>
        <v>-3</v>
      </c>
      <c r="K176" s="187">
        <f t="shared" si="11"/>
        <v>-30</v>
      </c>
      <c r="L176" s="187"/>
      <c r="M176" s="189">
        <f t="shared" si="12"/>
        <v>0</v>
      </c>
    </row>
    <row r="177" spans="1:13">
      <c r="A177" s="204"/>
      <c r="G177" s="175"/>
      <c r="H177" s="187">
        <v>172</v>
      </c>
      <c r="I177" s="188" t="str">
        <f t="shared" si="10"/>
        <v/>
      </c>
      <c r="J177" s="187">
        <f t="shared" si="13"/>
        <v>-3</v>
      </c>
      <c r="K177" s="187">
        <f t="shared" si="11"/>
        <v>-30</v>
      </c>
      <c r="L177" s="187"/>
      <c r="M177" s="189">
        <f t="shared" si="12"/>
        <v>0</v>
      </c>
    </row>
    <row r="178" spans="1:13">
      <c r="A178" s="204"/>
      <c r="G178" s="175"/>
      <c r="H178" s="187">
        <v>173</v>
      </c>
      <c r="I178" s="188" t="str">
        <f t="shared" si="10"/>
        <v/>
      </c>
      <c r="J178" s="187">
        <f t="shared" si="13"/>
        <v>-3</v>
      </c>
      <c r="K178" s="187">
        <f t="shared" si="11"/>
        <v>-30</v>
      </c>
      <c r="L178" s="187"/>
      <c r="M178" s="189">
        <f t="shared" si="12"/>
        <v>0</v>
      </c>
    </row>
    <row r="179" spans="1:13">
      <c r="A179" s="204"/>
      <c r="G179" s="175"/>
      <c r="H179" s="187">
        <v>174</v>
      </c>
      <c r="I179" s="188" t="str">
        <f t="shared" si="10"/>
        <v/>
      </c>
      <c r="J179" s="187">
        <f t="shared" si="13"/>
        <v>-3</v>
      </c>
      <c r="K179" s="187">
        <f t="shared" si="11"/>
        <v>-30</v>
      </c>
      <c r="L179" s="187"/>
      <c r="M179" s="189">
        <f t="shared" si="12"/>
        <v>0</v>
      </c>
    </row>
    <row r="180" spans="1:13">
      <c r="A180" s="204"/>
      <c r="G180" s="175"/>
      <c r="H180" s="187">
        <v>175</v>
      </c>
      <c r="I180" s="188" t="str">
        <f t="shared" si="10"/>
        <v/>
      </c>
      <c r="J180" s="187">
        <f t="shared" si="13"/>
        <v>-3</v>
      </c>
      <c r="K180" s="187">
        <f t="shared" si="11"/>
        <v>-30</v>
      </c>
      <c r="L180" s="187"/>
      <c r="M180" s="189">
        <f t="shared" si="12"/>
        <v>0</v>
      </c>
    </row>
    <row r="181" spans="1:13">
      <c r="A181" s="204"/>
      <c r="G181" s="175"/>
      <c r="H181" s="187">
        <v>176</v>
      </c>
      <c r="I181" s="188" t="str">
        <f t="shared" si="10"/>
        <v/>
      </c>
      <c r="J181" s="187">
        <f t="shared" si="13"/>
        <v>-3</v>
      </c>
      <c r="K181" s="187">
        <f t="shared" si="11"/>
        <v>-30</v>
      </c>
      <c r="L181" s="187"/>
      <c r="M181" s="189">
        <f t="shared" si="12"/>
        <v>0</v>
      </c>
    </row>
    <row r="182" spans="1:13">
      <c r="A182" s="204"/>
      <c r="G182" s="175"/>
      <c r="H182" s="187">
        <v>177</v>
      </c>
      <c r="I182" s="188" t="str">
        <f t="shared" si="10"/>
        <v/>
      </c>
      <c r="J182" s="187">
        <f t="shared" si="13"/>
        <v>-3</v>
      </c>
      <c r="K182" s="187">
        <f t="shared" si="11"/>
        <v>-30</v>
      </c>
      <c r="L182" s="187"/>
      <c r="M182" s="189">
        <f t="shared" si="12"/>
        <v>0</v>
      </c>
    </row>
    <row r="183" spans="1:13">
      <c r="A183" s="204"/>
      <c r="G183" s="175"/>
      <c r="H183" s="187">
        <v>178</v>
      </c>
      <c r="I183" s="188" t="str">
        <f t="shared" si="10"/>
        <v/>
      </c>
      <c r="J183" s="187">
        <f t="shared" si="13"/>
        <v>-3</v>
      </c>
      <c r="K183" s="187">
        <f t="shared" si="11"/>
        <v>-30</v>
      </c>
      <c r="L183" s="187"/>
      <c r="M183" s="189">
        <f t="shared" si="12"/>
        <v>0</v>
      </c>
    </row>
    <row r="184" spans="1:13">
      <c r="A184" s="204"/>
      <c r="G184" s="175"/>
      <c r="H184" s="187">
        <v>179</v>
      </c>
      <c r="I184" s="188" t="str">
        <f t="shared" si="10"/>
        <v/>
      </c>
      <c r="J184" s="187">
        <f t="shared" si="13"/>
        <v>-3</v>
      </c>
      <c r="K184" s="187">
        <f t="shared" si="11"/>
        <v>-30</v>
      </c>
      <c r="L184" s="187"/>
      <c r="M184" s="189">
        <f t="shared" si="12"/>
        <v>0</v>
      </c>
    </row>
    <row r="185" spans="1:13">
      <c r="A185" s="204"/>
      <c r="G185" s="175"/>
      <c r="H185" s="187">
        <v>180</v>
      </c>
      <c r="I185" s="188" t="str">
        <f t="shared" si="10"/>
        <v/>
      </c>
      <c r="J185" s="187">
        <f t="shared" si="13"/>
        <v>-3</v>
      </c>
      <c r="K185" s="187">
        <f t="shared" si="11"/>
        <v>-30</v>
      </c>
      <c r="L185" s="187"/>
      <c r="M185" s="189">
        <f t="shared" si="12"/>
        <v>0</v>
      </c>
    </row>
    <row r="186" spans="1:13">
      <c r="A186" s="204"/>
      <c r="G186" s="175"/>
      <c r="H186" s="187">
        <v>181</v>
      </c>
      <c r="I186" s="188" t="str">
        <f t="shared" si="10"/>
        <v/>
      </c>
      <c r="J186" s="187">
        <f t="shared" si="13"/>
        <v>-3</v>
      </c>
      <c r="K186" s="187">
        <f t="shared" si="11"/>
        <v>-30</v>
      </c>
      <c r="L186" s="187"/>
      <c r="M186" s="189">
        <f t="shared" si="12"/>
        <v>0</v>
      </c>
    </row>
    <row r="187" spans="1:13">
      <c r="A187" s="204"/>
      <c r="G187" s="175"/>
      <c r="H187" s="187">
        <v>182</v>
      </c>
      <c r="I187" s="188" t="str">
        <f t="shared" si="10"/>
        <v/>
      </c>
      <c r="J187" s="187">
        <f t="shared" si="13"/>
        <v>-3</v>
      </c>
      <c r="K187" s="187">
        <f t="shared" si="11"/>
        <v>-30</v>
      </c>
      <c r="L187" s="187"/>
      <c r="M187" s="189">
        <f t="shared" si="12"/>
        <v>0</v>
      </c>
    </row>
    <row r="188" spans="1:13">
      <c r="A188" s="204"/>
      <c r="G188" s="175"/>
      <c r="H188" s="187">
        <v>183</v>
      </c>
      <c r="I188" s="188" t="str">
        <f t="shared" si="10"/>
        <v/>
      </c>
      <c r="J188" s="187">
        <f t="shared" si="13"/>
        <v>-3</v>
      </c>
      <c r="K188" s="187">
        <f t="shared" si="11"/>
        <v>-30</v>
      </c>
      <c r="L188" s="187"/>
      <c r="M188" s="189">
        <f t="shared" si="12"/>
        <v>0</v>
      </c>
    </row>
    <row r="189" spans="1:13">
      <c r="A189" s="204"/>
      <c r="G189" s="175"/>
      <c r="H189" s="187">
        <v>184</v>
      </c>
      <c r="I189" s="188" t="str">
        <f t="shared" si="10"/>
        <v/>
      </c>
      <c r="J189" s="187">
        <f t="shared" si="13"/>
        <v>-3</v>
      </c>
      <c r="K189" s="187">
        <f t="shared" si="11"/>
        <v>-30</v>
      </c>
      <c r="L189" s="187"/>
      <c r="M189" s="189">
        <f t="shared" si="12"/>
        <v>0</v>
      </c>
    </row>
    <row r="190" spans="1:13">
      <c r="A190" s="204"/>
      <c r="G190" s="175"/>
      <c r="H190" s="187">
        <v>185</v>
      </c>
      <c r="I190" s="188" t="str">
        <f t="shared" si="10"/>
        <v/>
      </c>
      <c r="J190" s="187">
        <f t="shared" si="13"/>
        <v>-3</v>
      </c>
      <c r="K190" s="187">
        <f t="shared" si="11"/>
        <v>-30</v>
      </c>
      <c r="L190" s="187"/>
      <c r="M190" s="189">
        <f t="shared" si="12"/>
        <v>0</v>
      </c>
    </row>
    <row r="191" spans="1:13">
      <c r="A191" s="204"/>
      <c r="G191" s="175"/>
      <c r="H191" s="187">
        <v>186</v>
      </c>
      <c r="I191" s="188" t="str">
        <f t="shared" si="10"/>
        <v/>
      </c>
      <c r="J191" s="187">
        <f t="shared" si="13"/>
        <v>-3</v>
      </c>
      <c r="K191" s="187">
        <f t="shared" si="11"/>
        <v>-30</v>
      </c>
      <c r="L191" s="187"/>
      <c r="M191" s="189">
        <f t="shared" si="12"/>
        <v>0</v>
      </c>
    </row>
    <row r="192" spans="1:13">
      <c r="A192" s="204"/>
      <c r="G192" s="175"/>
      <c r="H192" s="187">
        <v>187</v>
      </c>
      <c r="I192" s="188" t="str">
        <f t="shared" si="10"/>
        <v/>
      </c>
      <c r="J192" s="187">
        <f t="shared" si="13"/>
        <v>-3</v>
      </c>
      <c r="K192" s="187">
        <f t="shared" si="11"/>
        <v>-30</v>
      </c>
      <c r="L192" s="187"/>
      <c r="M192" s="189">
        <f t="shared" si="12"/>
        <v>0</v>
      </c>
    </row>
    <row r="193" spans="1:13">
      <c r="A193" s="204"/>
      <c r="G193" s="175"/>
      <c r="H193" s="187">
        <v>188</v>
      </c>
      <c r="I193" s="188" t="str">
        <f t="shared" si="10"/>
        <v/>
      </c>
      <c r="J193" s="187">
        <f t="shared" si="13"/>
        <v>-3</v>
      </c>
      <c r="K193" s="187">
        <f t="shared" si="11"/>
        <v>-30</v>
      </c>
      <c r="L193" s="187"/>
      <c r="M193" s="189">
        <f t="shared" si="12"/>
        <v>0</v>
      </c>
    </row>
    <row r="194" spans="1:13">
      <c r="A194" s="204"/>
      <c r="G194" s="175"/>
      <c r="H194" s="187">
        <v>189</v>
      </c>
      <c r="I194" s="188" t="str">
        <f t="shared" si="10"/>
        <v/>
      </c>
      <c r="J194" s="187">
        <f t="shared" si="13"/>
        <v>-3</v>
      </c>
      <c r="K194" s="187">
        <f t="shared" si="11"/>
        <v>-30</v>
      </c>
      <c r="L194" s="187"/>
      <c r="M194" s="189">
        <f t="shared" si="12"/>
        <v>0</v>
      </c>
    </row>
    <row r="195" spans="1:13">
      <c r="A195" s="204"/>
      <c r="G195" s="175"/>
      <c r="H195" s="187">
        <v>190</v>
      </c>
      <c r="I195" s="188" t="str">
        <f t="shared" si="10"/>
        <v/>
      </c>
      <c r="J195" s="187">
        <f t="shared" si="13"/>
        <v>-3</v>
      </c>
      <c r="K195" s="187">
        <f t="shared" si="11"/>
        <v>-30</v>
      </c>
      <c r="L195" s="187"/>
      <c r="M195" s="189">
        <f t="shared" si="12"/>
        <v>0</v>
      </c>
    </row>
    <row r="196" spans="1:13">
      <c r="A196" s="204"/>
      <c r="G196" s="175"/>
      <c r="H196" s="187">
        <v>191</v>
      </c>
      <c r="I196" s="188" t="str">
        <f t="shared" si="10"/>
        <v/>
      </c>
      <c r="J196" s="187">
        <f t="shared" si="13"/>
        <v>-3</v>
      </c>
      <c r="K196" s="187">
        <f t="shared" si="11"/>
        <v>-30</v>
      </c>
      <c r="L196" s="187"/>
      <c r="M196" s="189">
        <f t="shared" si="12"/>
        <v>0</v>
      </c>
    </row>
    <row r="197" spans="1:13">
      <c r="A197" s="204"/>
      <c r="G197" s="175"/>
      <c r="H197" s="187">
        <v>192</v>
      </c>
      <c r="I197" s="188" t="str">
        <f t="shared" si="10"/>
        <v/>
      </c>
      <c r="J197" s="187">
        <f t="shared" si="13"/>
        <v>-3</v>
      </c>
      <c r="K197" s="187">
        <f t="shared" si="11"/>
        <v>-30</v>
      </c>
      <c r="L197" s="187"/>
      <c r="M197" s="189">
        <f t="shared" si="12"/>
        <v>0</v>
      </c>
    </row>
    <row r="198" spans="1:13">
      <c r="A198" s="204"/>
      <c r="G198" s="175"/>
      <c r="H198" s="187">
        <v>193</v>
      </c>
      <c r="I198" s="188" t="str">
        <f t="shared" ref="I198:I261" si="14">IF(H198&lt;$H$2+1,($I$2-($I$2-1)*(LOG(H198)/LOG($H$2))),"")</f>
        <v/>
      </c>
      <c r="J198" s="187">
        <f t="shared" si="13"/>
        <v>-3</v>
      </c>
      <c r="K198" s="187">
        <f t="shared" ref="K198:K261" si="15">J198*$J$2</f>
        <v>-30</v>
      </c>
      <c r="L198" s="187"/>
      <c r="M198" s="189">
        <f t="shared" ref="M198:M261" si="16">IF(I198&lt;&gt;"",K198+I198+L198,0)</f>
        <v>0</v>
      </c>
    </row>
    <row r="199" spans="1:13">
      <c r="A199" s="204"/>
      <c r="G199" s="175"/>
      <c r="H199" s="187">
        <v>194</v>
      </c>
      <c r="I199" s="188" t="str">
        <f t="shared" si="14"/>
        <v/>
      </c>
      <c r="J199" s="187">
        <f t="shared" ref="J199:J262" si="17">INT(LOG($H$2,2))-ROUNDUP(LOG(H199,2),0)+IF(OR($H$2=1,$H$2=2,$H$2=4,$H$2=8,$H$2=16,$H$2=32,$H$2=64,$H$2=128,$H$2=256),0,1)</f>
        <v>-3</v>
      </c>
      <c r="K199" s="187">
        <f t="shared" si="15"/>
        <v>-30</v>
      </c>
      <c r="L199" s="187"/>
      <c r="M199" s="189">
        <f t="shared" si="16"/>
        <v>0</v>
      </c>
    </row>
    <row r="200" spans="1:13">
      <c r="A200" s="204"/>
      <c r="G200" s="175"/>
      <c r="H200" s="187">
        <v>195</v>
      </c>
      <c r="I200" s="188" t="str">
        <f t="shared" si="14"/>
        <v/>
      </c>
      <c r="J200" s="187">
        <f t="shared" si="17"/>
        <v>-3</v>
      </c>
      <c r="K200" s="187">
        <f t="shared" si="15"/>
        <v>-30</v>
      </c>
      <c r="L200" s="187"/>
      <c r="M200" s="189">
        <f t="shared" si="16"/>
        <v>0</v>
      </c>
    </row>
    <row r="201" spans="1:13">
      <c r="A201" s="204"/>
      <c r="G201" s="175"/>
      <c r="H201" s="187">
        <v>196</v>
      </c>
      <c r="I201" s="188" t="str">
        <f t="shared" si="14"/>
        <v/>
      </c>
      <c r="J201" s="187">
        <f t="shared" si="17"/>
        <v>-3</v>
      </c>
      <c r="K201" s="187">
        <f t="shared" si="15"/>
        <v>-30</v>
      </c>
      <c r="L201" s="187"/>
      <c r="M201" s="189">
        <f t="shared" si="16"/>
        <v>0</v>
      </c>
    </row>
    <row r="202" spans="1:13">
      <c r="A202" s="204"/>
      <c r="G202" s="175"/>
      <c r="H202" s="187">
        <v>197</v>
      </c>
      <c r="I202" s="188" t="str">
        <f t="shared" si="14"/>
        <v/>
      </c>
      <c r="J202" s="187">
        <f t="shared" si="17"/>
        <v>-3</v>
      </c>
      <c r="K202" s="187">
        <f t="shared" si="15"/>
        <v>-30</v>
      </c>
      <c r="L202" s="187"/>
      <c r="M202" s="189">
        <f t="shared" si="16"/>
        <v>0</v>
      </c>
    </row>
    <row r="203" spans="1:13">
      <c r="A203" s="204"/>
      <c r="G203" s="175"/>
      <c r="H203" s="187">
        <v>198</v>
      </c>
      <c r="I203" s="188" t="str">
        <f t="shared" si="14"/>
        <v/>
      </c>
      <c r="J203" s="187">
        <f t="shared" si="17"/>
        <v>-3</v>
      </c>
      <c r="K203" s="187">
        <f t="shared" si="15"/>
        <v>-30</v>
      </c>
      <c r="L203" s="187"/>
      <c r="M203" s="189">
        <f t="shared" si="16"/>
        <v>0</v>
      </c>
    </row>
    <row r="204" spans="1:13">
      <c r="A204" s="204"/>
      <c r="G204" s="175"/>
      <c r="H204" s="187">
        <v>199</v>
      </c>
      <c r="I204" s="188" t="str">
        <f t="shared" si="14"/>
        <v/>
      </c>
      <c r="J204" s="187">
        <f t="shared" si="17"/>
        <v>-3</v>
      </c>
      <c r="K204" s="187">
        <f t="shared" si="15"/>
        <v>-30</v>
      </c>
      <c r="L204" s="187"/>
      <c r="M204" s="189">
        <f t="shared" si="16"/>
        <v>0</v>
      </c>
    </row>
    <row r="205" spans="1:13">
      <c r="A205" s="204"/>
      <c r="G205" s="175"/>
      <c r="H205" s="187">
        <v>200</v>
      </c>
      <c r="I205" s="188" t="str">
        <f t="shared" si="14"/>
        <v/>
      </c>
      <c r="J205" s="187">
        <f t="shared" si="17"/>
        <v>-3</v>
      </c>
      <c r="K205" s="187">
        <f t="shared" si="15"/>
        <v>-30</v>
      </c>
      <c r="L205" s="187"/>
      <c r="M205" s="189">
        <f t="shared" si="16"/>
        <v>0</v>
      </c>
    </row>
    <row r="206" spans="1:13">
      <c r="A206" s="204"/>
      <c r="G206" s="175"/>
      <c r="H206" s="187">
        <v>201</v>
      </c>
      <c r="I206" s="188" t="str">
        <f t="shared" si="14"/>
        <v/>
      </c>
      <c r="J206" s="187">
        <f t="shared" si="17"/>
        <v>-3</v>
      </c>
      <c r="K206" s="187">
        <f t="shared" si="15"/>
        <v>-30</v>
      </c>
      <c r="L206" s="187"/>
      <c r="M206" s="189">
        <f t="shared" si="16"/>
        <v>0</v>
      </c>
    </row>
    <row r="207" spans="1:13">
      <c r="A207" s="204"/>
      <c r="G207" s="175"/>
      <c r="H207" s="187">
        <v>202</v>
      </c>
      <c r="I207" s="188" t="str">
        <f t="shared" si="14"/>
        <v/>
      </c>
      <c r="J207" s="187">
        <f t="shared" si="17"/>
        <v>-3</v>
      </c>
      <c r="K207" s="187">
        <f t="shared" si="15"/>
        <v>-30</v>
      </c>
      <c r="L207" s="187"/>
      <c r="M207" s="189">
        <f t="shared" si="16"/>
        <v>0</v>
      </c>
    </row>
    <row r="208" spans="1:13">
      <c r="A208" s="204"/>
      <c r="G208" s="175"/>
      <c r="H208" s="187">
        <v>203</v>
      </c>
      <c r="I208" s="188" t="str">
        <f t="shared" si="14"/>
        <v/>
      </c>
      <c r="J208" s="187">
        <f t="shared" si="17"/>
        <v>-3</v>
      </c>
      <c r="K208" s="187">
        <f t="shared" si="15"/>
        <v>-30</v>
      </c>
      <c r="L208" s="187"/>
      <c r="M208" s="189">
        <f t="shared" si="16"/>
        <v>0</v>
      </c>
    </row>
    <row r="209" spans="1:13">
      <c r="A209" s="204"/>
      <c r="G209" s="175"/>
      <c r="H209" s="187">
        <v>204</v>
      </c>
      <c r="I209" s="188" t="str">
        <f t="shared" si="14"/>
        <v/>
      </c>
      <c r="J209" s="187">
        <f t="shared" si="17"/>
        <v>-3</v>
      </c>
      <c r="K209" s="187">
        <f t="shared" si="15"/>
        <v>-30</v>
      </c>
      <c r="L209" s="187"/>
      <c r="M209" s="189">
        <f t="shared" si="16"/>
        <v>0</v>
      </c>
    </row>
    <row r="210" spans="1:13">
      <c r="A210" s="204"/>
      <c r="G210" s="175"/>
      <c r="H210" s="187">
        <v>205</v>
      </c>
      <c r="I210" s="188" t="str">
        <f t="shared" si="14"/>
        <v/>
      </c>
      <c r="J210" s="187">
        <f t="shared" si="17"/>
        <v>-3</v>
      </c>
      <c r="K210" s="187">
        <f t="shared" si="15"/>
        <v>-30</v>
      </c>
      <c r="L210" s="187"/>
      <c r="M210" s="189">
        <f t="shared" si="16"/>
        <v>0</v>
      </c>
    </row>
    <row r="211" spans="1:13">
      <c r="A211" s="204"/>
      <c r="G211" s="175"/>
      <c r="H211" s="187">
        <v>206</v>
      </c>
      <c r="I211" s="188" t="str">
        <f t="shared" si="14"/>
        <v/>
      </c>
      <c r="J211" s="187">
        <f t="shared" si="17"/>
        <v>-3</v>
      </c>
      <c r="K211" s="187">
        <f t="shared" si="15"/>
        <v>-30</v>
      </c>
      <c r="L211" s="187"/>
      <c r="M211" s="189">
        <f t="shared" si="16"/>
        <v>0</v>
      </c>
    </row>
    <row r="212" spans="1:13">
      <c r="A212" s="204"/>
      <c r="G212" s="175"/>
      <c r="H212" s="187">
        <v>207</v>
      </c>
      <c r="I212" s="188" t="str">
        <f t="shared" si="14"/>
        <v/>
      </c>
      <c r="J212" s="187">
        <f t="shared" si="17"/>
        <v>-3</v>
      </c>
      <c r="K212" s="187">
        <f t="shared" si="15"/>
        <v>-30</v>
      </c>
      <c r="L212" s="187"/>
      <c r="M212" s="189">
        <f t="shared" si="16"/>
        <v>0</v>
      </c>
    </row>
    <row r="213" spans="1:13">
      <c r="A213" s="204"/>
      <c r="G213" s="175"/>
      <c r="H213" s="187">
        <v>208</v>
      </c>
      <c r="I213" s="188" t="str">
        <f t="shared" si="14"/>
        <v/>
      </c>
      <c r="J213" s="187">
        <f t="shared" si="17"/>
        <v>-3</v>
      </c>
      <c r="K213" s="187">
        <f t="shared" si="15"/>
        <v>-30</v>
      </c>
      <c r="L213" s="187"/>
      <c r="M213" s="189">
        <f t="shared" si="16"/>
        <v>0</v>
      </c>
    </row>
    <row r="214" spans="1:13">
      <c r="A214" s="204"/>
      <c r="G214" s="175"/>
      <c r="H214" s="187">
        <v>209</v>
      </c>
      <c r="I214" s="188" t="str">
        <f t="shared" si="14"/>
        <v/>
      </c>
      <c r="J214" s="187">
        <f t="shared" si="17"/>
        <v>-3</v>
      </c>
      <c r="K214" s="187">
        <f t="shared" si="15"/>
        <v>-30</v>
      </c>
      <c r="L214" s="187"/>
      <c r="M214" s="189">
        <f t="shared" si="16"/>
        <v>0</v>
      </c>
    </row>
    <row r="215" spans="1:13">
      <c r="A215" s="204"/>
      <c r="G215" s="175"/>
      <c r="H215" s="187">
        <v>210</v>
      </c>
      <c r="I215" s="188" t="str">
        <f t="shared" si="14"/>
        <v/>
      </c>
      <c r="J215" s="187">
        <f t="shared" si="17"/>
        <v>-3</v>
      </c>
      <c r="K215" s="187">
        <f t="shared" si="15"/>
        <v>-30</v>
      </c>
      <c r="L215" s="187"/>
      <c r="M215" s="189">
        <f t="shared" si="16"/>
        <v>0</v>
      </c>
    </row>
    <row r="216" spans="1:13">
      <c r="A216" s="204"/>
      <c r="G216" s="175"/>
      <c r="H216" s="187">
        <v>211</v>
      </c>
      <c r="I216" s="188" t="str">
        <f t="shared" si="14"/>
        <v/>
      </c>
      <c r="J216" s="187">
        <f t="shared" si="17"/>
        <v>-3</v>
      </c>
      <c r="K216" s="187">
        <f t="shared" si="15"/>
        <v>-30</v>
      </c>
      <c r="L216" s="187"/>
      <c r="M216" s="189">
        <f t="shared" si="16"/>
        <v>0</v>
      </c>
    </row>
    <row r="217" spans="1:13">
      <c r="A217" s="204"/>
      <c r="G217" s="175"/>
      <c r="H217" s="187">
        <v>212</v>
      </c>
      <c r="I217" s="188" t="str">
        <f t="shared" si="14"/>
        <v/>
      </c>
      <c r="J217" s="187">
        <f t="shared" si="17"/>
        <v>-3</v>
      </c>
      <c r="K217" s="187">
        <f t="shared" si="15"/>
        <v>-30</v>
      </c>
      <c r="L217" s="187"/>
      <c r="M217" s="189">
        <f t="shared" si="16"/>
        <v>0</v>
      </c>
    </row>
    <row r="218" spans="1:13">
      <c r="A218" s="204"/>
      <c r="G218" s="175"/>
      <c r="H218" s="187">
        <v>213</v>
      </c>
      <c r="I218" s="188" t="str">
        <f t="shared" si="14"/>
        <v/>
      </c>
      <c r="J218" s="187">
        <f t="shared" si="17"/>
        <v>-3</v>
      </c>
      <c r="K218" s="187">
        <f t="shared" si="15"/>
        <v>-30</v>
      </c>
      <c r="L218" s="187"/>
      <c r="M218" s="189">
        <f t="shared" si="16"/>
        <v>0</v>
      </c>
    </row>
    <row r="219" spans="1:13">
      <c r="A219" s="204"/>
      <c r="G219" s="175"/>
      <c r="H219" s="187">
        <v>214</v>
      </c>
      <c r="I219" s="188" t="str">
        <f t="shared" si="14"/>
        <v/>
      </c>
      <c r="J219" s="187">
        <f t="shared" si="17"/>
        <v>-3</v>
      </c>
      <c r="K219" s="187">
        <f t="shared" si="15"/>
        <v>-30</v>
      </c>
      <c r="L219" s="187"/>
      <c r="M219" s="189">
        <f t="shared" si="16"/>
        <v>0</v>
      </c>
    </row>
    <row r="220" spans="1:13">
      <c r="A220" s="204"/>
      <c r="G220" s="175"/>
      <c r="H220" s="187">
        <v>215</v>
      </c>
      <c r="I220" s="188" t="str">
        <f t="shared" si="14"/>
        <v/>
      </c>
      <c r="J220" s="187">
        <f t="shared" si="17"/>
        <v>-3</v>
      </c>
      <c r="K220" s="187">
        <f t="shared" si="15"/>
        <v>-30</v>
      </c>
      <c r="L220" s="187"/>
      <c r="M220" s="189">
        <f t="shared" si="16"/>
        <v>0</v>
      </c>
    </row>
    <row r="221" spans="1:13">
      <c r="A221" s="204"/>
      <c r="G221" s="175"/>
      <c r="H221" s="187">
        <v>216</v>
      </c>
      <c r="I221" s="188" t="str">
        <f t="shared" si="14"/>
        <v/>
      </c>
      <c r="J221" s="187">
        <f t="shared" si="17"/>
        <v>-3</v>
      </c>
      <c r="K221" s="187">
        <f t="shared" si="15"/>
        <v>-30</v>
      </c>
      <c r="L221" s="187"/>
      <c r="M221" s="189">
        <f t="shared" si="16"/>
        <v>0</v>
      </c>
    </row>
    <row r="222" spans="1:13">
      <c r="A222" s="204"/>
      <c r="G222" s="175"/>
      <c r="H222" s="187">
        <v>217</v>
      </c>
      <c r="I222" s="188" t="str">
        <f t="shared" si="14"/>
        <v/>
      </c>
      <c r="J222" s="187">
        <f t="shared" si="17"/>
        <v>-3</v>
      </c>
      <c r="K222" s="187">
        <f t="shared" si="15"/>
        <v>-30</v>
      </c>
      <c r="L222" s="187"/>
      <c r="M222" s="189">
        <f t="shared" si="16"/>
        <v>0</v>
      </c>
    </row>
    <row r="223" spans="1:13">
      <c r="A223" s="204"/>
      <c r="G223" s="175"/>
      <c r="H223" s="187">
        <v>218</v>
      </c>
      <c r="I223" s="188" t="str">
        <f t="shared" si="14"/>
        <v/>
      </c>
      <c r="J223" s="187">
        <f t="shared" si="17"/>
        <v>-3</v>
      </c>
      <c r="K223" s="187">
        <f t="shared" si="15"/>
        <v>-30</v>
      </c>
      <c r="L223" s="187"/>
      <c r="M223" s="189">
        <f t="shared" si="16"/>
        <v>0</v>
      </c>
    </row>
    <row r="224" spans="1:13">
      <c r="A224" s="204"/>
      <c r="G224" s="175"/>
      <c r="H224" s="187">
        <v>219</v>
      </c>
      <c r="I224" s="188" t="str">
        <f t="shared" si="14"/>
        <v/>
      </c>
      <c r="J224" s="187">
        <f t="shared" si="17"/>
        <v>-3</v>
      </c>
      <c r="K224" s="187">
        <f t="shared" si="15"/>
        <v>-30</v>
      </c>
      <c r="L224" s="187"/>
      <c r="M224" s="189">
        <f t="shared" si="16"/>
        <v>0</v>
      </c>
    </row>
    <row r="225" spans="1:13">
      <c r="A225" s="204"/>
      <c r="G225" s="175"/>
      <c r="H225" s="187">
        <v>220</v>
      </c>
      <c r="I225" s="188" t="str">
        <f t="shared" si="14"/>
        <v/>
      </c>
      <c r="J225" s="187">
        <f t="shared" si="17"/>
        <v>-3</v>
      </c>
      <c r="K225" s="187">
        <f t="shared" si="15"/>
        <v>-30</v>
      </c>
      <c r="L225" s="187"/>
      <c r="M225" s="189">
        <f t="shared" si="16"/>
        <v>0</v>
      </c>
    </row>
    <row r="226" spans="1:13">
      <c r="A226" s="204"/>
      <c r="G226" s="175"/>
      <c r="H226" s="187">
        <v>221</v>
      </c>
      <c r="I226" s="188" t="str">
        <f t="shared" si="14"/>
        <v/>
      </c>
      <c r="J226" s="187">
        <f t="shared" si="17"/>
        <v>-3</v>
      </c>
      <c r="K226" s="187">
        <f t="shared" si="15"/>
        <v>-30</v>
      </c>
      <c r="L226" s="187"/>
      <c r="M226" s="189">
        <f t="shared" si="16"/>
        <v>0</v>
      </c>
    </row>
    <row r="227" spans="1:13">
      <c r="A227" s="204"/>
      <c r="G227" s="175"/>
      <c r="H227" s="187">
        <v>222</v>
      </c>
      <c r="I227" s="188" t="str">
        <f t="shared" si="14"/>
        <v/>
      </c>
      <c r="J227" s="187">
        <f t="shared" si="17"/>
        <v>-3</v>
      </c>
      <c r="K227" s="187">
        <f t="shared" si="15"/>
        <v>-30</v>
      </c>
      <c r="L227" s="187"/>
      <c r="M227" s="189">
        <f t="shared" si="16"/>
        <v>0</v>
      </c>
    </row>
    <row r="228" spans="1:13">
      <c r="A228" s="204"/>
      <c r="G228" s="175"/>
      <c r="H228" s="187">
        <v>223</v>
      </c>
      <c r="I228" s="188" t="str">
        <f t="shared" si="14"/>
        <v/>
      </c>
      <c r="J228" s="187">
        <f t="shared" si="17"/>
        <v>-3</v>
      </c>
      <c r="K228" s="187">
        <f t="shared" si="15"/>
        <v>-30</v>
      </c>
      <c r="L228" s="187"/>
      <c r="M228" s="189">
        <f t="shared" si="16"/>
        <v>0</v>
      </c>
    </row>
    <row r="229" spans="1:13">
      <c r="A229" s="204"/>
      <c r="G229" s="175"/>
      <c r="H229" s="187">
        <v>224</v>
      </c>
      <c r="I229" s="188" t="str">
        <f t="shared" si="14"/>
        <v/>
      </c>
      <c r="J229" s="187">
        <f t="shared" si="17"/>
        <v>-3</v>
      </c>
      <c r="K229" s="187">
        <f t="shared" si="15"/>
        <v>-30</v>
      </c>
      <c r="L229" s="187"/>
      <c r="M229" s="189">
        <f t="shared" si="16"/>
        <v>0</v>
      </c>
    </row>
    <row r="230" spans="1:13">
      <c r="A230" s="204"/>
      <c r="G230" s="175"/>
      <c r="H230" s="187">
        <v>225</v>
      </c>
      <c r="I230" s="188" t="str">
        <f t="shared" si="14"/>
        <v/>
      </c>
      <c r="J230" s="187">
        <f t="shared" si="17"/>
        <v>-3</v>
      </c>
      <c r="K230" s="187">
        <f t="shared" si="15"/>
        <v>-30</v>
      </c>
      <c r="L230" s="187"/>
      <c r="M230" s="189">
        <f t="shared" si="16"/>
        <v>0</v>
      </c>
    </row>
    <row r="231" spans="1:13">
      <c r="A231" s="204"/>
      <c r="G231" s="175"/>
      <c r="H231" s="187">
        <v>226</v>
      </c>
      <c r="I231" s="188" t="str">
        <f t="shared" si="14"/>
        <v/>
      </c>
      <c r="J231" s="187">
        <f t="shared" si="17"/>
        <v>-3</v>
      </c>
      <c r="K231" s="187">
        <f t="shared" si="15"/>
        <v>-30</v>
      </c>
      <c r="L231" s="187"/>
      <c r="M231" s="189">
        <f t="shared" si="16"/>
        <v>0</v>
      </c>
    </row>
    <row r="232" spans="1:13">
      <c r="A232" s="204"/>
      <c r="G232" s="175"/>
      <c r="H232" s="187">
        <v>227</v>
      </c>
      <c r="I232" s="188" t="str">
        <f t="shared" si="14"/>
        <v/>
      </c>
      <c r="J232" s="187">
        <f t="shared" si="17"/>
        <v>-3</v>
      </c>
      <c r="K232" s="187">
        <f t="shared" si="15"/>
        <v>-30</v>
      </c>
      <c r="L232" s="187"/>
      <c r="M232" s="189">
        <f t="shared" si="16"/>
        <v>0</v>
      </c>
    </row>
    <row r="233" spans="1:13">
      <c r="A233" s="204"/>
      <c r="G233" s="175"/>
      <c r="H233" s="187">
        <v>228</v>
      </c>
      <c r="I233" s="188" t="str">
        <f t="shared" si="14"/>
        <v/>
      </c>
      <c r="J233" s="187">
        <f t="shared" si="17"/>
        <v>-3</v>
      </c>
      <c r="K233" s="187">
        <f t="shared" si="15"/>
        <v>-30</v>
      </c>
      <c r="L233" s="187"/>
      <c r="M233" s="189">
        <f t="shared" si="16"/>
        <v>0</v>
      </c>
    </row>
    <row r="234" spans="1:13">
      <c r="A234" s="204"/>
      <c r="G234" s="175"/>
      <c r="H234" s="187">
        <v>229</v>
      </c>
      <c r="I234" s="188" t="str">
        <f t="shared" si="14"/>
        <v/>
      </c>
      <c r="J234" s="187">
        <f t="shared" si="17"/>
        <v>-3</v>
      </c>
      <c r="K234" s="187">
        <f t="shared" si="15"/>
        <v>-30</v>
      </c>
      <c r="L234" s="187"/>
      <c r="M234" s="189">
        <f t="shared" si="16"/>
        <v>0</v>
      </c>
    </row>
    <row r="235" spans="1:13">
      <c r="A235" s="204"/>
      <c r="G235" s="175"/>
      <c r="H235" s="187">
        <v>230</v>
      </c>
      <c r="I235" s="188" t="str">
        <f t="shared" si="14"/>
        <v/>
      </c>
      <c r="J235" s="187">
        <f t="shared" si="17"/>
        <v>-3</v>
      </c>
      <c r="K235" s="187">
        <f t="shared" si="15"/>
        <v>-30</v>
      </c>
      <c r="L235" s="187"/>
      <c r="M235" s="189">
        <f t="shared" si="16"/>
        <v>0</v>
      </c>
    </row>
    <row r="236" spans="1:13">
      <c r="A236" s="204"/>
      <c r="G236" s="175"/>
      <c r="H236" s="187">
        <v>231</v>
      </c>
      <c r="I236" s="188" t="str">
        <f t="shared" si="14"/>
        <v/>
      </c>
      <c r="J236" s="187">
        <f t="shared" si="17"/>
        <v>-3</v>
      </c>
      <c r="K236" s="187">
        <f t="shared" si="15"/>
        <v>-30</v>
      </c>
      <c r="L236" s="187"/>
      <c r="M236" s="189">
        <f t="shared" si="16"/>
        <v>0</v>
      </c>
    </row>
    <row r="237" spans="1:13">
      <c r="A237" s="204"/>
      <c r="G237" s="175"/>
      <c r="H237" s="187">
        <v>232</v>
      </c>
      <c r="I237" s="188" t="str">
        <f t="shared" si="14"/>
        <v/>
      </c>
      <c r="J237" s="187">
        <f t="shared" si="17"/>
        <v>-3</v>
      </c>
      <c r="K237" s="187">
        <f t="shared" si="15"/>
        <v>-30</v>
      </c>
      <c r="L237" s="187"/>
      <c r="M237" s="189">
        <f t="shared" si="16"/>
        <v>0</v>
      </c>
    </row>
    <row r="238" spans="1:13">
      <c r="A238" s="204"/>
      <c r="G238" s="175"/>
      <c r="H238" s="187">
        <v>233</v>
      </c>
      <c r="I238" s="188" t="str">
        <f t="shared" si="14"/>
        <v/>
      </c>
      <c r="J238" s="187">
        <f t="shared" si="17"/>
        <v>-3</v>
      </c>
      <c r="K238" s="187">
        <f t="shared" si="15"/>
        <v>-30</v>
      </c>
      <c r="L238" s="187"/>
      <c r="M238" s="189">
        <f t="shared" si="16"/>
        <v>0</v>
      </c>
    </row>
    <row r="239" spans="1:13">
      <c r="A239" s="204"/>
      <c r="G239" s="175"/>
      <c r="H239" s="187">
        <v>234</v>
      </c>
      <c r="I239" s="188" t="str">
        <f t="shared" si="14"/>
        <v/>
      </c>
      <c r="J239" s="187">
        <f t="shared" si="17"/>
        <v>-3</v>
      </c>
      <c r="K239" s="187">
        <f t="shared" si="15"/>
        <v>-30</v>
      </c>
      <c r="L239" s="187"/>
      <c r="M239" s="189">
        <f t="shared" si="16"/>
        <v>0</v>
      </c>
    </row>
    <row r="240" spans="1:13">
      <c r="A240" s="204"/>
      <c r="G240" s="175"/>
      <c r="H240" s="187">
        <v>235</v>
      </c>
      <c r="I240" s="188" t="str">
        <f t="shared" si="14"/>
        <v/>
      </c>
      <c r="J240" s="187">
        <f t="shared" si="17"/>
        <v>-3</v>
      </c>
      <c r="K240" s="187">
        <f t="shared" si="15"/>
        <v>-30</v>
      </c>
      <c r="L240" s="187"/>
      <c r="M240" s="189">
        <f t="shared" si="16"/>
        <v>0</v>
      </c>
    </row>
    <row r="241" spans="1:13">
      <c r="A241" s="204"/>
      <c r="G241" s="175"/>
      <c r="H241" s="187">
        <v>236</v>
      </c>
      <c r="I241" s="188" t="str">
        <f t="shared" si="14"/>
        <v/>
      </c>
      <c r="J241" s="187">
        <f t="shared" si="17"/>
        <v>-3</v>
      </c>
      <c r="K241" s="187">
        <f t="shared" si="15"/>
        <v>-30</v>
      </c>
      <c r="L241" s="187"/>
      <c r="M241" s="189">
        <f t="shared" si="16"/>
        <v>0</v>
      </c>
    </row>
    <row r="242" spans="1:13">
      <c r="A242" s="204"/>
      <c r="G242" s="175"/>
      <c r="H242" s="187">
        <v>237</v>
      </c>
      <c r="I242" s="188" t="str">
        <f t="shared" si="14"/>
        <v/>
      </c>
      <c r="J242" s="187">
        <f t="shared" si="17"/>
        <v>-3</v>
      </c>
      <c r="K242" s="187">
        <f t="shared" si="15"/>
        <v>-30</v>
      </c>
      <c r="L242" s="187"/>
      <c r="M242" s="189">
        <f t="shared" si="16"/>
        <v>0</v>
      </c>
    </row>
    <row r="243" spans="1:13">
      <c r="A243" s="204"/>
      <c r="G243" s="175"/>
      <c r="H243" s="187">
        <v>238</v>
      </c>
      <c r="I243" s="188" t="str">
        <f t="shared" si="14"/>
        <v/>
      </c>
      <c r="J243" s="187">
        <f t="shared" si="17"/>
        <v>-3</v>
      </c>
      <c r="K243" s="187">
        <f t="shared" si="15"/>
        <v>-30</v>
      </c>
      <c r="L243" s="187"/>
      <c r="M243" s="189">
        <f t="shared" si="16"/>
        <v>0</v>
      </c>
    </row>
    <row r="244" spans="1:13">
      <c r="A244" s="204"/>
      <c r="G244" s="175"/>
      <c r="H244" s="187">
        <v>239</v>
      </c>
      <c r="I244" s="188" t="str">
        <f t="shared" si="14"/>
        <v/>
      </c>
      <c r="J244" s="187">
        <f t="shared" si="17"/>
        <v>-3</v>
      </c>
      <c r="K244" s="187">
        <f t="shared" si="15"/>
        <v>-30</v>
      </c>
      <c r="L244" s="187"/>
      <c r="M244" s="189">
        <f t="shared" si="16"/>
        <v>0</v>
      </c>
    </row>
    <row r="245" spans="1:13">
      <c r="A245" s="204"/>
      <c r="G245" s="175"/>
      <c r="H245" s="187">
        <v>240</v>
      </c>
      <c r="I245" s="188" t="str">
        <f t="shared" si="14"/>
        <v/>
      </c>
      <c r="J245" s="187">
        <f t="shared" si="17"/>
        <v>-3</v>
      </c>
      <c r="K245" s="187">
        <f t="shared" si="15"/>
        <v>-30</v>
      </c>
      <c r="L245" s="187"/>
      <c r="M245" s="189">
        <f t="shared" si="16"/>
        <v>0</v>
      </c>
    </row>
    <row r="246" spans="1:13">
      <c r="A246" s="204"/>
      <c r="G246" s="175"/>
      <c r="H246" s="187">
        <v>241</v>
      </c>
      <c r="I246" s="188" t="str">
        <f t="shared" si="14"/>
        <v/>
      </c>
      <c r="J246" s="187">
        <f t="shared" si="17"/>
        <v>-3</v>
      </c>
      <c r="K246" s="187">
        <f t="shared" si="15"/>
        <v>-30</v>
      </c>
      <c r="L246" s="187"/>
      <c r="M246" s="189">
        <f t="shared" si="16"/>
        <v>0</v>
      </c>
    </row>
    <row r="247" spans="1:13">
      <c r="A247" s="204"/>
      <c r="G247" s="175"/>
      <c r="H247" s="187">
        <v>242</v>
      </c>
      <c r="I247" s="188" t="str">
        <f t="shared" si="14"/>
        <v/>
      </c>
      <c r="J247" s="187">
        <f t="shared" si="17"/>
        <v>-3</v>
      </c>
      <c r="K247" s="187">
        <f t="shared" si="15"/>
        <v>-30</v>
      </c>
      <c r="L247" s="187"/>
      <c r="M247" s="189">
        <f t="shared" si="16"/>
        <v>0</v>
      </c>
    </row>
    <row r="248" spans="1:13">
      <c r="A248" s="204"/>
      <c r="G248" s="175"/>
      <c r="H248" s="187">
        <v>243</v>
      </c>
      <c r="I248" s="188" t="str">
        <f t="shared" si="14"/>
        <v/>
      </c>
      <c r="J248" s="187">
        <f t="shared" si="17"/>
        <v>-3</v>
      </c>
      <c r="K248" s="187">
        <f t="shared" si="15"/>
        <v>-30</v>
      </c>
      <c r="L248" s="187"/>
      <c r="M248" s="189">
        <f t="shared" si="16"/>
        <v>0</v>
      </c>
    </row>
    <row r="249" spans="1:13">
      <c r="A249" s="204"/>
      <c r="G249" s="175"/>
      <c r="H249" s="187">
        <v>244</v>
      </c>
      <c r="I249" s="188" t="str">
        <f t="shared" si="14"/>
        <v/>
      </c>
      <c r="J249" s="187">
        <f t="shared" si="17"/>
        <v>-3</v>
      </c>
      <c r="K249" s="187">
        <f t="shared" si="15"/>
        <v>-30</v>
      </c>
      <c r="L249" s="187"/>
      <c r="M249" s="189">
        <f t="shared" si="16"/>
        <v>0</v>
      </c>
    </row>
    <row r="250" spans="1:13">
      <c r="A250" s="204"/>
      <c r="G250" s="175"/>
      <c r="H250" s="187">
        <v>245</v>
      </c>
      <c r="I250" s="188" t="str">
        <f t="shared" si="14"/>
        <v/>
      </c>
      <c r="J250" s="187">
        <f t="shared" si="17"/>
        <v>-3</v>
      </c>
      <c r="K250" s="187">
        <f t="shared" si="15"/>
        <v>-30</v>
      </c>
      <c r="L250" s="187"/>
      <c r="M250" s="189">
        <f t="shared" si="16"/>
        <v>0</v>
      </c>
    </row>
    <row r="251" spans="1:13">
      <c r="A251" s="204"/>
      <c r="G251" s="175"/>
      <c r="H251" s="187">
        <v>246</v>
      </c>
      <c r="I251" s="188" t="str">
        <f t="shared" si="14"/>
        <v/>
      </c>
      <c r="J251" s="187">
        <f t="shared" si="17"/>
        <v>-3</v>
      </c>
      <c r="K251" s="187">
        <f t="shared" si="15"/>
        <v>-30</v>
      </c>
      <c r="L251" s="187"/>
      <c r="M251" s="189">
        <f t="shared" si="16"/>
        <v>0</v>
      </c>
    </row>
    <row r="252" spans="1:13">
      <c r="A252" s="204"/>
      <c r="G252" s="175"/>
      <c r="H252" s="187">
        <v>247</v>
      </c>
      <c r="I252" s="188" t="str">
        <f t="shared" si="14"/>
        <v/>
      </c>
      <c r="J252" s="187">
        <f t="shared" si="17"/>
        <v>-3</v>
      </c>
      <c r="K252" s="187">
        <f t="shared" si="15"/>
        <v>-30</v>
      </c>
      <c r="L252" s="187"/>
      <c r="M252" s="189">
        <f t="shared" si="16"/>
        <v>0</v>
      </c>
    </row>
    <row r="253" spans="1:13">
      <c r="A253" s="204"/>
      <c r="G253" s="175"/>
      <c r="H253" s="187">
        <v>248</v>
      </c>
      <c r="I253" s="188" t="str">
        <f t="shared" si="14"/>
        <v/>
      </c>
      <c r="J253" s="187">
        <f t="shared" si="17"/>
        <v>-3</v>
      </c>
      <c r="K253" s="187">
        <f t="shared" si="15"/>
        <v>-30</v>
      </c>
      <c r="L253" s="187"/>
      <c r="M253" s="189">
        <f t="shared" si="16"/>
        <v>0</v>
      </c>
    </row>
    <row r="254" spans="1:13">
      <c r="A254" s="204"/>
      <c r="G254" s="175"/>
      <c r="H254" s="187">
        <v>249</v>
      </c>
      <c r="I254" s="188" t="str">
        <f t="shared" si="14"/>
        <v/>
      </c>
      <c r="J254" s="187">
        <f t="shared" si="17"/>
        <v>-3</v>
      </c>
      <c r="K254" s="187">
        <f t="shared" si="15"/>
        <v>-30</v>
      </c>
      <c r="L254" s="187"/>
      <c r="M254" s="189">
        <f t="shared" si="16"/>
        <v>0</v>
      </c>
    </row>
    <row r="255" spans="1:13">
      <c r="A255" s="204"/>
      <c r="G255" s="175"/>
      <c r="H255" s="187">
        <v>250</v>
      </c>
      <c r="I255" s="188" t="str">
        <f t="shared" si="14"/>
        <v/>
      </c>
      <c r="J255" s="187">
        <f t="shared" si="17"/>
        <v>-3</v>
      </c>
      <c r="K255" s="187">
        <f t="shared" si="15"/>
        <v>-30</v>
      </c>
      <c r="L255" s="187"/>
      <c r="M255" s="189">
        <f t="shared" si="16"/>
        <v>0</v>
      </c>
    </row>
    <row r="256" spans="1:13">
      <c r="A256" s="204"/>
      <c r="G256" s="175"/>
      <c r="H256" s="187">
        <v>251</v>
      </c>
      <c r="I256" s="188" t="str">
        <f t="shared" si="14"/>
        <v/>
      </c>
      <c r="J256" s="187">
        <f t="shared" si="17"/>
        <v>-3</v>
      </c>
      <c r="K256" s="187">
        <f t="shared" si="15"/>
        <v>-30</v>
      </c>
      <c r="L256" s="187"/>
      <c r="M256" s="189">
        <f t="shared" si="16"/>
        <v>0</v>
      </c>
    </row>
    <row r="257" spans="1:13">
      <c r="A257" s="204"/>
      <c r="G257" s="175"/>
      <c r="H257" s="187">
        <v>252</v>
      </c>
      <c r="I257" s="188" t="str">
        <f t="shared" si="14"/>
        <v/>
      </c>
      <c r="J257" s="187">
        <f t="shared" si="17"/>
        <v>-3</v>
      </c>
      <c r="K257" s="187">
        <f t="shared" si="15"/>
        <v>-30</v>
      </c>
      <c r="L257" s="187"/>
      <c r="M257" s="189">
        <f t="shared" si="16"/>
        <v>0</v>
      </c>
    </row>
    <row r="258" spans="1:13">
      <c r="A258" s="204"/>
      <c r="G258" s="175"/>
      <c r="H258" s="187">
        <v>253</v>
      </c>
      <c r="I258" s="188" t="str">
        <f t="shared" si="14"/>
        <v/>
      </c>
      <c r="J258" s="187">
        <f t="shared" si="17"/>
        <v>-3</v>
      </c>
      <c r="K258" s="187">
        <f t="shared" si="15"/>
        <v>-30</v>
      </c>
      <c r="L258" s="187"/>
      <c r="M258" s="189">
        <f t="shared" si="16"/>
        <v>0</v>
      </c>
    </row>
    <row r="259" spans="1:13">
      <c r="A259" s="204"/>
      <c r="G259" s="175"/>
      <c r="H259" s="187">
        <v>254</v>
      </c>
      <c r="I259" s="188" t="str">
        <f t="shared" si="14"/>
        <v/>
      </c>
      <c r="J259" s="187">
        <f t="shared" si="17"/>
        <v>-3</v>
      </c>
      <c r="K259" s="187">
        <f t="shared" si="15"/>
        <v>-30</v>
      </c>
      <c r="L259" s="187"/>
      <c r="M259" s="189">
        <f t="shared" si="16"/>
        <v>0</v>
      </c>
    </row>
    <row r="260" spans="1:13">
      <c r="A260" s="204"/>
      <c r="G260" s="175"/>
      <c r="H260" s="187">
        <v>255</v>
      </c>
      <c r="I260" s="188" t="str">
        <f t="shared" si="14"/>
        <v/>
      </c>
      <c r="J260" s="187">
        <f t="shared" si="17"/>
        <v>-3</v>
      </c>
      <c r="K260" s="187">
        <f t="shared" si="15"/>
        <v>-30</v>
      </c>
      <c r="L260" s="187"/>
      <c r="M260" s="189">
        <f t="shared" si="16"/>
        <v>0</v>
      </c>
    </row>
    <row r="261" spans="1:13">
      <c r="A261" s="204"/>
      <c r="G261" s="175"/>
      <c r="H261" s="187">
        <v>256</v>
      </c>
      <c r="I261" s="188" t="str">
        <f t="shared" si="14"/>
        <v/>
      </c>
      <c r="J261" s="187">
        <f t="shared" si="17"/>
        <v>-3</v>
      </c>
      <c r="K261" s="187">
        <f t="shared" si="15"/>
        <v>-30</v>
      </c>
      <c r="L261" s="187"/>
      <c r="M261" s="189">
        <f t="shared" si="16"/>
        <v>0</v>
      </c>
    </row>
    <row r="262" spans="1:13">
      <c r="A262" s="204"/>
      <c r="G262" s="175"/>
      <c r="H262" s="187">
        <v>257</v>
      </c>
      <c r="I262" s="188" t="str">
        <f t="shared" ref="I262:I305" si="18">IF(H262&lt;$H$2+1,($I$2-($I$2-1)*(LOG(H262)/LOG($H$2))),"")</f>
        <v/>
      </c>
      <c r="J262" s="187">
        <f t="shared" si="17"/>
        <v>-4</v>
      </c>
      <c r="K262" s="187">
        <f t="shared" ref="K262:K305" si="19">J262*$J$2</f>
        <v>-40</v>
      </c>
      <c r="L262" s="187"/>
      <c r="M262" s="189">
        <f t="shared" ref="M262:M305" si="20">IF(I262&lt;&gt;"",K262+I262+L262,0)</f>
        <v>0</v>
      </c>
    </row>
    <row r="263" spans="1:13">
      <c r="A263" s="204"/>
      <c r="G263" s="175"/>
      <c r="H263" s="187">
        <v>258</v>
      </c>
      <c r="I263" s="188" t="str">
        <f t="shared" si="18"/>
        <v/>
      </c>
      <c r="J263" s="187">
        <f t="shared" ref="J263:J326" si="21">INT(LOG($H$2,2))-ROUNDUP(LOG(H263,2),0)+IF(OR($H$2=1,$H$2=2,$H$2=4,$H$2=8,$H$2=16,$H$2=32,$H$2=64,$H$2=128,$H$2=256),0,1)</f>
        <v>-4</v>
      </c>
      <c r="K263" s="187">
        <f t="shared" si="19"/>
        <v>-40</v>
      </c>
      <c r="L263" s="187"/>
      <c r="M263" s="189">
        <f t="shared" si="20"/>
        <v>0</v>
      </c>
    </row>
    <row r="264" spans="1:13">
      <c r="A264" s="204"/>
      <c r="G264" s="175"/>
      <c r="H264" s="187">
        <v>259</v>
      </c>
      <c r="I264" s="188" t="str">
        <f t="shared" si="18"/>
        <v/>
      </c>
      <c r="J264" s="187">
        <f t="shared" si="21"/>
        <v>-4</v>
      </c>
      <c r="K264" s="187">
        <f t="shared" si="19"/>
        <v>-40</v>
      </c>
      <c r="L264" s="187"/>
      <c r="M264" s="189">
        <f t="shared" si="20"/>
        <v>0</v>
      </c>
    </row>
    <row r="265" spans="1:13">
      <c r="A265" s="204"/>
      <c r="G265" s="175"/>
      <c r="H265" s="187">
        <v>260</v>
      </c>
      <c r="I265" s="188" t="str">
        <f t="shared" si="18"/>
        <v/>
      </c>
      <c r="J265" s="187">
        <f t="shared" si="21"/>
        <v>-4</v>
      </c>
      <c r="K265" s="187">
        <f t="shared" si="19"/>
        <v>-40</v>
      </c>
      <c r="L265" s="187"/>
      <c r="M265" s="189">
        <f t="shared" si="20"/>
        <v>0</v>
      </c>
    </row>
    <row r="266" spans="1:13">
      <c r="A266" s="204"/>
      <c r="G266" s="175"/>
      <c r="H266" s="187">
        <v>261</v>
      </c>
      <c r="I266" s="188" t="str">
        <f t="shared" si="18"/>
        <v/>
      </c>
      <c r="J266" s="187">
        <f t="shared" si="21"/>
        <v>-4</v>
      </c>
      <c r="K266" s="187">
        <f t="shared" si="19"/>
        <v>-40</v>
      </c>
      <c r="L266" s="187"/>
      <c r="M266" s="189">
        <f t="shared" si="20"/>
        <v>0</v>
      </c>
    </row>
    <row r="267" spans="1:13">
      <c r="A267" s="204"/>
      <c r="G267" s="175"/>
      <c r="H267" s="187">
        <v>262</v>
      </c>
      <c r="I267" s="188" t="str">
        <f t="shared" si="18"/>
        <v/>
      </c>
      <c r="J267" s="187">
        <f t="shared" si="21"/>
        <v>-4</v>
      </c>
      <c r="K267" s="187">
        <f t="shared" si="19"/>
        <v>-40</v>
      </c>
      <c r="L267" s="187"/>
      <c r="M267" s="189">
        <f t="shared" si="20"/>
        <v>0</v>
      </c>
    </row>
    <row r="268" spans="1:13">
      <c r="A268" s="204"/>
      <c r="G268" s="175"/>
      <c r="H268" s="187">
        <v>263</v>
      </c>
      <c r="I268" s="188" t="str">
        <f t="shared" si="18"/>
        <v/>
      </c>
      <c r="J268" s="187">
        <f t="shared" si="21"/>
        <v>-4</v>
      </c>
      <c r="K268" s="187">
        <f t="shared" si="19"/>
        <v>-40</v>
      </c>
      <c r="L268" s="187"/>
      <c r="M268" s="189">
        <f t="shared" si="20"/>
        <v>0</v>
      </c>
    </row>
    <row r="269" spans="1:13">
      <c r="A269" s="204"/>
      <c r="G269" s="175"/>
      <c r="H269" s="187">
        <v>264</v>
      </c>
      <c r="I269" s="188" t="str">
        <f t="shared" si="18"/>
        <v/>
      </c>
      <c r="J269" s="187">
        <f t="shared" si="21"/>
        <v>-4</v>
      </c>
      <c r="K269" s="187">
        <f t="shared" si="19"/>
        <v>-40</v>
      </c>
      <c r="L269" s="187"/>
      <c r="M269" s="189">
        <f t="shared" si="20"/>
        <v>0</v>
      </c>
    </row>
    <row r="270" spans="1:13">
      <c r="A270" s="204"/>
      <c r="G270" s="175"/>
      <c r="H270" s="187">
        <v>265</v>
      </c>
      <c r="I270" s="188" t="str">
        <f t="shared" si="18"/>
        <v/>
      </c>
      <c r="J270" s="187">
        <f t="shared" si="21"/>
        <v>-4</v>
      </c>
      <c r="K270" s="187">
        <f t="shared" si="19"/>
        <v>-40</v>
      </c>
      <c r="L270" s="187"/>
      <c r="M270" s="189">
        <f t="shared" si="20"/>
        <v>0</v>
      </c>
    </row>
    <row r="271" spans="1:13">
      <c r="A271" s="204"/>
      <c r="G271" s="175"/>
      <c r="H271" s="187">
        <v>266</v>
      </c>
      <c r="I271" s="188" t="str">
        <f t="shared" si="18"/>
        <v/>
      </c>
      <c r="J271" s="187">
        <f t="shared" si="21"/>
        <v>-4</v>
      </c>
      <c r="K271" s="187">
        <f t="shared" si="19"/>
        <v>-40</v>
      </c>
      <c r="L271" s="187"/>
      <c r="M271" s="189">
        <f t="shared" si="20"/>
        <v>0</v>
      </c>
    </row>
    <row r="272" spans="1:13">
      <c r="A272" s="204"/>
      <c r="G272" s="175"/>
      <c r="H272" s="187">
        <v>267</v>
      </c>
      <c r="I272" s="188" t="str">
        <f t="shared" si="18"/>
        <v/>
      </c>
      <c r="J272" s="187">
        <f t="shared" si="21"/>
        <v>-4</v>
      </c>
      <c r="K272" s="187">
        <f t="shared" si="19"/>
        <v>-40</v>
      </c>
      <c r="L272" s="187"/>
      <c r="M272" s="189">
        <f t="shared" si="20"/>
        <v>0</v>
      </c>
    </row>
    <row r="273" spans="1:13">
      <c r="A273" s="204"/>
      <c r="G273" s="175"/>
      <c r="H273" s="187">
        <v>268</v>
      </c>
      <c r="I273" s="188" t="str">
        <f t="shared" si="18"/>
        <v/>
      </c>
      <c r="J273" s="187">
        <f t="shared" si="21"/>
        <v>-4</v>
      </c>
      <c r="K273" s="187">
        <f t="shared" si="19"/>
        <v>-40</v>
      </c>
      <c r="L273" s="187"/>
      <c r="M273" s="189">
        <f t="shared" si="20"/>
        <v>0</v>
      </c>
    </row>
    <row r="274" spans="1:13">
      <c r="A274" s="204"/>
      <c r="G274" s="175"/>
      <c r="H274" s="187">
        <v>269</v>
      </c>
      <c r="I274" s="188" t="str">
        <f t="shared" si="18"/>
        <v/>
      </c>
      <c r="J274" s="187">
        <f t="shared" si="21"/>
        <v>-4</v>
      </c>
      <c r="K274" s="187">
        <f t="shared" si="19"/>
        <v>-40</v>
      </c>
      <c r="L274" s="187"/>
      <c r="M274" s="189">
        <f t="shared" si="20"/>
        <v>0</v>
      </c>
    </row>
    <row r="275" spans="1:13">
      <c r="A275" s="204"/>
      <c r="G275" s="175"/>
      <c r="H275" s="187">
        <v>270</v>
      </c>
      <c r="I275" s="188" t="str">
        <f t="shared" si="18"/>
        <v/>
      </c>
      <c r="J275" s="187">
        <f t="shared" si="21"/>
        <v>-4</v>
      </c>
      <c r="K275" s="187">
        <f t="shared" si="19"/>
        <v>-40</v>
      </c>
      <c r="L275" s="187"/>
      <c r="M275" s="189">
        <f t="shared" si="20"/>
        <v>0</v>
      </c>
    </row>
    <row r="276" spans="1:13">
      <c r="A276" s="204"/>
      <c r="G276" s="175"/>
      <c r="H276" s="187">
        <v>271</v>
      </c>
      <c r="I276" s="188" t="str">
        <f t="shared" si="18"/>
        <v/>
      </c>
      <c r="J276" s="187">
        <f t="shared" si="21"/>
        <v>-4</v>
      </c>
      <c r="K276" s="187">
        <f t="shared" si="19"/>
        <v>-40</v>
      </c>
      <c r="L276" s="187"/>
      <c r="M276" s="189">
        <f t="shared" si="20"/>
        <v>0</v>
      </c>
    </row>
    <row r="277" spans="1:13">
      <c r="A277" s="204"/>
      <c r="G277" s="175"/>
      <c r="H277" s="187">
        <v>272</v>
      </c>
      <c r="I277" s="188" t="str">
        <f t="shared" si="18"/>
        <v/>
      </c>
      <c r="J277" s="187">
        <f t="shared" si="21"/>
        <v>-4</v>
      </c>
      <c r="K277" s="187">
        <f t="shared" si="19"/>
        <v>-40</v>
      </c>
      <c r="L277" s="187"/>
      <c r="M277" s="189">
        <f t="shared" si="20"/>
        <v>0</v>
      </c>
    </row>
    <row r="278" spans="1:13">
      <c r="A278" s="204"/>
      <c r="G278" s="175"/>
      <c r="H278" s="187">
        <v>273</v>
      </c>
      <c r="I278" s="188" t="str">
        <f t="shared" si="18"/>
        <v/>
      </c>
      <c r="J278" s="187">
        <f t="shared" si="21"/>
        <v>-4</v>
      </c>
      <c r="K278" s="187">
        <f t="shared" si="19"/>
        <v>-40</v>
      </c>
      <c r="L278" s="187"/>
      <c r="M278" s="189">
        <f t="shared" si="20"/>
        <v>0</v>
      </c>
    </row>
    <row r="279" spans="1:13">
      <c r="A279" s="204"/>
      <c r="G279" s="175"/>
      <c r="H279" s="187">
        <v>274</v>
      </c>
      <c r="I279" s="188" t="str">
        <f t="shared" si="18"/>
        <v/>
      </c>
      <c r="J279" s="187">
        <f t="shared" si="21"/>
        <v>-4</v>
      </c>
      <c r="K279" s="187">
        <f t="shared" si="19"/>
        <v>-40</v>
      </c>
      <c r="L279" s="187"/>
      <c r="M279" s="189">
        <f t="shared" si="20"/>
        <v>0</v>
      </c>
    </row>
    <row r="280" spans="1:13">
      <c r="A280" s="204"/>
      <c r="G280" s="175"/>
      <c r="H280" s="187">
        <v>275</v>
      </c>
      <c r="I280" s="188" t="str">
        <f t="shared" si="18"/>
        <v/>
      </c>
      <c r="J280" s="187">
        <f t="shared" si="21"/>
        <v>-4</v>
      </c>
      <c r="K280" s="187">
        <f t="shared" si="19"/>
        <v>-40</v>
      </c>
      <c r="L280" s="187"/>
      <c r="M280" s="189">
        <f t="shared" si="20"/>
        <v>0</v>
      </c>
    </row>
    <row r="281" spans="1:13">
      <c r="A281" s="204"/>
      <c r="G281" s="175"/>
      <c r="H281" s="187">
        <v>276</v>
      </c>
      <c r="I281" s="188" t="str">
        <f t="shared" si="18"/>
        <v/>
      </c>
      <c r="J281" s="187">
        <f t="shared" si="21"/>
        <v>-4</v>
      </c>
      <c r="K281" s="187">
        <f t="shared" si="19"/>
        <v>-40</v>
      </c>
      <c r="L281" s="187"/>
      <c r="M281" s="189">
        <f t="shared" si="20"/>
        <v>0</v>
      </c>
    </row>
    <row r="282" spans="1:13">
      <c r="A282" s="204"/>
      <c r="G282" s="175"/>
      <c r="H282" s="187">
        <v>277</v>
      </c>
      <c r="I282" s="188" t="str">
        <f t="shared" si="18"/>
        <v/>
      </c>
      <c r="J282" s="187">
        <f t="shared" si="21"/>
        <v>-4</v>
      </c>
      <c r="K282" s="187">
        <f t="shared" si="19"/>
        <v>-40</v>
      </c>
      <c r="L282" s="187"/>
      <c r="M282" s="189">
        <f t="shared" si="20"/>
        <v>0</v>
      </c>
    </row>
    <row r="283" spans="1:13">
      <c r="A283" s="204"/>
      <c r="G283" s="175"/>
      <c r="H283" s="187">
        <v>278</v>
      </c>
      <c r="I283" s="188" t="str">
        <f t="shared" si="18"/>
        <v/>
      </c>
      <c r="J283" s="187">
        <f t="shared" si="21"/>
        <v>-4</v>
      </c>
      <c r="K283" s="187">
        <f t="shared" si="19"/>
        <v>-40</v>
      </c>
      <c r="L283" s="187"/>
      <c r="M283" s="189">
        <f t="shared" si="20"/>
        <v>0</v>
      </c>
    </row>
    <row r="284" spans="1:13">
      <c r="A284" s="204"/>
      <c r="G284" s="175"/>
      <c r="H284" s="187">
        <v>279</v>
      </c>
      <c r="I284" s="188" t="str">
        <f t="shared" si="18"/>
        <v/>
      </c>
      <c r="J284" s="187">
        <f t="shared" si="21"/>
        <v>-4</v>
      </c>
      <c r="K284" s="187">
        <f t="shared" si="19"/>
        <v>-40</v>
      </c>
      <c r="L284" s="187"/>
      <c r="M284" s="189">
        <f t="shared" si="20"/>
        <v>0</v>
      </c>
    </row>
    <row r="285" spans="1:13">
      <c r="A285" s="204"/>
      <c r="G285" s="175"/>
      <c r="H285" s="187">
        <v>280</v>
      </c>
      <c r="I285" s="188" t="str">
        <f t="shared" si="18"/>
        <v/>
      </c>
      <c r="J285" s="187">
        <f t="shared" si="21"/>
        <v>-4</v>
      </c>
      <c r="K285" s="187">
        <f t="shared" si="19"/>
        <v>-40</v>
      </c>
      <c r="L285" s="187"/>
      <c r="M285" s="189">
        <f t="shared" si="20"/>
        <v>0</v>
      </c>
    </row>
    <row r="286" spans="1:13">
      <c r="A286" s="204"/>
      <c r="G286" s="175"/>
      <c r="H286" s="187">
        <v>281</v>
      </c>
      <c r="I286" s="188" t="str">
        <f t="shared" si="18"/>
        <v/>
      </c>
      <c r="J286" s="187">
        <f t="shared" si="21"/>
        <v>-4</v>
      </c>
      <c r="K286" s="187">
        <f t="shared" si="19"/>
        <v>-40</v>
      </c>
      <c r="L286" s="187"/>
      <c r="M286" s="189">
        <f t="shared" si="20"/>
        <v>0</v>
      </c>
    </row>
    <row r="287" spans="1:13">
      <c r="A287" s="204"/>
      <c r="G287" s="175"/>
      <c r="H287" s="187">
        <v>282</v>
      </c>
      <c r="I287" s="188" t="str">
        <f t="shared" si="18"/>
        <v/>
      </c>
      <c r="J287" s="187">
        <f t="shared" si="21"/>
        <v>-4</v>
      </c>
      <c r="K287" s="187">
        <f t="shared" si="19"/>
        <v>-40</v>
      </c>
      <c r="L287" s="187"/>
      <c r="M287" s="189">
        <f t="shared" si="20"/>
        <v>0</v>
      </c>
    </row>
    <row r="288" spans="1:13">
      <c r="A288" s="204"/>
      <c r="G288" s="175"/>
      <c r="H288" s="187">
        <v>283</v>
      </c>
      <c r="I288" s="188" t="str">
        <f t="shared" si="18"/>
        <v/>
      </c>
      <c r="J288" s="187">
        <f t="shared" si="21"/>
        <v>-4</v>
      </c>
      <c r="K288" s="187">
        <f t="shared" si="19"/>
        <v>-40</v>
      </c>
      <c r="L288" s="187"/>
      <c r="M288" s="189">
        <f t="shared" si="20"/>
        <v>0</v>
      </c>
    </row>
    <row r="289" spans="1:13">
      <c r="A289" s="204"/>
      <c r="G289" s="175"/>
      <c r="H289" s="187">
        <v>284</v>
      </c>
      <c r="I289" s="188" t="str">
        <f t="shared" si="18"/>
        <v/>
      </c>
      <c r="J289" s="187">
        <f t="shared" si="21"/>
        <v>-4</v>
      </c>
      <c r="K289" s="187">
        <f t="shared" si="19"/>
        <v>-40</v>
      </c>
      <c r="L289" s="187"/>
      <c r="M289" s="189">
        <f t="shared" si="20"/>
        <v>0</v>
      </c>
    </row>
    <row r="290" spans="1:13">
      <c r="A290" s="204"/>
      <c r="G290" s="175"/>
      <c r="H290" s="187">
        <v>285</v>
      </c>
      <c r="I290" s="188" t="str">
        <f t="shared" si="18"/>
        <v/>
      </c>
      <c r="J290" s="187">
        <f t="shared" si="21"/>
        <v>-4</v>
      </c>
      <c r="K290" s="187">
        <f t="shared" si="19"/>
        <v>-40</v>
      </c>
      <c r="L290" s="187"/>
      <c r="M290" s="189">
        <f t="shared" si="20"/>
        <v>0</v>
      </c>
    </row>
    <row r="291" spans="1:13">
      <c r="A291" s="204"/>
      <c r="G291" s="175"/>
      <c r="H291" s="187">
        <v>286</v>
      </c>
      <c r="I291" s="188" t="str">
        <f t="shared" si="18"/>
        <v/>
      </c>
      <c r="J291" s="187">
        <f t="shared" si="21"/>
        <v>-4</v>
      </c>
      <c r="K291" s="187">
        <f t="shared" si="19"/>
        <v>-40</v>
      </c>
      <c r="L291" s="187"/>
      <c r="M291" s="189">
        <f t="shared" si="20"/>
        <v>0</v>
      </c>
    </row>
    <row r="292" spans="1:13">
      <c r="A292" s="204"/>
      <c r="G292" s="175"/>
      <c r="H292" s="187">
        <v>287</v>
      </c>
      <c r="I292" s="188" t="str">
        <f t="shared" si="18"/>
        <v/>
      </c>
      <c r="J292" s="187">
        <f t="shared" si="21"/>
        <v>-4</v>
      </c>
      <c r="K292" s="187">
        <f t="shared" si="19"/>
        <v>-40</v>
      </c>
      <c r="L292" s="187"/>
      <c r="M292" s="189">
        <f t="shared" si="20"/>
        <v>0</v>
      </c>
    </row>
    <row r="293" spans="1:13">
      <c r="A293" s="204"/>
      <c r="G293" s="175"/>
      <c r="H293" s="187">
        <v>288</v>
      </c>
      <c r="I293" s="188" t="str">
        <f t="shared" si="18"/>
        <v/>
      </c>
      <c r="J293" s="187">
        <f t="shared" si="21"/>
        <v>-4</v>
      </c>
      <c r="K293" s="187">
        <f t="shared" si="19"/>
        <v>-40</v>
      </c>
      <c r="L293" s="187"/>
      <c r="M293" s="189">
        <f t="shared" si="20"/>
        <v>0</v>
      </c>
    </row>
    <row r="294" spans="1:13">
      <c r="A294" s="204"/>
      <c r="G294" s="175"/>
      <c r="H294" s="187">
        <v>289</v>
      </c>
      <c r="I294" s="188" t="str">
        <f t="shared" si="18"/>
        <v/>
      </c>
      <c r="J294" s="187">
        <f t="shared" si="21"/>
        <v>-4</v>
      </c>
      <c r="K294" s="187">
        <f t="shared" si="19"/>
        <v>-40</v>
      </c>
      <c r="L294" s="187"/>
      <c r="M294" s="189">
        <f t="shared" si="20"/>
        <v>0</v>
      </c>
    </row>
    <row r="295" spans="1:13">
      <c r="A295" s="204"/>
      <c r="G295" s="175"/>
      <c r="H295" s="187">
        <v>290</v>
      </c>
      <c r="I295" s="188" t="str">
        <f t="shared" si="18"/>
        <v/>
      </c>
      <c r="J295" s="187">
        <f t="shared" si="21"/>
        <v>-4</v>
      </c>
      <c r="K295" s="187">
        <f t="shared" si="19"/>
        <v>-40</v>
      </c>
      <c r="L295" s="187"/>
      <c r="M295" s="189">
        <f t="shared" si="20"/>
        <v>0</v>
      </c>
    </row>
    <row r="296" spans="1:13">
      <c r="A296" s="204"/>
      <c r="G296" s="175"/>
      <c r="H296" s="187">
        <v>291</v>
      </c>
      <c r="I296" s="188" t="str">
        <f t="shared" si="18"/>
        <v/>
      </c>
      <c r="J296" s="187">
        <f t="shared" si="21"/>
        <v>-4</v>
      </c>
      <c r="K296" s="187">
        <f t="shared" si="19"/>
        <v>-40</v>
      </c>
      <c r="L296" s="187"/>
      <c r="M296" s="189">
        <f t="shared" si="20"/>
        <v>0</v>
      </c>
    </row>
    <row r="297" spans="1:13">
      <c r="A297" s="204"/>
      <c r="G297" s="175"/>
      <c r="H297" s="187">
        <v>292</v>
      </c>
      <c r="I297" s="188" t="str">
        <f t="shared" si="18"/>
        <v/>
      </c>
      <c r="J297" s="187">
        <f t="shared" si="21"/>
        <v>-4</v>
      </c>
      <c r="K297" s="187">
        <f t="shared" si="19"/>
        <v>-40</v>
      </c>
      <c r="L297" s="187"/>
      <c r="M297" s="189">
        <f t="shared" si="20"/>
        <v>0</v>
      </c>
    </row>
    <row r="298" spans="1:13">
      <c r="A298" s="204"/>
      <c r="G298" s="175"/>
      <c r="H298" s="187">
        <v>293</v>
      </c>
      <c r="I298" s="188" t="str">
        <f t="shared" si="18"/>
        <v/>
      </c>
      <c r="J298" s="187">
        <f t="shared" si="21"/>
        <v>-4</v>
      </c>
      <c r="K298" s="187">
        <f t="shared" si="19"/>
        <v>-40</v>
      </c>
      <c r="L298" s="187"/>
      <c r="M298" s="189">
        <f t="shared" si="20"/>
        <v>0</v>
      </c>
    </row>
    <row r="299" spans="1:13">
      <c r="A299" s="204"/>
      <c r="G299" s="175"/>
      <c r="H299" s="187">
        <v>294</v>
      </c>
      <c r="I299" s="188" t="str">
        <f t="shared" si="18"/>
        <v/>
      </c>
      <c r="J299" s="187">
        <f t="shared" si="21"/>
        <v>-4</v>
      </c>
      <c r="K299" s="187">
        <f t="shared" si="19"/>
        <v>-40</v>
      </c>
      <c r="L299" s="187"/>
      <c r="M299" s="189">
        <f t="shared" si="20"/>
        <v>0</v>
      </c>
    </row>
    <row r="300" spans="1:13">
      <c r="A300" s="204"/>
      <c r="G300" s="175"/>
      <c r="H300" s="187">
        <v>295</v>
      </c>
      <c r="I300" s="188" t="str">
        <f t="shared" si="18"/>
        <v/>
      </c>
      <c r="J300" s="187">
        <f t="shared" si="21"/>
        <v>-4</v>
      </c>
      <c r="K300" s="187">
        <f t="shared" si="19"/>
        <v>-40</v>
      </c>
      <c r="L300" s="187"/>
      <c r="M300" s="189">
        <f t="shared" si="20"/>
        <v>0</v>
      </c>
    </row>
    <row r="301" spans="1:13">
      <c r="A301" s="204"/>
      <c r="G301" s="175"/>
      <c r="H301" s="187">
        <v>296</v>
      </c>
      <c r="I301" s="188" t="str">
        <f t="shared" si="18"/>
        <v/>
      </c>
      <c r="J301" s="187">
        <f t="shared" si="21"/>
        <v>-4</v>
      </c>
      <c r="K301" s="187">
        <f t="shared" si="19"/>
        <v>-40</v>
      </c>
      <c r="L301" s="187"/>
      <c r="M301" s="189">
        <f t="shared" si="20"/>
        <v>0</v>
      </c>
    </row>
    <row r="302" spans="1:13">
      <c r="A302" s="204"/>
      <c r="G302" s="175"/>
      <c r="H302" s="187">
        <v>297</v>
      </c>
      <c r="I302" s="188" t="str">
        <f t="shared" si="18"/>
        <v/>
      </c>
      <c r="J302" s="187">
        <f t="shared" si="21"/>
        <v>-4</v>
      </c>
      <c r="K302" s="187">
        <f t="shared" si="19"/>
        <v>-40</v>
      </c>
      <c r="L302" s="187"/>
      <c r="M302" s="189">
        <f t="shared" si="20"/>
        <v>0</v>
      </c>
    </row>
    <row r="303" spans="1:13">
      <c r="A303" s="204"/>
      <c r="G303" s="175"/>
      <c r="H303" s="187">
        <v>298</v>
      </c>
      <c r="I303" s="188" t="str">
        <f t="shared" si="18"/>
        <v/>
      </c>
      <c r="J303" s="187">
        <f t="shared" si="21"/>
        <v>-4</v>
      </c>
      <c r="K303" s="187">
        <f t="shared" si="19"/>
        <v>-40</v>
      </c>
      <c r="L303" s="187"/>
      <c r="M303" s="189">
        <f t="shared" si="20"/>
        <v>0</v>
      </c>
    </row>
    <row r="304" spans="1:13">
      <c r="A304" s="204"/>
      <c r="G304" s="175"/>
      <c r="H304" s="187">
        <v>299</v>
      </c>
      <c r="I304" s="188" t="str">
        <f t="shared" si="18"/>
        <v/>
      </c>
      <c r="J304" s="187">
        <f t="shared" si="21"/>
        <v>-4</v>
      </c>
      <c r="K304" s="187">
        <f t="shared" si="19"/>
        <v>-40</v>
      </c>
      <c r="L304" s="187"/>
      <c r="M304" s="189">
        <f t="shared" si="20"/>
        <v>0</v>
      </c>
    </row>
    <row r="305" spans="1:16">
      <c r="A305" s="204"/>
      <c r="G305" s="175"/>
      <c r="H305" s="187">
        <v>300</v>
      </c>
      <c r="I305" s="188" t="str">
        <f t="shared" si="18"/>
        <v/>
      </c>
      <c r="J305" s="187">
        <f t="shared" si="21"/>
        <v>-4</v>
      </c>
      <c r="K305" s="187">
        <f t="shared" si="19"/>
        <v>-40</v>
      </c>
      <c r="L305" s="187"/>
      <c r="M305" s="189">
        <f t="shared" si="20"/>
        <v>0</v>
      </c>
    </row>
    <row r="306" spans="1:16">
      <c r="A306" s="205"/>
      <c r="J306" s="206" t="e">
        <f t="shared" si="21"/>
        <v>#NUM!</v>
      </c>
    </row>
    <row r="307" spans="1:16">
      <c r="J307" s="206" t="e">
        <f t="shared" si="21"/>
        <v>#NUM!</v>
      </c>
    </row>
    <row r="308" spans="1:16">
      <c r="J308" s="206" t="e">
        <f t="shared" si="21"/>
        <v>#NUM!</v>
      </c>
    </row>
    <row r="309" spans="1:16">
      <c r="J309" s="206" t="e">
        <f t="shared" si="21"/>
        <v>#NUM!</v>
      </c>
    </row>
    <row r="310" spans="1:16">
      <c r="J310" s="206" t="e">
        <f t="shared" si="21"/>
        <v>#NUM!</v>
      </c>
    </row>
    <row r="311" spans="1:16">
      <c r="J311" s="206" t="e">
        <f t="shared" si="21"/>
        <v>#NUM!</v>
      </c>
    </row>
    <row r="312" spans="1:16">
      <c r="J312" s="206" t="e">
        <f t="shared" si="21"/>
        <v>#NUM!</v>
      </c>
    </row>
    <row r="313" spans="1:16">
      <c r="J313" s="206" t="e">
        <f t="shared" si="21"/>
        <v>#NUM!</v>
      </c>
    </row>
    <row r="314" spans="1:16">
      <c r="J314" s="206" t="e">
        <f t="shared" si="21"/>
        <v>#NUM!</v>
      </c>
      <c r="L314" s="208"/>
      <c r="P314" s="198"/>
    </row>
    <row r="315" spans="1:16">
      <c r="J315" s="206" t="e">
        <f t="shared" si="21"/>
        <v>#NUM!</v>
      </c>
      <c r="L315" s="208"/>
      <c r="P315" s="198"/>
    </row>
    <row r="316" spans="1:16">
      <c r="J316" s="206" t="e">
        <f t="shared" si="21"/>
        <v>#NUM!</v>
      </c>
      <c r="L316" s="208"/>
      <c r="P316" s="198"/>
    </row>
    <row r="317" spans="1:16">
      <c r="J317" s="206" t="e">
        <f t="shared" si="21"/>
        <v>#NUM!</v>
      </c>
      <c r="L317" s="208"/>
      <c r="P317" s="198"/>
    </row>
    <row r="318" spans="1:16">
      <c r="J318" s="206" t="e">
        <f t="shared" si="21"/>
        <v>#NUM!</v>
      </c>
    </row>
    <row r="319" spans="1:16">
      <c r="J319" s="206" t="e">
        <f t="shared" si="21"/>
        <v>#NUM!</v>
      </c>
    </row>
    <row r="320" spans="1:16">
      <c r="J320" s="206" t="e">
        <f t="shared" si="21"/>
        <v>#NUM!</v>
      </c>
    </row>
    <row r="321" spans="10:10">
      <c r="J321" s="206" t="e">
        <f t="shared" si="21"/>
        <v>#NUM!</v>
      </c>
    </row>
    <row r="322" spans="10:10">
      <c r="J322" s="206" t="e">
        <f t="shared" si="21"/>
        <v>#NUM!</v>
      </c>
    </row>
    <row r="323" spans="10:10">
      <c r="J323" s="206" t="e">
        <f t="shared" si="21"/>
        <v>#NUM!</v>
      </c>
    </row>
    <row r="324" spans="10:10">
      <c r="J324" s="206" t="e">
        <f t="shared" si="21"/>
        <v>#NUM!</v>
      </c>
    </row>
    <row r="325" spans="10:10">
      <c r="J325" s="206" t="e">
        <f t="shared" si="21"/>
        <v>#NUM!</v>
      </c>
    </row>
    <row r="326" spans="10:10">
      <c r="J326" s="206" t="e">
        <f t="shared" si="21"/>
        <v>#NUM!</v>
      </c>
    </row>
    <row r="327" spans="10:10">
      <c r="J327" s="206" t="e">
        <f t="shared" ref="J327:J374" si="22">INT(LOG($H$2,2))-ROUNDUP(LOG(H327,2),0)+IF(OR($H$2=1,$H$2=2,$H$2=4,$H$2=8,$H$2=16,$H$2=32,$H$2=64,$H$2=128,$H$2=256),0,1)</f>
        <v>#NUM!</v>
      </c>
    </row>
    <row r="328" spans="10:10">
      <c r="J328" s="206" t="e">
        <f t="shared" si="22"/>
        <v>#NUM!</v>
      </c>
    </row>
    <row r="329" spans="10:10">
      <c r="J329" s="206" t="e">
        <f t="shared" si="22"/>
        <v>#NUM!</v>
      </c>
    </row>
    <row r="330" spans="10:10">
      <c r="J330" s="206" t="e">
        <f t="shared" si="22"/>
        <v>#NUM!</v>
      </c>
    </row>
    <row r="331" spans="10:10">
      <c r="J331" s="206" t="e">
        <f t="shared" si="22"/>
        <v>#NUM!</v>
      </c>
    </row>
    <row r="332" spans="10:10">
      <c r="J332" s="206" t="e">
        <f t="shared" si="22"/>
        <v>#NUM!</v>
      </c>
    </row>
    <row r="333" spans="10:10">
      <c r="J333" s="206" t="e">
        <f t="shared" si="22"/>
        <v>#NUM!</v>
      </c>
    </row>
    <row r="334" spans="10:10">
      <c r="J334" s="206" t="e">
        <f t="shared" si="22"/>
        <v>#NUM!</v>
      </c>
    </row>
    <row r="335" spans="10:10">
      <c r="J335" s="206" t="e">
        <f t="shared" si="22"/>
        <v>#NUM!</v>
      </c>
    </row>
    <row r="336" spans="10:10">
      <c r="J336" s="206" t="e">
        <f t="shared" si="22"/>
        <v>#NUM!</v>
      </c>
    </row>
    <row r="337" spans="10:10">
      <c r="J337" s="206" t="e">
        <f t="shared" si="22"/>
        <v>#NUM!</v>
      </c>
    </row>
    <row r="338" spans="10:10">
      <c r="J338" s="206" t="e">
        <f t="shared" si="22"/>
        <v>#NUM!</v>
      </c>
    </row>
    <row r="339" spans="10:10">
      <c r="J339" s="206" t="e">
        <f t="shared" si="22"/>
        <v>#NUM!</v>
      </c>
    </row>
    <row r="340" spans="10:10">
      <c r="J340" s="206" t="e">
        <f t="shared" si="22"/>
        <v>#NUM!</v>
      </c>
    </row>
    <row r="341" spans="10:10">
      <c r="J341" s="206" t="e">
        <f t="shared" si="22"/>
        <v>#NUM!</v>
      </c>
    </row>
    <row r="342" spans="10:10">
      <c r="J342" s="206" t="e">
        <f t="shared" si="22"/>
        <v>#NUM!</v>
      </c>
    </row>
    <row r="343" spans="10:10">
      <c r="J343" s="206" t="e">
        <f t="shared" si="22"/>
        <v>#NUM!</v>
      </c>
    </row>
    <row r="344" spans="10:10">
      <c r="J344" s="206" t="e">
        <f t="shared" si="22"/>
        <v>#NUM!</v>
      </c>
    </row>
    <row r="345" spans="10:10">
      <c r="J345" s="206" t="e">
        <f t="shared" si="22"/>
        <v>#NUM!</v>
      </c>
    </row>
    <row r="346" spans="10:10">
      <c r="J346" s="206" t="e">
        <f t="shared" si="22"/>
        <v>#NUM!</v>
      </c>
    </row>
    <row r="347" spans="10:10">
      <c r="J347" s="206" t="e">
        <f t="shared" si="22"/>
        <v>#NUM!</v>
      </c>
    </row>
    <row r="348" spans="10:10">
      <c r="J348" s="206" t="e">
        <f t="shared" si="22"/>
        <v>#NUM!</v>
      </c>
    </row>
    <row r="349" spans="10:10">
      <c r="J349" s="206" t="e">
        <f t="shared" si="22"/>
        <v>#NUM!</v>
      </c>
    </row>
    <row r="350" spans="10:10">
      <c r="J350" s="206" t="e">
        <f t="shared" si="22"/>
        <v>#NUM!</v>
      </c>
    </row>
    <row r="351" spans="10:10">
      <c r="J351" s="206" t="e">
        <f t="shared" si="22"/>
        <v>#NUM!</v>
      </c>
    </row>
    <row r="352" spans="10:10">
      <c r="J352" s="206" t="e">
        <f t="shared" si="22"/>
        <v>#NUM!</v>
      </c>
    </row>
    <row r="353" spans="10:10">
      <c r="J353" s="206" t="e">
        <f t="shared" si="22"/>
        <v>#NUM!</v>
      </c>
    </row>
    <row r="354" spans="10:10">
      <c r="J354" s="206" t="e">
        <f t="shared" si="22"/>
        <v>#NUM!</v>
      </c>
    </row>
    <row r="355" spans="10:10">
      <c r="J355" s="206" t="e">
        <f t="shared" si="22"/>
        <v>#NUM!</v>
      </c>
    </row>
    <row r="356" spans="10:10">
      <c r="J356" s="206" t="e">
        <f t="shared" si="22"/>
        <v>#NUM!</v>
      </c>
    </row>
    <row r="357" spans="10:10">
      <c r="J357" s="206" t="e">
        <f t="shared" si="22"/>
        <v>#NUM!</v>
      </c>
    </row>
    <row r="358" spans="10:10">
      <c r="J358" s="206" t="e">
        <f t="shared" si="22"/>
        <v>#NUM!</v>
      </c>
    </row>
    <row r="359" spans="10:10">
      <c r="J359" s="206" t="e">
        <f t="shared" si="22"/>
        <v>#NUM!</v>
      </c>
    </row>
    <row r="360" spans="10:10">
      <c r="J360" s="206" t="e">
        <f t="shared" si="22"/>
        <v>#NUM!</v>
      </c>
    </row>
    <row r="361" spans="10:10">
      <c r="J361" s="206" t="e">
        <f t="shared" si="22"/>
        <v>#NUM!</v>
      </c>
    </row>
    <row r="362" spans="10:10">
      <c r="J362" s="206" t="e">
        <f t="shared" si="22"/>
        <v>#NUM!</v>
      </c>
    </row>
    <row r="363" spans="10:10">
      <c r="J363" s="206" t="e">
        <f t="shared" si="22"/>
        <v>#NUM!</v>
      </c>
    </row>
    <row r="364" spans="10:10">
      <c r="J364" s="206" t="e">
        <f t="shared" si="22"/>
        <v>#NUM!</v>
      </c>
    </row>
    <row r="365" spans="10:10">
      <c r="J365" s="206" t="e">
        <f t="shared" si="22"/>
        <v>#NUM!</v>
      </c>
    </row>
    <row r="366" spans="10:10">
      <c r="J366" s="206" t="e">
        <f t="shared" si="22"/>
        <v>#NUM!</v>
      </c>
    </row>
    <row r="367" spans="10:10">
      <c r="J367" s="206" t="e">
        <f t="shared" si="22"/>
        <v>#NUM!</v>
      </c>
    </row>
    <row r="368" spans="10:10">
      <c r="J368" s="206" t="e">
        <f t="shared" si="22"/>
        <v>#NUM!</v>
      </c>
    </row>
    <row r="369" spans="10:10">
      <c r="J369" s="206" t="e">
        <f t="shared" si="22"/>
        <v>#NUM!</v>
      </c>
    </row>
    <row r="370" spans="10:10">
      <c r="J370" s="206" t="e">
        <f t="shared" si="22"/>
        <v>#NUM!</v>
      </c>
    </row>
    <row r="371" spans="10:10">
      <c r="J371" s="206" t="e">
        <f t="shared" si="22"/>
        <v>#NUM!</v>
      </c>
    </row>
    <row r="372" spans="10:10">
      <c r="J372" s="206" t="e">
        <f t="shared" si="22"/>
        <v>#NUM!</v>
      </c>
    </row>
    <row r="373" spans="10:10">
      <c r="J373" s="206" t="e">
        <f t="shared" si="22"/>
        <v>#NUM!</v>
      </c>
    </row>
    <row r="374" spans="10:10">
      <c r="J374" s="206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363A834E-AE79-41B5-8322-D34E1B18FA5E}"/>
  </hyperlinks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F0B6E-509F-45BD-A137-7C1B0708B2DC}">
  <sheetPr>
    <tabColor rgb="FF92D050"/>
  </sheetPr>
  <dimension ref="A1:AL374"/>
  <sheetViews>
    <sheetView zoomScaleNormal="100" workbookViewId="0">
      <selection activeCell="C2" sqref="C2"/>
    </sheetView>
  </sheetViews>
  <sheetFormatPr defaultColWidth="8.85546875" defaultRowHeight="14.25"/>
  <cols>
    <col min="1" max="1" width="8" style="203" customWidth="1"/>
    <col min="2" max="2" width="8.28515625" style="203" customWidth="1"/>
    <col min="3" max="3" width="34.7109375" style="203" customWidth="1"/>
    <col min="4" max="4" width="11.28515625" style="203" customWidth="1"/>
    <col min="5" max="6" width="8.85546875" style="203"/>
    <col min="7" max="7" width="0.85546875" style="203" customWidth="1"/>
    <col min="8" max="8" width="8.85546875" style="206"/>
    <col min="9" max="9" width="11" style="206" customWidth="1"/>
    <col min="10" max="10" width="15.28515625" style="206" customWidth="1"/>
    <col min="11" max="11" width="8.7109375" style="206" customWidth="1"/>
    <col min="12" max="12" width="11" style="206" customWidth="1"/>
    <col min="13" max="13" width="12.28515625" style="207" customWidth="1"/>
    <col min="14" max="15" width="13.85546875" style="175" customWidth="1"/>
    <col min="16" max="18" width="8.85546875" style="175"/>
    <col min="19" max="20" width="8.85546875" style="180"/>
    <col min="21" max="21" width="12.140625" style="180" customWidth="1"/>
    <col min="22" max="22" width="27.42578125" style="180" customWidth="1"/>
    <col min="23" max="38" width="8.85546875" style="180"/>
    <col min="39" max="16384" width="8.85546875" style="203"/>
  </cols>
  <sheetData>
    <row r="1" spans="1:36">
      <c r="A1" s="175"/>
      <c r="B1" s="175"/>
      <c r="C1" s="175"/>
      <c r="D1" s="175"/>
      <c r="E1" s="175"/>
      <c r="F1" s="175"/>
      <c r="G1" s="175"/>
      <c r="H1" s="176" t="s">
        <v>34</v>
      </c>
      <c r="I1" s="177" t="s">
        <v>35</v>
      </c>
      <c r="J1" s="177" t="s">
        <v>36</v>
      </c>
      <c r="K1" s="178" t="s">
        <v>131</v>
      </c>
      <c r="L1" s="179"/>
      <c r="M1" s="179"/>
    </row>
    <row r="2" spans="1:36">
      <c r="A2" s="175"/>
      <c r="B2" s="21" t="s">
        <v>38</v>
      </c>
      <c r="C2" s="133" t="s">
        <v>150</v>
      </c>
      <c r="D2" s="73"/>
      <c r="E2" s="22"/>
      <c r="F2" s="22"/>
      <c r="G2" s="22"/>
      <c r="H2" s="181">
        <v>0</v>
      </c>
      <c r="I2" s="182">
        <v>50</v>
      </c>
      <c r="J2" s="182">
        <v>10</v>
      </c>
      <c r="K2" s="209">
        <f>3*H2^(1/3)</f>
        <v>0</v>
      </c>
      <c r="L2" s="179"/>
      <c r="M2" s="179"/>
    </row>
    <row r="3" spans="1:36">
      <c r="A3" s="175"/>
      <c r="B3" s="184" t="s">
        <v>40</v>
      </c>
      <c r="C3" s="74" t="s">
        <v>151</v>
      </c>
      <c r="D3" s="74"/>
      <c r="E3" s="27"/>
      <c r="F3" s="27"/>
      <c r="G3" s="27"/>
      <c r="H3" s="179"/>
      <c r="I3" s="179"/>
      <c r="J3" s="210"/>
      <c r="K3" s="179"/>
      <c r="L3" s="179"/>
      <c r="M3" s="179"/>
    </row>
    <row r="4" spans="1:36" ht="10.15" customHeight="1">
      <c r="A4" s="29"/>
      <c r="B4" s="27"/>
      <c r="C4" s="29"/>
      <c r="D4" s="29"/>
      <c r="E4" s="29"/>
      <c r="F4" s="29"/>
      <c r="G4" s="29"/>
      <c r="H4" s="179"/>
      <c r="I4" s="179"/>
      <c r="J4" s="210"/>
      <c r="K4" s="179"/>
      <c r="L4" s="179"/>
      <c r="M4" s="179"/>
    </row>
    <row r="5" spans="1:36" ht="34.700000000000003">
      <c r="A5" s="1" t="s">
        <v>42</v>
      </c>
      <c r="B5" s="30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9"/>
      <c r="H5" s="185" t="s">
        <v>48</v>
      </c>
      <c r="I5" s="186" t="s">
        <v>49</v>
      </c>
      <c r="J5" s="211" t="s">
        <v>50</v>
      </c>
      <c r="K5" s="186" t="s">
        <v>51</v>
      </c>
      <c r="L5" s="186" t="s">
        <v>52</v>
      </c>
      <c r="M5" s="185" t="s">
        <v>53</v>
      </c>
    </row>
    <row r="6" spans="1:36" ht="14.45" customHeight="1">
      <c r="A6" s="102">
        <f>M6</f>
        <v>0</v>
      </c>
      <c r="B6" s="35" t="str">
        <f>IF(H6&gt;$H$2,"",(ROW()-5))</f>
        <v/>
      </c>
      <c r="C6" s="36"/>
      <c r="D6" s="36"/>
      <c r="E6" s="36"/>
      <c r="F6" s="36" t="s">
        <v>55</v>
      </c>
      <c r="G6" s="29"/>
      <c r="H6" s="187">
        <v>1</v>
      </c>
      <c r="I6" s="188" t="str">
        <f t="shared" ref="I6:I69" si="0">IF(H6&lt;$H$2+1,($I$2-($I$2-1)*(LOG(H6)/LOG($H$2))),"")</f>
        <v/>
      </c>
      <c r="J6" s="187" t="e">
        <f>INT(LOG($H$2,2))-ROUNDUP(LOG(H6,2),0)+IF(OR($H$2=1,$H$2=2,$H$2=4,$H$2=8,$H$2=16,$H$2=32,$H$2=64,$H$2=128,$H$2=256),0,1)</f>
        <v>#NUM!</v>
      </c>
      <c r="K6" s="187" t="e">
        <f t="shared" ref="K6:K69" si="1">J6*$J$2</f>
        <v>#NUM!</v>
      </c>
      <c r="L6" s="189">
        <f>3*K2</f>
        <v>0</v>
      </c>
      <c r="M6" s="189">
        <f t="shared" ref="M6:M69" si="2">IF(I6&lt;&gt;"",K6+I6+L6,0)</f>
        <v>0</v>
      </c>
    </row>
    <row r="7" spans="1:36" ht="14.45" customHeight="1">
      <c r="A7" s="106">
        <f t="shared" ref="A7:A37" si="3">M7</f>
        <v>0</v>
      </c>
      <c r="B7" s="41" t="str">
        <f t="shared" ref="B7:B65" si="4">IF(H7&gt;$H$2,"",(ROW()-5))</f>
        <v/>
      </c>
      <c r="C7" s="42"/>
      <c r="D7" s="42"/>
      <c r="E7" s="42"/>
      <c r="F7" s="42" t="s">
        <v>55</v>
      </c>
      <c r="G7" s="29"/>
      <c r="H7" s="190">
        <v>2</v>
      </c>
      <c r="I7" s="191" t="str">
        <f t="shared" si="0"/>
        <v/>
      </c>
      <c r="J7" s="190" t="e">
        <f t="shared" ref="J7:J70" si="5">INT(LOG($H$2,2))-ROUNDUP(LOG(H7,2),0)+IF(OR($H$2=1,$H$2=2,$H$2=4,$H$2=8,$H$2=16,$H$2=32,$H$2=64,$H$2=128,$H$2=256),0,1)</f>
        <v>#NUM!</v>
      </c>
      <c r="K7" s="190" t="e">
        <f t="shared" si="1"/>
        <v>#NUM!</v>
      </c>
      <c r="L7" s="192">
        <f>2*K2</f>
        <v>0</v>
      </c>
      <c r="M7" s="192">
        <f t="shared" si="2"/>
        <v>0</v>
      </c>
    </row>
    <row r="8" spans="1:36" ht="14.45" customHeight="1">
      <c r="A8" s="102">
        <f t="shared" si="3"/>
        <v>0</v>
      </c>
      <c r="B8" s="35" t="str">
        <f t="shared" si="4"/>
        <v/>
      </c>
      <c r="C8" s="36"/>
      <c r="D8" s="36"/>
      <c r="E8" s="36"/>
      <c r="F8" s="36" t="s">
        <v>55</v>
      </c>
      <c r="G8" s="29"/>
      <c r="H8" s="187">
        <v>3</v>
      </c>
      <c r="I8" s="188" t="str">
        <f t="shared" si="0"/>
        <v/>
      </c>
      <c r="J8" s="187" t="e">
        <f t="shared" si="5"/>
        <v>#NUM!</v>
      </c>
      <c r="K8" s="187" t="e">
        <f t="shared" si="1"/>
        <v>#NUM!</v>
      </c>
      <c r="L8" s="189">
        <f>K2</f>
        <v>0</v>
      </c>
      <c r="M8" s="189">
        <f t="shared" si="2"/>
        <v>0</v>
      </c>
    </row>
    <row r="9" spans="1:36" s="180" customFormat="1" ht="14.45" customHeight="1">
      <c r="A9" s="106">
        <f t="shared" si="3"/>
        <v>0</v>
      </c>
      <c r="B9" s="41" t="str">
        <f>IF(H9&gt;$H$2,"",3)</f>
        <v/>
      </c>
      <c r="C9" s="42"/>
      <c r="D9" s="42"/>
      <c r="E9" s="42"/>
      <c r="F9" s="42"/>
      <c r="G9" s="29"/>
      <c r="H9" s="190">
        <v>3</v>
      </c>
      <c r="I9" s="191" t="str">
        <f t="shared" si="0"/>
        <v/>
      </c>
      <c r="J9" s="190" t="e">
        <f t="shared" si="5"/>
        <v>#NUM!</v>
      </c>
      <c r="K9" s="190" t="e">
        <f t="shared" si="1"/>
        <v>#NUM!</v>
      </c>
      <c r="L9" s="192">
        <f>K2</f>
        <v>0</v>
      </c>
      <c r="M9" s="192">
        <f t="shared" si="2"/>
        <v>0</v>
      </c>
      <c r="N9" s="175"/>
      <c r="O9" s="175"/>
      <c r="P9" s="175"/>
      <c r="Q9" s="175"/>
      <c r="R9" s="175"/>
      <c r="V9" s="193"/>
      <c r="Z9" s="194"/>
      <c r="AA9" s="194"/>
      <c r="AG9" s="195"/>
      <c r="AH9" s="180" t="s">
        <v>57</v>
      </c>
      <c r="AI9" s="180">
        <v>23</v>
      </c>
    </row>
    <row r="10" spans="1:36" ht="14.45" customHeight="1">
      <c r="A10" s="102">
        <f t="shared" si="3"/>
        <v>0</v>
      </c>
      <c r="B10" s="35" t="str">
        <f t="shared" si="4"/>
        <v/>
      </c>
      <c r="C10" s="36"/>
      <c r="D10" s="36"/>
      <c r="E10" s="36"/>
      <c r="F10" s="36"/>
      <c r="G10" s="29"/>
      <c r="H10" s="187">
        <v>5</v>
      </c>
      <c r="I10" s="188" t="str">
        <f t="shared" si="0"/>
        <v/>
      </c>
      <c r="J10" s="187" t="e">
        <f t="shared" si="5"/>
        <v>#NUM!</v>
      </c>
      <c r="K10" s="187" t="e">
        <f t="shared" si="1"/>
        <v>#NUM!</v>
      </c>
      <c r="L10" s="187"/>
      <c r="M10" s="189">
        <f t="shared" si="2"/>
        <v>0</v>
      </c>
      <c r="V10" s="193"/>
      <c r="Z10" s="194"/>
      <c r="AA10" s="194"/>
      <c r="AG10" s="195"/>
      <c r="AH10" s="180" t="s">
        <v>58</v>
      </c>
      <c r="AI10" s="180">
        <v>45</v>
      </c>
    </row>
    <row r="11" spans="1:36" ht="14.45" customHeight="1">
      <c r="A11" s="106">
        <f t="shared" si="3"/>
        <v>0</v>
      </c>
      <c r="B11" s="41" t="str">
        <f t="shared" si="4"/>
        <v/>
      </c>
      <c r="C11" s="42"/>
      <c r="D11" s="42"/>
      <c r="E11" s="42"/>
      <c r="F11" s="42"/>
      <c r="G11" s="29"/>
      <c r="H11" s="190">
        <v>6</v>
      </c>
      <c r="I11" s="191" t="str">
        <f t="shared" si="0"/>
        <v/>
      </c>
      <c r="J11" s="190" t="e">
        <f t="shared" si="5"/>
        <v>#NUM!</v>
      </c>
      <c r="K11" s="190" t="e">
        <f t="shared" si="1"/>
        <v>#NUM!</v>
      </c>
      <c r="L11" s="190"/>
      <c r="M11" s="192">
        <f t="shared" si="2"/>
        <v>0</v>
      </c>
      <c r="V11" s="196"/>
      <c r="Z11" s="194"/>
      <c r="AA11" s="194"/>
      <c r="AG11" s="195"/>
      <c r="AH11" s="180" t="s">
        <v>60</v>
      </c>
      <c r="AI11" s="180">
        <v>50</v>
      </c>
    </row>
    <row r="12" spans="1:36" ht="14.45" customHeight="1">
      <c r="A12" s="102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187">
        <v>7</v>
      </c>
      <c r="I12" s="188" t="str">
        <f t="shared" si="0"/>
        <v/>
      </c>
      <c r="J12" s="187" t="e">
        <f t="shared" si="5"/>
        <v>#NUM!</v>
      </c>
      <c r="K12" s="187" t="e">
        <f t="shared" si="1"/>
        <v>#NUM!</v>
      </c>
      <c r="L12" s="187"/>
      <c r="M12" s="189">
        <f t="shared" si="2"/>
        <v>0</v>
      </c>
      <c r="Z12" s="194"/>
      <c r="AA12" s="194"/>
      <c r="AG12" s="195"/>
      <c r="AH12" s="180" t="s">
        <v>61</v>
      </c>
      <c r="AI12" s="180">
        <f>AI11-1</f>
        <v>49</v>
      </c>
    </row>
    <row r="13" spans="1:36" ht="14.45" customHeight="1">
      <c r="A13" s="106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190">
        <v>8</v>
      </c>
      <c r="I13" s="191" t="str">
        <f t="shared" si="0"/>
        <v/>
      </c>
      <c r="J13" s="190" t="e">
        <f t="shared" si="5"/>
        <v>#NUM!</v>
      </c>
      <c r="K13" s="190" t="e">
        <f t="shared" si="1"/>
        <v>#NUM!</v>
      </c>
      <c r="L13" s="190"/>
      <c r="M13" s="192">
        <f t="shared" si="2"/>
        <v>0</v>
      </c>
      <c r="X13" s="193"/>
      <c r="AG13" s="195"/>
      <c r="AH13" s="180" t="s">
        <v>62</v>
      </c>
      <c r="AI13" s="180">
        <f>LOG(AI9)</f>
        <v>1.3617278360175928</v>
      </c>
    </row>
    <row r="14" spans="1:36">
      <c r="A14" s="102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187">
        <v>9</v>
      </c>
      <c r="I14" s="188" t="str">
        <f t="shared" si="0"/>
        <v/>
      </c>
      <c r="J14" s="187" t="e">
        <f t="shared" si="5"/>
        <v>#NUM!</v>
      </c>
      <c r="K14" s="187" t="e">
        <f t="shared" si="1"/>
        <v>#NUM!</v>
      </c>
      <c r="L14" s="187"/>
      <c r="M14" s="189">
        <f t="shared" si="2"/>
        <v>0</v>
      </c>
      <c r="X14" s="197"/>
      <c r="Z14" s="194"/>
      <c r="AA14" s="194"/>
      <c r="AG14" s="195"/>
      <c r="AH14" s="180" t="s">
        <v>64</v>
      </c>
      <c r="AI14" s="180">
        <f>LOG(AI10)</f>
        <v>1.6532125137753437</v>
      </c>
    </row>
    <row r="15" spans="1:36">
      <c r="A15" s="106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190">
        <v>10</v>
      </c>
      <c r="I15" s="191" t="str">
        <f t="shared" si="0"/>
        <v/>
      </c>
      <c r="J15" s="190" t="e">
        <f t="shared" si="5"/>
        <v>#NUM!</v>
      </c>
      <c r="K15" s="190" t="e">
        <f t="shared" si="1"/>
        <v>#NUM!</v>
      </c>
      <c r="L15" s="190"/>
      <c r="M15" s="192">
        <f t="shared" si="2"/>
        <v>0</v>
      </c>
      <c r="X15" s="193"/>
      <c r="Z15" s="194"/>
      <c r="AA15" s="194"/>
    </row>
    <row r="16" spans="1:36">
      <c r="A16" s="102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187">
        <v>11</v>
      </c>
      <c r="I16" s="188" t="str">
        <f t="shared" si="0"/>
        <v/>
      </c>
      <c r="J16" s="187" t="e">
        <f t="shared" si="5"/>
        <v>#NUM!</v>
      </c>
      <c r="K16" s="187" t="e">
        <f t="shared" si="1"/>
        <v>#NUM!</v>
      </c>
      <c r="L16" s="187"/>
      <c r="M16" s="189">
        <f t="shared" si="2"/>
        <v>0</v>
      </c>
      <c r="R16" s="198"/>
      <c r="Z16" s="194"/>
      <c r="AA16" s="194"/>
      <c r="AH16" s="199" t="s">
        <v>66</v>
      </c>
      <c r="AI16" s="180">
        <f>AI11-AI12*AI13/AI14</f>
        <v>9.6393909380186855</v>
      </c>
      <c r="AJ16" s="180" t="s">
        <v>67</v>
      </c>
    </row>
    <row r="17" spans="1:19">
      <c r="A17" s="106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190">
        <v>12</v>
      </c>
      <c r="I17" s="191" t="str">
        <f t="shared" si="0"/>
        <v/>
      </c>
      <c r="J17" s="190" t="e">
        <f t="shared" si="5"/>
        <v>#NUM!</v>
      </c>
      <c r="K17" s="190" t="e">
        <f t="shared" si="1"/>
        <v>#NUM!</v>
      </c>
      <c r="L17" s="190"/>
      <c r="M17" s="192">
        <f t="shared" si="2"/>
        <v>0</v>
      </c>
    </row>
    <row r="18" spans="1:19">
      <c r="A18" s="102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187">
        <v>13</v>
      </c>
      <c r="I18" s="188" t="str">
        <f t="shared" si="0"/>
        <v/>
      </c>
      <c r="J18" s="187" t="e">
        <f t="shared" si="5"/>
        <v>#NUM!</v>
      </c>
      <c r="K18" s="187" t="e">
        <f t="shared" si="1"/>
        <v>#NUM!</v>
      </c>
      <c r="L18" s="187"/>
      <c r="M18" s="189">
        <f t="shared" si="2"/>
        <v>0</v>
      </c>
    </row>
    <row r="19" spans="1:19">
      <c r="A19" s="106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190">
        <v>14</v>
      </c>
      <c r="I19" s="191" t="str">
        <f t="shared" si="0"/>
        <v/>
      </c>
      <c r="J19" s="190" t="e">
        <f t="shared" si="5"/>
        <v>#NUM!</v>
      </c>
      <c r="K19" s="190" t="e">
        <f t="shared" si="1"/>
        <v>#NUM!</v>
      </c>
      <c r="L19" s="190"/>
      <c r="M19" s="192">
        <f t="shared" si="2"/>
        <v>0</v>
      </c>
    </row>
    <row r="20" spans="1:19">
      <c r="A20" s="102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187">
        <v>15</v>
      </c>
      <c r="I20" s="188" t="str">
        <f t="shared" si="0"/>
        <v/>
      </c>
      <c r="J20" s="187" t="e">
        <f t="shared" si="5"/>
        <v>#NUM!</v>
      </c>
      <c r="K20" s="187" t="e">
        <f t="shared" si="1"/>
        <v>#NUM!</v>
      </c>
      <c r="L20" s="187"/>
      <c r="M20" s="189">
        <f t="shared" si="2"/>
        <v>0</v>
      </c>
      <c r="R20" s="200"/>
      <c r="S20" s="201"/>
    </row>
    <row r="21" spans="1:19">
      <c r="A21" s="106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190">
        <v>16</v>
      </c>
      <c r="I21" s="191" t="str">
        <f t="shared" si="0"/>
        <v/>
      </c>
      <c r="J21" s="190" t="e">
        <f t="shared" si="5"/>
        <v>#NUM!</v>
      </c>
      <c r="K21" s="190" t="e">
        <f t="shared" si="1"/>
        <v>#NUM!</v>
      </c>
      <c r="L21" s="190"/>
      <c r="M21" s="192">
        <f t="shared" si="2"/>
        <v>0</v>
      </c>
    </row>
    <row r="22" spans="1:19">
      <c r="A22" s="102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187">
        <v>17</v>
      </c>
      <c r="I22" s="188" t="str">
        <f t="shared" si="0"/>
        <v/>
      </c>
      <c r="J22" s="187" t="e">
        <f t="shared" si="5"/>
        <v>#NUM!</v>
      </c>
      <c r="K22" s="187" t="e">
        <f t="shared" si="1"/>
        <v>#NUM!</v>
      </c>
      <c r="L22" s="187"/>
      <c r="M22" s="189">
        <f t="shared" si="2"/>
        <v>0</v>
      </c>
    </row>
    <row r="23" spans="1:19">
      <c r="A23" s="106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190">
        <v>18</v>
      </c>
      <c r="I23" s="191" t="str">
        <f t="shared" si="0"/>
        <v/>
      </c>
      <c r="J23" s="190" t="e">
        <f t="shared" si="5"/>
        <v>#NUM!</v>
      </c>
      <c r="K23" s="190" t="e">
        <f t="shared" si="1"/>
        <v>#NUM!</v>
      </c>
      <c r="L23" s="190"/>
      <c r="M23" s="192">
        <f t="shared" si="2"/>
        <v>0</v>
      </c>
    </row>
    <row r="24" spans="1:19">
      <c r="A24" s="102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187">
        <v>19</v>
      </c>
      <c r="I24" s="188" t="str">
        <f t="shared" si="0"/>
        <v/>
      </c>
      <c r="J24" s="187" t="e">
        <f t="shared" si="5"/>
        <v>#NUM!</v>
      </c>
      <c r="K24" s="187" t="e">
        <f t="shared" si="1"/>
        <v>#NUM!</v>
      </c>
      <c r="L24" s="187"/>
      <c r="M24" s="189">
        <f t="shared" si="2"/>
        <v>0</v>
      </c>
      <c r="R24" s="200"/>
      <c r="S24" s="201"/>
    </row>
    <row r="25" spans="1:19">
      <c r="A25" s="106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190">
        <v>20</v>
      </c>
      <c r="I25" s="191" t="str">
        <f t="shared" si="0"/>
        <v/>
      </c>
      <c r="J25" s="190" t="e">
        <f t="shared" si="5"/>
        <v>#NUM!</v>
      </c>
      <c r="K25" s="190" t="e">
        <f t="shared" si="1"/>
        <v>#NUM!</v>
      </c>
      <c r="L25" s="190"/>
      <c r="M25" s="192">
        <f t="shared" si="2"/>
        <v>0</v>
      </c>
    </row>
    <row r="26" spans="1:19">
      <c r="A26" s="102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187">
        <v>21</v>
      </c>
      <c r="I26" s="188" t="str">
        <f t="shared" si="0"/>
        <v/>
      </c>
      <c r="J26" s="187" t="e">
        <f t="shared" si="5"/>
        <v>#NUM!</v>
      </c>
      <c r="K26" s="187" t="e">
        <f t="shared" si="1"/>
        <v>#NUM!</v>
      </c>
      <c r="L26" s="187"/>
      <c r="M26" s="189">
        <f t="shared" si="2"/>
        <v>0</v>
      </c>
    </row>
    <row r="27" spans="1:19">
      <c r="A27" s="106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190">
        <v>22</v>
      </c>
      <c r="I27" s="191" t="str">
        <f t="shared" si="0"/>
        <v/>
      </c>
      <c r="J27" s="190" t="e">
        <f t="shared" si="5"/>
        <v>#NUM!</v>
      </c>
      <c r="K27" s="190" t="e">
        <f t="shared" si="1"/>
        <v>#NUM!</v>
      </c>
      <c r="L27" s="190"/>
      <c r="M27" s="192">
        <f t="shared" si="2"/>
        <v>0</v>
      </c>
    </row>
    <row r="28" spans="1:19">
      <c r="A28" s="102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187">
        <v>23</v>
      </c>
      <c r="I28" s="188" t="str">
        <f t="shared" si="0"/>
        <v/>
      </c>
      <c r="J28" s="187" t="e">
        <f t="shared" si="5"/>
        <v>#NUM!</v>
      </c>
      <c r="K28" s="187" t="e">
        <f t="shared" si="1"/>
        <v>#NUM!</v>
      </c>
      <c r="L28" s="187"/>
      <c r="M28" s="189">
        <f t="shared" si="2"/>
        <v>0</v>
      </c>
      <c r="R28" s="200"/>
      <c r="S28" s="201"/>
    </row>
    <row r="29" spans="1:19">
      <c r="A29" s="106">
        <f t="shared" si="3"/>
        <v>0</v>
      </c>
      <c r="B29" s="41" t="str">
        <f t="shared" si="4"/>
        <v/>
      </c>
      <c r="C29" s="42"/>
      <c r="D29" s="42"/>
      <c r="E29" s="42"/>
      <c r="F29" s="42"/>
      <c r="G29" s="175"/>
      <c r="H29" s="190">
        <v>24</v>
      </c>
      <c r="I29" s="191" t="str">
        <f t="shared" si="0"/>
        <v/>
      </c>
      <c r="J29" s="190" t="e">
        <f t="shared" si="5"/>
        <v>#NUM!</v>
      </c>
      <c r="K29" s="190" t="e">
        <f t="shared" si="1"/>
        <v>#NUM!</v>
      </c>
      <c r="L29" s="190"/>
      <c r="M29" s="192">
        <f t="shared" si="2"/>
        <v>0</v>
      </c>
    </row>
    <row r="30" spans="1:19">
      <c r="A30" s="102">
        <f t="shared" si="3"/>
        <v>0</v>
      </c>
      <c r="B30" s="35" t="str">
        <f t="shared" si="4"/>
        <v/>
      </c>
      <c r="C30" s="36"/>
      <c r="D30" s="36"/>
      <c r="E30" s="36"/>
      <c r="F30" s="36"/>
      <c r="G30" s="175"/>
      <c r="H30" s="187">
        <v>25</v>
      </c>
      <c r="I30" s="188" t="str">
        <f t="shared" si="0"/>
        <v/>
      </c>
      <c r="J30" s="187" t="e">
        <f t="shared" si="5"/>
        <v>#NUM!</v>
      </c>
      <c r="K30" s="187" t="e">
        <f t="shared" si="1"/>
        <v>#NUM!</v>
      </c>
      <c r="L30" s="187"/>
      <c r="M30" s="189">
        <f t="shared" si="2"/>
        <v>0</v>
      </c>
    </row>
    <row r="31" spans="1:19">
      <c r="A31" s="106">
        <f t="shared" si="3"/>
        <v>0</v>
      </c>
      <c r="B31" s="41" t="str">
        <f t="shared" si="4"/>
        <v/>
      </c>
      <c r="C31" s="42"/>
      <c r="D31" s="42"/>
      <c r="E31" s="42"/>
      <c r="F31" s="42"/>
      <c r="G31" s="175"/>
      <c r="H31" s="190">
        <v>26</v>
      </c>
      <c r="I31" s="191" t="str">
        <f t="shared" si="0"/>
        <v/>
      </c>
      <c r="J31" s="190" t="e">
        <f t="shared" si="5"/>
        <v>#NUM!</v>
      </c>
      <c r="K31" s="190" t="e">
        <f t="shared" si="1"/>
        <v>#NUM!</v>
      </c>
      <c r="L31" s="190"/>
      <c r="M31" s="192">
        <f t="shared" si="2"/>
        <v>0</v>
      </c>
    </row>
    <row r="32" spans="1:19">
      <c r="A32" s="102">
        <f t="shared" si="3"/>
        <v>0</v>
      </c>
      <c r="B32" s="35" t="str">
        <f t="shared" si="4"/>
        <v/>
      </c>
      <c r="C32" s="36"/>
      <c r="D32" s="36"/>
      <c r="E32" s="36"/>
      <c r="F32" s="36"/>
      <c r="G32" s="175"/>
      <c r="H32" s="187">
        <v>27</v>
      </c>
      <c r="I32" s="188" t="str">
        <f t="shared" si="0"/>
        <v/>
      </c>
      <c r="J32" s="187" t="e">
        <f t="shared" si="5"/>
        <v>#NUM!</v>
      </c>
      <c r="K32" s="187" t="e">
        <f t="shared" si="1"/>
        <v>#NUM!</v>
      </c>
      <c r="L32" s="187"/>
      <c r="M32" s="189">
        <f t="shared" si="2"/>
        <v>0</v>
      </c>
      <c r="R32" s="200"/>
      <c r="S32" s="201"/>
    </row>
    <row r="33" spans="1:21">
      <c r="A33" s="106">
        <f t="shared" si="3"/>
        <v>0</v>
      </c>
      <c r="B33" s="41" t="str">
        <f t="shared" si="4"/>
        <v/>
      </c>
      <c r="C33" s="42"/>
      <c r="D33" s="42"/>
      <c r="E33" s="42"/>
      <c r="F33" s="42"/>
      <c r="G33" s="175"/>
      <c r="H33" s="190">
        <v>28</v>
      </c>
      <c r="I33" s="191" t="str">
        <f t="shared" si="0"/>
        <v/>
      </c>
      <c r="J33" s="190" t="e">
        <f t="shared" si="5"/>
        <v>#NUM!</v>
      </c>
      <c r="K33" s="190" t="e">
        <f t="shared" si="1"/>
        <v>#NUM!</v>
      </c>
      <c r="L33" s="190"/>
      <c r="M33" s="192">
        <f t="shared" si="2"/>
        <v>0</v>
      </c>
    </row>
    <row r="34" spans="1:21">
      <c r="A34" s="102">
        <f t="shared" si="3"/>
        <v>0</v>
      </c>
      <c r="B34" s="35" t="str">
        <f t="shared" si="4"/>
        <v/>
      </c>
      <c r="C34" s="36"/>
      <c r="D34" s="36"/>
      <c r="E34" s="36"/>
      <c r="F34" s="36"/>
      <c r="G34" s="175"/>
      <c r="H34" s="187">
        <v>29</v>
      </c>
      <c r="I34" s="188" t="str">
        <f t="shared" si="0"/>
        <v/>
      </c>
      <c r="J34" s="187" t="e">
        <f t="shared" si="5"/>
        <v>#NUM!</v>
      </c>
      <c r="K34" s="187" t="e">
        <f t="shared" si="1"/>
        <v>#NUM!</v>
      </c>
      <c r="L34" s="187"/>
      <c r="M34" s="189">
        <f t="shared" si="2"/>
        <v>0</v>
      </c>
    </row>
    <row r="35" spans="1:21">
      <c r="A35" s="106">
        <f t="shared" si="3"/>
        <v>0</v>
      </c>
      <c r="B35" s="41" t="str">
        <f t="shared" si="4"/>
        <v/>
      </c>
      <c r="C35" s="42"/>
      <c r="D35" s="42"/>
      <c r="E35" s="42"/>
      <c r="F35" s="42"/>
      <c r="G35" s="175"/>
      <c r="H35" s="190">
        <v>30</v>
      </c>
      <c r="I35" s="191" t="str">
        <f t="shared" si="0"/>
        <v/>
      </c>
      <c r="J35" s="190" t="e">
        <f t="shared" si="5"/>
        <v>#NUM!</v>
      </c>
      <c r="K35" s="190" t="e">
        <f t="shared" si="1"/>
        <v>#NUM!</v>
      </c>
      <c r="L35" s="190"/>
      <c r="M35" s="192">
        <f t="shared" si="2"/>
        <v>0</v>
      </c>
    </row>
    <row r="36" spans="1:21">
      <c r="A36" s="102">
        <f t="shared" si="3"/>
        <v>0</v>
      </c>
      <c r="B36" s="35" t="str">
        <f t="shared" si="4"/>
        <v/>
      </c>
      <c r="C36" s="36"/>
      <c r="D36" s="36"/>
      <c r="E36" s="36"/>
      <c r="F36" s="36"/>
      <c r="G36" s="175"/>
      <c r="H36" s="187">
        <v>31</v>
      </c>
      <c r="I36" s="188" t="str">
        <f t="shared" si="0"/>
        <v/>
      </c>
      <c r="J36" s="187" t="e">
        <f t="shared" si="5"/>
        <v>#NUM!</v>
      </c>
      <c r="K36" s="187" t="e">
        <f t="shared" si="1"/>
        <v>#NUM!</v>
      </c>
      <c r="L36" s="187"/>
      <c r="M36" s="189">
        <f t="shared" si="2"/>
        <v>0</v>
      </c>
      <c r="R36" s="200"/>
      <c r="S36" s="201"/>
    </row>
    <row r="37" spans="1:21">
      <c r="A37" s="106">
        <f t="shared" si="3"/>
        <v>0</v>
      </c>
      <c r="B37" s="41" t="str">
        <f t="shared" si="4"/>
        <v/>
      </c>
      <c r="C37" s="42"/>
      <c r="D37" s="42"/>
      <c r="E37" s="42"/>
      <c r="F37" s="42"/>
      <c r="G37" s="175"/>
      <c r="H37" s="190">
        <v>32</v>
      </c>
      <c r="I37" s="191" t="str">
        <f t="shared" si="0"/>
        <v/>
      </c>
      <c r="J37" s="190" t="e">
        <f t="shared" si="5"/>
        <v>#NUM!</v>
      </c>
      <c r="K37" s="190" t="e">
        <f t="shared" si="1"/>
        <v>#NUM!</v>
      </c>
      <c r="L37" s="190"/>
      <c r="M37" s="192">
        <f t="shared" si="2"/>
        <v>0</v>
      </c>
    </row>
    <row r="38" spans="1:21">
      <c r="A38" s="102"/>
      <c r="B38" s="35" t="str">
        <f t="shared" si="4"/>
        <v/>
      </c>
      <c r="C38" s="36"/>
      <c r="D38" s="36"/>
      <c r="E38" s="36"/>
      <c r="F38" s="36"/>
      <c r="G38" s="175"/>
      <c r="H38" s="187">
        <v>33</v>
      </c>
      <c r="I38" s="188" t="str">
        <f t="shared" si="0"/>
        <v/>
      </c>
      <c r="J38" s="187" t="e">
        <f t="shared" si="5"/>
        <v>#NUM!</v>
      </c>
      <c r="K38" s="187" t="e">
        <f t="shared" si="1"/>
        <v>#NUM!</v>
      </c>
      <c r="L38" s="187"/>
      <c r="M38" s="189">
        <f t="shared" si="2"/>
        <v>0</v>
      </c>
    </row>
    <row r="39" spans="1:21">
      <c r="A39" s="106"/>
      <c r="B39" s="41" t="str">
        <f t="shared" si="4"/>
        <v/>
      </c>
      <c r="C39" s="42"/>
      <c r="D39" s="42"/>
      <c r="E39" s="42"/>
      <c r="F39" s="42"/>
      <c r="G39" s="175"/>
      <c r="H39" s="190">
        <v>34</v>
      </c>
      <c r="I39" s="191" t="str">
        <f t="shared" si="0"/>
        <v/>
      </c>
      <c r="J39" s="190" t="e">
        <f t="shared" si="5"/>
        <v>#NUM!</v>
      </c>
      <c r="K39" s="190" t="e">
        <f t="shared" si="1"/>
        <v>#NUM!</v>
      </c>
      <c r="L39" s="190"/>
      <c r="M39" s="192">
        <f t="shared" si="2"/>
        <v>0</v>
      </c>
    </row>
    <row r="40" spans="1:21">
      <c r="A40" s="102"/>
      <c r="B40" s="35" t="str">
        <f t="shared" si="4"/>
        <v/>
      </c>
      <c r="C40" s="36"/>
      <c r="D40" s="36"/>
      <c r="E40" s="36"/>
      <c r="F40" s="36"/>
      <c r="G40" s="175"/>
      <c r="H40" s="187">
        <v>35</v>
      </c>
      <c r="I40" s="188" t="str">
        <f t="shared" si="0"/>
        <v/>
      </c>
      <c r="J40" s="187" t="e">
        <f t="shared" si="5"/>
        <v>#NUM!</v>
      </c>
      <c r="K40" s="187" t="e">
        <f t="shared" si="1"/>
        <v>#NUM!</v>
      </c>
      <c r="L40" s="187"/>
      <c r="M40" s="189">
        <f t="shared" si="2"/>
        <v>0</v>
      </c>
    </row>
    <row r="41" spans="1:21">
      <c r="A41" s="106"/>
      <c r="B41" s="41" t="str">
        <f t="shared" si="4"/>
        <v/>
      </c>
      <c r="C41" s="42"/>
      <c r="D41" s="42"/>
      <c r="E41" s="42"/>
      <c r="F41" s="42"/>
      <c r="G41" s="175"/>
      <c r="H41" s="190">
        <v>36</v>
      </c>
      <c r="I41" s="191" t="str">
        <f t="shared" si="0"/>
        <v/>
      </c>
      <c r="J41" s="190" t="e">
        <f t="shared" si="5"/>
        <v>#NUM!</v>
      </c>
      <c r="K41" s="190" t="e">
        <f t="shared" si="1"/>
        <v>#NUM!</v>
      </c>
      <c r="L41" s="190"/>
      <c r="M41" s="192">
        <f t="shared" si="2"/>
        <v>0</v>
      </c>
      <c r="S41" s="202"/>
    </row>
    <row r="42" spans="1:21">
      <c r="A42" s="102"/>
      <c r="B42" s="35" t="str">
        <f t="shared" si="4"/>
        <v/>
      </c>
      <c r="C42" s="36"/>
      <c r="D42" s="36"/>
      <c r="E42" s="36"/>
      <c r="F42" s="36"/>
      <c r="G42" s="175"/>
      <c r="H42" s="187">
        <v>37</v>
      </c>
      <c r="I42" s="188" t="str">
        <f t="shared" si="0"/>
        <v/>
      </c>
      <c r="J42" s="187" t="e">
        <f t="shared" si="5"/>
        <v>#NUM!</v>
      </c>
      <c r="K42" s="187" t="e">
        <f t="shared" si="1"/>
        <v>#NUM!</v>
      </c>
      <c r="L42" s="187"/>
      <c r="M42" s="189">
        <f t="shared" si="2"/>
        <v>0</v>
      </c>
    </row>
    <row r="43" spans="1:21">
      <c r="A43" s="106"/>
      <c r="B43" s="41" t="str">
        <f t="shared" si="4"/>
        <v/>
      </c>
      <c r="C43" s="42"/>
      <c r="D43" s="42"/>
      <c r="E43" s="42"/>
      <c r="F43" s="42"/>
      <c r="G43" s="175"/>
      <c r="H43" s="190">
        <v>38</v>
      </c>
      <c r="I43" s="191" t="str">
        <f t="shared" si="0"/>
        <v/>
      </c>
      <c r="J43" s="190" t="e">
        <f t="shared" si="5"/>
        <v>#NUM!</v>
      </c>
      <c r="K43" s="190" t="e">
        <f t="shared" si="1"/>
        <v>#NUM!</v>
      </c>
      <c r="L43" s="190"/>
      <c r="M43" s="192">
        <f t="shared" si="2"/>
        <v>0</v>
      </c>
    </row>
    <row r="44" spans="1:21">
      <c r="A44" s="102"/>
      <c r="B44" s="35" t="str">
        <f t="shared" si="4"/>
        <v/>
      </c>
      <c r="C44" s="36"/>
      <c r="D44" s="36"/>
      <c r="E44" s="36"/>
      <c r="F44" s="36"/>
      <c r="G44" s="175"/>
      <c r="H44" s="187">
        <v>39</v>
      </c>
      <c r="I44" s="188" t="str">
        <f t="shared" si="0"/>
        <v/>
      </c>
      <c r="J44" s="187" t="e">
        <f t="shared" si="5"/>
        <v>#NUM!</v>
      </c>
      <c r="K44" s="187" t="e">
        <f t="shared" si="1"/>
        <v>#NUM!</v>
      </c>
      <c r="L44" s="187"/>
      <c r="M44" s="189">
        <f t="shared" si="2"/>
        <v>0</v>
      </c>
    </row>
    <row r="45" spans="1:21">
      <c r="A45" s="106"/>
      <c r="B45" s="41" t="str">
        <f t="shared" si="4"/>
        <v/>
      </c>
      <c r="C45" s="42"/>
      <c r="D45" s="42"/>
      <c r="E45" s="42"/>
      <c r="F45" s="42"/>
      <c r="G45" s="175"/>
      <c r="H45" s="190">
        <v>40</v>
      </c>
      <c r="I45" s="191" t="str">
        <f t="shared" si="0"/>
        <v/>
      </c>
      <c r="J45" s="190" t="e">
        <f t="shared" si="5"/>
        <v>#NUM!</v>
      </c>
      <c r="K45" s="190" t="e">
        <f t="shared" si="1"/>
        <v>#NUM!</v>
      </c>
      <c r="L45" s="190"/>
      <c r="M45" s="192">
        <f t="shared" si="2"/>
        <v>0</v>
      </c>
    </row>
    <row r="46" spans="1:21">
      <c r="A46" s="102"/>
      <c r="B46" s="35" t="str">
        <f t="shared" si="4"/>
        <v/>
      </c>
      <c r="C46" s="36"/>
      <c r="D46" s="36"/>
      <c r="E46" s="36"/>
      <c r="F46" s="36"/>
      <c r="G46" s="175"/>
      <c r="H46" s="187">
        <v>41</v>
      </c>
      <c r="I46" s="188" t="str">
        <f t="shared" si="0"/>
        <v/>
      </c>
      <c r="J46" s="187" t="e">
        <f t="shared" si="5"/>
        <v>#NUM!</v>
      </c>
      <c r="K46" s="187" t="e">
        <f t="shared" si="1"/>
        <v>#NUM!</v>
      </c>
      <c r="L46" s="187"/>
      <c r="M46" s="189">
        <f t="shared" si="2"/>
        <v>0</v>
      </c>
      <c r="R46" s="175" t="e">
        <f>LOG($H$2,2)</f>
        <v>#NUM!</v>
      </c>
      <c r="T46" s="180">
        <f>LOG(H38,2)</f>
        <v>5.0443941193584534</v>
      </c>
      <c r="U46" s="180" t="e">
        <f>R46-T46</f>
        <v>#NUM!</v>
      </c>
    </row>
    <row r="47" spans="1:21">
      <c r="A47" s="106"/>
      <c r="B47" s="41" t="str">
        <f t="shared" si="4"/>
        <v/>
      </c>
      <c r="C47" s="42"/>
      <c r="D47" s="42"/>
      <c r="E47" s="42"/>
      <c r="F47" s="42"/>
      <c r="G47" s="175"/>
      <c r="H47" s="190">
        <v>42</v>
      </c>
      <c r="I47" s="191" t="str">
        <f t="shared" si="0"/>
        <v/>
      </c>
      <c r="J47" s="190" t="e">
        <f t="shared" si="5"/>
        <v>#NUM!</v>
      </c>
      <c r="K47" s="190" t="e">
        <f t="shared" si="1"/>
        <v>#NUM!</v>
      </c>
      <c r="L47" s="190"/>
      <c r="M47" s="192">
        <f t="shared" si="2"/>
        <v>0</v>
      </c>
    </row>
    <row r="48" spans="1:21">
      <c r="A48" s="102"/>
      <c r="B48" s="35" t="str">
        <f t="shared" si="4"/>
        <v/>
      </c>
      <c r="C48" s="36"/>
      <c r="D48" s="36"/>
      <c r="E48" s="36"/>
      <c r="F48" s="36"/>
      <c r="G48" s="175"/>
      <c r="H48" s="187">
        <v>43</v>
      </c>
      <c r="I48" s="188" t="str">
        <f t="shared" si="0"/>
        <v/>
      </c>
      <c r="J48" s="187" t="e">
        <f t="shared" si="5"/>
        <v>#NUM!</v>
      </c>
      <c r="K48" s="187" t="e">
        <f t="shared" si="1"/>
        <v>#NUM!</v>
      </c>
      <c r="L48" s="187"/>
      <c r="M48" s="189">
        <f t="shared" si="2"/>
        <v>0</v>
      </c>
    </row>
    <row r="49" spans="1:13">
      <c r="A49" s="106"/>
      <c r="B49" s="41" t="str">
        <f t="shared" si="4"/>
        <v/>
      </c>
      <c r="C49" s="42"/>
      <c r="D49" s="42"/>
      <c r="E49" s="42"/>
      <c r="F49" s="42"/>
      <c r="G49" s="175"/>
      <c r="H49" s="190">
        <v>44</v>
      </c>
      <c r="I49" s="191" t="str">
        <f t="shared" si="0"/>
        <v/>
      </c>
      <c r="J49" s="190" t="e">
        <f t="shared" si="5"/>
        <v>#NUM!</v>
      </c>
      <c r="K49" s="190" t="e">
        <f t="shared" si="1"/>
        <v>#NUM!</v>
      </c>
      <c r="L49" s="190"/>
      <c r="M49" s="192">
        <f t="shared" si="2"/>
        <v>0</v>
      </c>
    </row>
    <row r="50" spans="1:13">
      <c r="A50" s="102"/>
      <c r="B50" s="35" t="str">
        <f t="shared" si="4"/>
        <v/>
      </c>
      <c r="C50" s="36"/>
      <c r="D50" s="36"/>
      <c r="E50" s="36"/>
      <c r="F50" s="36"/>
      <c r="G50" s="175"/>
      <c r="H50" s="187">
        <v>45</v>
      </c>
      <c r="I50" s="188" t="str">
        <f t="shared" si="0"/>
        <v/>
      </c>
      <c r="J50" s="187" t="e">
        <f t="shared" si="5"/>
        <v>#NUM!</v>
      </c>
      <c r="K50" s="187" t="e">
        <f t="shared" si="1"/>
        <v>#NUM!</v>
      </c>
      <c r="L50" s="187"/>
      <c r="M50" s="189">
        <f t="shared" si="2"/>
        <v>0</v>
      </c>
    </row>
    <row r="51" spans="1:13">
      <c r="A51" s="106"/>
      <c r="B51" s="41" t="str">
        <f t="shared" si="4"/>
        <v/>
      </c>
      <c r="C51" s="42"/>
      <c r="D51" s="42"/>
      <c r="E51" s="42"/>
      <c r="F51" s="42"/>
      <c r="G51" s="175"/>
      <c r="H51" s="190">
        <v>46</v>
      </c>
      <c r="I51" s="191" t="str">
        <f t="shared" si="0"/>
        <v/>
      </c>
      <c r="J51" s="190" t="e">
        <f t="shared" si="5"/>
        <v>#NUM!</v>
      </c>
      <c r="K51" s="190" t="e">
        <f t="shared" si="1"/>
        <v>#NUM!</v>
      </c>
      <c r="L51" s="190"/>
      <c r="M51" s="192">
        <f t="shared" si="2"/>
        <v>0</v>
      </c>
    </row>
    <row r="52" spans="1:13">
      <c r="A52" s="102"/>
      <c r="B52" s="35" t="str">
        <f t="shared" si="4"/>
        <v/>
      </c>
      <c r="C52" s="36"/>
      <c r="D52" s="36"/>
      <c r="E52" s="36"/>
      <c r="F52" s="36"/>
      <c r="G52" s="175"/>
      <c r="H52" s="187">
        <v>47</v>
      </c>
      <c r="I52" s="188" t="str">
        <f t="shared" si="0"/>
        <v/>
      </c>
      <c r="J52" s="187" t="e">
        <f t="shared" si="5"/>
        <v>#NUM!</v>
      </c>
      <c r="K52" s="187" t="e">
        <f t="shared" si="1"/>
        <v>#NUM!</v>
      </c>
      <c r="L52" s="187"/>
      <c r="M52" s="189">
        <f t="shared" si="2"/>
        <v>0</v>
      </c>
    </row>
    <row r="53" spans="1:13">
      <c r="A53" s="106"/>
      <c r="B53" s="41" t="str">
        <f t="shared" si="4"/>
        <v/>
      </c>
      <c r="C53" s="42"/>
      <c r="D53" s="42"/>
      <c r="E53" s="42"/>
      <c r="F53" s="42"/>
      <c r="G53" s="175"/>
      <c r="H53" s="190">
        <v>48</v>
      </c>
      <c r="I53" s="191" t="str">
        <f t="shared" si="0"/>
        <v/>
      </c>
      <c r="J53" s="190" t="e">
        <f t="shared" si="5"/>
        <v>#NUM!</v>
      </c>
      <c r="K53" s="190" t="e">
        <f t="shared" si="1"/>
        <v>#NUM!</v>
      </c>
      <c r="L53" s="190"/>
      <c r="M53" s="192">
        <f t="shared" si="2"/>
        <v>0</v>
      </c>
    </row>
    <row r="54" spans="1:13">
      <c r="A54" s="102"/>
      <c r="B54" s="35" t="str">
        <f t="shared" si="4"/>
        <v/>
      </c>
      <c r="C54" s="36"/>
      <c r="D54" s="36"/>
      <c r="E54" s="36"/>
      <c r="F54" s="36"/>
      <c r="G54" s="175"/>
      <c r="H54" s="187">
        <v>49</v>
      </c>
      <c r="I54" s="188" t="str">
        <f t="shared" si="0"/>
        <v/>
      </c>
      <c r="J54" s="187" t="e">
        <f t="shared" si="5"/>
        <v>#NUM!</v>
      </c>
      <c r="K54" s="187" t="e">
        <f t="shared" si="1"/>
        <v>#NUM!</v>
      </c>
      <c r="L54" s="187"/>
      <c r="M54" s="189">
        <f t="shared" si="2"/>
        <v>0</v>
      </c>
    </row>
    <row r="55" spans="1:13">
      <c r="A55" s="106"/>
      <c r="B55" s="41" t="str">
        <f t="shared" si="4"/>
        <v/>
      </c>
      <c r="C55" s="42"/>
      <c r="D55" s="42"/>
      <c r="E55" s="42"/>
      <c r="F55" s="42"/>
      <c r="G55" s="175"/>
      <c r="H55" s="190">
        <v>50</v>
      </c>
      <c r="I55" s="191" t="str">
        <f t="shared" si="0"/>
        <v/>
      </c>
      <c r="J55" s="190" t="e">
        <f t="shared" si="5"/>
        <v>#NUM!</v>
      </c>
      <c r="K55" s="190" t="e">
        <f t="shared" si="1"/>
        <v>#NUM!</v>
      </c>
      <c r="L55" s="190"/>
      <c r="M55" s="192">
        <f t="shared" si="2"/>
        <v>0</v>
      </c>
    </row>
    <row r="56" spans="1:13">
      <c r="A56" s="102"/>
      <c r="B56" s="35" t="str">
        <f t="shared" si="4"/>
        <v/>
      </c>
      <c r="C56" s="36"/>
      <c r="D56" s="36"/>
      <c r="E56" s="36"/>
      <c r="F56" s="36"/>
      <c r="G56" s="175"/>
      <c r="H56" s="187">
        <v>51</v>
      </c>
      <c r="I56" s="188" t="str">
        <f t="shared" si="0"/>
        <v/>
      </c>
      <c r="J56" s="187" t="e">
        <f t="shared" si="5"/>
        <v>#NUM!</v>
      </c>
      <c r="K56" s="187" t="e">
        <f t="shared" si="1"/>
        <v>#NUM!</v>
      </c>
      <c r="L56" s="187"/>
      <c r="M56" s="189">
        <f t="shared" si="2"/>
        <v>0</v>
      </c>
    </row>
    <row r="57" spans="1:13">
      <c r="A57" s="106"/>
      <c r="B57" s="41" t="str">
        <f t="shared" si="4"/>
        <v/>
      </c>
      <c r="C57" s="42"/>
      <c r="D57" s="42"/>
      <c r="E57" s="42"/>
      <c r="F57" s="42"/>
      <c r="G57" s="175"/>
      <c r="H57" s="190">
        <v>52</v>
      </c>
      <c r="I57" s="191" t="str">
        <f t="shared" si="0"/>
        <v/>
      </c>
      <c r="J57" s="190" t="e">
        <f t="shared" si="5"/>
        <v>#NUM!</v>
      </c>
      <c r="K57" s="190" t="e">
        <f t="shared" si="1"/>
        <v>#NUM!</v>
      </c>
      <c r="L57" s="190"/>
      <c r="M57" s="192">
        <f t="shared" si="2"/>
        <v>0</v>
      </c>
    </row>
    <row r="58" spans="1:13">
      <c r="A58" s="102"/>
      <c r="B58" s="35" t="str">
        <f t="shared" si="4"/>
        <v/>
      </c>
      <c r="C58" s="36"/>
      <c r="D58" s="36"/>
      <c r="E58" s="36"/>
      <c r="F58" s="36"/>
      <c r="G58" s="175"/>
      <c r="H58" s="187">
        <v>53</v>
      </c>
      <c r="I58" s="188" t="str">
        <f t="shared" si="0"/>
        <v/>
      </c>
      <c r="J58" s="187" t="e">
        <f t="shared" si="5"/>
        <v>#NUM!</v>
      </c>
      <c r="K58" s="187" t="e">
        <f t="shared" si="1"/>
        <v>#NUM!</v>
      </c>
      <c r="L58" s="187"/>
      <c r="M58" s="189">
        <f t="shared" si="2"/>
        <v>0</v>
      </c>
    </row>
    <row r="59" spans="1:13">
      <c r="A59" s="106"/>
      <c r="B59" s="41" t="str">
        <f t="shared" si="4"/>
        <v/>
      </c>
      <c r="C59" s="42"/>
      <c r="D59" s="42"/>
      <c r="E59" s="42"/>
      <c r="F59" s="42"/>
      <c r="G59" s="175"/>
      <c r="H59" s="190">
        <v>54</v>
      </c>
      <c r="I59" s="191" t="str">
        <f t="shared" si="0"/>
        <v/>
      </c>
      <c r="J59" s="190" t="e">
        <f t="shared" si="5"/>
        <v>#NUM!</v>
      </c>
      <c r="K59" s="190" t="e">
        <f t="shared" si="1"/>
        <v>#NUM!</v>
      </c>
      <c r="L59" s="190"/>
      <c r="M59" s="192">
        <f t="shared" si="2"/>
        <v>0</v>
      </c>
    </row>
    <row r="60" spans="1:13">
      <c r="A60" s="102"/>
      <c r="B60" s="35" t="str">
        <f t="shared" si="4"/>
        <v/>
      </c>
      <c r="C60" s="36"/>
      <c r="D60" s="36"/>
      <c r="E60" s="36"/>
      <c r="F60" s="36"/>
      <c r="G60" s="175"/>
      <c r="H60" s="187">
        <v>55</v>
      </c>
      <c r="I60" s="188" t="str">
        <f t="shared" si="0"/>
        <v/>
      </c>
      <c r="J60" s="187" t="e">
        <f t="shared" si="5"/>
        <v>#NUM!</v>
      </c>
      <c r="K60" s="187" t="e">
        <f t="shared" si="1"/>
        <v>#NUM!</v>
      </c>
      <c r="L60" s="187"/>
      <c r="M60" s="189">
        <f t="shared" si="2"/>
        <v>0</v>
      </c>
    </row>
    <row r="61" spans="1:13">
      <c r="A61" s="106"/>
      <c r="B61" s="41" t="str">
        <f t="shared" si="4"/>
        <v/>
      </c>
      <c r="C61" s="42"/>
      <c r="D61" s="42"/>
      <c r="E61" s="42"/>
      <c r="F61" s="42"/>
      <c r="G61" s="175"/>
      <c r="H61" s="190">
        <v>56</v>
      </c>
      <c r="I61" s="191" t="str">
        <f t="shared" si="0"/>
        <v/>
      </c>
      <c r="J61" s="190" t="e">
        <f t="shared" si="5"/>
        <v>#NUM!</v>
      </c>
      <c r="K61" s="190" t="e">
        <f t="shared" si="1"/>
        <v>#NUM!</v>
      </c>
      <c r="L61" s="190"/>
      <c r="M61" s="192">
        <f t="shared" si="2"/>
        <v>0</v>
      </c>
    </row>
    <row r="62" spans="1:13">
      <c r="A62" s="102"/>
      <c r="B62" s="35" t="str">
        <f t="shared" si="4"/>
        <v/>
      </c>
      <c r="C62" s="36"/>
      <c r="D62" s="36"/>
      <c r="E62" s="36"/>
      <c r="F62" s="36"/>
      <c r="G62" s="175"/>
      <c r="H62" s="187">
        <v>57</v>
      </c>
      <c r="I62" s="188" t="str">
        <f t="shared" si="0"/>
        <v/>
      </c>
      <c r="J62" s="187" t="e">
        <f t="shared" si="5"/>
        <v>#NUM!</v>
      </c>
      <c r="K62" s="187" t="e">
        <f t="shared" si="1"/>
        <v>#NUM!</v>
      </c>
      <c r="L62" s="187"/>
      <c r="M62" s="189">
        <f t="shared" si="2"/>
        <v>0</v>
      </c>
    </row>
    <row r="63" spans="1:13">
      <c r="A63" s="106"/>
      <c r="B63" s="41" t="str">
        <f t="shared" si="4"/>
        <v/>
      </c>
      <c r="C63" s="42"/>
      <c r="D63" s="42"/>
      <c r="E63" s="42"/>
      <c r="F63" s="42"/>
      <c r="G63" s="175"/>
      <c r="H63" s="190">
        <v>58</v>
      </c>
      <c r="I63" s="191" t="str">
        <f t="shared" si="0"/>
        <v/>
      </c>
      <c r="J63" s="190" t="e">
        <f t="shared" si="5"/>
        <v>#NUM!</v>
      </c>
      <c r="K63" s="190" t="e">
        <f t="shared" si="1"/>
        <v>#NUM!</v>
      </c>
      <c r="L63" s="190"/>
      <c r="M63" s="192">
        <f t="shared" si="2"/>
        <v>0</v>
      </c>
    </row>
    <row r="64" spans="1:13">
      <c r="A64" s="102"/>
      <c r="B64" s="35" t="str">
        <f t="shared" si="4"/>
        <v/>
      </c>
      <c r="C64" s="36"/>
      <c r="D64" s="36"/>
      <c r="E64" s="36"/>
      <c r="F64" s="36"/>
      <c r="G64" s="175"/>
      <c r="H64" s="187">
        <v>59</v>
      </c>
      <c r="I64" s="188" t="str">
        <f t="shared" si="0"/>
        <v/>
      </c>
      <c r="J64" s="187" t="e">
        <f t="shared" si="5"/>
        <v>#NUM!</v>
      </c>
      <c r="K64" s="187" t="e">
        <f t="shared" si="1"/>
        <v>#NUM!</v>
      </c>
      <c r="L64" s="187"/>
      <c r="M64" s="189">
        <f t="shared" si="2"/>
        <v>0</v>
      </c>
    </row>
    <row r="65" spans="1:13">
      <c r="A65" s="106"/>
      <c r="B65" s="41" t="str">
        <f t="shared" si="4"/>
        <v/>
      </c>
      <c r="C65" s="42"/>
      <c r="D65" s="42"/>
      <c r="E65" s="42"/>
      <c r="F65" s="42"/>
      <c r="G65" s="175"/>
      <c r="H65" s="190">
        <v>60</v>
      </c>
      <c r="I65" s="191" t="str">
        <f t="shared" si="0"/>
        <v/>
      </c>
      <c r="J65" s="190" t="e">
        <f t="shared" si="5"/>
        <v>#NUM!</v>
      </c>
      <c r="K65" s="190" t="e">
        <f t="shared" si="1"/>
        <v>#NUM!</v>
      </c>
      <c r="L65" s="190"/>
      <c r="M65" s="192">
        <f t="shared" si="2"/>
        <v>0</v>
      </c>
    </row>
    <row r="66" spans="1:13">
      <c r="A66" s="212"/>
      <c r="B66" s="35"/>
      <c r="G66" s="175"/>
      <c r="H66" s="187">
        <v>61</v>
      </c>
      <c r="I66" s="188" t="str">
        <f t="shared" si="0"/>
        <v/>
      </c>
      <c r="J66" s="187" t="e">
        <f t="shared" si="5"/>
        <v>#NUM!</v>
      </c>
      <c r="K66" s="187" t="e">
        <f t="shared" si="1"/>
        <v>#NUM!</v>
      </c>
      <c r="L66" s="187"/>
      <c r="M66" s="189">
        <f t="shared" si="2"/>
        <v>0</v>
      </c>
    </row>
    <row r="67" spans="1:13">
      <c r="A67" s="212"/>
      <c r="B67" s="41"/>
      <c r="G67" s="175"/>
      <c r="H67" s="187">
        <v>62</v>
      </c>
      <c r="I67" s="188" t="str">
        <f t="shared" si="0"/>
        <v/>
      </c>
      <c r="J67" s="187" t="e">
        <f t="shared" si="5"/>
        <v>#NUM!</v>
      </c>
      <c r="K67" s="187" t="e">
        <f t="shared" si="1"/>
        <v>#NUM!</v>
      </c>
      <c r="L67" s="187"/>
      <c r="M67" s="189">
        <f t="shared" si="2"/>
        <v>0</v>
      </c>
    </row>
    <row r="68" spans="1:13">
      <c r="A68" s="212"/>
      <c r="B68" s="35"/>
      <c r="G68" s="175"/>
      <c r="H68" s="187">
        <v>63</v>
      </c>
      <c r="I68" s="188" t="str">
        <f t="shared" si="0"/>
        <v/>
      </c>
      <c r="J68" s="187" t="e">
        <f t="shared" si="5"/>
        <v>#NUM!</v>
      </c>
      <c r="K68" s="187" t="e">
        <f t="shared" si="1"/>
        <v>#NUM!</v>
      </c>
      <c r="L68" s="187"/>
      <c r="M68" s="189">
        <f t="shared" si="2"/>
        <v>0</v>
      </c>
    </row>
    <row r="69" spans="1:13">
      <c r="A69" s="212"/>
      <c r="B69" s="41"/>
      <c r="G69" s="175"/>
      <c r="H69" s="187">
        <v>64</v>
      </c>
      <c r="I69" s="188" t="str">
        <f t="shared" si="0"/>
        <v/>
      </c>
      <c r="J69" s="187" t="e">
        <f t="shared" si="5"/>
        <v>#NUM!</v>
      </c>
      <c r="K69" s="187" t="e">
        <f t="shared" si="1"/>
        <v>#NUM!</v>
      </c>
      <c r="L69" s="187"/>
      <c r="M69" s="189">
        <f t="shared" si="2"/>
        <v>0</v>
      </c>
    </row>
    <row r="70" spans="1:13">
      <c r="A70" s="212"/>
      <c r="G70" s="175"/>
      <c r="H70" s="187">
        <v>65</v>
      </c>
      <c r="I70" s="188" t="str">
        <f t="shared" ref="I70:I133" si="6">IF(H70&lt;$H$2+1,($I$2-($I$2-1)*(LOG(H70)/LOG($H$2))),"")</f>
        <v/>
      </c>
      <c r="J70" s="187" t="e">
        <f t="shared" si="5"/>
        <v>#NUM!</v>
      </c>
      <c r="K70" s="187" t="e">
        <f t="shared" ref="K70:K133" si="7">J70*$J$2</f>
        <v>#NUM!</v>
      </c>
      <c r="L70" s="187"/>
      <c r="M70" s="189">
        <f t="shared" ref="M70:M133" si="8">IF(I70&lt;&gt;"",K70+I70+L70,0)</f>
        <v>0</v>
      </c>
    </row>
    <row r="71" spans="1:13">
      <c r="A71" s="212"/>
      <c r="G71" s="175"/>
      <c r="H71" s="187">
        <v>66</v>
      </c>
      <c r="I71" s="188" t="str">
        <f t="shared" si="6"/>
        <v/>
      </c>
      <c r="J71" s="187" t="e">
        <f t="shared" ref="J71:J134" si="9">INT(LOG($H$2,2))-ROUNDUP(LOG(H71,2),0)+IF(OR($H$2=1,$H$2=2,$H$2=4,$H$2=8,$H$2=16,$H$2=32,$H$2=64,$H$2=128,$H$2=256),0,1)</f>
        <v>#NUM!</v>
      </c>
      <c r="K71" s="187" t="e">
        <f t="shared" si="7"/>
        <v>#NUM!</v>
      </c>
      <c r="L71" s="187"/>
      <c r="M71" s="189">
        <f t="shared" si="8"/>
        <v>0</v>
      </c>
    </row>
    <row r="72" spans="1:13">
      <c r="A72" s="212"/>
      <c r="G72" s="175"/>
      <c r="H72" s="187">
        <v>67</v>
      </c>
      <c r="I72" s="188" t="str">
        <f t="shared" si="6"/>
        <v/>
      </c>
      <c r="J72" s="187" t="e">
        <f t="shared" si="9"/>
        <v>#NUM!</v>
      </c>
      <c r="K72" s="187" t="e">
        <f t="shared" si="7"/>
        <v>#NUM!</v>
      </c>
      <c r="L72" s="187"/>
      <c r="M72" s="189">
        <f t="shared" si="8"/>
        <v>0</v>
      </c>
    </row>
    <row r="73" spans="1:13">
      <c r="A73" s="212"/>
      <c r="G73" s="175"/>
      <c r="H73" s="187">
        <v>68</v>
      </c>
      <c r="I73" s="188" t="str">
        <f t="shared" si="6"/>
        <v/>
      </c>
      <c r="J73" s="187" t="e">
        <f t="shared" si="9"/>
        <v>#NUM!</v>
      </c>
      <c r="K73" s="187" t="e">
        <f t="shared" si="7"/>
        <v>#NUM!</v>
      </c>
      <c r="L73" s="187"/>
      <c r="M73" s="189">
        <f t="shared" si="8"/>
        <v>0</v>
      </c>
    </row>
    <row r="74" spans="1:13">
      <c r="A74" s="212"/>
      <c r="G74" s="175"/>
      <c r="H74" s="187">
        <v>69</v>
      </c>
      <c r="I74" s="188" t="str">
        <f t="shared" si="6"/>
        <v/>
      </c>
      <c r="J74" s="187" t="e">
        <f t="shared" si="9"/>
        <v>#NUM!</v>
      </c>
      <c r="K74" s="187" t="e">
        <f t="shared" si="7"/>
        <v>#NUM!</v>
      </c>
      <c r="L74" s="187"/>
      <c r="M74" s="189">
        <f t="shared" si="8"/>
        <v>0</v>
      </c>
    </row>
    <row r="75" spans="1:13">
      <c r="A75" s="212"/>
      <c r="G75" s="175"/>
      <c r="H75" s="187">
        <v>70</v>
      </c>
      <c r="I75" s="188" t="str">
        <f t="shared" si="6"/>
        <v/>
      </c>
      <c r="J75" s="187" t="e">
        <f t="shared" si="9"/>
        <v>#NUM!</v>
      </c>
      <c r="K75" s="187" t="e">
        <f t="shared" si="7"/>
        <v>#NUM!</v>
      </c>
      <c r="L75" s="187"/>
      <c r="M75" s="189">
        <f t="shared" si="8"/>
        <v>0</v>
      </c>
    </row>
    <row r="76" spans="1:13">
      <c r="A76" s="212"/>
      <c r="G76" s="175"/>
      <c r="H76" s="187">
        <v>71</v>
      </c>
      <c r="I76" s="188" t="str">
        <f t="shared" si="6"/>
        <v/>
      </c>
      <c r="J76" s="187" t="e">
        <f t="shared" si="9"/>
        <v>#NUM!</v>
      </c>
      <c r="K76" s="187" t="e">
        <f t="shared" si="7"/>
        <v>#NUM!</v>
      </c>
      <c r="L76" s="187"/>
      <c r="M76" s="189">
        <f t="shared" si="8"/>
        <v>0</v>
      </c>
    </row>
    <row r="77" spans="1:13">
      <c r="A77" s="212"/>
      <c r="G77" s="175"/>
      <c r="H77" s="187">
        <v>72</v>
      </c>
      <c r="I77" s="188" t="str">
        <f t="shared" si="6"/>
        <v/>
      </c>
      <c r="J77" s="187" t="e">
        <f t="shared" si="9"/>
        <v>#NUM!</v>
      </c>
      <c r="K77" s="187" t="e">
        <f t="shared" si="7"/>
        <v>#NUM!</v>
      </c>
      <c r="L77" s="187"/>
      <c r="M77" s="189">
        <f t="shared" si="8"/>
        <v>0</v>
      </c>
    </row>
    <row r="78" spans="1:13">
      <c r="A78" s="212"/>
      <c r="G78" s="175"/>
      <c r="H78" s="187">
        <v>73</v>
      </c>
      <c r="I78" s="188" t="str">
        <f t="shared" si="6"/>
        <v/>
      </c>
      <c r="J78" s="187" t="e">
        <f t="shared" si="9"/>
        <v>#NUM!</v>
      </c>
      <c r="K78" s="187" t="e">
        <f t="shared" si="7"/>
        <v>#NUM!</v>
      </c>
      <c r="L78" s="187"/>
      <c r="M78" s="189">
        <f t="shared" si="8"/>
        <v>0</v>
      </c>
    </row>
    <row r="79" spans="1:13">
      <c r="A79" s="212"/>
      <c r="G79" s="175"/>
      <c r="H79" s="187">
        <v>74</v>
      </c>
      <c r="I79" s="188" t="str">
        <f t="shared" si="6"/>
        <v/>
      </c>
      <c r="J79" s="187" t="e">
        <f t="shared" si="9"/>
        <v>#NUM!</v>
      </c>
      <c r="K79" s="187" t="e">
        <f t="shared" si="7"/>
        <v>#NUM!</v>
      </c>
      <c r="L79" s="187"/>
      <c r="M79" s="189">
        <f t="shared" si="8"/>
        <v>0</v>
      </c>
    </row>
    <row r="80" spans="1:13">
      <c r="A80" s="212"/>
      <c r="G80" s="175"/>
      <c r="H80" s="187">
        <v>75</v>
      </c>
      <c r="I80" s="188" t="str">
        <f t="shared" si="6"/>
        <v/>
      </c>
      <c r="J80" s="187" t="e">
        <f t="shared" si="9"/>
        <v>#NUM!</v>
      </c>
      <c r="K80" s="187" t="e">
        <f t="shared" si="7"/>
        <v>#NUM!</v>
      </c>
      <c r="L80" s="187"/>
      <c r="M80" s="189">
        <f t="shared" si="8"/>
        <v>0</v>
      </c>
    </row>
    <row r="81" spans="1:13">
      <c r="A81" s="212"/>
      <c r="G81" s="175"/>
      <c r="H81" s="187">
        <v>76</v>
      </c>
      <c r="I81" s="188" t="str">
        <f t="shared" si="6"/>
        <v/>
      </c>
      <c r="J81" s="187" t="e">
        <f t="shared" si="9"/>
        <v>#NUM!</v>
      </c>
      <c r="K81" s="187" t="e">
        <f t="shared" si="7"/>
        <v>#NUM!</v>
      </c>
      <c r="L81" s="187"/>
      <c r="M81" s="189">
        <f t="shared" si="8"/>
        <v>0</v>
      </c>
    </row>
    <row r="82" spans="1:13">
      <c r="A82" s="212"/>
      <c r="G82" s="175"/>
      <c r="H82" s="187">
        <v>77</v>
      </c>
      <c r="I82" s="188" t="str">
        <f t="shared" si="6"/>
        <v/>
      </c>
      <c r="J82" s="187" t="e">
        <f t="shared" si="9"/>
        <v>#NUM!</v>
      </c>
      <c r="K82" s="187" t="e">
        <f t="shared" si="7"/>
        <v>#NUM!</v>
      </c>
      <c r="L82" s="187"/>
      <c r="M82" s="189">
        <f t="shared" si="8"/>
        <v>0</v>
      </c>
    </row>
    <row r="83" spans="1:13">
      <c r="A83" s="212"/>
      <c r="G83" s="175"/>
      <c r="H83" s="187">
        <v>78</v>
      </c>
      <c r="I83" s="188" t="str">
        <f t="shared" si="6"/>
        <v/>
      </c>
      <c r="J83" s="187" t="e">
        <f t="shared" si="9"/>
        <v>#NUM!</v>
      </c>
      <c r="K83" s="187" t="e">
        <f t="shared" si="7"/>
        <v>#NUM!</v>
      </c>
      <c r="L83" s="187"/>
      <c r="M83" s="189">
        <f t="shared" si="8"/>
        <v>0</v>
      </c>
    </row>
    <row r="84" spans="1:13">
      <c r="A84" s="212"/>
      <c r="G84" s="175"/>
      <c r="H84" s="187">
        <v>79</v>
      </c>
      <c r="I84" s="188" t="str">
        <f t="shared" si="6"/>
        <v/>
      </c>
      <c r="J84" s="187" t="e">
        <f t="shared" si="9"/>
        <v>#NUM!</v>
      </c>
      <c r="K84" s="187" t="e">
        <f t="shared" si="7"/>
        <v>#NUM!</v>
      </c>
      <c r="L84" s="187"/>
      <c r="M84" s="189">
        <f t="shared" si="8"/>
        <v>0</v>
      </c>
    </row>
    <row r="85" spans="1:13">
      <c r="A85" s="212"/>
      <c r="G85" s="175"/>
      <c r="H85" s="187">
        <v>80</v>
      </c>
      <c r="I85" s="188" t="str">
        <f t="shared" si="6"/>
        <v/>
      </c>
      <c r="J85" s="187" t="e">
        <f t="shared" si="9"/>
        <v>#NUM!</v>
      </c>
      <c r="K85" s="187" t="e">
        <f t="shared" si="7"/>
        <v>#NUM!</v>
      </c>
      <c r="L85" s="187"/>
      <c r="M85" s="189">
        <f t="shared" si="8"/>
        <v>0</v>
      </c>
    </row>
    <row r="86" spans="1:13">
      <c r="A86" s="212"/>
      <c r="G86" s="175"/>
      <c r="H86" s="187">
        <v>81</v>
      </c>
      <c r="I86" s="188" t="str">
        <f t="shared" si="6"/>
        <v/>
      </c>
      <c r="J86" s="187" t="e">
        <f t="shared" si="9"/>
        <v>#NUM!</v>
      </c>
      <c r="K86" s="187" t="e">
        <f t="shared" si="7"/>
        <v>#NUM!</v>
      </c>
      <c r="L86" s="187"/>
      <c r="M86" s="189">
        <f t="shared" si="8"/>
        <v>0</v>
      </c>
    </row>
    <row r="87" spans="1:13">
      <c r="A87" s="212"/>
      <c r="G87" s="175"/>
      <c r="H87" s="187">
        <v>82</v>
      </c>
      <c r="I87" s="188" t="str">
        <f t="shared" si="6"/>
        <v/>
      </c>
      <c r="J87" s="187" t="e">
        <f t="shared" si="9"/>
        <v>#NUM!</v>
      </c>
      <c r="K87" s="187" t="e">
        <f t="shared" si="7"/>
        <v>#NUM!</v>
      </c>
      <c r="L87" s="187"/>
      <c r="M87" s="189">
        <f t="shared" si="8"/>
        <v>0</v>
      </c>
    </row>
    <row r="88" spans="1:13">
      <c r="A88" s="212"/>
      <c r="G88" s="175"/>
      <c r="H88" s="187">
        <v>83</v>
      </c>
      <c r="I88" s="188" t="str">
        <f t="shared" si="6"/>
        <v/>
      </c>
      <c r="J88" s="187" t="e">
        <f t="shared" si="9"/>
        <v>#NUM!</v>
      </c>
      <c r="K88" s="187" t="e">
        <f t="shared" si="7"/>
        <v>#NUM!</v>
      </c>
      <c r="L88" s="187"/>
      <c r="M88" s="189">
        <f t="shared" si="8"/>
        <v>0</v>
      </c>
    </row>
    <row r="89" spans="1:13">
      <c r="A89" s="212"/>
      <c r="G89" s="175"/>
      <c r="H89" s="187">
        <v>84</v>
      </c>
      <c r="I89" s="188" t="str">
        <f t="shared" si="6"/>
        <v/>
      </c>
      <c r="J89" s="187" t="e">
        <f t="shared" si="9"/>
        <v>#NUM!</v>
      </c>
      <c r="K89" s="187" t="e">
        <f t="shared" si="7"/>
        <v>#NUM!</v>
      </c>
      <c r="L89" s="187"/>
      <c r="M89" s="189">
        <f t="shared" si="8"/>
        <v>0</v>
      </c>
    </row>
    <row r="90" spans="1:13">
      <c r="A90" s="212"/>
      <c r="G90" s="175"/>
      <c r="H90" s="187">
        <v>85</v>
      </c>
      <c r="I90" s="188" t="str">
        <f t="shared" si="6"/>
        <v/>
      </c>
      <c r="J90" s="187" t="e">
        <f t="shared" si="9"/>
        <v>#NUM!</v>
      </c>
      <c r="K90" s="187" t="e">
        <f t="shared" si="7"/>
        <v>#NUM!</v>
      </c>
      <c r="L90" s="187"/>
      <c r="M90" s="189">
        <f t="shared" si="8"/>
        <v>0</v>
      </c>
    </row>
    <row r="91" spans="1:13">
      <c r="A91" s="212"/>
      <c r="G91" s="175"/>
      <c r="H91" s="187">
        <v>86</v>
      </c>
      <c r="I91" s="188" t="str">
        <f t="shared" si="6"/>
        <v/>
      </c>
      <c r="J91" s="187" t="e">
        <f t="shared" si="9"/>
        <v>#NUM!</v>
      </c>
      <c r="K91" s="187" t="e">
        <f t="shared" si="7"/>
        <v>#NUM!</v>
      </c>
      <c r="L91" s="187"/>
      <c r="M91" s="189">
        <f t="shared" si="8"/>
        <v>0</v>
      </c>
    </row>
    <row r="92" spans="1:13">
      <c r="A92" s="212"/>
      <c r="G92" s="175"/>
      <c r="H92" s="187">
        <v>87</v>
      </c>
      <c r="I92" s="188" t="str">
        <f t="shared" si="6"/>
        <v/>
      </c>
      <c r="J92" s="187" t="e">
        <f t="shared" si="9"/>
        <v>#NUM!</v>
      </c>
      <c r="K92" s="187" t="e">
        <f t="shared" si="7"/>
        <v>#NUM!</v>
      </c>
      <c r="L92" s="187"/>
      <c r="M92" s="189">
        <f t="shared" si="8"/>
        <v>0</v>
      </c>
    </row>
    <row r="93" spans="1:13">
      <c r="A93" s="212"/>
      <c r="G93" s="175"/>
      <c r="H93" s="187">
        <v>88</v>
      </c>
      <c r="I93" s="188" t="str">
        <f t="shared" si="6"/>
        <v/>
      </c>
      <c r="J93" s="187" t="e">
        <f t="shared" si="9"/>
        <v>#NUM!</v>
      </c>
      <c r="K93" s="187" t="e">
        <f t="shared" si="7"/>
        <v>#NUM!</v>
      </c>
      <c r="L93" s="187"/>
      <c r="M93" s="189">
        <f t="shared" si="8"/>
        <v>0</v>
      </c>
    </row>
    <row r="94" spans="1:13">
      <c r="A94" s="212"/>
      <c r="G94" s="175"/>
      <c r="H94" s="187">
        <v>89</v>
      </c>
      <c r="I94" s="188" t="str">
        <f t="shared" si="6"/>
        <v/>
      </c>
      <c r="J94" s="187" t="e">
        <f t="shared" si="9"/>
        <v>#NUM!</v>
      </c>
      <c r="K94" s="187" t="e">
        <f t="shared" si="7"/>
        <v>#NUM!</v>
      </c>
      <c r="L94" s="187"/>
      <c r="M94" s="189">
        <f t="shared" si="8"/>
        <v>0</v>
      </c>
    </row>
    <row r="95" spans="1:13">
      <c r="A95" s="212"/>
      <c r="G95" s="175"/>
      <c r="H95" s="187">
        <v>90</v>
      </c>
      <c r="I95" s="188" t="str">
        <f t="shared" si="6"/>
        <v/>
      </c>
      <c r="J95" s="187" t="e">
        <f t="shared" si="9"/>
        <v>#NUM!</v>
      </c>
      <c r="K95" s="187" t="e">
        <f t="shared" si="7"/>
        <v>#NUM!</v>
      </c>
      <c r="L95" s="187"/>
      <c r="M95" s="189">
        <f t="shared" si="8"/>
        <v>0</v>
      </c>
    </row>
    <row r="96" spans="1:13">
      <c r="A96" s="212"/>
      <c r="G96" s="175"/>
      <c r="H96" s="187">
        <v>91</v>
      </c>
      <c r="I96" s="188" t="str">
        <f t="shared" si="6"/>
        <v/>
      </c>
      <c r="J96" s="187" t="e">
        <f t="shared" si="9"/>
        <v>#NUM!</v>
      </c>
      <c r="K96" s="187" t="e">
        <f t="shared" si="7"/>
        <v>#NUM!</v>
      </c>
      <c r="L96" s="187"/>
      <c r="M96" s="189">
        <f t="shared" si="8"/>
        <v>0</v>
      </c>
    </row>
    <row r="97" spans="1:13">
      <c r="A97" s="212"/>
      <c r="G97" s="175"/>
      <c r="H97" s="187">
        <v>92</v>
      </c>
      <c r="I97" s="188" t="str">
        <f t="shared" si="6"/>
        <v/>
      </c>
      <c r="J97" s="187" t="e">
        <f t="shared" si="9"/>
        <v>#NUM!</v>
      </c>
      <c r="K97" s="187" t="e">
        <f t="shared" si="7"/>
        <v>#NUM!</v>
      </c>
      <c r="L97" s="187"/>
      <c r="M97" s="189">
        <f t="shared" si="8"/>
        <v>0</v>
      </c>
    </row>
    <row r="98" spans="1:13">
      <c r="A98" s="212"/>
      <c r="G98" s="175"/>
      <c r="H98" s="187">
        <v>93</v>
      </c>
      <c r="I98" s="188" t="str">
        <f t="shared" si="6"/>
        <v/>
      </c>
      <c r="J98" s="187" t="e">
        <f t="shared" si="9"/>
        <v>#NUM!</v>
      </c>
      <c r="K98" s="187" t="e">
        <f t="shared" si="7"/>
        <v>#NUM!</v>
      </c>
      <c r="L98" s="187"/>
      <c r="M98" s="189">
        <f t="shared" si="8"/>
        <v>0</v>
      </c>
    </row>
    <row r="99" spans="1:13">
      <c r="A99" s="212"/>
      <c r="G99" s="175"/>
      <c r="H99" s="187">
        <v>94</v>
      </c>
      <c r="I99" s="188" t="str">
        <f t="shared" si="6"/>
        <v/>
      </c>
      <c r="J99" s="187" t="e">
        <f t="shared" si="9"/>
        <v>#NUM!</v>
      </c>
      <c r="K99" s="187" t="e">
        <f t="shared" si="7"/>
        <v>#NUM!</v>
      </c>
      <c r="L99" s="187"/>
      <c r="M99" s="189">
        <f t="shared" si="8"/>
        <v>0</v>
      </c>
    </row>
    <row r="100" spans="1:13">
      <c r="A100" s="212"/>
      <c r="G100" s="175"/>
      <c r="H100" s="187">
        <v>95</v>
      </c>
      <c r="I100" s="188" t="str">
        <f t="shared" si="6"/>
        <v/>
      </c>
      <c r="J100" s="187" t="e">
        <f t="shared" si="9"/>
        <v>#NUM!</v>
      </c>
      <c r="K100" s="187" t="e">
        <f t="shared" si="7"/>
        <v>#NUM!</v>
      </c>
      <c r="L100" s="187"/>
      <c r="M100" s="189">
        <f t="shared" si="8"/>
        <v>0</v>
      </c>
    </row>
    <row r="101" spans="1:13">
      <c r="A101" s="204"/>
      <c r="G101" s="175"/>
      <c r="H101" s="187">
        <v>96</v>
      </c>
      <c r="I101" s="188" t="str">
        <f t="shared" si="6"/>
        <v/>
      </c>
      <c r="J101" s="187" t="e">
        <f t="shared" si="9"/>
        <v>#NUM!</v>
      </c>
      <c r="K101" s="187" t="e">
        <f t="shared" si="7"/>
        <v>#NUM!</v>
      </c>
      <c r="L101" s="187"/>
      <c r="M101" s="189">
        <f t="shared" si="8"/>
        <v>0</v>
      </c>
    </row>
    <row r="102" spans="1:13">
      <c r="A102" s="204"/>
      <c r="G102" s="175"/>
      <c r="H102" s="187">
        <v>97</v>
      </c>
      <c r="I102" s="188" t="str">
        <f t="shared" si="6"/>
        <v/>
      </c>
      <c r="J102" s="187" t="e">
        <f t="shared" si="9"/>
        <v>#NUM!</v>
      </c>
      <c r="K102" s="187" t="e">
        <f t="shared" si="7"/>
        <v>#NUM!</v>
      </c>
      <c r="L102" s="187"/>
      <c r="M102" s="189">
        <f t="shared" si="8"/>
        <v>0</v>
      </c>
    </row>
    <row r="103" spans="1:13">
      <c r="A103" s="204"/>
      <c r="G103" s="175"/>
      <c r="H103" s="187">
        <v>98</v>
      </c>
      <c r="I103" s="188" t="str">
        <f t="shared" si="6"/>
        <v/>
      </c>
      <c r="J103" s="187" t="e">
        <f t="shared" si="9"/>
        <v>#NUM!</v>
      </c>
      <c r="K103" s="187" t="e">
        <f t="shared" si="7"/>
        <v>#NUM!</v>
      </c>
      <c r="L103" s="187"/>
      <c r="M103" s="189">
        <f t="shared" si="8"/>
        <v>0</v>
      </c>
    </row>
    <row r="104" spans="1:13">
      <c r="A104" s="204"/>
      <c r="G104" s="175"/>
      <c r="H104" s="187">
        <v>99</v>
      </c>
      <c r="I104" s="188" t="str">
        <f t="shared" si="6"/>
        <v/>
      </c>
      <c r="J104" s="187" t="e">
        <f t="shared" si="9"/>
        <v>#NUM!</v>
      </c>
      <c r="K104" s="187" t="e">
        <f t="shared" si="7"/>
        <v>#NUM!</v>
      </c>
      <c r="L104" s="187"/>
      <c r="M104" s="189">
        <f t="shared" si="8"/>
        <v>0</v>
      </c>
    </row>
    <row r="105" spans="1:13">
      <c r="A105" s="204"/>
      <c r="G105" s="175"/>
      <c r="H105" s="187">
        <v>100</v>
      </c>
      <c r="I105" s="188" t="str">
        <f t="shared" si="6"/>
        <v/>
      </c>
      <c r="J105" s="187" t="e">
        <f t="shared" si="9"/>
        <v>#NUM!</v>
      </c>
      <c r="K105" s="187" t="e">
        <f t="shared" si="7"/>
        <v>#NUM!</v>
      </c>
      <c r="L105" s="187"/>
      <c r="M105" s="189">
        <f t="shared" si="8"/>
        <v>0</v>
      </c>
    </row>
    <row r="106" spans="1:13">
      <c r="A106" s="204"/>
      <c r="G106" s="175"/>
      <c r="H106" s="187">
        <v>101</v>
      </c>
      <c r="I106" s="188" t="str">
        <f t="shared" si="6"/>
        <v/>
      </c>
      <c r="J106" s="187" t="e">
        <f t="shared" si="9"/>
        <v>#NUM!</v>
      </c>
      <c r="K106" s="187" t="e">
        <f t="shared" si="7"/>
        <v>#NUM!</v>
      </c>
      <c r="L106" s="187"/>
      <c r="M106" s="189">
        <f t="shared" si="8"/>
        <v>0</v>
      </c>
    </row>
    <row r="107" spans="1:13">
      <c r="A107" s="204"/>
      <c r="G107" s="175"/>
      <c r="H107" s="187">
        <v>102</v>
      </c>
      <c r="I107" s="188" t="str">
        <f t="shared" si="6"/>
        <v/>
      </c>
      <c r="J107" s="187" t="e">
        <f t="shared" si="9"/>
        <v>#NUM!</v>
      </c>
      <c r="K107" s="187" t="e">
        <f t="shared" si="7"/>
        <v>#NUM!</v>
      </c>
      <c r="L107" s="187"/>
      <c r="M107" s="189">
        <f t="shared" si="8"/>
        <v>0</v>
      </c>
    </row>
    <row r="108" spans="1:13">
      <c r="A108" s="204"/>
      <c r="G108" s="175"/>
      <c r="H108" s="187">
        <v>103</v>
      </c>
      <c r="I108" s="188" t="str">
        <f t="shared" si="6"/>
        <v/>
      </c>
      <c r="J108" s="187" t="e">
        <f t="shared" si="9"/>
        <v>#NUM!</v>
      </c>
      <c r="K108" s="187" t="e">
        <f t="shared" si="7"/>
        <v>#NUM!</v>
      </c>
      <c r="L108" s="187"/>
      <c r="M108" s="189">
        <f t="shared" si="8"/>
        <v>0</v>
      </c>
    </row>
    <row r="109" spans="1:13">
      <c r="A109" s="204"/>
      <c r="G109" s="175"/>
      <c r="H109" s="187">
        <v>104</v>
      </c>
      <c r="I109" s="188" t="str">
        <f t="shared" si="6"/>
        <v/>
      </c>
      <c r="J109" s="187" t="e">
        <f t="shared" si="9"/>
        <v>#NUM!</v>
      </c>
      <c r="K109" s="187" t="e">
        <f t="shared" si="7"/>
        <v>#NUM!</v>
      </c>
      <c r="L109" s="187"/>
      <c r="M109" s="189">
        <f t="shared" si="8"/>
        <v>0</v>
      </c>
    </row>
    <row r="110" spans="1:13">
      <c r="A110" s="204"/>
      <c r="G110" s="175"/>
      <c r="H110" s="187">
        <v>105</v>
      </c>
      <c r="I110" s="188" t="str">
        <f t="shared" si="6"/>
        <v/>
      </c>
      <c r="J110" s="187" t="e">
        <f t="shared" si="9"/>
        <v>#NUM!</v>
      </c>
      <c r="K110" s="187" t="e">
        <f t="shared" si="7"/>
        <v>#NUM!</v>
      </c>
      <c r="L110" s="187"/>
      <c r="M110" s="189">
        <f t="shared" si="8"/>
        <v>0</v>
      </c>
    </row>
    <row r="111" spans="1:13">
      <c r="A111" s="204"/>
      <c r="G111" s="175"/>
      <c r="H111" s="187">
        <v>106</v>
      </c>
      <c r="I111" s="188" t="str">
        <f t="shared" si="6"/>
        <v/>
      </c>
      <c r="J111" s="187" t="e">
        <f t="shared" si="9"/>
        <v>#NUM!</v>
      </c>
      <c r="K111" s="187" t="e">
        <f t="shared" si="7"/>
        <v>#NUM!</v>
      </c>
      <c r="L111" s="187"/>
      <c r="M111" s="189">
        <f t="shared" si="8"/>
        <v>0</v>
      </c>
    </row>
    <row r="112" spans="1:13">
      <c r="A112" s="204"/>
      <c r="G112" s="175"/>
      <c r="H112" s="187">
        <v>107</v>
      </c>
      <c r="I112" s="188" t="str">
        <f t="shared" si="6"/>
        <v/>
      </c>
      <c r="J112" s="187" t="e">
        <f t="shared" si="9"/>
        <v>#NUM!</v>
      </c>
      <c r="K112" s="187" t="e">
        <f t="shared" si="7"/>
        <v>#NUM!</v>
      </c>
      <c r="L112" s="187"/>
      <c r="M112" s="189">
        <f t="shared" si="8"/>
        <v>0</v>
      </c>
    </row>
    <row r="113" spans="1:13">
      <c r="A113" s="204"/>
      <c r="G113" s="175"/>
      <c r="H113" s="187">
        <v>108</v>
      </c>
      <c r="I113" s="188" t="str">
        <f t="shared" si="6"/>
        <v/>
      </c>
      <c r="J113" s="187" t="e">
        <f t="shared" si="9"/>
        <v>#NUM!</v>
      </c>
      <c r="K113" s="187" t="e">
        <f t="shared" si="7"/>
        <v>#NUM!</v>
      </c>
      <c r="L113" s="187"/>
      <c r="M113" s="189">
        <f t="shared" si="8"/>
        <v>0</v>
      </c>
    </row>
    <row r="114" spans="1:13">
      <c r="A114" s="204"/>
      <c r="G114" s="175"/>
      <c r="H114" s="187">
        <v>109</v>
      </c>
      <c r="I114" s="188" t="str">
        <f t="shared" si="6"/>
        <v/>
      </c>
      <c r="J114" s="187" t="e">
        <f t="shared" si="9"/>
        <v>#NUM!</v>
      </c>
      <c r="K114" s="187" t="e">
        <f t="shared" si="7"/>
        <v>#NUM!</v>
      </c>
      <c r="L114" s="187"/>
      <c r="M114" s="189">
        <f t="shared" si="8"/>
        <v>0</v>
      </c>
    </row>
    <row r="115" spans="1:13">
      <c r="A115" s="204"/>
      <c r="G115" s="175"/>
      <c r="H115" s="187">
        <v>110</v>
      </c>
      <c r="I115" s="188" t="str">
        <f t="shared" si="6"/>
        <v/>
      </c>
      <c r="J115" s="187" t="e">
        <f t="shared" si="9"/>
        <v>#NUM!</v>
      </c>
      <c r="K115" s="187" t="e">
        <f t="shared" si="7"/>
        <v>#NUM!</v>
      </c>
      <c r="L115" s="187"/>
      <c r="M115" s="189">
        <f t="shared" si="8"/>
        <v>0</v>
      </c>
    </row>
    <row r="116" spans="1:13">
      <c r="A116" s="204"/>
      <c r="G116" s="175"/>
      <c r="H116" s="187">
        <v>111</v>
      </c>
      <c r="I116" s="188" t="str">
        <f t="shared" si="6"/>
        <v/>
      </c>
      <c r="J116" s="187" t="e">
        <f t="shared" si="9"/>
        <v>#NUM!</v>
      </c>
      <c r="K116" s="187" t="e">
        <f t="shared" si="7"/>
        <v>#NUM!</v>
      </c>
      <c r="L116" s="187"/>
      <c r="M116" s="189">
        <f t="shared" si="8"/>
        <v>0</v>
      </c>
    </row>
    <row r="117" spans="1:13">
      <c r="A117" s="204"/>
      <c r="G117" s="175"/>
      <c r="H117" s="187">
        <v>112</v>
      </c>
      <c r="I117" s="188" t="str">
        <f t="shared" si="6"/>
        <v/>
      </c>
      <c r="J117" s="187" t="e">
        <f t="shared" si="9"/>
        <v>#NUM!</v>
      </c>
      <c r="K117" s="187" t="e">
        <f t="shared" si="7"/>
        <v>#NUM!</v>
      </c>
      <c r="L117" s="187"/>
      <c r="M117" s="189">
        <f t="shared" si="8"/>
        <v>0</v>
      </c>
    </row>
    <row r="118" spans="1:13">
      <c r="A118" s="204"/>
      <c r="G118" s="175"/>
      <c r="H118" s="187">
        <v>113</v>
      </c>
      <c r="I118" s="188" t="str">
        <f t="shared" si="6"/>
        <v/>
      </c>
      <c r="J118" s="187" t="e">
        <f t="shared" si="9"/>
        <v>#NUM!</v>
      </c>
      <c r="K118" s="187" t="e">
        <f t="shared" si="7"/>
        <v>#NUM!</v>
      </c>
      <c r="L118" s="187"/>
      <c r="M118" s="189">
        <f t="shared" si="8"/>
        <v>0</v>
      </c>
    </row>
    <row r="119" spans="1:13">
      <c r="A119" s="204"/>
      <c r="G119" s="175"/>
      <c r="H119" s="187">
        <v>114</v>
      </c>
      <c r="I119" s="188" t="str">
        <f t="shared" si="6"/>
        <v/>
      </c>
      <c r="J119" s="187" t="e">
        <f t="shared" si="9"/>
        <v>#NUM!</v>
      </c>
      <c r="K119" s="187" t="e">
        <f t="shared" si="7"/>
        <v>#NUM!</v>
      </c>
      <c r="L119" s="187"/>
      <c r="M119" s="189">
        <f t="shared" si="8"/>
        <v>0</v>
      </c>
    </row>
    <row r="120" spans="1:13">
      <c r="A120" s="204"/>
      <c r="G120" s="175"/>
      <c r="H120" s="187">
        <v>115</v>
      </c>
      <c r="I120" s="188" t="str">
        <f t="shared" si="6"/>
        <v/>
      </c>
      <c r="J120" s="187" t="e">
        <f t="shared" si="9"/>
        <v>#NUM!</v>
      </c>
      <c r="K120" s="187" t="e">
        <f t="shared" si="7"/>
        <v>#NUM!</v>
      </c>
      <c r="L120" s="187"/>
      <c r="M120" s="189">
        <f t="shared" si="8"/>
        <v>0</v>
      </c>
    </row>
    <row r="121" spans="1:13">
      <c r="A121" s="204"/>
      <c r="G121" s="175"/>
      <c r="H121" s="187">
        <v>116</v>
      </c>
      <c r="I121" s="188" t="str">
        <f t="shared" si="6"/>
        <v/>
      </c>
      <c r="J121" s="187" t="e">
        <f t="shared" si="9"/>
        <v>#NUM!</v>
      </c>
      <c r="K121" s="187" t="e">
        <f t="shared" si="7"/>
        <v>#NUM!</v>
      </c>
      <c r="L121" s="187"/>
      <c r="M121" s="189">
        <f t="shared" si="8"/>
        <v>0</v>
      </c>
    </row>
    <row r="122" spans="1:13">
      <c r="A122" s="204"/>
      <c r="G122" s="175"/>
      <c r="H122" s="187">
        <v>117</v>
      </c>
      <c r="I122" s="188" t="str">
        <f t="shared" si="6"/>
        <v/>
      </c>
      <c r="J122" s="187" t="e">
        <f t="shared" si="9"/>
        <v>#NUM!</v>
      </c>
      <c r="K122" s="187" t="e">
        <f t="shared" si="7"/>
        <v>#NUM!</v>
      </c>
      <c r="L122" s="187"/>
      <c r="M122" s="189">
        <f t="shared" si="8"/>
        <v>0</v>
      </c>
    </row>
    <row r="123" spans="1:13">
      <c r="A123" s="204"/>
      <c r="G123" s="175"/>
      <c r="H123" s="187">
        <v>118</v>
      </c>
      <c r="I123" s="188" t="str">
        <f t="shared" si="6"/>
        <v/>
      </c>
      <c r="J123" s="187" t="e">
        <f t="shared" si="9"/>
        <v>#NUM!</v>
      </c>
      <c r="K123" s="187" t="e">
        <f t="shared" si="7"/>
        <v>#NUM!</v>
      </c>
      <c r="L123" s="187"/>
      <c r="M123" s="189">
        <f t="shared" si="8"/>
        <v>0</v>
      </c>
    </row>
    <row r="124" spans="1:13">
      <c r="A124" s="204"/>
      <c r="G124" s="175"/>
      <c r="H124" s="187">
        <v>119</v>
      </c>
      <c r="I124" s="188" t="str">
        <f t="shared" si="6"/>
        <v/>
      </c>
      <c r="J124" s="187" t="e">
        <f t="shared" si="9"/>
        <v>#NUM!</v>
      </c>
      <c r="K124" s="187" t="e">
        <f t="shared" si="7"/>
        <v>#NUM!</v>
      </c>
      <c r="L124" s="187"/>
      <c r="M124" s="189">
        <f t="shared" si="8"/>
        <v>0</v>
      </c>
    </row>
    <row r="125" spans="1:13">
      <c r="A125" s="204"/>
      <c r="G125" s="175"/>
      <c r="H125" s="187">
        <v>120</v>
      </c>
      <c r="I125" s="188" t="str">
        <f t="shared" si="6"/>
        <v/>
      </c>
      <c r="J125" s="187" t="e">
        <f t="shared" si="9"/>
        <v>#NUM!</v>
      </c>
      <c r="K125" s="187" t="e">
        <f t="shared" si="7"/>
        <v>#NUM!</v>
      </c>
      <c r="L125" s="187"/>
      <c r="M125" s="189">
        <f t="shared" si="8"/>
        <v>0</v>
      </c>
    </row>
    <row r="126" spans="1:13">
      <c r="A126" s="204"/>
      <c r="G126" s="175"/>
      <c r="H126" s="187">
        <v>121</v>
      </c>
      <c r="I126" s="188" t="str">
        <f t="shared" si="6"/>
        <v/>
      </c>
      <c r="J126" s="187" t="e">
        <f t="shared" si="9"/>
        <v>#NUM!</v>
      </c>
      <c r="K126" s="187" t="e">
        <f t="shared" si="7"/>
        <v>#NUM!</v>
      </c>
      <c r="L126" s="187"/>
      <c r="M126" s="189">
        <f t="shared" si="8"/>
        <v>0</v>
      </c>
    </row>
    <row r="127" spans="1:13">
      <c r="A127" s="204"/>
      <c r="G127" s="175"/>
      <c r="H127" s="187">
        <v>122</v>
      </c>
      <c r="I127" s="188" t="str">
        <f t="shared" si="6"/>
        <v/>
      </c>
      <c r="J127" s="187" t="e">
        <f t="shared" si="9"/>
        <v>#NUM!</v>
      </c>
      <c r="K127" s="187" t="e">
        <f t="shared" si="7"/>
        <v>#NUM!</v>
      </c>
      <c r="L127" s="187"/>
      <c r="M127" s="189">
        <f t="shared" si="8"/>
        <v>0</v>
      </c>
    </row>
    <row r="128" spans="1:13">
      <c r="A128" s="204"/>
      <c r="G128" s="175"/>
      <c r="H128" s="187">
        <v>123</v>
      </c>
      <c r="I128" s="188" t="str">
        <f t="shared" si="6"/>
        <v/>
      </c>
      <c r="J128" s="187" t="e">
        <f t="shared" si="9"/>
        <v>#NUM!</v>
      </c>
      <c r="K128" s="187" t="e">
        <f t="shared" si="7"/>
        <v>#NUM!</v>
      </c>
      <c r="L128" s="187"/>
      <c r="M128" s="189">
        <f t="shared" si="8"/>
        <v>0</v>
      </c>
    </row>
    <row r="129" spans="1:13">
      <c r="A129" s="204"/>
      <c r="G129" s="175"/>
      <c r="H129" s="187">
        <v>124</v>
      </c>
      <c r="I129" s="188" t="str">
        <f t="shared" si="6"/>
        <v/>
      </c>
      <c r="J129" s="187" t="e">
        <f t="shared" si="9"/>
        <v>#NUM!</v>
      </c>
      <c r="K129" s="187" t="e">
        <f t="shared" si="7"/>
        <v>#NUM!</v>
      </c>
      <c r="L129" s="187"/>
      <c r="M129" s="189">
        <f t="shared" si="8"/>
        <v>0</v>
      </c>
    </row>
    <row r="130" spans="1:13">
      <c r="A130" s="204"/>
      <c r="G130" s="175"/>
      <c r="H130" s="187">
        <v>125</v>
      </c>
      <c r="I130" s="188" t="str">
        <f t="shared" si="6"/>
        <v/>
      </c>
      <c r="J130" s="187" t="e">
        <f t="shared" si="9"/>
        <v>#NUM!</v>
      </c>
      <c r="K130" s="187" t="e">
        <f t="shared" si="7"/>
        <v>#NUM!</v>
      </c>
      <c r="L130" s="187"/>
      <c r="M130" s="189">
        <f t="shared" si="8"/>
        <v>0</v>
      </c>
    </row>
    <row r="131" spans="1:13">
      <c r="A131" s="204"/>
      <c r="G131" s="175"/>
      <c r="H131" s="187">
        <v>126</v>
      </c>
      <c r="I131" s="188" t="str">
        <f t="shared" si="6"/>
        <v/>
      </c>
      <c r="J131" s="187" t="e">
        <f t="shared" si="9"/>
        <v>#NUM!</v>
      </c>
      <c r="K131" s="187" t="e">
        <f t="shared" si="7"/>
        <v>#NUM!</v>
      </c>
      <c r="L131" s="187"/>
      <c r="M131" s="189">
        <f t="shared" si="8"/>
        <v>0</v>
      </c>
    </row>
    <row r="132" spans="1:13">
      <c r="A132" s="204"/>
      <c r="G132" s="175"/>
      <c r="H132" s="187">
        <v>127</v>
      </c>
      <c r="I132" s="188" t="str">
        <f t="shared" si="6"/>
        <v/>
      </c>
      <c r="J132" s="187" t="e">
        <f t="shared" si="9"/>
        <v>#NUM!</v>
      </c>
      <c r="K132" s="187" t="e">
        <f t="shared" si="7"/>
        <v>#NUM!</v>
      </c>
      <c r="L132" s="187"/>
      <c r="M132" s="189">
        <f t="shared" si="8"/>
        <v>0</v>
      </c>
    </row>
    <row r="133" spans="1:13">
      <c r="A133" s="204"/>
      <c r="G133" s="175"/>
      <c r="H133" s="187">
        <v>128</v>
      </c>
      <c r="I133" s="188" t="str">
        <f t="shared" si="6"/>
        <v/>
      </c>
      <c r="J133" s="187" t="e">
        <f t="shared" si="9"/>
        <v>#NUM!</v>
      </c>
      <c r="K133" s="187" t="e">
        <f t="shared" si="7"/>
        <v>#NUM!</v>
      </c>
      <c r="L133" s="187"/>
      <c r="M133" s="189">
        <f t="shared" si="8"/>
        <v>0</v>
      </c>
    </row>
    <row r="134" spans="1:13">
      <c r="A134" s="204"/>
      <c r="G134" s="175"/>
      <c r="H134" s="187">
        <v>129</v>
      </c>
      <c r="I134" s="188" t="str">
        <f t="shared" ref="I134:I197" si="10">IF(H134&lt;$H$2+1,($I$2-($I$2-1)*(LOG(H134)/LOG($H$2))),"")</f>
        <v/>
      </c>
      <c r="J134" s="187" t="e">
        <f t="shared" si="9"/>
        <v>#NUM!</v>
      </c>
      <c r="K134" s="187" t="e">
        <f t="shared" ref="K134:K197" si="11">J134*$J$2</f>
        <v>#NUM!</v>
      </c>
      <c r="L134" s="187"/>
      <c r="M134" s="189">
        <f t="shared" ref="M134:M197" si="12">IF(I134&lt;&gt;"",K134+I134+L134,0)</f>
        <v>0</v>
      </c>
    </row>
    <row r="135" spans="1:13">
      <c r="A135" s="204"/>
      <c r="G135" s="175"/>
      <c r="H135" s="187">
        <v>130</v>
      </c>
      <c r="I135" s="188" t="str">
        <f t="shared" si="10"/>
        <v/>
      </c>
      <c r="J135" s="187" t="e">
        <f t="shared" ref="J135:J198" si="13">INT(LOG($H$2,2))-ROUNDUP(LOG(H135,2),0)+IF(OR($H$2=1,$H$2=2,$H$2=4,$H$2=8,$H$2=16,$H$2=32,$H$2=64,$H$2=128,$H$2=256),0,1)</f>
        <v>#NUM!</v>
      </c>
      <c r="K135" s="187" t="e">
        <f t="shared" si="11"/>
        <v>#NUM!</v>
      </c>
      <c r="L135" s="187"/>
      <c r="M135" s="189">
        <f t="shared" si="12"/>
        <v>0</v>
      </c>
    </row>
    <row r="136" spans="1:13">
      <c r="A136" s="204"/>
      <c r="G136" s="175"/>
      <c r="H136" s="187">
        <v>131</v>
      </c>
      <c r="I136" s="188" t="str">
        <f t="shared" si="10"/>
        <v/>
      </c>
      <c r="J136" s="187" t="e">
        <f t="shared" si="13"/>
        <v>#NUM!</v>
      </c>
      <c r="K136" s="187" t="e">
        <f t="shared" si="11"/>
        <v>#NUM!</v>
      </c>
      <c r="L136" s="187"/>
      <c r="M136" s="189">
        <f t="shared" si="12"/>
        <v>0</v>
      </c>
    </row>
    <row r="137" spans="1:13">
      <c r="A137" s="204"/>
      <c r="G137" s="175"/>
      <c r="H137" s="187">
        <v>132</v>
      </c>
      <c r="I137" s="188" t="str">
        <f t="shared" si="10"/>
        <v/>
      </c>
      <c r="J137" s="187" t="e">
        <f t="shared" si="13"/>
        <v>#NUM!</v>
      </c>
      <c r="K137" s="187" t="e">
        <f t="shared" si="11"/>
        <v>#NUM!</v>
      </c>
      <c r="L137" s="187"/>
      <c r="M137" s="189">
        <f t="shared" si="12"/>
        <v>0</v>
      </c>
    </row>
    <row r="138" spans="1:13">
      <c r="A138" s="204"/>
      <c r="G138" s="175"/>
      <c r="H138" s="187">
        <v>133</v>
      </c>
      <c r="I138" s="188" t="str">
        <f t="shared" si="10"/>
        <v/>
      </c>
      <c r="J138" s="187" t="e">
        <f t="shared" si="13"/>
        <v>#NUM!</v>
      </c>
      <c r="K138" s="187" t="e">
        <f t="shared" si="11"/>
        <v>#NUM!</v>
      </c>
      <c r="L138" s="187"/>
      <c r="M138" s="189">
        <f t="shared" si="12"/>
        <v>0</v>
      </c>
    </row>
    <row r="139" spans="1:13">
      <c r="A139" s="204"/>
      <c r="G139" s="175"/>
      <c r="H139" s="187">
        <v>134</v>
      </c>
      <c r="I139" s="188" t="str">
        <f t="shared" si="10"/>
        <v/>
      </c>
      <c r="J139" s="187" t="e">
        <f t="shared" si="13"/>
        <v>#NUM!</v>
      </c>
      <c r="K139" s="187" t="e">
        <f t="shared" si="11"/>
        <v>#NUM!</v>
      </c>
      <c r="L139" s="187"/>
      <c r="M139" s="189">
        <f t="shared" si="12"/>
        <v>0</v>
      </c>
    </row>
    <row r="140" spans="1:13">
      <c r="A140" s="204"/>
      <c r="G140" s="175"/>
      <c r="H140" s="187">
        <v>135</v>
      </c>
      <c r="I140" s="188" t="str">
        <f t="shared" si="10"/>
        <v/>
      </c>
      <c r="J140" s="187" t="e">
        <f t="shared" si="13"/>
        <v>#NUM!</v>
      </c>
      <c r="K140" s="187" t="e">
        <f t="shared" si="11"/>
        <v>#NUM!</v>
      </c>
      <c r="L140" s="187"/>
      <c r="M140" s="189">
        <f t="shared" si="12"/>
        <v>0</v>
      </c>
    </row>
    <row r="141" spans="1:13">
      <c r="A141" s="204"/>
      <c r="G141" s="175"/>
      <c r="H141" s="187">
        <v>136</v>
      </c>
      <c r="I141" s="188" t="str">
        <f t="shared" si="10"/>
        <v/>
      </c>
      <c r="J141" s="187" t="e">
        <f t="shared" si="13"/>
        <v>#NUM!</v>
      </c>
      <c r="K141" s="187" t="e">
        <f t="shared" si="11"/>
        <v>#NUM!</v>
      </c>
      <c r="L141" s="187"/>
      <c r="M141" s="189">
        <f t="shared" si="12"/>
        <v>0</v>
      </c>
    </row>
    <row r="142" spans="1:13">
      <c r="A142" s="204"/>
      <c r="G142" s="175"/>
      <c r="H142" s="187">
        <v>137</v>
      </c>
      <c r="I142" s="188" t="str">
        <f t="shared" si="10"/>
        <v/>
      </c>
      <c r="J142" s="187" t="e">
        <f t="shared" si="13"/>
        <v>#NUM!</v>
      </c>
      <c r="K142" s="187" t="e">
        <f t="shared" si="11"/>
        <v>#NUM!</v>
      </c>
      <c r="L142" s="187"/>
      <c r="M142" s="189">
        <f t="shared" si="12"/>
        <v>0</v>
      </c>
    </row>
    <row r="143" spans="1:13">
      <c r="A143" s="204"/>
      <c r="G143" s="175"/>
      <c r="H143" s="187">
        <v>138</v>
      </c>
      <c r="I143" s="188" t="str">
        <f t="shared" si="10"/>
        <v/>
      </c>
      <c r="J143" s="187" t="e">
        <f t="shared" si="13"/>
        <v>#NUM!</v>
      </c>
      <c r="K143" s="187" t="e">
        <f t="shared" si="11"/>
        <v>#NUM!</v>
      </c>
      <c r="L143" s="187"/>
      <c r="M143" s="189">
        <f t="shared" si="12"/>
        <v>0</v>
      </c>
    </row>
    <row r="144" spans="1:13">
      <c r="A144" s="204"/>
      <c r="G144" s="175"/>
      <c r="H144" s="187">
        <v>139</v>
      </c>
      <c r="I144" s="188" t="str">
        <f t="shared" si="10"/>
        <v/>
      </c>
      <c r="J144" s="187" t="e">
        <f t="shared" si="13"/>
        <v>#NUM!</v>
      </c>
      <c r="K144" s="187" t="e">
        <f t="shared" si="11"/>
        <v>#NUM!</v>
      </c>
      <c r="L144" s="187"/>
      <c r="M144" s="189">
        <f t="shared" si="12"/>
        <v>0</v>
      </c>
    </row>
    <row r="145" spans="1:13">
      <c r="A145" s="204"/>
      <c r="G145" s="175"/>
      <c r="H145" s="187">
        <v>140</v>
      </c>
      <c r="I145" s="188" t="str">
        <f t="shared" si="10"/>
        <v/>
      </c>
      <c r="J145" s="187" t="e">
        <f t="shared" si="13"/>
        <v>#NUM!</v>
      </c>
      <c r="K145" s="187" t="e">
        <f t="shared" si="11"/>
        <v>#NUM!</v>
      </c>
      <c r="L145" s="187"/>
      <c r="M145" s="189">
        <f t="shared" si="12"/>
        <v>0</v>
      </c>
    </row>
    <row r="146" spans="1:13">
      <c r="A146" s="204"/>
      <c r="G146" s="175"/>
      <c r="H146" s="187">
        <v>141</v>
      </c>
      <c r="I146" s="188" t="str">
        <f t="shared" si="10"/>
        <v/>
      </c>
      <c r="J146" s="187" t="e">
        <f t="shared" si="13"/>
        <v>#NUM!</v>
      </c>
      <c r="K146" s="187" t="e">
        <f t="shared" si="11"/>
        <v>#NUM!</v>
      </c>
      <c r="L146" s="187"/>
      <c r="M146" s="189">
        <f t="shared" si="12"/>
        <v>0</v>
      </c>
    </row>
    <row r="147" spans="1:13">
      <c r="A147" s="204"/>
      <c r="G147" s="175"/>
      <c r="H147" s="187">
        <v>142</v>
      </c>
      <c r="I147" s="188" t="str">
        <f t="shared" si="10"/>
        <v/>
      </c>
      <c r="J147" s="187" t="e">
        <f t="shared" si="13"/>
        <v>#NUM!</v>
      </c>
      <c r="K147" s="187" t="e">
        <f t="shared" si="11"/>
        <v>#NUM!</v>
      </c>
      <c r="L147" s="187"/>
      <c r="M147" s="189">
        <f t="shared" si="12"/>
        <v>0</v>
      </c>
    </row>
    <row r="148" spans="1:13">
      <c r="A148" s="204"/>
      <c r="G148" s="175"/>
      <c r="H148" s="187">
        <v>143</v>
      </c>
      <c r="I148" s="188" t="str">
        <f t="shared" si="10"/>
        <v/>
      </c>
      <c r="J148" s="187" t="e">
        <f t="shared" si="13"/>
        <v>#NUM!</v>
      </c>
      <c r="K148" s="187" t="e">
        <f t="shared" si="11"/>
        <v>#NUM!</v>
      </c>
      <c r="L148" s="187"/>
      <c r="M148" s="189">
        <f t="shared" si="12"/>
        <v>0</v>
      </c>
    </row>
    <row r="149" spans="1:13">
      <c r="A149" s="204"/>
      <c r="G149" s="175"/>
      <c r="H149" s="187">
        <v>144</v>
      </c>
      <c r="I149" s="188" t="str">
        <f t="shared" si="10"/>
        <v/>
      </c>
      <c r="J149" s="187" t="e">
        <f t="shared" si="13"/>
        <v>#NUM!</v>
      </c>
      <c r="K149" s="187" t="e">
        <f t="shared" si="11"/>
        <v>#NUM!</v>
      </c>
      <c r="L149" s="187"/>
      <c r="M149" s="189">
        <f t="shared" si="12"/>
        <v>0</v>
      </c>
    </row>
    <row r="150" spans="1:13">
      <c r="A150" s="204"/>
      <c r="G150" s="175"/>
      <c r="H150" s="187">
        <v>145</v>
      </c>
      <c r="I150" s="188" t="str">
        <f t="shared" si="10"/>
        <v/>
      </c>
      <c r="J150" s="187" t="e">
        <f t="shared" si="13"/>
        <v>#NUM!</v>
      </c>
      <c r="K150" s="187" t="e">
        <f t="shared" si="11"/>
        <v>#NUM!</v>
      </c>
      <c r="L150" s="187"/>
      <c r="M150" s="189">
        <f t="shared" si="12"/>
        <v>0</v>
      </c>
    </row>
    <row r="151" spans="1:13">
      <c r="A151" s="204"/>
      <c r="G151" s="175"/>
      <c r="H151" s="187">
        <v>146</v>
      </c>
      <c r="I151" s="188" t="str">
        <f t="shared" si="10"/>
        <v/>
      </c>
      <c r="J151" s="187" t="e">
        <f t="shared" si="13"/>
        <v>#NUM!</v>
      </c>
      <c r="K151" s="187" t="e">
        <f t="shared" si="11"/>
        <v>#NUM!</v>
      </c>
      <c r="L151" s="187"/>
      <c r="M151" s="189">
        <f t="shared" si="12"/>
        <v>0</v>
      </c>
    </row>
    <row r="152" spans="1:13">
      <c r="A152" s="204"/>
      <c r="G152" s="175"/>
      <c r="H152" s="187">
        <v>147</v>
      </c>
      <c r="I152" s="188" t="str">
        <f t="shared" si="10"/>
        <v/>
      </c>
      <c r="J152" s="187" t="e">
        <f t="shared" si="13"/>
        <v>#NUM!</v>
      </c>
      <c r="K152" s="187" t="e">
        <f t="shared" si="11"/>
        <v>#NUM!</v>
      </c>
      <c r="L152" s="187"/>
      <c r="M152" s="189">
        <f t="shared" si="12"/>
        <v>0</v>
      </c>
    </row>
    <row r="153" spans="1:13">
      <c r="A153" s="204"/>
      <c r="G153" s="175"/>
      <c r="H153" s="187">
        <v>148</v>
      </c>
      <c r="I153" s="188" t="str">
        <f t="shared" si="10"/>
        <v/>
      </c>
      <c r="J153" s="187" t="e">
        <f t="shared" si="13"/>
        <v>#NUM!</v>
      </c>
      <c r="K153" s="187" t="e">
        <f t="shared" si="11"/>
        <v>#NUM!</v>
      </c>
      <c r="L153" s="187"/>
      <c r="M153" s="189">
        <f t="shared" si="12"/>
        <v>0</v>
      </c>
    </row>
    <row r="154" spans="1:13">
      <c r="A154" s="204"/>
      <c r="G154" s="175"/>
      <c r="H154" s="187">
        <v>149</v>
      </c>
      <c r="I154" s="188" t="str">
        <f t="shared" si="10"/>
        <v/>
      </c>
      <c r="J154" s="187" t="e">
        <f t="shared" si="13"/>
        <v>#NUM!</v>
      </c>
      <c r="K154" s="187" t="e">
        <f t="shared" si="11"/>
        <v>#NUM!</v>
      </c>
      <c r="L154" s="187"/>
      <c r="M154" s="189">
        <f t="shared" si="12"/>
        <v>0</v>
      </c>
    </row>
    <row r="155" spans="1:13">
      <c r="A155" s="204"/>
      <c r="G155" s="175"/>
      <c r="H155" s="187">
        <v>150</v>
      </c>
      <c r="I155" s="188" t="str">
        <f t="shared" si="10"/>
        <v/>
      </c>
      <c r="J155" s="187" t="e">
        <f t="shared" si="13"/>
        <v>#NUM!</v>
      </c>
      <c r="K155" s="187" t="e">
        <f t="shared" si="11"/>
        <v>#NUM!</v>
      </c>
      <c r="L155" s="187"/>
      <c r="M155" s="189">
        <f t="shared" si="12"/>
        <v>0</v>
      </c>
    </row>
    <row r="156" spans="1:13">
      <c r="A156" s="204"/>
      <c r="G156" s="175"/>
      <c r="H156" s="187">
        <v>151</v>
      </c>
      <c r="I156" s="188" t="str">
        <f t="shared" si="10"/>
        <v/>
      </c>
      <c r="J156" s="187" t="e">
        <f t="shared" si="13"/>
        <v>#NUM!</v>
      </c>
      <c r="K156" s="187" t="e">
        <f t="shared" si="11"/>
        <v>#NUM!</v>
      </c>
      <c r="L156" s="187"/>
      <c r="M156" s="189">
        <f t="shared" si="12"/>
        <v>0</v>
      </c>
    </row>
    <row r="157" spans="1:13">
      <c r="A157" s="204"/>
      <c r="G157" s="175"/>
      <c r="H157" s="187">
        <v>152</v>
      </c>
      <c r="I157" s="188" t="str">
        <f t="shared" si="10"/>
        <v/>
      </c>
      <c r="J157" s="187" t="e">
        <f t="shared" si="13"/>
        <v>#NUM!</v>
      </c>
      <c r="K157" s="187" t="e">
        <f t="shared" si="11"/>
        <v>#NUM!</v>
      </c>
      <c r="L157" s="187"/>
      <c r="M157" s="189">
        <f t="shared" si="12"/>
        <v>0</v>
      </c>
    </row>
    <row r="158" spans="1:13">
      <c r="A158" s="204"/>
      <c r="G158" s="175"/>
      <c r="H158" s="187">
        <v>153</v>
      </c>
      <c r="I158" s="188" t="str">
        <f t="shared" si="10"/>
        <v/>
      </c>
      <c r="J158" s="187" t="e">
        <f t="shared" si="13"/>
        <v>#NUM!</v>
      </c>
      <c r="K158" s="187" t="e">
        <f t="shared" si="11"/>
        <v>#NUM!</v>
      </c>
      <c r="L158" s="187"/>
      <c r="M158" s="189">
        <f t="shared" si="12"/>
        <v>0</v>
      </c>
    </row>
    <row r="159" spans="1:13">
      <c r="A159" s="204"/>
      <c r="G159" s="175"/>
      <c r="H159" s="187">
        <v>154</v>
      </c>
      <c r="I159" s="188" t="str">
        <f t="shared" si="10"/>
        <v/>
      </c>
      <c r="J159" s="187" t="e">
        <f t="shared" si="13"/>
        <v>#NUM!</v>
      </c>
      <c r="K159" s="187" t="e">
        <f t="shared" si="11"/>
        <v>#NUM!</v>
      </c>
      <c r="L159" s="187"/>
      <c r="M159" s="189">
        <f t="shared" si="12"/>
        <v>0</v>
      </c>
    </row>
    <row r="160" spans="1:13">
      <c r="A160" s="204"/>
      <c r="G160" s="175"/>
      <c r="H160" s="187">
        <v>155</v>
      </c>
      <c r="I160" s="188" t="str">
        <f t="shared" si="10"/>
        <v/>
      </c>
      <c r="J160" s="187" t="e">
        <f t="shared" si="13"/>
        <v>#NUM!</v>
      </c>
      <c r="K160" s="187" t="e">
        <f t="shared" si="11"/>
        <v>#NUM!</v>
      </c>
      <c r="L160" s="187"/>
      <c r="M160" s="189">
        <f t="shared" si="12"/>
        <v>0</v>
      </c>
    </row>
    <row r="161" spans="1:13">
      <c r="A161" s="204"/>
      <c r="G161" s="175"/>
      <c r="H161" s="187">
        <v>156</v>
      </c>
      <c r="I161" s="188" t="str">
        <f t="shared" si="10"/>
        <v/>
      </c>
      <c r="J161" s="187" t="e">
        <f t="shared" si="13"/>
        <v>#NUM!</v>
      </c>
      <c r="K161" s="187" t="e">
        <f t="shared" si="11"/>
        <v>#NUM!</v>
      </c>
      <c r="L161" s="187"/>
      <c r="M161" s="189">
        <f t="shared" si="12"/>
        <v>0</v>
      </c>
    </row>
    <row r="162" spans="1:13">
      <c r="A162" s="204"/>
      <c r="G162" s="175"/>
      <c r="H162" s="187">
        <v>157</v>
      </c>
      <c r="I162" s="188" t="str">
        <f t="shared" si="10"/>
        <v/>
      </c>
      <c r="J162" s="187" t="e">
        <f t="shared" si="13"/>
        <v>#NUM!</v>
      </c>
      <c r="K162" s="187" t="e">
        <f t="shared" si="11"/>
        <v>#NUM!</v>
      </c>
      <c r="L162" s="187"/>
      <c r="M162" s="189">
        <f t="shared" si="12"/>
        <v>0</v>
      </c>
    </row>
    <row r="163" spans="1:13">
      <c r="A163" s="204"/>
      <c r="G163" s="175"/>
      <c r="H163" s="187">
        <v>158</v>
      </c>
      <c r="I163" s="188" t="str">
        <f t="shared" si="10"/>
        <v/>
      </c>
      <c r="J163" s="187" t="e">
        <f t="shared" si="13"/>
        <v>#NUM!</v>
      </c>
      <c r="K163" s="187" t="e">
        <f t="shared" si="11"/>
        <v>#NUM!</v>
      </c>
      <c r="L163" s="187"/>
      <c r="M163" s="189">
        <f t="shared" si="12"/>
        <v>0</v>
      </c>
    </row>
    <row r="164" spans="1:13">
      <c r="A164" s="204"/>
      <c r="G164" s="175"/>
      <c r="H164" s="187">
        <v>159</v>
      </c>
      <c r="I164" s="188" t="str">
        <f t="shared" si="10"/>
        <v/>
      </c>
      <c r="J164" s="187" t="e">
        <f t="shared" si="13"/>
        <v>#NUM!</v>
      </c>
      <c r="K164" s="187" t="e">
        <f t="shared" si="11"/>
        <v>#NUM!</v>
      </c>
      <c r="L164" s="187"/>
      <c r="M164" s="189">
        <f t="shared" si="12"/>
        <v>0</v>
      </c>
    </row>
    <row r="165" spans="1:13">
      <c r="A165" s="204"/>
      <c r="G165" s="175"/>
      <c r="H165" s="187">
        <v>160</v>
      </c>
      <c r="I165" s="188" t="str">
        <f t="shared" si="10"/>
        <v/>
      </c>
      <c r="J165" s="187" t="e">
        <f t="shared" si="13"/>
        <v>#NUM!</v>
      </c>
      <c r="K165" s="187" t="e">
        <f t="shared" si="11"/>
        <v>#NUM!</v>
      </c>
      <c r="L165" s="187"/>
      <c r="M165" s="189">
        <f t="shared" si="12"/>
        <v>0</v>
      </c>
    </row>
    <row r="166" spans="1:13">
      <c r="A166" s="204"/>
      <c r="G166" s="175"/>
      <c r="H166" s="187">
        <v>161</v>
      </c>
      <c r="I166" s="188" t="str">
        <f t="shared" si="10"/>
        <v/>
      </c>
      <c r="J166" s="187" t="e">
        <f t="shared" si="13"/>
        <v>#NUM!</v>
      </c>
      <c r="K166" s="187" t="e">
        <f t="shared" si="11"/>
        <v>#NUM!</v>
      </c>
      <c r="L166" s="187"/>
      <c r="M166" s="189">
        <f t="shared" si="12"/>
        <v>0</v>
      </c>
    </row>
    <row r="167" spans="1:13">
      <c r="A167" s="204"/>
      <c r="G167" s="175"/>
      <c r="H167" s="187">
        <v>162</v>
      </c>
      <c r="I167" s="188" t="str">
        <f t="shared" si="10"/>
        <v/>
      </c>
      <c r="J167" s="187" t="e">
        <f t="shared" si="13"/>
        <v>#NUM!</v>
      </c>
      <c r="K167" s="187" t="e">
        <f t="shared" si="11"/>
        <v>#NUM!</v>
      </c>
      <c r="L167" s="187"/>
      <c r="M167" s="189">
        <f t="shared" si="12"/>
        <v>0</v>
      </c>
    </row>
    <row r="168" spans="1:13">
      <c r="A168" s="204"/>
      <c r="G168" s="175"/>
      <c r="H168" s="187">
        <v>163</v>
      </c>
      <c r="I168" s="188" t="str">
        <f t="shared" si="10"/>
        <v/>
      </c>
      <c r="J168" s="187" t="e">
        <f t="shared" si="13"/>
        <v>#NUM!</v>
      </c>
      <c r="K168" s="187" t="e">
        <f t="shared" si="11"/>
        <v>#NUM!</v>
      </c>
      <c r="L168" s="187"/>
      <c r="M168" s="189">
        <f t="shared" si="12"/>
        <v>0</v>
      </c>
    </row>
    <row r="169" spans="1:13">
      <c r="A169" s="204"/>
      <c r="C169" s="203" t="s">
        <v>57</v>
      </c>
      <c r="G169" s="175"/>
      <c r="H169" s="187">
        <v>164</v>
      </c>
      <c r="I169" s="188" t="str">
        <f t="shared" si="10"/>
        <v/>
      </c>
      <c r="J169" s="187" t="e">
        <f t="shared" si="13"/>
        <v>#NUM!</v>
      </c>
      <c r="K169" s="187" t="e">
        <f t="shared" si="11"/>
        <v>#NUM!</v>
      </c>
      <c r="L169" s="187"/>
      <c r="M169" s="189">
        <f t="shared" si="12"/>
        <v>0</v>
      </c>
    </row>
    <row r="170" spans="1:13">
      <c r="A170" s="204"/>
      <c r="G170" s="175"/>
      <c r="H170" s="187">
        <v>165</v>
      </c>
      <c r="I170" s="188" t="str">
        <f t="shared" si="10"/>
        <v/>
      </c>
      <c r="J170" s="187" t="e">
        <f t="shared" si="13"/>
        <v>#NUM!</v>
      </c>
      <c r="K170" s="187" t="e">
        <f t="shared" si="11"/>
        <v>#NUM!</v>
      </c>
      <c r="L170" s="187"/>
      <c r="M170" s="189">
        <f t="shared" si="12"/>
        <v>0</v>
      </c>
    </row>
    <row r="171" spans="1:13">
      <c r="A171" s="204"/>
      <c r="G171" s="175"/>
      <c r="H171" s="187">
        <v>166</v>
      </c>
      <c r="I171" s="188" t="str">
        <f t="shared" si="10"/>
        <v/>
      </c>
      <c r="J171" s="187" t="e">
        <f t="shared" si="13"/>
        <v>#NUM!</v>
      </c>
      <c r="K171" s="187" t="e">
        <f t="shared" si="11"/>
        <v>#NUM!</v>
      </c>
      <c r="L171" s="187"/>
      <c r="M171" s="189">
        <f t="shared" si="12"/>
        <v>0</v>
      </c>
    </row>
    <row r="172" spans="1:13">
      <c r="A172" s="204"/>
      <c r="G172" s="175"/>
      <c r="H172" s="187">
        <v>167</v>
      </c>
      <c r="I172" s="188" t="str">
        <f t="shared" si="10"/>
        <v/>
      </c>
      <c r="J172" s="187" t="e">
        <f t="shared" si="13"/>
        <v>#NUM!</v>
      </c>
      <c r="K172" s="187" t="e">
        <f t="shared" si="11"/>
        <v>#NUM!</v>
      </c>
      <c r="L172" s="187"/>
      <c r="M172" s="189">
        <f t="shared" si="12"/>
        <v>0</v>
      </c>
    </row>
    <row r="173" spans="1:13">
      <c r="A173" s="204"/>
      <c r="G173" s="175"/>
      <c r="H173" s="187">
        <v>168</v>
      </c>
      <c r="I173" s="188" t="str">
        <f t="shared" si="10"/>
        <v/>
      </c>
      <c r="J173" s="187" t="e">
        <f t="shared" si="13"/>
        <v>#NUM!</v>
      </c>
      <c r="K173" s="187" t="e">
        <f t="shared" si="11"/>
        <v>#NUM!</v>
      </c>
      <c r="L173" s="187"/>
      <c r="M173" s="189">
        <f t="shared" si="12"/>
        <v>0</v>
      </c>
    </row>
    <row r="174" spans="1:13">
      <c r="A174" s="204"/>
      <c r="G174" s="175"/>
      <c r="H174" s="187">
        <v>169</v>
      </c>
      <c r="I174" s="188" t="str">
        <f t="shared" si="10"/>
        <v/>
      </c>
      <c r="J174" s="187" t="e">
        <f t="shared" si="13"/>
        <v>#NUM!</v>
      </c>
      <c r="K174" s="187" t="e">
        <f t="shared" si="11"/>
        <v>#NUM!</v>
      </c>
      <c r="L174" s="187"/>
      <c r="M174" s="189">
        <f t="shared" si="12"/>
        <v>0</v>
      </c>
    </row>
    <row r="175" spans="1:13">
      <c r="A175" s="204"/>
      <c r="G175" s="175"/>
      <c r="H175" s="187">
        <v>170</v>
      </c>
      <c r="I175" s="188" t="str">
        <f t="shared" si="10"/>
        <v/>
      </c>
      <c r="J175" s="187" t="e">
        <f t="shared" si="13"/>
        <v>#NUM!</v>
      </c>
      <c r="K175" s="187" t="e">
        <f t="shared" si="11"/>
        <v>#NUM!</v>
      </c>
      <c r="L175" s="187"/>
      <c r="M175" s="189">
        <f t="shared" si="12"/>
        <v>0</v>
      </c>
    </row>
    <row r="176" spans="1:13">
      <c r="A176" s="204"/>
      <c r="G176" s="175"/>
      <c r="H176" s="187">
        <v>171</v>
      </c>
      <c r="I176" s="188" t="str">
        <f t="shared" si="10"/>
        <v/>
      </c>
      <c r="J176" s="187" t="e">
        <f t="shared" si="13"/>
        <v>#NUM!</v>
      </c>
      <c r="K176" s="187" t="e">
        <f t="shared" si="11"/>
        <v>#NUM!</v>
      </c>
      <c r="L176" s="187"/>
      <c r="M176" s="189">
        <f t="shared" si="12"/>
        <v>0</v>
      </c>
    </row>
    <row r="177" spans="1:13">
      <c r="A177" s="204"/>
      <c r="G177" s="175"/>
      <c r="H177" s="187">
        <v>172</v>
      </c>
      <c r="I177" s="188" t="str">
        <f t="shared" si="10"/>
        <v/>
      </c>
      <c r="J177" s="187" t="e">
        <f t="shared" si="13"/>
        <v>#NUM!</v>
      </c>
      <c r="K177" s="187" t="e">
        <f t="shared" si="11"/>
        <v>#NUM!</v>
      </c>
      <c r="L177" s="187"/>
      <c r="M177" s="189">
        <f t="shared" si="12"/>
        <v>0</v>
      </c>
    </row>
    <row r="178" spans="1:13">
      <c r="A178" s="204"/>
      <c r="G178" s="175"/>
      <c r="H178" s="187">
        <v>173</v>
      </c>
      <c r="I178" s="188" t="str">
        <f t="shared" si="10"/>
        <v/>
      </c>
      <c r="J178" s="187" t="e">
        <f t="shared" si="13"/>
        <v>#NUM!</v>
      </c>
      <c r="K178" s="187" t="e">
        <f t="shared" si="11"/>
        <v>#NUM!</v>
      </c>
      <c r="L178" s="187"/>
      <c r="M178" s="189">
        <f t="shared" si="12"/>
        <v>0</v>
      </c>
    </row>
    <row r="179" spans="1:13">
      <c r="A179" s="204"/>
      <c r="G179" s="175"/>
      <c r="H179" s="187">
        <v>174</v>
      </c>
      <c r="I179" s="188" t="str">
        <f t="shared" si="10"/>
        <v/>
      </c>
      <c r="J179" s="187" t="e">
        <f t="shared" si="13"/>
        <v>#NUM!</v>
      </c>
      <c r="K179" s="187" t="e">
        <f t="shared" si="11"/>
        <v>#NUM!</v>
      </c>
      <c r="L179" s="187"/>
      <c r="M179" s="189">
        <f t="shared" si="12"/>
        <v>0</v>
      </c>
    </row>
    <row r="180" spans="1:13">
      <c r="A180" s="204"/>
      <c r="G180" s="175"/>
      <c r="H180" s="187">
        <v>175</v>
      </c>
      <c r="I180" s="188" t="str">
        <f t="shared" si="10"/>
        <v/>
      </c>
      <c r="J180" s="187" t="e">
        <f t="shared" si="13"/>
        <v>#NUM!</v>
      </c>
      <c r="K180" s="187" t="e">
        <f t="shared" si="11"/>
        <v>#NUM!</v>
      </c>
      <c r="L180" s="187"/>
      <c r="M180" s="189">
        <f t="shared" si="12"/>
        <v>0</v>
      </c>
    </row>
    <row r="181" spans="1:13">
      <c r="A181" s="204"/>
      <c r="G181" s="175"/>
      <c r="H181" s="187">
        <v>176</v>
      </c>
      <c r="I181" s="188" t="str">
        <f t="shared" si="10"/>
        <v/>
      </c>
      <c r="J181" s="187" t="e">
        <f t="shared" si="13"/>
        <v>#NUM!</v>
      </c>
      <c r="K181" s="187" t="e">
        <f t="shared" si="11"/>
        <v>#NUM!</v>
      </c>
      <c r="L181" s="187"/>
      <c r="M181" s="189">
        <f t="shared" si="12"/>
        <v>0</v>
      </c>
    </row>
    <row r="182" spans="1:13">
      <c r="A182" s="204"/>
      <c r="G182" s="175"/>
      <c r="H182" s="187">
        <v>177</v>
      </c>
      <c r="I182" s="188" t="str">
        <f t="shared" si="10"/>
        <v/>
      </c>
      <c r="J182" s="187" t="e">
        <f t="shared" si="13"/>
        <v>#NUM!</v>
      </c>
      <c r="K182" s="187" t="e">
        <f t="shared" si="11"/>
        <v>#NUM!</v>
      </c>
      <c r="L182" s="187"/>
      <c r="M182" s="189">
        <f t="shared" si="12"/>
        <v>0</v>
      </c>
    </row>
    <row r="183" spans="1:13">
      <c r="A183" s="204"/>
      <c r="G183" s="175"/>
      <c r="H183" s="187">
        <v>178</v>
      </c>
      <c r="I183" s="188" t="str">
        <f t="shared" si="10"/>
        <v/>
      </c>
      <c r="J183" s="187" t="e">
        <f t="shared" si="13"/>
        <v>#NUM!</v>
      </c>
      <c r="K183" s="187" t="e">
        <f t="shared" si="11"/>
        <v>#NUM!</v>
      </c>
      <c r="L183" s="187"/>
      <c r="M183" s="189">
        <f t="shared" si="12"/>
        <v>0</v>
      </c>
    </row>
    <row r="184" spans="1:13">
      <c r="A184" s="204"/>
      <c r="G184" s="175"/>
      <c r="H184" s="187">
        <v>179</v>
      </c>
      <c r="I184" s="188" t="str">
        <f t="shared" si="10"/>
        <v/>
      </c>
      <c r="J184" s="187" t="e">
        <f t="shared" si="13"/>
        <v>#NUM!</v>
      </c>
      <c r="K184" s="187" t="e">
        <f t="shared" si="11"/>
        <v>#NUM!</v>
      </c>
      <c r="L184" s="187"/>
      <c r="M184" s="189">
        <f t="shared" si="12"/>
        <v>0</v>
      </c>
    </row>
    <row r="185" spans="1:13">
      <c r="A185" s="204"/>
      <c r="G185" s="175"/>
      <c r="H185" s="187">
        <v>180</v>
      </c>
      <c r="I185" s="188" t="str">
        <f t="shared" si="10"/>
        <v/>
      </c>
      <c r="J185" s="187" t="e">
        <f t="shared" si="13"/>
        <v>#NUM!</v>
      </c>
      <c r="K185" s="187" t="e">
        <f t="shared" si="11"/>
        <v>#NUM!</v>
      </c>
      <c r="L185" s="187"/>
      <c r="M185" s="189">
        <f t="shared" si="12"/>
        <v>0</v>
      </c>
    </row>
    <row r="186" spans="1:13">
      <c r="A186" s="204"/>
      <c r="G186" s="175"/>
      <c r="H186" s="187">
        <v>181</v>
      </c>
      <c r="I186" s="188" t="str">
        <f t="shared" si="10"/>
        <v/>
      </c>
      <c r="J186" s="187" t="e">
        <f t="shared" si="13"/>
        <v>#NUM!</v>
      </c>
      <c r="K186" s="187" t="e">
        <f t="shared" si="11"/>
        <v>#NUM!</v>
      </c>
      <c r="L186" s="187"/>
      <c r="M186" s="189">
        <f t="shared" si="12"/>
        <v>0</v>
      </c>
    </row>
    <row r="187" spans="1:13">
      <c r="A187" s="204"/>
      <c r="G187" s="175"/>
      <c r="H187" s="187">
        <v>182</v>
      </c>
      <c r="I187" s="188" t="str">
        <f t="shared" si="10"/>
        <v/>
      </c>
      <c r="J187" s="187" t="e">
        <f t="shared" si="13"/>
        <v>#NUM!</v>
      </c>
      <c r="K187" s="187" t="e">
        <f t="shared" si="11"/>
        <v>#NUM!</v>
      </c>
      <c r="L187" s="187"/>
      <c r="M187" s="189">
        <f t="shared" si="12"/>
        <v>0</v>
      </c>
    </row>
    <row r="188" spans="1:13">
      <c r="A188" s="204"/>
      <c r="G188" s="175"/>
      <c r="H188" s="187">
        <v>183</v>
      </c>
      <c r="I188" s="188" t="str">
        <f t="shared" si="10"/>
        <v/>
      </c>
      <c r="J188" s="187" t="e">
        <f t="shared" si="13"/>
        <v>#NUM!</v>
      </c>
      <c r="K188" s="187" t="e">
        <f t="shared" si="11"/>
        <v>#NUM!</v>
      </c>
      <c r="L188" s="187"/>
      <c r="M188" s="189">
        <f t="shared" si="12"/>
        <v>0</v>
      </c>
    </row>
    <row r="189" spans="1:13">
      <c r="A189" s="204"/>
      <c r="G189" s="175"/>
      <c r="H189" s="187">
        <v>184</v>
      </c>
      <c r="I189" s="188" t="str">
        <f t="shared" si="10"/>
        <v/>
      </c>
      <c r="J189" s="187" t="e">
        <f t="shared" si="13"/>
        <v>#NUM!</v>
      </c>
      <c r="K189" s="187" t="e">
        <f t="shared" si="11"/>
        <v>#NUM!</v>
      </c>
      <c r="L189" s="187"/>
      <c r="M189" s="189">
        <f t="shared" si="12"/>
        <v>0</v>
      </c>
    </row>
    <row r="190" spans="1:13">
      <c r="A190" s="204"/>
      <c r="G190" s="175"/>
      <c r="H190" s="187">
        <v>185</v>
      </c>
      <c r="I190" s="188" t="str">
        <f t="shared" si="10"/>
        <v/>
      </c>
      <c r="J190" s="187" t="e">
        <f t="shared" si="13"/>
        <v>#NUM!</v>
      </c>
      <c r="K190" s="187" t="e">
        <f t="shared" si="11"/>
        <v>#NUM!</v>
      </c>
      <c r="L190" s="187"/>
      <c r="M190" s="189">
        <f t="shared" si="12"/>
        <v>0</v>
      </c>
    </row>
    <row r="191" spans="1:13">
      <c r="A191" s="204"/>
      <c r="G191" s="175"/>
      <c r="H191" s="187">
        <v>186</v>
      </c>
      <c r="I191" s="188" t="str">
        <f t="shared" si="10"/>
        <v/>
      </c>
      <c r="J191" s="187" t="e">
        <f t="shared" si="13"/>
        <v>#NUM!</v>
      </c>
      <c r="K191" s="187" t="e">
        <f t="shared" si="11"/>
        <v>#NUM!</v>
      </c>
      <c r="L191" s="187"/>
      <c r="M191" s="189">
        <f t="shared" si="12"/>
        <v>0</v>
      </c>
    </row>
    <row r="192" spans="1:13">
      <c r="A192" s="204"/>
      <c r="G192" s="175"/>
      <c r="H192" s="187">
        <v>187</v>
      </c>
      <c r="I192" s="188" t="str">
        <f t="shared" si="10"/>
        <v/>
      </c>
      <c r="J192" s="187" t="e">
        <f t="shared" si="13"/>
        <v>#NUM!</v>
      </c>
      <c r="K192" s="187" t="e">
        <f t="shared" si="11"/>
        <v>#NUM!</v>
      </c>
      <c r="L192" s="187"/>
      <c r="M192" s="189">
        <f t="shared" si="12"/>
        <v>0</v>
      </c>
    </row>
    <row r="193" spans="1:13">
      <c r="A193" s="204"/>
      <c r="G193" s="175"/>
      <c r="H193" s="187">
        <v>188</v>
      </c>
      <c r="I193" s="188" t="str">
        <f t="shared" si="10"/>
        <v/>
      </c>
      <c r="J193" s="187" t="e">
        <f t="shared" si="13"/>
        <v>#NUM!</v>
      </c>
      <c r="K193" s="187" t="e">
        <f t="shared" si="11"/>
        <v>#NUM!</v>
      </c>
      <c r="L193" s="187"/>
      <c r="M193" s="189">
        <f t="shared" si="12"/>
        <v>0</v>
      </c>
    </row>
    <row r="194" spans="1:13">
      <c r="A194" s="204"/>
      <c r="G194" s="175"/>
      <c r="H194" s="187">
        <v>189</v>
      </c>
      <c r="I194" s="188" t="str">
        <f t="shared" si="10"/>
        <v/>
      </c>
      <c r="J194" s="187" t="e">
        <f t="shared" si="13"/>
        <v>#NUM!</v>
      </c>
      <c r="K194" s="187" t="e">
        <f t="shared" si="11"/>
        <v>#NUM!</v>
      </c>
      <c r="L194" s="187"/>
      <c r="M194" s="189">
        <f t="shared" si="12"/>
        <v>0</v>
      </c>
    </row>
    <row r="195" spans="1:13">
      <c r="A195" s="204"/>
      <c r="G195" s="175"/>
      <c r="H195" s="187">
        <v>190</v>
      </c>
      <c r="I195" s="188" t="str">
        <f t="shared" si="10"/>
        <v/>
      </c>
      <c r="J195" s="187" t="e">
        <f t="shared" si="13"/>
        <v>#NUM!</v>
      </c>
      <c r="K195" s="187" t="e">
        <f t="shared" si="11"/>
        <v>#NUM!</v>
      </c>
      <c r="L195" s="187"/>
      <c r="M195" s="189">
        <f t="shared" si="12"/>
        <v>0</v>
      </c>
    </row>
    <row r="196" spans="1:13">
      <c r="A196" s="204"/>
      <c r="G196" s="175"/>
      <c r="H196" s="187">
        <v>191</v>
      </c>
      <c r="I196" s="188" t="str">
        <f t="shared" si="10"/>
        <v/>
      </c>
      <c r="J196" s="187" t="e">
        <f t="shared" si="13"/>
        <v>#NUM!</v>
      </c>
      <c r="K196" s="187" t="e">
        <f t="shared" si="11"/>
        <v>#NUM!</v>
      </c>
      <c r="L196" s="187"/>
      <c r="M196" s="189">
        <f t="shared" si="12"/>
        <v>0</v>
      </c>
    </row>
    <row r="197" spans="1:13">
      <c r="A197" s="204"/>
      <c r="G197" s="175"/>
      <c r="H197" s="187">
        <v>192</v>
      </c>
      <c r="I197" s="188" t="str">
        <f t="shared" si="10"/>
        <v/>
      </c>
      <c r="J197" s="187" t="e">
        <f t="shared" si="13"/>
        <v>#NUM!</v>
      </c>
      <c r="K197" s="187" t="e">
        <f t="shared" si="11"/>
        <v>#NUM!</v>
      </c>
      <c r="L197" s="187"/>
      <c r="M197" s="189">
        <f t="shared" si="12"/>
        <v>0</v>
      </c>
    </row>
    <row r="198" spans="1:13">
      <c r="A198" s="204"/>
      <c r="G198" s="175"/>
      <c r="H198" s="187">
        <v>193</v>
      </c>
      <c r="I198" s="188" t="str">
        <f t="shared" ref="I198:I261" si="14">IF(H198&lt;$H$2+1,($I$2-($I$2-1)*(LOG(H198)/LOG($H$2))),"")</f>
        <v/>
      </c>
      <c r="J198" s="187" t="e">
        <f t="shared" si="13"/>
        <v>#NUM!</v>
      </c>
      <c r="K198" s="187" t="e">
        <f t="shared" ref="K198:K261" si="15">J198*$J$2</f>
        <v>#NUM!</v>
      </c>
      <c r="L198" s="187"/>
      <c r="M198" s="189">
        <f t="shared" ref="M198:M261" si="16">IF(I198&lt;&gt;"",K198+I198+L198,0)</f>
        <v>0</v>
      </c>
    </row>
    <row r="199" spans="1:13">
      <c r="A199" s="204"/>
      <c r="G199" s="175"/>
      <c r="H199" s="187">
        <v>194</v>
      </c>
      <c r="I199" s="188" t="str">
        <f t="shared" si="14"/>
        <v/>
      </c>
      <c r="J199" s="187" t="e">
        <f t="shared" ref="J199:J262" si="17">INT(LOG($H$2,2))-ROUNDUP(LOG(H199,2),0)+IF(OR($H$2=1,$H$2=2,$H$2=4,$H$2=8,$H$2=16,$H$2=32,$H$2=64,$H$2=128,$H$2=256),0,1)</f>
        <v>#NUM!</v>
      </c>
      <c r="K199" s="187" t="e">
        <f t="shared" si="15"/>
        <v>#NUM!</v>
      </c>
      <c r="L199" s="187"/>
      <c r="M199" s="189">
        <f t="shared" si="16"/>
        <v>0</v>
      </c>
    </row>
    <row r="200" spans="1:13">
      <c r="A200" s="204"/>
      <c r="G200" s="175"/>
      <c r="H200" s="187">
        <v>195</v>
      </c>
      <c r="I200" s="188" t="str">
        <f t="shared" si="14"/>
        <v/>
      </c>
      <c r="J200" s="187" t="e">
        <f t="shared" si="17"/>
        <v>#NUM!</v>
      </c>
      <c r="K200" s="187" t="e">
        <f t="shared" si="15"/>
        <v>#NUM!</v>
      </c>
      <c r="L200" s="187"/>
      <c r="M200" s="189">
        <f t="shared" si="16"/>
        <v>0</v>
      </c>
    </row>
    <row r="201" spans="1:13">
      <c r="A201" s="204"/>
      <c r="G201" s="175"/>
      <c r="H201" s="187">
        <v>196</v>
      </c>
      <c r="I201" s="188" t="str">
        <f t="shared" si="14"/>
        <v/>
      </c>
      <c r="J201" s="187" t="e">
        <f t="shared" si="17"/>
        <v>#NUM!</v>
      </c>
      <c r="K201" s="187" t="e">
        <f t="shared" si="15"/>
        <v>#NUM!</v>
      </c>
      <c r="L201" s="187"/>
      <c r="M201" s="189">
        <f t="shared" si="16"/>
        <v>0</v>
      </c>
    </row>
    <row r="202" spans="1:13">
      <c r="A202" s="204"/>
      <c r="G202" s="175"/>
      <c r="H202" s="187">
        <v>197</v>
      </c>
      <c r="I202" s="188" t="str">
        <f t="shared" si="14"/>
        <v/>
      </c>
      <c r="J202" s="187" t="e">
        <f t="shared" si="17"/>
        <v>#NUM!</v>
      </c>
      <c r="K202" s="187" t="e">
        <f t="shared" si="15"/>
        <v>#NUM!</v>
      </c>
      <c r="L202" s="187"/>
      <c r="M202" s="189">
        <f t="shared" si="16"/>
        <v>0</v>
      </c>
    </row>
    <row r="203" spans="1:13">
      <c r="A203" s="204"/>
      <c r="G203" s="175"/>
      <c r="H203" s="187">
        <v>198</v>
      </c>
      <c r="I203" s="188" t="str">
        <f t="shared" si="14"/>
        <v/>
      </c>
      <c r="J203" s="187" t="e">
        <f t="shared" si="17"/>
        <v>#NUM!</v>
      </c>
      <c r="K203" s="187" t="e">
        <f t="shared" si="15"/>
        <v>#NUM!</v>
      </c>
      <c r="L203" s="187"/>
      <c r="M203" s="189">
        <f t="shared" si="16"/>
        <v>0</v>
      </c>
    </row>
    <row r="204" spans="1:13">
      <c r="A204" s="204"/>
      <c r="G204" s="175"/>
      <c r="H204" s="187">
        <v>199</v>
      </c>
      <c r="I204" s="188" t="str">
        <f t="shared" si="14"/>
        <v/>
      </c>
      <c r="J204" s="187" t="e">
        <f t="shared" si="17"/>
        <v>#NUM!</v>
      </c>
      <c r="K204" s="187" t="e">
        <f t="shared" si="15"/>
        <v>#NUM!</v>
      </c>
      <c r="L204" s="187"/>
      <c r="M204" s="189">
        <f t="shared" si="16"/>
        <v>0</v>
      </c>
    </row>
    <row r="205" spans="1:13">
      <c r="A205" s="204"/>
      <c r="G205" s="175"/>
      <c r="H205" s="187">
        <v>200</v>
      </c>
      <c r="I205" s="188" t="str">
        <f t="shared" si="14"/>
        <v/>
      </c>
      <c r="J205" s="187" t="e">
        <f t="shared" si="17"/>
        <v>#NUM!</v>
      </c>
      <c r="K205" s="187" t="e">
        <f t="shared" si="15"/>
        <v>#NUM!</v>
      </c>
      <c r="L205" s="187"/>
      <c r="M205" s="189">
        <f t="shared" si="16"/>
        <v>0</v>
      </c>
    </row>
    <row r="206" spans="1:13">
      <c r="A206" s="204"/>
      <c r="G206" s="175"/>
      <c r="H206" s="187">
        <v>201</v>
      </c>
      <c r="I206" s="188" t="str">
        <f t="shared" si="14"/>
        <v/>
      </c>
      <c r="J206" s="187" t="e">
        <f t="shared" si="17"/>
        <v>#NUM!</v>
      </c>
      <c r="K206" s="187" t="e">
        <f t="shared" si="15"/>
        <v>#NUM!</v>
      </c>
      <c r="L206" s="187"/>
      <c r="M206" s="189">
        <f t="shared" si="16"/>
        <v>0</v>
      </c>
    </row>
    <row r="207" spans="1:13">
      <c r="A207" s="204"/>
      <c r="G207" s="175"/>
      <c r="H207" s="187">
        <v>202</v>
      </c>
      <c r="I207" s="188" t="str">
        <f t="shared" si="14"/>
        <v/>
      </c>
      <c r="J207" s="187" t="e">
        <f t="shared" si="17"/>
        <v>#NUM!</v>
      </c>
      <c r="K207" s="187" t="e">
        <f t="shared" si="15"/>
        <v>#NUM!</v>
      </c>
      <c r="L207" s="187"/>
      <c r="M207" s="189">
        <f t="shared" si="16"/>
        <v>0</v>
      </c>
    </row>
    <row r="208" spans="1:13">
      <c r="A208" s="204"/>
      <c r="G208" s="175"/>
      <c r="H208" s="187">
        <v>203</v>
      </c>
      <c r="I208" s="188" t="str">
        <f t="shared" si="14"/>
        <v/>
      </c>
      <c r="J208" s="187" t="e">
        <f t="shared" si="17"/>
        <v>#NUM!</v>
      </c>
      <c r="K208" s="187" t="e">
        <f t="shared" si="15"/>
        <v>#NUM!</v>
      </c>
      <c r="L208" s="187"/>
      <c r="M208" s="189">
        <f t="shared" si="16"/>
        <v>0</v>
      </c>
    </row>
    <row r="209" spans="1:13">
      <c r="A209" s="204"/>
      <c r="G209" s="175"/>
      <c r="H209" s="187">
        <v>204</v>
      </c>
      <c r="I209" s="188" t="str">
        <f t="shared" si="14"/>
        <v/>
      </c>
      <c r="J209" s="187" t="e">
        <f t="shared" si="17"/>
        <v>#NUM!</v>
      </c>
      <c r="K209" s="187" t="e">
        <f t="shared" si="15"/>
        <v>#NUM!</v>
      </c>
      <c r="L209" s="187"/>
      <c r="M209" s="189">
        <f t="shared" si="16"/>
        <v>0</v>
      </c>
    </row>
    <row r="210" spans="1:13">
      <c r="A210" s="204"/>
      <c r="G210" s="175"/>
      <c r="H210" s="187">
        <v>205</v>
      </c>
      <c r="I210" s="188" t="str">
        <f t="shared" si="14"/>
        <v/>
      </c>
      <c r="J210" s="187" t="e">
        <f t="shared" si="17"/>
        <v>#NUM!</v>
      </c>
      <c r="K210" s="187" t="e">
        <f t="shared" si="15"/>
        <v>#NUM!</v>
      </c>
      <c r="L210" s="187"/>
      <c r="M210" s="189">
        <f t="shared" si="16"/>
        <v>0</v>
      </c>
    </row>
    <row r="211" spans="1:13">
      <c r="A211" s="204"/>
      <c r="G211" s="175"/>
      <c r="H211" s="187">
        <v>206</v>
      </c>
      <c r="I211" s="188" t="str">
        <f t="shared" si="14"/>
        <v/>
      </c>
      <c r="J211" s="187" t="e">
        <f t="shared" si="17"/>
        <v>#NUM!</v>
      </c>
      <c r="K211" s="187" t="e">
        <f t="shared" si="15"/>
        <v>#NUM!</v>
      </c>
      <c r="L211" s="187"/>
      <c r="M211" s="189">
        <f t="shared" si="16"/>
        <v>0</v>
      </c>
    </row>
    <row r="212" spans="1:13">
      <c r="A212" s="204"/>
      <c r="G212" s="175"/>
      <c r="H212" s="187">
        <v>207</v>
      </c>
      <c r="I212" s="188" t="str">
        <f t="shared" si="14"/>
        <v/>
      </c>
      <c r="J212" s="187" t="e">
        <f t="shared" si="17"/>
        <v>#NUM!</v>
      </c>
      <c r="K212" s="187" t="e">
        <f t="shared" si="15"/>
        <v>#NUM!</v>
      </c>
      <c r="L212" s="187"/>
      <c r="M212" s="189">
        <f t="shared" si="16"/>
        <v>0</v>
      </c>
    </row>
    <row r="213" spans="1:13">
      <c r="A213" s="204"/>
      <c r="G213" s="175"/>
      <c r="H213" s="187">
        <v>208</v>
      </c>
      <c r="I213" s="188" t="str">
        <f t="shared" si="14"/>
        <v/>
      </c>
      <c r="J213" s="187" t="e">
        <f t="shared" si="17"/>
        <v>#NUM!</v>
      </c>
      <c r="K213" s="187" t="e">
        <f t="shared" si="15"/>
        <v>#NUM!</v>
      </c>
      <c r="L213" s="187"/>
      <c r="M213" s="189">
        <f t="shared" si="16"/>
        <v>0</v>
      </c>
    </row>
    <row r="214" spans="1:13">
      <c r="A214" s="204"/>
      <c r="G214" s="175"/>
      <c r="H214" s="187">
        <v>209</v>
      </c>
      <c r="I214" s="188" t="str">
        <f t="shared" si="14"/>
        <v/>
      </c>
      <c r="J214" s="187" t="e">
        <f t="shared" si="17"/>
        <v>#NUM!</v>
      </c>
      <c r="K214" s="187" t="e">
        <f t="shared" si="15"/>
        <v>#NUM!</v>
      </c>
      <c r="L214" s="187"/>
      <c r="M214" s="189">
        <f t="shared" si="16"/>
        <v>0</v>
      </c>
    </row>
    <row r="215" spans="1:13">
      <c r="A215" s="204"/>
      <c r="G215" s="175"/>
      <c r="H215" s="187">
        <v>210</v>
      </c>
      <c r="I215" s="188" t="str">
        <f t="shared" si="14"/>
        <v/>
      </c>
      <c r="J215" s="187" t="e">
        <f t="shared" si="17"/>
        <v>#NUM!</v>
      </c>
      <c r="K215" s="187" t="e">
        <f t="shared" si="15"/>
        <v>#NUM!</v>
      </c>
      <c r="L215" s="187"/>
      <c r="M215" s="189">
        <f t="shared" si="16"/>
        <v>0</v>
      </c>
    </row>
    <row r="216" spans="1:13">
      <c r="A216" s="204"/>
      <c r="G216" s="175"/>
      <c r="H216" s="187">
        <v>211</v>
      </c>
      <c r="I216" s="188" t="str">
        <f t="shared" si="14"/>
        <v/>
      </c>
      <c r="J216" s="187" t="e">
        <f t="shared" si="17"/>
        <v>#NUM!</v>
      </c>
      <c r="K216" s="187" t="e">
        <f t="shared" si="15"/>
        <v>#NUM!</v>
      </c>
      <c r="L216" s="187"/>
      <c r="M216" s="189">
        <f t="shared" si="16"/>
        <v>0</v>
      </c>
    </row>
    <row r="217" spans="1:13">
      <c r="A217" s="204"/>
      <c r="G217" s="175"/>
      <c r="H217" s="187">
        <v>212</v>
      </c>
      <c r="I217" s="188" t="str">
        <f t="shared" si="14"/>
        <v/>
      </c>
      <c r="J217" s="187" t="e">
        <f t="shared" si="17"/>
        <v>#NUM!</v>
      </c>
      <c r="K217" s="187" t="e">
        <f t="shared" si="15"/>
        <v>#NUM!</v>
      </c>
      <c r="L217" s="187"/>
      <c r="M217" s="189">
        <f t="shared" si="16"/>
        <v>0</v>
      </c>
    </row>
    <row r="218" spans="1:13">
      <c r="A218" s="204"/>
      <c r="G218" s="175"/>
      <c r="H218" s="187">
        <v>213</v>
      </c>
      <c r="I218" s="188" t="str">
        <f t="shared" si="14"/>
        <v/>
      </c>
      <c r="J218" s="187" t="e">
        <f t="shared" si="17"/>
        <v>#NUM!</v>
      </c>
      <c r="K218" s="187" t="e">
        <f t="shared" si="15"/>
        <v>#NUM!</v>
      </c>
      <c r="L218" s="187"/>
      <c r="M218" s="189">
        <f t="shared" si="16"/>
        <v>0</v>
      </c>
    </row>
    <row r="219" spans="1:13">
      <c r="A219" s="204"/>
      <c r="G219" s="175"/>
      <c r="H219" s="187">
        <v>214</v>
      </c>
      <c r="I219" s="188" t="str">
        <f t="shared" si="14"/>
        <v/>
      </c>
      <c r="J219" s="187" t="e">
        <f t="shared" si="17"/>
        <v>#NUM!</v>
      </c>
      <c r="K219" s="187" t="e">
        <f t="shared" si="15"/>
        <v>#NUM!</v>
      </c>
      <c r="L219" s="187"/>
      <c r="M219" s="189">
        <f t="shared" si="16"/>
        <v>0</v>
      </c>
    </row>
    <row r="220" spans="1:13">
      <c r="A220" s="204"/>
      <c r="G220" s="175"/>
      <c r="H220" s="187">
        <v>215</v>
      </c>
      <c r="I220" s="188" t="str">
        <f t="shared" si="14"/>
        <v/>
      </c>
      <c r="J220" s="187" t="e">
        <f t="shared" si="17"/>
        <v>#NUM!</v>
      </c>
      <c r="K220" s="187" t="e">
        <f t="shared" si="15"/>
        <v>#NUM!</v>
      </c>
      <c r="L220" s="187"/>
      <c r="M220" s="189">
        <f t="shared" si="16"/>
        <v>0</v>
      </c>
    </row>
    <row r="221" spans="1:13">
      <c r="A221" s="204"/>
      <c r="G221" s="175"/>
      <c r="H221" s="187">
        <v>216</v>
      </c>
      <c r="I221" s="188" t="str">
        <f t="shared" si="14"/>
        <v/>
      </c>
      <c r="J221" s="187" t="e">
        <f t="shared" si="17"/>
        <v>#NUM!</v>
      </c>
      <c r="K221" s="187" t="e">
        <f t="shared" si="15"/>
        <v>#NUM!</v>
      </c>
      <c r="L221" s="187"/>
      <c r="M221" s="189">
        <f t="shared" si="16"/>
        <v>0</v>
      </c>
    </row>
    <row r="222" spans="1:13">
      <c r="A222" s="204"/>
      <c r="G222" s="175"/>
      <c r="H222" s="187">
        <v>217</v>
      </c>
      <c r="I222" s="188" t="str">
        <f t="shared" si="14"/>
        <v/>
      </c>
      <c r="J222" s="187" t="e">
        <f t="shared" si="17"/>
        <v>#NUM!</v>
      </c>
      <c r="K222" s="187" t="e">
        <f t="shared" si="15"/>
        <v>#NUM!</v>
      </c>
      <c r="L222" s="187"/>
      <c r="M222" s="189">
        <f t="shared" si="16"/>
        <v>0</v>
      </c>
    </row>
    <row r="223" spans="1:13">
      <c r="A223" s="204"/>
      <c r="G223" s="175"/>
      <c r="H223" s="187">
        <v>218</v>
      </c>
      <c r="I223" s="188" t="str">
        <f t="shared" si="14"/>
        <v/>
      </c>
      <c r="J223" s="187" t="e">
        <f t="shared" si="17"/>
        <v>#NUM!</v>
      </c>
      <c r="K223" s="187" t="e">
        <f t="shared" si="15"/>
        <v>#NUM!</v>
      </c>
      <c r="L223" s="187"/>
      <c r="M223" s="189">
        <f t="shared" si="16"/>
        <v>0</v>
      </c>
    </row>
    <row r="224" spans="1:13">
      <c r="A224" s="204"/>
      <c r="G224" s="175"/>
      <c r="H224" s="187">
        <v>219</v>
      </c>
      <c r="I224" s="188" t="str">
        <f t="shared" si="14"/>
        <v/>
      </c>
      <c r="J224" s="187" t="e">
        <f t="shared" si="17"/>
        <v>#NUM!</v>
      </c>
      <c r="K224" s="187" t="e">
        <f t="shared" si="15"/>
        <v>#NUM!</v>
      </c>
      <c r="L224" s="187"/>
      <c r="M224" s="189">
        <f t="shared" si="16"/>
        <v>0</v>
      </c>
    </row>
    <row r="225" spans="1:13">
      <c r="A225" s="204"/>
      <c r="G225" s="175"/>
      <c r="H225" s="187">
        <v>220</v>
      </c>
      <c r="I225" s="188" t="str">
        <f t="shared" si="14"/>
        <v/>
      </c>
      <c r="J225" s="187" t="e">
        <f t="shared" si="17"/>
        <v>#NUM!</v>
      </c>
      <c r="K225" s="187" t="e">
        <f t="shared" si="15"/>
        <v>#NUM!</v>
      </c>
      <c r="L225" s="187"/>
      <c r="M225" s="189">
        <f t="shared" si="16"/>
        <v>0</v>
      </c>
    </row>
    <row r="226" spans="1:13">
      <c r="A226" s="204"/>
      <c r="G226" s="175"/>
      <c r="H226" s="187">
        <v>221</v>
      </c>
      <c r="I226" s="188" t="str">
        <f t="shared" si="14"/>
        <v/>
      </c>
      <c r="J226" s="187" t="e">
        <f t="shared" si="17"/>
        <v>#NUM!</v>
      </c>
      <c r="K226" s="187" t="e">
        <f t="shared" si="15"/>
        <v>#NUM!</v>
      </c>
      <c r="L226" s="187"/>
      <c r="M226" s="189">
        <f t="shared" si="16"/>
        <v>0</v>
      </c>
    </row>
    <row r="227" spans="1:13">
      <c r="A227" s="204"/>
      <c r="G227" s="175"/>
      <c r="H227" s="187">
        <v>222</v>
      </c>
      <c r="I227" s="188" t="str">
        <f t="shared" si="14"/>
        <v/>
      </c>
      <c r="J227" s="187" t="e">
        <f t="shared" si="17"/>
        <v>#NUM!</v>
      </c>
      <c r="K227" s="187" t="e">
        <f t="shared" si="15"/>
        <v>#NUM!</v>
      </c>
      <c r="L227" s="187"/>
      <c r="M227" s="189">
        <f t="shared" si="16"/>
        <v>0</v>
      </c>
    </row>
    <row r="228" spans="1:13">
      <c r="A228" s="204"/>
      <c r="G228" s="175"/>
      <c r="H228" s="187">
        <v>223</v>
      </c>
      <c r="I228" s="188" t="str">
        <f t="shared" si="14"/>
        <v/>
      </c>
      <c r="J228" s="187" t="e">
        <f t="shared" si="17"/>
        <v>#NUM!</v>
      </c>
      <c r="K228" s="187" t="e">
        <f t="shared" si="15"/>
        <v>#NUM!</v>
      </c>
      <c r="L228" s="187"/>
      <c r="M228" s="189">
        <f t="shared" si="16"/>
        <v>0</v>
      </c>
    </row>
    <row r="229" spans="1:13">
      <c r="A229" s="204"/>
      <c r="G229" s="175"/>
      <c r="H229" s="187">
        <v>224</v>
      </c>
      <c r="I229" s="188" t="str">
        <f t="shared" si="14"/>
        <v/>
      </c>
      <c r="J229" s="187" t="e">
        <f t="shared" si="17"/>
        <v>#NUM!</v>
      </c>
      <c r="K229" s="187" t="e">
        <f t="shared" si="15"/>
        <v>#NUM!</v>
      </c>
      <c r="L229" s="187"/>
      <c r="M229" s="189">
        <f t="shared" si="16"/>
        <v>0</v>
      </c>
    </row>
    <row r="230" spans="1:13">
      <c r="A230" s="204"/>
      <c r="G230" s="175"/>
      <c r="H230" s="187">
        <v>225</v>
      </c>
      <c r="I230" s="188" t="str">
        <f t="shared" si="14"/>
        <v/>
      </c>
      <c r="J230" s="187" t="e">
        <f t="shared" si="17"/>
        <v>#NUM!</v>
      </c>
      <c r="K230" s="187" t="e">
        <f t="shared" si="15"/>
        <v>#NUM!</v>
      </c>
      <c r="L230" s="187"/>
      <c r="M230" s="189">
        <f t="shared" si="16"/>
        <v>0</v>
      </c>
    </row>
    <row r="231" spans="1:13">
      <c r="A231" s="204"/>
      <c r="G231" s="175"/>
      <c r="H231" s="187">
        <v>226</v>
      </c>
      <c r="I231" s="188" t="str">
        <f t="shared" si="14"/>
        <v/>
      </c>
      <c r="J231" s="187" t="e">
        <f t="shared" si="17"/>
        <v>#NUM!</v>
      </c>
      <c r="K231" s="187" t="e">
        <f t="shared" si="15"/>
        <v>#NUM!</v>
      </c>
      <c r="L231" s="187"/>
      <c r="M231" s="189">
        <f t="shared" si="16"/>
        <v>0</v>
      </c>
    </row>
    <row r="232" spans="1:13">
      <c r="A232" s="204"/>
      <c r="G232" s="175"/>
      <c r="H232" s="187">
        <v>227</v>
      </c>
      <c r="I232" s="188" t="str">
        <f t="shared" si="14"/>
        <v/>
      </c>
      <c r="J232" s="187" t="e">
        <f t="shared" si="17"/>
        <v>#NUM!</v>
      </c>
      <c r="K232" s="187" t="e">
        <f t="shared" si="15"/>
        <v>#NUM!</v>
      </c>
      <c r="L232" s="187"/>
      <c r="M232" s="189">
        <f t="shared" si="16"/>
        <v>0</v>
      </c>
    </row>
    <row r="233" spans="1:13">
      <c r="A233" s="204"/>
      <c r="G233" s="175"/>
      <c r="H233" s="187">
        <v>228</v>
      </c>
      <c r="I233" s="188" t="str">
        <f t="shared" si="14"/>
        <v/>
      </c>
      <c r="J233" s="187" t="e">
        <f t="shared" si="17"/>
        <v>#NUM!</v>
      </c>
      <c r="K233" s="187" t="e">
        <f t="shared" si="15"/>
        <v>#NUM!</v>
      </c>
      <c r="L233" s="187"/>
      <c r="M233" s="189">
        <f t="shared" si="16"/>
        <v>0</v>
      </c>
    </row>
    <row r="234" spans="1:13">
      <c r="A234" s="204"/>
      <c r="G234" s="175"/>
      <c r="H234" s="187">
        <v>229</v>
      </c>
      <c r="I234" s="188" t="str">
        <f t="shared" si="14"/>
        <v/>
      </c>
      <c r="J234" s="187" t="e">
        <f t="shared" si="17"/>
        <v>#NUM!</v>
      </c>
      <c r="K234" s="187" t="e">
        <f t="shared" si="15"/>
        <v>#NUM!</v>
      </c>
      <c r="L234" s="187"/>
      <c r="M234" s="189">
        <f t="shared" si="16"/>
        <v>0</v>
      </c>
    </row>
    <row r="235" spans="1:13">
      <c r="A235" s="204"/>
      <c r="G235" s="175"/>
      <c r="H235" s="187">
        <v>230</v>
      </c>
      <c r="I235" s="188" t="str">
        <f t="shared" si="14"/>
        <v/>
      </c>
      <c r="J235" s="187" t="e">
        <f t="shared" si="17"/>
        <v>#NUM!</v>
      </c>
      <c r="K235" s="187" t="e">
        <f t="shared" si="15"/>
        <v>#NUM!</v>
      </c>
      <c r="L235" s="187"/>
      <c r="M235" s="189">
        <f t="shared" si="16"/>
        <v>0</v>
      </c>
    </row>
    <row r="236" spans="1:13">
      <c r="A236" s="204"/>
      <c r="G236" s="175"/>
      <c r="H236" s="187">
        <v>231</v>
      </c>
      <c r="I236" s="188" t="str">
        <f t="shared" si="14"/>
        <v/>
      </c>
      <c r="J236" s="187" t="e">
        <f t="shared" si="17"/>
        <v>#NUM!</v>
      </c>
      <c r="K236" s="187" t="e">
        <f t="shared" si="15"/>
        <v>#NUM!</v>
      </c>
      <c r="L236" s="187"/>
      <c r="M236" s="189">
        <f t="shared" si="16"/>
        <v>0</v>
      </c>
    </row>
    <row r="237" spans="1:13">
      <c r="A237" s="204"/>
      <c r="G237" s="175"/>
      <c r="H237" s="187">
        <v>232</v>
      </c>
      <c r="I237" s="188" t="str">
        <f t="shared" si="14"/>
        <v/>
      </c>
      <c r="J237" s="187" t="e">
        <f t="shared" si="17"/>
        <v>#NUM!</v>
      </c>
      <c r="K237" s="187" t="e">
        <f t="shared" si="15"/>
        <v>#NUM!</v>
      </c>
      <c r="L237" s="187"/>
      <c r="M237" s="189">
        <f t="shared" si="16"/>
        <v>0</v>
      </c>
    </row>
    <row r="238" spans="1:13">
      <c r="A238" s="204"/>
      <c r="G238" s="175"/>
      <c r="H238" s="187">
        <v>233</v>
      </c>
      <c r="I238" s="188" t="str">
        <f t="shared" si="14"/>
        <v/>
      </c>
      <c r="J238" s="187" t="e">
        <f t="shared" si="17"/>
        <v>#NUM!</v>
      </c>
      <c r="K238" s="187" t="e">
        <f t="shared" si="15"/>
        <v>#NUM!</v>
      </c>
      <c r="L238" s="187"/>
      <c r="M238" s="189">
        <f t="shared" si="16"/>
        <v>0</v>
      </c>
    </row>
    <row r="239" spans="1:13">
      <c r="A239" s="204"/>
      <c r="G239" s="175"/>
      <c r="H239" s="187">
        <v>234</v>
      </c>
      <c r="I239" s="188" t="str">
        <f t="shared" si="14"/>
        <v/>
      </c>
      <c r="J239" s="187" t="e">
        <f t="shared" si="17"/>
        <v>#NUM!</v>
      </c>
      <c r="K239" s="187" t="e">
        <f t="shared" si="15"/>
        <v>#NUM!</v>
      </c>
      <c r="L239" s="187"/>
      <c r="M239" s="189">
        <f t="shared" si="16"/>
        <v>0</v>
      </c>
    </row>
    <row r="240" spans="1:13">
      <c r="A240" s="204"/>
      <c r="G240" s="175"/>
      <c r="H240" s="187">
        <v>235</v>
      </c>
      <c r="I240" s="188" t="str">
        <f t="shared" si="14"/>
        <v/>
      </c>
      <c r="J240" s="187" t="e">
        <f t="shared" si="17"/>
        <v>#NUM!</v>
      </c>
      <c r="K240" s="187" t="e">
        <f t="shared" si="15"/>
        <v>#NUM!</v>
      </c>
      <c r="L240" s="187"/>
      <c r="M240" s="189">
        <f t="shared" si="16"/>
        <v>0</v>
      </c>
    </row>
    <row r="241" spans="1:13">
      <c r="A241" s="204"/>
      <c r="G241" s="175"/>
      <c r="H241" s="187">
        <v>236</v>
      </c>
      <c r="I241" s="188" t="str">
        <f t="shared" si="14"/>
        <v/>
      </c>
      <c r="J241" s="187" t="e">
        <f t="shared" si="17"/>
        <v>#NUM!</v>
      </c>
      <c r="K241" s="187" t="e">
        <f t="shared" si="15"/>
        <v>#NUM!</v>
      </c>
      <c r="L241" s="187"/>
      <c r="M241" s="189">
        <f t="shared" si="16"/>
        <v>0</v>
      </c>
    </row>
    <row r="242" spans="1:13">
      <c r="A242" s="204"/>
      <c r="G242" s="175"/>
      <c r="H242" s="187">
        <v>237</v>
      </c>
      <c r="I242" s="188" t="str">
        <f t="shared" si="14"/>
        <v/>
      </c>
      <c r="J242" s="187" t="e">
        <f t="shared" si="17"/>
        <v>#NUM!</v>
      </c>
      <c r="K242" s="187" t="e">
        <f t="shared" si="15"/>
        <v>#NUM!</v>
      </c>
      <c r="L242" s="187"/>
      <c r="M242" s="189">
        <f t="shared" si="16"/>
        <v>0</v>
      </c>
    </row>
    <row r="243" spans="1:13">
      <c r="A243" s="204"/>
      <c r="G243" s="175"/>
      <c r="H243" s="187">
        <v>238</v>
      </c>
      <c r="I243" s="188" t="str">
        <f t="shared" si="14"/>
        <v/>
      </c>
      <c r="J243" s="187" t="e">
        <f t="shared" si="17"/>
        <v>#NUM!</v>
      </c>
      <c r="K243" s="187" t="e">
        <f t="shared" si="15"/>
        <v>#NUM!</v>
      </c>
      <c r="L243" s="187"/>
      <c r="M243" s="189">
        <f t="shared" si="16"/>
        <v>0</v>
      </c>
    </row>
    <row r="244" spans="1:13">
      <c r="A244" s="204"/>
      <c r="G244" s="175"/>
      <c r="H244" s="187">
        <v>239</v>
      </c>
      <c r="I244" s="188" t="str">
        <f t="shared" si="14"/>
        <v/>
      </c>
      <c r="J244" s="187" t="e">
        <f t="shared" si="17"/>
        <v>#NUM!</v>
      </c>
      <c r="K244" s="187" t="e">
        <f t="shared" si="15"/>
        <v>#NUM!</v>
      </c>
      <c r="L244" s="187"/>
      <c r="M244" s="189">
        <f t="shared" si="16"/>
        <v>0</v>
      </c>
    </row>
    <row r="245" spans="1:13">
      <c r="A245" s="204"/>
      <c r="G245" s="175"/>
      <c r="H245" s="187">
        <v>240</v>
      </c>
      <c r="I245" s="188" t="str">
        <f t="shared" si="14"/>
        <v/>
      </c>
      <c r="J245" s="187" t="e">
        <f t="shared" si="17"/>
        <v>#NUM!</v>
      </c>
      <c r="K245" s="187" t="e">
        <f t="shared" si="15"/>
        <v>#NUM!</v>
      </c>
      <c r="L245" s="187"/>
      <c r="M245" s="189">
        <f t="shared" si="16"/>
        <v>0</v>
      </c>
    </row>
    <row r="246" spans="1:13">
      <c r="A246" s="204"/>
      <c r="G246" s="175"/>
      <c r="H246" s="187">
        <v>241</v>
      </c>
      <c r="I246" s="188" t="str">
        <f t="shared" si="14"/>
        <v/>
      </c>
      <c r="J246" s="187" t="e">
        <f t="shared" si="17"/>
        <v>#NUM!</v>
      </c>
      <c r="K246" s="187" t="e">
        <f t="shared" si="15"/>
        <v>#NUM!</v>
      </c>
      <c r="L246" s="187"/>
      <c r="M246" s="189">
        <f t="shared" si="16"/>
        <v>0</v>
      </c>
    </row>
    <row r="247" spans="1:13">
      <c r="A247" s="204"/>
      <c r="G247" s="175"/>
      <c r="H247" s="187">
        <v>242</v>
      </c>
      <c r="I247" s="188" t="str">
        <f t="shared" si="14"/>
        <v/>
      </c>
      <c r="J247" s="187" t="e">
        <f t="shared" si="17"/>
        <v>#NUM!</v>
      </c>
      <c r="K247" s="187" t="e">
        <f t="shared" si="15"/>
        <v>#NUM!</v>
      </c>
      <c r="L247" s="187"/>
      <c r="M247" s="189">
        <f t="shared" si="16"/>
        <v>0</v>
      </c>
    </row>
    <row r="248" spans="1:13">
      <c r="A248" s="204"/>
      <c r="G248" s="175"/>
      <c r="H248" s="187">
        <v>243</v>
      </c>
      <c r="I248" s="188" t="str">
        <f t="shared" si="14"/>
        <v/>
      </c>
      <c r="J248" s="187" t="e">
        <f t="shared" si="17"/>
        <v>#NUM!</v>
      </c>
      <c r="K248" s="187" t="e">
        <f t="shared" si="15"/>
        <v>#NUM!</v>
      </c>
      <c r="L248" s="187"/>
      <c r="M248" s="189">
        <f t="shared" si="16"/>
        <v>0</v>
      </c>
    </row>
    <row r="249" spans="1:13">
      <c r="A249" s="204"/>
      <c r="G249" s="175"/>
      <c r="H249" s="187">
        <v>244</v>
      </c>
      <c r="I249" s="188" t="str">
        <f t="shared" si="14"/>
        <v/>
      </c>
      <c r="J249" s="187" t="e">
        <f t="shared" si="17"/>
        <v>#NUM!</v>
      </c>
      <c r="K249" s="187" t="e">
        <f t="shared" si="15"/>
        <v>#NUM!</v>
      </c>
      <c r="L249" s="187"/>
      <c r="M249" s="189">
        <f t="shared" si="16"/>
        <v>0</v>
      </c>
    </row>
    <row r="250" spans="1:13">
      <c r="A250" s="204"/>
      <c r="G250" s="175"/>
      <c r="H250" s="187">
        <v>245</v>
      </c>
      <c r="I250" s="188" t="str">
        <f t="shared" si="14"/>
        <v/>
      </c>
      <c r="J250" s="187" t="e">
        <f t="shared" si="17"/>
        <v>#NUM!</v>
      </c>
      <c r="K250" s="187" t="e">
        <f t="shared" si="15"/>
        <v>#NUM!</v>
      </c>
      <c r="L250" s="187"/>
      <c r="M250" s="189">
        <f t="shared" si="16"/>
        <v>0</v>
      </c>
    </row>
    <row r="251" spans="1:13">
      <c r="A251" s="204"/>
      <c r="G251" s="175"/>
      <c r="H251" s="187">
        <v>246</v>
      </c>
      <c r="I251" s="188" t="str">
        <f t="shared" si="14"/>
        <v/>
      </c>
      <c r="J251" s="187" t="e">
        <f t="shared" si="17"/>
        <v>#NUM!</v>
      </c>
      <c r="K251" s="187" t="e">
        <f t="shared" si="15"/>
        <v>#NUM!</v>
      </c>
      <c r="L251" s="187"/>
      <c r="M251" s="189">
        <f t="shared" si="16"/>
        <v>0</v>
      </c>
    </row>
    <row r="252" spans="1:13">
      <c r="A252" s="204"/>
      <c r="G252" s="175"/>
      <c r="H252" s="187">
        <v>247</v>
      </c>
      <c r="I252" s="188" t="str">
        <f t="shared" si="14"/>
        <v/>
      </c>
      <c r="J252" s="187" t="e">
        <f t="shared" si="17"/>
        <v>#NUM!</v>
      </c>
      <c r="K252" s="187" t="e">
        <f t="shared" si="15"/>
        <v>#NUM!</v>
      </c>
      <c r="L252" s="187"/>
      <c r="M252" s="189">
        <f t="shared" si="16"/>
        <v>0</v>
      </c>
    </row>
    <row r="253" spans="1:13">
      <c r="A253" s="204"/>
      <c r="G253" s="175"/>
      <c r="H253" s="187">
        <v>248</v>
      </c>
      <c r="I253" s="188" t="str">
        <f t="shared" si="14"/>
        <v/>
      </c>
      <c r="J253" s="187" t="e">
        <f t="shared" si="17"/>
        <v>#NUM!</v>
      </c>
      <c r="K253" s="187" t="e">
        <f t="shared" si="15"/>
        <v>#NUM!</v>
      </c>
      <c r="L253" s="187"/>
      <c r="M253" s="189">
        <f t="shared" si="16"/>
        <v>0</v>
      </c>
    </row>
    <row r="254" spans="1:13">
      <c r="A254" s="204"/>
      <c r="G254" s="175"/>
      <c r="H254" s="187">
        <v>249</v>
      </c>
      <c r="I254" s="188" t="str">
        <f t="shared" si="14"/>
        <v/>
      </c>
      <c r="J254" s="187" t="e">
        <f t="shared" si="17"/>
        <v>#NUM!</v>
      </c>
      <c r="K254" s="187" t="e">
        <f t="shared" si="15"/>
        <v>#NUM!</v>
      </c>
      <c r="L254" s="187"/>
      <c r="M254" s="189">
        <f t="shared" si="16"/>
        <v>0</v>
      </c>
    </row>
    <row r="255" spans="1:13">
      <c r="A255" s="204"/>
      <c r="G255" s="175"/>
      <c r="H255" s="187">
        <v>250</v>
      </c>
      <c r="I255" s="188" t="str">
        <f t="shared" si="14"/>
        <v/>
      </c>
      <c r="J255" s="187" t="e">
        <f t="shared" si="17"/>
        <v>#NUM!</v>
      </c>
      <c r="K255" s="187" t="e">
        <f t="shared" si="15"/>
        <v>#NUM!</v>
      </c>
      <c r="L255" s="187"/>
      <c r="M255" s="189">
        <f t="shared" si="16"/>
        <v>0</v>
      </c>
    </row>
    <row r="256" spans="1:13">
      <c r="A256" s="204"/>
      <c r="G256" s="175"/>
      <c r="H256" s="187">
        <v>251</v>
      </c>
      <c r="I256" s="188" t="str">
        <f t="shared" si="14"/>
        <v/>
      </c>
      <c r="J256" s="187" t="e">
        <f t="shared" si="17"/>
        <v>#NUM!</v>
      </c>
      <c r="K256" s="187" t="e">
        <f t="shared" si="15"/>
        <v>#NUM!</v>
      </c>
      <c r="L256" s="187"/>
      <c r="M256" s="189">
        <f t="shared" si="16"/>
        <v>0</v>
      </c>
    </row>
    <row r="257" spans="1:13">
      <c r="A257" s="204"/>
      <c r="G257" s="175"/>
      <c r="H257" s="187">
        <v>252</v>
      </c>
      <c r="I257" s="188" t="str">
        <f t="shared" si="14"/>
        <v/>
      </c>
      <c r="J257" s="187" t="e">
        <f t="shared" si="17"/>
        <v>#NUM!</v>
      </c>
      <c r="K257" s="187" t="e">
        <f t="shared" si="15"/>
        <v>#NUM!</v>
      </c>
      <c r="L257" s="187"/>
      <c r="M257" s="189">
        <f t="shared" si="16"/>
        <v>0</v>
      </c>
    </row>
    <row r="258" spans="1:13">
      <c r="A258" s="204"/>
      <c r="G258" s="175"/>
      <c r="H258" s="187">
        <v>253</v>
      </c>
      <c r="I258" s="188" t="str">
        <f t="shared" si="14"/>
        <v/>
      </c>
      <c r="J258" s="187" t="e">
        <f t="shared" si="17"/>
        <v>#NUM!</v>
      </c>
      <c r="K258" s="187" t="e">
        <f t="shared" si="15"/>
        <v>#NUM!</v>
      </c>
      <c r="L258" s="187"/>
      <c r="M258" s="189">
        <f t="shared" si="16"/>
        <v>0</v>
      </c>
    </row>
    <row r="259" spans="1:13">
      <c r="A259" s="204"/>
      <c r="G259" s="175"/>
      <c r="H259" s="187">
        <v>254</v>
      </c>
      <c r="I259" s="188" t="str">
        <f t="shared" si="14"/>
        <v/>
      </c>
      <c r="J259" s="187" t="e">
        <f t="shared" si="17"/>
        <v>#NUM!</v>
      </c>
      <c r="K259" s="187" t="e">
        <f t="shared" si="15"/>
        <v>#NUM!</v>
      </c>
      <c r="L259" s="187"/>
      <c r="M259" s="189">
        <f t="shared" si="16"/>
        <v>0</v>
      </c>
    </row>
    <row r="260" spans="1:13">
      <c r="A260" s="204"/>
      <c r="G260" s="175"/>
      <c r="H260" s="187">
        <v>255</v>
      </c>
      <c r="I260" s="188" t="str">
        <f t="shared" si="14"/>
        <v/>
      </c>
      <c r="J260" s="187" t="e">
        <f t="shared" si="17"/>
        <v>#NUM!</v>
      </c>
      <c r="K260" s="187" t="e">
        <f t="shared" si="15"/>
        <v>#NUM!</v>
      </c>
      <c r="L260" s="187"/>
      <c r="M260" s="189">
        <f t="shared" si="16"/>
        <v>0</v>
      </c>
    </row>
    <row r="261" spans="1:13">
      <c r="A261" s="204"/>
      <c r="G261" s="175"/>
      <c r="H261" s="187">
        <v>256</v>
      </c>
      <c r="I261" s="188" t="str">
        <f t="shared" si="14"/>
        <v/>
      </c>
      <c r="J261" s="187" t="e">
        <f t="shared" si="17"/>
        <v>#NUM!</v>
      </c>
      <c r="K261" s="187" t="e">
        <f t="shared" si="15"/>
        <v>#NUM!</v>
      </c>
      <c r="L261" s="187"/>
      <c r="M261" s="189">
        <f t="shared" si="16"/>
        <v>0</v>
      </c>
    </row>
    <row r="262" spans="1:13">
      <c r="A262" s="204"/>
      <c r="G262" s="175"/>
      <c r="H262" s="187">
        <v>257</v>
      </c>
      <c r="I262" s="188" t="str">
        <f t="shared" ref="I262:I305" si="18">IF(H262&lt;$H$2+1,($I$2-($I$2-1)*(LOG(H262)/LOG($H$2))),"")</f>
        <v/>
      </c>
      <c r="J262" s="187" t="e">
        <f t="shared" si="17"/>
        <v>#NUM!</v>
      </c>
      <c r="K262" s="187" t="e">
        <f t="shared" ref="K262:K305" si="19">J262*$J$2</f>
        <v>#NUM!</v>
      </c>
      <c r="L262" s="187"/>
      <c r="M262" s="189">
        <f t="shared" ref="M262:M305" si="20">IF(I262&lt;&gt;"",K262+I262+L262,0)</f>
        <v>0</v>
      </c>
    </row>
    <row r="263" spans="1:13">
      <c r="A263" s="204"/>
      <c r="G263" s="175"/>
      <c r="H263" s="187">
        <v>258</v>
      </c>
      <c r="I263" s="188" t="str">
        <f t="shared" si="18"/>
        <v/>
      </c>
      <c r="J263" s="187" t="e">
        <f t="shared" ref="J263:J326" si="21">INT(LOG($H$2,2))-ROUNDUP(LOG(H263,2),0)+IF(OR($H$2=1,$H$2=2,$H$2=4,$H$2=8,$H$2=16,$H$2=32,$H$2=64,$H$2=128,$H$2=256),0,1)</f>
        <v>#NUM!</v>
      </c>
      <c r="K263" s="187" t="e">
        <f t="shared" si="19"/>
        <v>#NUM!</v>
      </c>
      <c r="L263" s="187"/>
      <c r="M263" s="189">
        <f t="shared" si="20"/>
        <v>0</v>
      </c>
    </row>
    <row r="264" spans="1:13">
      <c r="A264" s="204"/>
      <c r="G264" s="175"/>
      <c r="H264" s="187">
        <v>259</v>
      </c>
      <c r="I264" s="188" t="str">
        <f t="shared" si="18"/>
        <v/>
      </c>
      <c r="J264" s="187" t="e">
        <f t="shared" si="21"/>
        <v>#NUM!</v>
      </c>
      <c r="K264" s="187" t="e">
        <f t="shared" si="19"/>
        <v>#NUM!</v>
      </c>
      <c r="L264" s="187"/>
      <c r="M264" s="189">
        <f t="shared" si="20"/>
        <v>0</v>
      </c>
    </row>
    <row r="265" spans="1:13">
      <c r="A265" s="204"/>
      <c r="G265" s="175"/>
      <c r="H265" s="187">
        <v>260</v>
      </c>
      <c r="I265" s="188" t="str">
        <f t="shared" si="18"/>
        <v/>
      </c>
      <c r="J265" s="187" t="e">
        <f t="shared" si="21"/>
        <v>#NUM!</v>
      </c>
      <c r="K265" s="187" t="e">
        <f t="shared" si="19"/>
        <v>#NUM!</v>
      </c>
      <c r="L265" s="187"/>
      <c r="M265" s="189">
        <f t="shared" si="20"/>
        <v>0</v>
      </c>
    </row>
    <row r="266" spans="1:13">
      <c r="A266" s="204"/>
      <c r="G266" s="175"/>
      <c r="H266" s="187">
        <v>261</v>
      </c>
      <c r="I266" s="188" t="str">
        <f t="shared" si="18"/>
        <v/>
      </c>
      <c r="J266" s="187" t="e">
        <f t="shared" si="21"/>
        <v>#NUM!</v>
      </c>
      <c r="K266" s="187" t="e">
        <f t="shared" si="19"/>
        <v>#NUM!</v>
      </c>
      <c r="L266" s="187"/>
      <c r="M266" s="189">
        <f t="shared" si="20"/>
        <v>0</v>
      </c>
    </row>
    <row r="267" spans="1:13">
      <c r="A267" s="204"/>
      <c r="G267" s="175"/>
      <c r="H267" s="187">
        <v>262</v>
      </c>
      <c r="I267" s="188" t="str">
        <f t="shared" si="18"/>
        <v/>
      </c>
      <c r="J267" s="187" t="e">
        <f t="shared" si="21"/>
        <v>#NUM!</v>
      </c>
      <c r="K267" s="187" t="e">
        <f t="shared" si="19"/>
        <v>#NUM!</v>
      </c>
      <c r="L267" s="187"/>
      <c r="M267" s="189">
        <f t="shared" si="20"/>
        <v>0</v>
      </c>
    </row>
    <row r="268" spans="1:13">
      <c r="A268" s="204"/>
      <c r="G268" s="175"/>
      <c r="H268" s="187">
        <v>263</v>
      </c>
      <c r="I268" s="188" t="str">
        <f t="shared" si="18"/>
        <v/>
      </c>
      <c r="J268" s="187" t="e">
        <f t="shared" si="21"/>
        <v>#NUM!</v>
      </c>
      <c r="K268" s="187" t="e">
        <f t="shared" si="19"/>
        <v>#NUM!</v>
      </c>
      <c r="L268" s="187"/>
      <c r="M268" s="189">
        <f t="shared" si="20"/>
        <v>0</v>
      </c>
    </row>
    <row r="269" spans="1:13">
      <c r="A269" s="204"/>
      <c r="G269" s="175"/>
      <c r="H269" s="187">
        <v>264</v>
      </c>
      <c r="I269" s="188" t="str">
        <f t="shared" si="18"/>
        <v/>
      </c>
      <c r="J269" s="187" t="e">
        <f t="shared" si="21"/>
        <v>#NUM!</v>
      </c>
      <c r="K269" s="187" t="e">
        <f t="shared" si="19"/>
        <v>#NUM!</v>
      </c>
      <c r="L269" s="187"/>
      <c r="M269" s="189">
        <f t="shared" si="20"/>
        <v>0</v>
      </c>
    </row>
    <row r="270" spans="1:13">
      <c r="A270" s="204"/>
      <c r="G270" s="175"/>
      <c r="H270" s="187">
        <v>265</v>
      </c>
      <c r="I270" s="188" t="str">
        <f t="shared" si="18"/>
        <v/>
      </c>
      <c r="J270" s="187" t="e">
        <f t="shared" si="21"/>
        <v>#NUM!</v>
      </c>
      <c r="K270" s="187" t="e">
        <f t="shared" si="19"/>
        <v>#NUM!</v>
      </c>
      <c r="L270" s="187"/>
      <c r="M270" s="189">
        <f t="shared" si="20"/>
        <v>0</v>
      </c>
    </row>
    <row r="271" spans="1:13">
      <c r="A271" s="204"/>
      <c r="G271" s="175"/>
      <c r="H271" s="187">
        <v>266</v>
      </c>
      <c r="I271" s="188" t="str">
        <f t="shared" si="18"/>
        <v/>
      </c>
      <c r="J271" s="187" t="e">
        <f t="shared" si="21"/>
        <v>#NUM!</v>
      </c>
      <c r="K271" s="187" t="e">
        <f t="shared" si="19"/>
        <v>#NUM!</v>
      </c>
      <c r="L271" s="187"/>
      <c r="M271" s="189">
        <f t="shared" si="20"/>
        <v>0</v>
      </c>
    </row>
    <row r="272" spans="1:13">
      <c r="A272" s="204"/>
      <c r="G272" s="175"/>
      <c r="H272" s="187">
        <v>267</v>
      </c>
      <c r="I272" s="188" t="str">
        <f t="shared" si="18"/>
        <v/>
      </c>
      <c r="J272" s="187" t="e">
        <f t="shared" si="21"/>
        <v>#NUM!</v>
      </c>
      <c r="K272" s="187" t="e">
        <f t="shared" si="19"/>
        <v>#NUM!</v>
      </c>
      <c r="L272" s="187"/>
      <c r="M272" s="189">
        <f t="shared" si="20"/>
        <v>0</v>
      </c>
    </row>
    <row r="273" spans="1:13">
      <c r="A273" s="204"/>
      <c r="G273" s="175"/>
      <c r="H273" s="187">
        <v>268</v>
      </c>
      <c r="I273" s="188" t="str">
        <f t="shared" si="18"/>
        <v/>
      </c>
      <c r="J273" s="187" t="e">
        <f t="shared" si="21"/>
        <v>#NUM!</v>
      </c>
      <c r="K273" s="187" t="e">
        <f t="shared" si="19"/>
        <v>#NUM!</v>
      </c>
      <c r="L273" s="187"/>
      <c r="M273" s="189">
        <f t="shared" si="20"/>
        <v>0</v>
      </c>
    </row>
    <row r="274" spans="1:13">
      <c r="A274" s="204"/>
      <c r="G274" s="175"/>
      <c r="H274" s="187">
        <v>269</v>
      </c>
      <c r="I274" s="188" t="str">
        <f t="shared" si="18"/>
        <v/>
      </c>
      <c r="J274" s="187" t="e">
        <f t="shared" si="21"/>
        <v>#NUM!</v>
      </c>
      <c r="K274" s="187" t="e">
        <f t="shared" si="19"/>
        <v>#NUM!</v>
      </c>
      <c r="L274" s="187"/>
      <c r="M274" s="189">
        <f t="shared" si="20"/>
        <v>0</v>
      </c>
    </row>
    <row r="275" spans="1:13">
      <c r="A275" s="204"/>
      <c r="G275" s="175"/>
      <c r="H275" s="187">
        <v>270</v>
      </c>
      <c r="I275" s="188" t="str">
        <f t="shared" si="18"/>
        <v/>
      </c>
      <c r="J275" s="187" t="e">
        <f t="shared" si="21"/>
        <v>#NUM!</v>
      </c>
      <c r="K275" s="187" t="e">
        <f t="shared" si="19"/>
        <v>#NUM!</v>
      </c>
      <c r="L275" s="187"/>
      <c r="M275" s="189">
        <f t="shared" si="20"/>
        <v>0</v>
      </c>
    </row>
    <row r="276" spans="1:13">
      <c r="A276" s="204"/>
      <c r="G276" s="175"/>
      <c r="H276" s="187">
        <v>271</v>
      </c>
      <c r="I276" s="188" t="str">
        <f t="shared" si="18"/>
        <v/>
      </c>
      <c r="J276" s="187" t="e">
        <f t="shared" si="21"/>
        <v>#NUM!</v>
      </c>
      <c r="K276" s="187" t="e">
        <f t="shared" si="19"/>
        <v>#NUM!</v>
      </c>
      <c r="L276" s="187"/>
      <c r="M276" s="189">
        <f t="shared" si="20"/>
        <v>0</v>
      </c>
    </row>
    <row r="277" spans="1:13">
      <c r="A277" s="204"/>
      <c r="G277" s="175"/>
      <c r="H277" s="187">
        <v>272</v>
      </c>
      <c r="I277" s="188" t="str">
        <f t="shared" si="18"/>
        <v/>
      </c>
      <c r="J277" s="187" t="e">
        <f t="shared" si="21"/>
        <v>#NUM!</v>
      </c>
      <c r="K277" s="187" t="e">
        <f t="shared" si="19"/>
        <v>#NUM!</v>
      </c>
      <c r="L277" s="187"/>
      <c r="M277" s="189">
        <f t="shared" si="20"/>
        <v>0</v>
      </c>
    </row>
    <row r="278" spans="1:13">
      <c r="A278" s="204"/>
      <c r="G278" s="175"/>
      <c r="H278" s="187">
        <v>273</v>
      </c>
      <c r="I278" s="188" t="str">
        <f t="shared" si="18"/>
        <v/>
      </c>
      <c r="J278" s="187" t="e">
        <f t="shared" si="21"/>
        <v>#NUM!</v>
      </c>
      <c r="K278" s="187" t="e">
        <f t="shared" si="19"/>
        <v>#NUM!</v>
      </c>
      <c r="L278" s="187"/>
      <c r="M278" s="189">
        <f t="shared" si="20"/>
        <v>0</v>
      </c>
    </row>
    <row r="279" spans="1:13">
      <c r="A279" s="204"/>
      <c r="G279" s="175"/>
      <c r="H279" s="187">
        <v>274</v>
      </c>
      <c r="I279" s="188" t="str">
        <f t="shared" si="18"/>
        <v/>
      </c>
      <c r="J279" s="187" t="e">
        <f t="shared" si="21"/>
        <v>#NUM!</v>
      </c>
      <c r="K279" s="187" t="e">
        <f t="shared" si="19"/>
        <v>#NUM!</v>
      </c>
      <c r="L279" s="187"/>
      <c r="M279" s="189">
        <f t="shared" si="20"/>
        <v>0</v>
      </c>
    </row>
    <row r="280" spans="1:13">
      <c r="A280" s="204"/>
      <c r="G280" s="175"/>
      <c r="H280" s="187">
        <v>275</v>
      </c>
      <c r="I280" s="188" t="str">
        <f t="shared" si="18"/>
        <v/>
      </c>
      <c r="J280" s="187" t="e">
        <f t="shared" si="21"/>
        <v>#NUM!</v>
      </c>
      <c r="K280" s="187" t="e">
        <f t="shared" si="19"/>
        <v>#NUM!</v>
      </c>
      <c r="L280" s="187"/>
      <c r="M280" s="189">
        <f t="shared" si="20"/>
        <v>0</v>
      </c>
    </row>
    <row r="281" spans="1:13">
      <c r="A281" s="204"/>
      <c r="G281" s="175"/>
      <c r="H281" s="187">
        <v>276</v>
      </c>
      <c r="I281" s="188" t="str">
        <f t="shared" si="18"/>
        <v/>
      </c>
      <c r="J281" s="187" t="e">
        <f t="shared" si="21"/>
        <v>#NUM!</v>
      </c>
      <c r="K281" s="187" t="e">
        <f t="shared" si="19"/>
        <v>#NUM!</v>
      </c>
      <c r="L281" s="187"/>
      <c r="M281" s="189">
        <f t="shared" si="20"/>
        <v>0</v>
      </c>
    </row>
    <row r="282" spans="1:13">
      <c r="A282" s="204"/>
      <c r="G282" s="175"/>
      <c r="H282" s="187">
        <v>277</v>
      </c>
      <c r="I282" s="188" t="str">
        <f t="shared" si="18"/>
        <v/>
      </c>
      <c r="J282" s="187" t="e">
        <f t="shared" si="21"/>
        <v>#NUM!</v>
      </c>
      <c r="K282" s="187" t="e">
        <f t="shared" si="19"/>
        <v>#NUM!</v>
      </c>
      <c r="L282" s="187"/>
      <c r="M282" s="189">
        <f t="shared" si="20"/>
        <v>0</v>
      </c>
    </row>
    <row r="283" spans="1:13">
      <c r="A283" s="204"/>
      <c r="G283" s="175"/>
      <c r="H283" s="187">
        <v>278</v>
      </c>
      <c r="I283" s="188" t="str">
        <f t="shared" si="18"/>
        <v/>
      </c>
      <c r="J283" s="187" t="e">
        <f t="shared" si="21"/>
        <v>#NUM!</v>
      </c>
      <c r="K283" s="187" t="e">
        <f t="shared" si="19"/>
        <v>#NUM!</v>
      </c>
      <c r="L283" s="187"/>
      <c r="M283" s="189">
        <f t="shared" si="20"/>
        <v>0</v>
      </c>
    </row>
    <row r="284" spans="1:13">
      <c r="A284" s="204"/>
      <c r="G284" s="175"/>
      <c r="H284" s="187">
        <v>279</v>
      </c>
      <c r="I284" s="188" t="str">
        <f t="shared" si="18"/>
        <v/>
      </c>
      <c r="J284" s="187" t="e">
        <f t="shared" si="21"/>
        <v>#NUM!</v>
      </c>
      <c r="K284" s="187" t="e">
        <f t="shared" si="19"/>
        <v>#NUM!</v>
      </c>
      <c r="L284" s="187"/>
      <c r="M284" s="189">
        <f t="shared" si="20"/>
        <v>0</v>
      </c>
    </row>
    <row r="285" spans="1:13">
      <c r="A285" s="204"/>
      <c r="G285" s="175"/>
      <c r="H285" s="187">
        <v>280</v>
      </c>
      <c r="I285" s="188" t="str">
        <f t="shared" si="18"/>
        <v/>
      </c>
      <c r="J285" s="187" t="e">
        <f t="shared" si="21"/>
        <v>#NUM!</v>
      </c>
      <c r="K285" s="187" t="e">
        <f t="shared" si="19"/>
        <v>#NUM!</v>
      </c>
      <c r="L285" s="187"/>
      <c r="M285" s="189">
        <f t="shared" si="20"/>
        <v>0</v>
      </c>
    </row>
    <row r="286" spans="1:13">
      <c r="A286" s="204"/>
      <c r="G286" s="175"/>
      <c r="H286" s="187">
        <v>281</v>
      </c>
      <c r="I286" s="188" t="str">
        <f t="shared" si="18"/>
        <v/>
      </c>
      <c r="J286" s="187" t="e">
        <f t="shared" si="21"/>
        <v>#NUM!</v>
      </c>
      <c r="K286" s="187" t="e">
        <f t="shared" si="19"/>
        <v>#NUM!</v>
      </c>
      <c r="L286" s="187"/>
      <c r="M286" s="189">
        <f t="shared" si="20"/>
        <v>0</v>
      </c>
    </row>
    <row r="287" spans="1:13">
      <c r="A287" s="204"/>
      <c r="G287" s="175"/>
      <c r="H287" s="187">
        <v>282</v>
      </c>
      <c r="I287" s="188" t="str">
        <f t="shared" si="18"/>
        <v/>
      </c>
      <c r="J287" s="187" t="e">
        <f t="shared" si="21"/>
        <v>#NUM!</v>
      </c>
      <c r="K287" s="187" t="e">
        <f t="shared" si="19"/>
        <v>#NUM!</v>
      </c>
      <c r="L287" s="187"/>
      <c r="M287" s="189">
        <f t="shared" si="20"/>
        <v>0</v>
      </c>
    </row>
    <row r="288" spans="1:13">
      <c r="A288" s="204"/>
      <c r="G288" s="175"/>
      <c r="H288" s="187">
        <v>283</v>
      </c>
      <c r="I288" s="188" t="str">
        <f t="shared" si="18"/>
        <v/>
      </c>
      <c r="J288" s="187" t="e">
        <f t="shared" si="21"/>
        <v>#NUM!</v>
      </c>
      <c r="K288" s="187" t="e">
        <f t="shared" si="19"/>
        <v>#NUM!</v>
      </c>
      <c r="L288" s="187"/>
      <c r="M288" s="189">
        <f t="shared" si="20"/>
        <v>0</v>
      </c>
    </row>
    <row r="289" spans="1:13">
      <c r="A289" s="204"/>
      <c r="G289" s="175"/>
      <c r="H289" s="187">
        <v>284</v>
      </c>
      <c r="I289" s="188" t="str">
        <f t="shared" si="18"/>
        <v/>
      </c>
      <c r="J289" s="187" t="e">
        <f t="shared" si="21"/>
        <v>#NUM!</v>
      </c>
      <c r="K289" s="187" t="e">
        <f t="shared" si="19"/>
        <v>#NUM!</v>
      </c>
      <c r="L289" s="187"/>
      <c r="M289" s="189">
        <f t="shared" si="20"/>
        <v>0</v>
      </c>
    </row>
    <row r="290" spans="1:13">
      <c r="A290" s="204"/>
      <c r="G290" s="175"/>
      <c r="H290" s="187">
        <v>285</v>
      </c>
      <c r="I290" s="188" t="str">
        <f t="shared" si="18"/>
        <v/>
      </c>
      <c r="J290" s="187" t="e">
        <f t="shared" si="21"/>
        <v>#NUM!</v>
      </c>
      <c r="K290" s="187" t="e">
        <f t="shared" si="19"/>
        <v>#NUM!</v>
      </c>
      <c r="L290" s="187"/>
      <c r="M290" s="189">
        <f t="shared" si="20"/>
        <v>0</v>
      </c>
    </row>
    <row r="291" spans="1:13">
      <c r="A291" s="204"/>
      <c r="G291" s="175"/>
      <c r="H291" s="187">
        <v>286</v>
      </c>
      <c r="I291" s="188" t="str">
        <f t="shared" si="18"/>
        <v/>
      </c>
      <c r="J291" s="187" t="e">
        <f t="shared" si="21"/>
        <v>#NUM!</v>
      </c>
      <c r="K291" s="187" t="e">
        <f t="shared" si="19"/>
        <v>#NUM!</v>
      </c>
      <c r="L291" s="187"/>
      <c r="M291" s="189">
        <f t="shared" si="20"/>
        <v>0</v>
      </c>
    </row>
    <row r="292" spans="1:13">
      <c r="A292" s="204"/>
      <c r="G292" s="175"/>
      <c r="H292" s="187">
        <v>287</v>
      </c>
      <c r="I292" s="188" t="str">
        <f t="shared" si="18"/>
        <v/>
      </c>
      <c r="J292" s="187" t="e">
        <f t="shared" si="21"/>
        <v>#NUM!</v>
      </c>
      <c r="K292" s="187" t="e">
        <f t="shared" si="19"/>
        <v>#NUM!</v>
      </c>
      <c r="L292" s="187"/>
      <c r="M292" s="189">
        <f t="shared" si="20"/>
        <v>0</v>
      </c>
    </row>
    <row r="293" spans="1:13">
      <c r="A293" s="204"/>
      <c r="G293" s="175"/>
      <c r="H293" s="187">
        <v>288</v>
      </c>
      <c r="I293" s="188" t="str">
        <f t="shared" si="18"/>
        <v/>
      </c>
      <c r="J293" s="187" t="e">
        <f t="shared" si="21"/>
        <v>#NUM!</v>
      </c>
      <c r="K293" s="187" t="e">
        <f t="shared" si="19"/>
        <v>#NUM!</v>
      </c>
      <c r="L293" s="187"/>
      <c r="M293" s="189">
        <f t="shared" si="20"/>
        <v>0</v>
      </c>
    </row>
    <row r="294" spans="1:13">
      <c r="A294" s="204"/>
      <c r="G294" s="175"/>
      <c r="H294" s="187">
        <v>289</v>
      </c>
      <c r="I294" s="188" t="str">
        <f t="shared" si="18"/>
        <v/>
      </c>
      <c r="J294" s="187" t="e">
        <f t="shared" si="21"/>
        <v>#NUM!</v>
      </c>
      <c r="K294" s="187" t="e">
        <f t="shared" si="19"/>
        <v>#NUM!</v>
      </c>
      <c r="L294" s="187"/>
      <c r="M294" s="189">
        <f t="shared" si="20"/>
        <v>0</v>
      </c>
    </row>
    <row r="295" spans="1:13">
      <c r="A295" s="204"/>
      <c r="G295" s="175"/>
      <c r="H295" s="187">
        <v>290</v>
      </c>
      <c r="I295" s="188" t="str">
        <f t="shared" si="18"/>
        <v/>
      </c>
      <c r="J295" s="187" t="e">
        <f t="shared" si="21"/>
        <v>#NUM!</v>
      </c>
      <c r="K295" s="187" t="e">
        <f t="shared" si="19"/>
        <v>#NUM!</v>
      </c>
      <c r="L295" s="187"/>
      <c r="M295" s="189">
        <f t="shared" si="20"/>
        <v>0</v>
      </c>
    </row>
    <row r="296" spans="1:13">
      <c r="A296" s="204"/>
      <c r="G296" s="175"/>
      <c r="H296" s="187">
        <v>291</v>
      </c>
      <c r="I296" s="188" t="str">
        <f t="shared" si="18"/>
        <v/>
      </c>
      <c r="J296" s="187" t="e">
        <f t="shared" si="21"/>
        <v>#NUM!</v>
      </c>
      <c r="K296" s="187" t="e">
        <f t="shared" si="19"/>
        <v>#NUM!</v>
      </c>
      <c r="L296" s="187"/>
      <c r="M296" s="189">
        <f t="shared" si="20"/>
        <v>0</v>
      </c>
    </row>
    <row r="297" spans="1:13">
      <c r="A297" s="204"/>
      <c r="G297" s="175"/>
      <c r="H297" s="187">
        <v>292</v>
      </c>
      <c r="I297" s="188" t="str">
        <f t="shared" si="18"/>
        <v/>
      </c>
      <c r="J297" s="187" t="e">
        <f t="shared" si="21"/>
        <v>#NUM!</v>
      </c>
      <c r="K297" s="187" t="e">
        <f t="shared" si="19"/>
        <v>#NUM!</v>
      </c>
      <c r="L297" s="187"/>
      <c r="M297" s="189">
        <f t="shared" si="20"/>
        <v>0</v>
      </c>
    </row>
    <row r="298" spans="1:13">
      <c r="A298" s="204"/>
      <c r="G298" s="175"/>
      <c r="H298" s="187">
        <v>293</v>
      </c>
      <c r="I298" s="188" t="str">
        <f t="shared" si="18"/>
        <v/>
      </c>
      <c r="J298" s="187" t="e">
        <f t="shared" si="21"/>
        <v>#NUM!</v>
      </c>
      <c r="K298" s="187" t="e">
        <f t="shared" si="19"/>
        <v>#NUM!</v>
      </c>
      <c r="L298" s="187"/>
      <c r="M298" s="189">
        <f t="shared" si="20"/>
        <v>0</v>
      </c>
    </row>
    <row r="299" spans="1:13">
      <c r="A299" s="204"/>
      <c r="G299" s="175"/>
      <c r="H299" s="187">
        <v>294</v>
      </c>
      <c r="I299" s="188" t="str">
        <f t="shared" si="18"/>
        <v/>
      </c>
      <c r="J299" s="187" t="e">
        <f t="shared" si="21"/>
        <v>#NUM!</v>
      </c>
      <c r="K299" s="187" t="e">
        <f t="shared" si="19"/>
        <v>#NUM!</v>
      </c>
      <c r="L299" s="187"/>
      <c r="M299" s="189">
        <f t="shared" si="20"/>
        <v>0</v>
      </c>
    </row>
    <row r="300" spans="1:13">
      <c r="A300" s="204"/>
      <c r="G300" s="175"/>
      <c r="H300" s="187">
        <v>295</v>
      </c>
      <c r="I300" s="188" t="str">
        <f t="shared" si="18"/>
        <v/>
      </c>
      <c r="J300" s="187" t="e">
        <f t="shared" si="21"/>
        <v>#NUM!</v>
      </c>
      <c r="K300" s="187" t="e">
        <f t="shared" si="19"/>
        <v>#NUM!</v>
      </c>
      <c r="L300" s="187"/>
      <c r="M300" s="189">
        <f t="shared" si="20"/>
        <v>0</v>
      </c>
    </row>
    <row r="301" spans="1:13">
      <c r="A301" s="204"/>
      <c r="G301" s="175"/>
      <c r="H301" s="187">
        <v>296</v>
      </c>
      <c r="I301" s="188" t="str">
        <f t="shared" si="18"/>
        <v/>
      </c>
      <c r="J301" s="187" t="e">
        <f t="shared" si="21"/>
        <v>#NUM!</v>
      </c>
      <c r="K301" s="187" t="e">
        <f t="shared" si="19"/>
        <v>#NUM!</v>
      </c>
      <c r="L301" s="187"/>
      <c r="M301" s="189">
        <f t="shared" si="20"/>
        <v>0</v>
      </c>
    </row>
    <row r="302" spans="1:13">
      <c r="A302" s="204"/>
      <c r="G302" s="175"/>
      <c r="H302" s="187">
        <v>297</v>
      </c>
      <c r="I302" s="188" t="str">
        <f t="shared" si="18"/>
        <v/>
      </c>
      <c r="J302" s="187" t="e">
        <f t="shared" si="21"/>
        <v>#NUM!</v>
      </c>
      <c r="K302" s="187" t="e">
        <f t="shared" si="19"/>
        <v>#NUM!</v>
      </c>
      <c r="L302" s="187"/>
      <c r="M302" s="189">
        <f t="shared" si="20"/>
        <v>0</v>
      </c>
    </row>
    <row r="303" spans="1:13">
      <c r="A303" s="204"/>
      <c r="G303" s="175"/>
      <c r="H303" s="187">
        <v>298</v>
      </c>
      <c r="I303" s="188" t="str">
        <f t="shared" si="18"/>
        <v/>
      </c>
      <c r="J303" s="187" t="e">
        <f t="shared" si="21"/>
        <v>#NUM!</v>
      </c>
      <c r="K303" s="187" t="e">
        <f t="shared" si="19"/>
        <v>#NUM!</v>
      </c>
      <c r="L303" s="187"/>
      <c r="M303" s="189">
        <f t="shared" si="20"/>
        <v>0</v>
      </c>
    </row>
    <row r="304" spans="1:13">
      <c r="A304" s="204"/>
      <c r="G304" s="175"/>
      <c r="H304" s="187">
        <v>299</v>
      </c>
      <c r="I304" s="188" t="str">
        <f t="shared" si="18"/>
        <v/>
      </c>
      <c r="J304" s="187" t="e">
        <f t="shared" si="21"/>
        <v>#NUM!</v>
      </c>
      <c r="K304" s="187" t="e">
        <f t="shared" si="19"/>
        <v>#NUM!</v>
      </c>
      <c r="L304" s="187"/>
      <c r="M304" s="189">
        <f t="shared" si="20"/>
        <v>0</v>
      </c>
    </row>
    <row r="305" spans="1:16">
      <c r="A305" s="204"/>
      <c r="G305" s="175"/>
      <c r="H305" s="187">
        <v>300</v>
      </c>
      <c r="I305" s="188" t="str">
        <f t="shared" si="18"/>
        <v/>
      </c>
      <c r="J305" s="187" t="e">
        <f t="shared" si="21"/>
        <v>#NUM!</v>
      </c>
      <c r="K305" s="187" t="e">
        <f t="shared" si="19"/>
        <v>#NUM!</v>
      </c>
      <c r="L305" s="187"/>
      <c r="M305" s="189">
        <f t="shared" si="20"/>
        <v>0</v>
      </c>
    </row>
    <row r="306" spans="1:16">
      <c r="A306" s="205"/>
      <c r="J306" s="206" t="e">
        <f t="shared" si="21"/>
        <v>#NUM!</v>
      </c>
    </row>
    <row r="307" spans="1:16">
      <c r="J307" s="206" t="e">
        <f t="shared" si="21"/>
        <v>#NUM!</v>
      </c>
    </row>
    <row r="308" spans="1:16">
      <c r="J308" s="206" t="e">
        <f t="shared" si="21"/>
        <v>#NUM!</v>
      </c>
    </row>
    <row r="309" spans="1:16">
      <c r="J309" s="206" t="e">
        <f t="shared" si="21"/>
        <v>#NUM!</v>
      </c>
    </row>
    <row r="310" spans="1:16">
      <c r="J310" s="206" t="e">
        <f t="shared" si="21"/>
        <v>#NUM!</v>
      </c>
    </row>
    <row r="311" spans="1:16">
      <c r="J311" s="206" t="e">
        <f t="shared" si="21"/>
        <v>#NUM!</v>
      </c>
    </row>
    <row r="312" spans="1:16">
      <c r="J312" s="206" t="e">
        <f t="shared" si="21"/>
        <v>#NUM!</v>
      </c>
    </row>
    <row r="313" spans="1:16">
      <c r="J313" s="206" t="e">
        <f t="shared" si="21"/>
        <v>#NUM!</v>
      </c>
    </row>
    <row r="314" spans="1:16">
      <c r="J314" s="206" t="e">
        <f t="shared" si="21"/>
        <v>#NUM!</v>
      </c>
      <c r="L314" s="208"/>
      <c r="P314" s="198"/>
    </row>
    <row r="315" spans="1:16">
      <c r="J315" s="206" t="e">
        <f t="shared" si="21"/>
        <v>#NUM!</v>
      </c>
      <c r="L315" s="208"/>
      <c r="P315" s="198"/>
    </row>
    <row r="316" spans="1:16">
      <c r="J316" s="206" t="e">
        <f t="shared" si="21"/>
        <v>#NUM!</v>
      </c>
      <c r="L316" s="208"/>
      <c r="P316" s="198"/>
    </row>
    <row r="317" spans="1:16">
      <c r="J317" s="206" t="e">
        <f t="shared" si="21"/>
        <v>#NUM!</v>
      </c>
      <c r="L317" s="208"/>
      <c r="P317" s="198"/>
    </row>
    <row r="318" spans="1:16">
      <c r="J318" s="206" t="e">
        <f t="shared" si="21"/>
        <v>#NUM!</v>
      </c>
    </row>
    <row r="319" spans="1:16">
      <c r="J319" s="206" t="e">
        <f t="shared" si="21"/>
        <v>#NUM!</v>
      </c>
    </row>
    <row r="320" spans="1:16">
      <c r="J320" s="206" t="e">
        <f t="shared" si="21"/>
        <v>#NUM!</v>
      </c>
    </row>
    <row r="321" spans="10:10">
      <c r="J321" s="206" t="e">
        <f t="shared" si="21"/>
        <v>#NUM!</v>
      </c>
    </row>
    <row r="322" spans="10:10">
      <c r="J322" s="206" t="e">
        <f t="shared" si="21"/>
        <v>#NUM!</v>
      </c>
    </row>
    <row r="323" spans="10:10">
      <c r="J323" s="206" t="e">
        <f t="shared" si="21"/>
        <v>#NUM!</v>
      </c>
    </row>
    <row r="324" spans="10:10">
      <c r="J324" s="206" t="e">
        <f t="shared" si="21"/>
        <v>#NUM!</v>
      </c>
    </row>
    <row r="325" spans="10:10">
      <c r="J325" s="206" t="e">
        <f t="shared" si="21"/>
        <v>#NUM!</v>
      </c>
    </row>
    <row r="326" spans="10:10">
      <c r="J326" s="206" t="e">
        <f t="shared" si="21"/>
        <v>#NUM!</v>
      </c>
    </row>
    <row r="327" spans="10:10">
      <c r="J327" s="206" t="e">
        <f t="shared" ref="J327:J374" si="22">INT(LOG($H$2,2))-ROUNDUP(LOG(H327,2),0)+IF(OR($H$2=1,$H$2=2,$H$2=4,$H$2=8,$H$2=16,$H$2=32,$H$2=64,$H$2=128,$H$2=256),0,1)</f>
        <v>#NUM!</v>
      </c>
    </row>
    <row r="328" spans="10:10">
      <c r="J328" s="206" t="e">
        <f t="shared" si="22"/>
        <v>#NUM!</v>
      </c>
    </row>
    <row r="329" spans="10:10">
      <c r="J329" s="206" t="e">
        <f t="shared" si="22"/>
        <v>#NUM!</v>
      </c>
    </row>
    <row r="330" spans="10:10">
      <c r="J330" s="206" t="e">
        <f t="shared" si="22"/>
        <v>#NUM!</v>
      </c>
    </row>
    <row r="331" spans="10:10">
      <c r="J331" s="206" t="e">
        <f t="shared" si="22"/>
        <v>#NUM!</v>
      </c>
    </row>
    <row r="332" spans="10:10">
      <c r="J332" s="206" t="e">
        <f t="shared" si="22"/>
        <v>#NUM!</v>
      </c>
    </row>
    <row r="333" spans="10:10">
      <c r="J333" s="206" t="e">
        <f t="shared" si="22"/>
        <v>#NUM!</v>
      </c>
    </row>
    <row r="334" spans="10:10">
      <c r="J334" s="206" t="e">
        <f t="shared" si="22"/>
        <v>#NUM!</v>
      </c>
    </row>
    <row r="335" spans="10:10">
      <c r="J335" s="206" t="e">
        <f t="shared" si="22"/>
        <v>#NUM!</v>
      </c>
    </row>
    <row r="336" spans="10:10">
      <c r="J336" s="206" t="e">
        <f t="shared" si="22"/>
        <v>#NUM!</v>
      </c>
    </row>
    <row r="337" spans="10:10">
      <c r="J337" s="206" t="e">
        <f t="shared" si="22"/>
        <v>#NUM!</v>
      </c>
    </row>
    <row r="338" spans="10:10">
      <c r="J338" s="206" t="e">
        <f t="shared" si="22"/>
        <v>#NUM!</v>
      </c>
    </row>
    <row r="339" spans="10:10">
      <c r="J339" s="206" t="e">
        <f t="shared" si="22"/>
        <v>#NUM!</v>
      </c>
    </row>
    <row r="340" spans="10:10">
      <c r="J340" s="206" t="e">
        <f t="shared" si="22"/>
        <v>#NUM!</v>
      </c>
    </row>
    <row r="341" spans="10:10">
      <c r="J341" s="206" t="e">
        <f t="shared" si="22"/>
        <v>#NUM!</v>
      </c>
    </row>
    <row r="342" spans="10:10">
      <c r="J342" s="206" t="e">
        <f t="shared" si="22"/>
        <v>#NUM!</v>
      </c>
    </row>
    <row r="343" spans="10:10">
      <c r="J343" s="206" t="e">
        <f t="shared" si="22"/>
        <v>#NUM!</v>
      </c>
    </row>
    <row r="344" spans="10:10">
      <c r="J344" s="206" t="e">
        <f t="shared" si="22"/>
        <v>#NUM!</v>
      </c>
    </row>
    <row r="345" spans="10:10">
      <c r="J345" s="206" t="e">
        <f t="shared" si="22"/>
        <v>#NUM!</v>
      </c>
    </row>
    <row r="346" spans="10:10">
      <c r="J346" s="206" t="e">
        <f t="shared" si="22"/>
        <v>#NUM!</v>
      </c>
    </row>
    <row r="347" spans="10:10">
      <c r="J347" s="206" t="e">
        <f t="shared" si="22"/>
        <v>#NUM!</v>
      </c>
    </row>
    <row r="348" spans="10:10">
      <c r="J348" s="206" t="e">
        <f t="shared" si="22"/>
        <v>#NUM!</v>
      </c>
    </row>
    <row r="349" spans="10:10">
      <c r="J349" s="206" t="e">
        <f t="shared" si="22"/>
        <v>#NUM!</v>
      </c>
    </row>
    <row r="350" spans="10:10">
      <c r="J350" s="206" t="e">
        <f t="shared" si="22"/>
        <v>#NUM!</v>
      </c>
    </row>
    <row r="351" spans="10:10">
      <c r="J351" s="206" t="e">
        <f t="shared" si="22"/>
        <v>#NUM!</v>
      </c>
    </row>
    <row r="352" spans="10:10">
      <c r="J352" s="206" t="e">
        <f t="shared" si="22"/>
        <v>#NUM!</v>
      </c>
    </row>
    <row r="353" spans="10:10">
      <c r="J353" s="206" t="e">
        <f t="shared" si="22"/>
        <v>#NUM!</v>
      </c>
    </row>
    <row r="354" spans="10:10">
      <c r="J354" s="206" t="e">
        <f t="shared" si="22"/>
        <v>#NUM!</v>
      </c>
    </row>
    <row r="355" spans="10:10">
      <c r="J355" s="206" t="e">
        <f t="shared" si="22"/>
        <v>#NUM!</v>
      </c>
    </row>
    <row r="356" spans="10:10">
      <c r="J356" s="206" t="e">
        <f t="shared" si="22"/>
        <v>#NUM!</v>
      </c>
    </row>
    <row r="357" spans="10:10">
      <c r="J357" s="206" t="e">
        <f t="shared" si="22"/>
        <v>#NUM!</v>
      </c>
    </row>
    <row r="358" spans="10:10">
      <c r="J358" s="206" t="e">
        <f t="shared" si="22"/>
        <v>#NUM!</v>
      </c>
    </row>
    <row r="359" spans="10:10">
      <c r="J359" s="206" t="e">
        <f t="shared" si="22"/>
        <v>#NUM!</v>
      </c>
    </row>
    <row r="360" spans="10:10">
      <c r="J360" s="206" t="e">
        <f t="shared" si="22"/>
        <v>#NUM!</v>
      </c>
    </row>
    <row r="361" spans="10:10">
      <c r="J361" s="206" t="e">
        <f t="shared" si="22"/>
        <v>#NUM!</v>
      </c>
    </row>
    <row r="362" spans="10:10">
      <c r="J362" s="206" t="e">
        <f t="shared" si="22"/>
        <v>#NUM!</v>
      </c>
    </row>
    <row r="363" spans="10:10">
      <c r="J363" s="206" t="e">
        <f t="shared" si="22"/>
        <v>#NUM!</v>
      </c>
    </row>
    <row r="364" spans="10:10">
      <c r="J364" s="206" t="e">
        <f t="shared" si="22"/>
        <v>#NUM!</v>
      </c>
    </row>
    <row r="365" spans="10:10">
      <c r="J365" s="206" t="e">
        <f t="shared" si="22"/>
        <v>#NUM!</v>
      </c>
    </row>
    <row r="366" spans="10:10">
      <c r="J366" s="206" t="e">
        <f t="shared" si="22"/>
        <v>#NUM!</v>
      </c>
    </row>
    <row r="367" spans="10:10">
      <c r="J367" s="206" t="e">
        <f t="shared" si="22"/>
        <v>#NUM!</v>
      </c>
    </row>
    <row r="368" spans="10:10">
      <c r="J368" s="206" t="e">
        <f t="shared" si="22"/>
        <v>#NUM!</v>
      </c>
    </row>
    <row r="369" spans="10:10">
      <c r="J369" s="206" t="e">
        <f t="shared" si="22"/>
        <v>#NUM!</v>
      </c>
    </row>
    <row r="370" spans="10:10">
      <c r="J370" s="206" t="e">
        <f t="shared" si="22"/>
        <v>#NUM!</v>
      </c>
    </row>
    <row r="371" spans="10:10">
      <c r="J371" s="206" t="e">
        <f t="shared" si="22"/>
        <v>#NUM!</v>
      </c>
    </row>
    <row r="372" spans="10:10">
      <c r="J372" s="206" t="e">
        <f t="shared" si="22"/>
        <v>#NUM!</v>
      </c>
    </row>
    <row r="373" spans="10:10">
      <c r="J373" s="206" t="e">
        <f t="shared" si="22"/>
        <v>#NUM!</v>
      </c>
    </row>
    <row r="374" spans="10:10">
      <c r="J374" s="206" t="e">
        <f t="shared" si="22"/>
        <v>#NUM!</v>
      </c>
    </row>
  </sheetData>
  <conditionalFormatting sqref="J9:K305">
    <cfRule type="cellIs" dxfId="4" priority="1" operator="lessThanOrEqual">
      <formula>0</formula>
    </cfRule>
  </conditionalFormatting>
  <hyperlinks>
    <hyperlink ref="C2" r:id="rId1" xr:uid="{9E3C1BCF-6245-4E98-B1B4-BE98190EA1CB}"/>
  </hyperlinks>
  <pageMargins left="0.7" right="0.7" top="0.75" bottom="0.75" header="0.3" footer="0.3"/>
  <pageSetup paperSize="9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4699-F770-48C0-9143-AB310A896C93}">
  <sheetPr>
    <tabColor rgb="FF92D050"/>
  </sheetPr>
  <dimension ref="A1:AL317"/>
  <sheetViews>
    <sheetView workbookViewId="0">
      <selection activeCell="C21" sqref="C21"/>
    </sheetView>
  </sheetViews>
  <sheetFormatPr defaultColWidth="8.85546875" defaultRowHeight="14.25"/>
  <cols>
    <col min="1" max="1" width="8" style="203" customWidth="1"/>
    <col min="2" max="2" width="8.28515625" style="203" customWidth="1"/>
    <col min="3" max="3" width="34.7109375" style="203" customWidth="1"/>
    <col min="4" max="4" width="11.28515625" style="203" customWidth="1"/>
    <col min="5" max="6" width="8.85546875" style="203"/>
    <col min="7" max="7" width="0.85546875" style="203" customWidth="1"/>
    <col min="8" max="8" width="8.85546875" style="206"/>
    <col min="9" max="9" width="11" style="206" customWidth="1"/>
    <col min="10" max="10" width="15.28515625" style="206" customWidth="1"/>
    <col min="11" max="11" width="8.7109375" style="206" customWidth="1"/>
    <col min="12" max="12" width="11" style="206" customWidth="1"/>
    <col min="13" max="13" width="12.28515625" style="207" customWidth="1"/>
    <col min="14" max="15" width="13.85546875" style="175" customWidth="1"/>
    <col min="16" max="18" width="8.85546875" style="175"/>
    <col min="19" max="20" width="8.85546875" style="180"/>
    <col min="21" max="21" width="12.140625" style="180" customWidth="1"/>
    <col min="22" max="22" width="27.42578125" style="180" customWidth="1"/>
    <col min="23" max="38" width="8.85546875" style="180"/>
    <col min="39" max="16384" width="8.85546875" style="203"/>
  </cols>
  <sheetData>
    <row r="1" spans="1:36">
      <c r="A1" s="175"/>
      <c r="B1" s="175"/>
      <c r="C1" s="175"/>
      <c r="D1" s="175"/>
      <c r="E1" s="175"/>
      <c r="F1" s="175"/>
      <c r="G1" s="175"/>
      <c r="H1" s="176" t="s">
        <v>34</v>
      </c>
      <c r="I1" s="177" t="s">
        <v>35</v>
      </c>
      <c r="J1" s="177" t="s">
        <v>36</v>
      </c>
      <c r="K1" s="178" t="s">
        <v>131</v>
      </c>
      <c r="L1" s="179"/>
      <c r="M1" s="179"/>
    </row>
    <row r="2" spans="1:36">
      <c r="A2" s="175"/>
      <c r="B2" s="21" t="s">
        <v>38</v>
      </c>
      <c r="C2" s="266" t="s">
        <v>152</v>
      </c>
      <c r="D2" s="73"/>
      <c r="E2" s="22"/>
      <c r="F2" s="22"/>
      <c r="G2" s="22"/>
      <c r="H2" s="181">
        <v>0</v>
      </c>
      <c r="I2" s="182">
        <v>50</v>
      </c>
      <c r="J2" s="182">
        <v>10</v>
      </c>
      <c r="K2" s="183">
        <f>3*H2^(1/3)</f>
        <v>0</v>
      </c>
      <c r="L2" s="179"/>
      <c r="M2" s="179"/>
    </row>
    <row r="3" spans="1:36">
      <c r="A3" s="175"/>
      <c r="B3" s="184" t="s">
        <v>40</v>
      </c>
      <c r="C3" s="74" t="s">
        <v>153</v>
      </c>
      <c r="D3" s="74"/>
      <c r="E3" s="27"/>
      <c r="F3" s="27"/>
      <c r="G3" s="27"/>
      <c r="H3" s="179"/>
      <c r="I3" s="179"/>
      <c r="J3" s="210"/>
      <c r="K3" s="179"/>
      <c r="L3" s="179"/>
      <c r="M3" s="179"/>
    </row>
    <row r="4" spans="1:36" ht="10.15" customHeight="1">
      <c r="A4" s="29"/>
      <c r="B4" s="27"/>
      <c r="C4" s="29"/>
      <c r="D4" s="29"/>
      <c r="E4" s="29"/>
      <c r="F4" s="29"/>
      <c r="G4" s="29"/>
      <c r="H4" s="179"/>
      <c r="I4" s="179"/>
      <c r="J4" s="210"/>
      <c r="K4" s="179"/>
      <c r="L4" s="179"/>
      <c r="M4" s="179"/>
    </row>
    <row r="5" spans="1:36" ht="34.700000000000003">
      <c r="A5" s="1" t="s">
        <v>42</v>
      </c>
      <c r="B5" s="30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9"/>
      <c r="H5" s="185" t="s">
        <v>48</v>
      </c>
      <c r="I5" s="186" t="s">
        <v>49</v>
      </c>
      <c r="J5" s="211" t="s">
        <v>50</v>
      </c>
      <c r="K5" s="186" t="s">
        <v>51</v>
      </c>
      <c r="L5" s="186" t="s">
        <v>52</v>
      </c>
      <c r="M5" s="185" t="s">
        <v>53</v>
      </c>
    </row>
    <row r="6" spans="1:36" ht="14.45" customHeight="1">
      <c r="A6" s="102">
        <f>M6</f>
        <v>0</v>
      </c>
      <c r="B6" s="35" t="str">
        <f t="shared" ref="B6:B69" si="0">IF(H6&gt;$H$2,"",(ROW()-5))</f>
        <v/>
      </c>
      <c r="C6" s="36"/>
      <c r="D6" s="36"/>
      <c r="E6" s="36"/>
      <c r="F6" s="36"/>
      <c r="G6" s="29"/>
      <c r="H6" s="187">
        <v>1</v>
      </c>
      <c r="I6" s="188" t="str">
        <f t="shared" ref="I6:I69" si="1">IF(H6&lt;$H$2+1,($I$2-($I$2-1)*(LOG(H6)/LOG($H$2))),"")</f>
        <v/>
      </c>
      <c r="J6" s="187" t="e">
        <f>INT(LOG($H$2,2))-ROUNDUP(LOG(H6,2),0)+IF(OR($H$2=1,$H$2=2,$H$2=4,$H$2=8,$H$2=16,$H$2=32,$H$2=64,$H$2=128,$H$2=256),0,1)</f>
        <v>#NUM!</v>
      </c>
      <c r="K6" s="187" t="e">
        <f t="shared" ref="K6:K69" si="2">J6*$J$2</f>
        <v>#NUM!</v>
      </c>
      <c r="L6" s="189">
        <f>3*K2</f>
        <v>0</v>
      </c>
      <c r="M6" s="189">
        <f t="shared" ref="M6:M69" si="3">IF(I6&lt;&gt;"",K6+I6+L6,0)</f>
        <v>0</v>
      </c>
    </row>
    <row r="7" spans="1:36" ht="14.45" customHeight="1">
      <c r="A7" s="106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190">
        <v>2</v>
      </c>
      <c r="I7" s="191" t="str">
        <f t="shared" si="1"/>
        <v/>
      </c>
      <c r="J7" s="190" t="e">
        <f t="shared" ref="J7:J70" si="5">INT(LOG($H$2,2))-ROUNDUP(LOG(H7,2),0)+IF(OR($H$2=1,$H$2=2,$H$2=4,$H$2=8,$H$2=16,$H$2=32,$H$2=64,$H$2=128,$H$2=256),0,1)</f>
        <v>#NUM!</v>
      </c>
      <c r="K7" s="190" t="e">
        <f t="shared" si="2"/>
        <v>#NUM!</v>
      </c>
      <c r="L7" s="192">
        <f>2*K2</f>
        <v>0</v>
      </c>
      <c r="M7" s="192">
        <f t="shared" si="3"/>
        <v>0</v>
      </c>
    </row>
    <row r="8" spans="1:36" ht="14.45" customHeight="1">
      <c r="A8" s="102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187">
        <v>3</v>
      </c>
      <c r="I8" s="188" t="str">
        <f t="shared" si="1"/>
        <v/>
      </c>
      <c r="J8" s="187" t="e">
        <f t="shared" si="5"/>
        <v>#NUM!</v>
      </c>
      <c r="K8" s="187" t="e">
        <f t="shared" si="2"/>
        <v>#NUM!</v>
      </c>
      <c r="L8" s="189">
        <f>K2</f>
        <v>0</v>
      </c>
      <c r="M8" s="189">
        <f t="shared" si="3"/>
        <v>0</v>
      </c>
    </row>
    <row r="9" spans="1:36" s="180" customFormat="1" ht="14.45" customHeight="1">
      <c r="A9" s="106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190">
        <v>3</v>
      </c>
      <c r="I9" s="191" t="str">
        <f t="shared" si="1"/>
        <v/>
      </c>
      <c r="J9" s="190" t="e">
        <f t="shared" si="5"/>
        <v>#NUM!</v>
      </c>
      <c r="K9" s="190" t="e">
        <f t="shared" si="2"/>
        <v>#NUM!</v>
      </c>
      <c r="L9" s="192">
        <f>K2</f>
        <v>0</v>
      </c>
      <c r="M9" s="192">
        <f t="shared" si="3"/>
        <v>0</v>
      </c>
      <c r="N9" s="175"/>
      <c r="O9" s="175"/>
      <c r="P9" s="175"/>
      <c r="Q9" s="175"/>
      <c r="R9" s="175"/>
      <c r="V9" s="193"/>
      <c r="Z9" s="194"/>
      <c r="AA9" s="194"/>
      <c r="AG9" s="195"/>
      <c r="AH9" s="180" t="s">
        <v>57</v>
      </c>
      <c r="AI9" s="180">
        <v>23</v>
      </c>
    </row>
    <row r="10" spans="1:36" ht="14.45" customHeight="1">
      <c r="A10" s="102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187">
        <v>5</v>
      </c>
      <c r="I10" s="188" t="str">
        <f t="shared" si="1"/>
        <v/>
      </c>
      <c r="J10" s="187" t="e">
        <f t="shared" si="5"/>
        <v>#NUM!</v>
      </c>
      <c r="K10" s="187" t="e">
        <f t="shared" si="2"/>
        <v>#NUM!</v>
      </c>
      <c r="L10" s="187"/>
      <c r="M10" s="189">
        <f t="shared" si="3"/>
        <v>0</v>
      </c>
      <c r="V10" s="193"/>
      <c r="Z10" s="194"/>
      <c r="AA10" s="194"/>
      <c r="AG10" s="195"/>
      <c r="AH10" s="180" t="s">
        <v>58</v>
      </c>
      <c r="AI10" s="180">
        <v>45</v>
      </c>
    </row>
    <row r="11" spans="1:36" ht="14.45" customHeight="1">
      <c r="A11" s="106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90">
        <v>6</v>
      </c>
      <c r="I11" s="191" t="str">
        <f t="shared" si="1"/>
        <v/>
      </c>
      <c r="J11" s="190" t="e">
        <f t="shared" si="5"/>
        <v>#NUM!</v>
      </c>
      <c r="K11" s="190" t="e">
        <f t="shared" si="2"/>
        <v>#NUM!</v>
      </c>
      <c r="L11" s="190"/>
      <c r="M11" s="192">
        <f t="shared" si="3"/>
        <v>0</v>
      </c>
      <c r="V11" s="196"/>
      <c r="Z11" s="194"/>
      <c r="AA11" s="194"/>
      <c r="AG11" s="195"/>
      <c r="AH11" s="180" t="s">
        <v>60</v>
      </c>
      <c r="AI11" s="180">
        <v>50</v>
      </c>
    </row>
    <row r="12" spans="1:36" ht="14.45" customHeight="1">
      <c r="A12" s="102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187">
        <v>7</v>
      </c>
      <c r="I12" s="188" t="str">
        <f t="shared" si="1"/>
        <v/>
      </c>
      <c r="J12" s="187" t="e">
        <f t="shared" si="5"/>
        <v>#NUM!</v>
      </c>
      <c r="K12" s="187" t="e">
        <f t="shared" si="2"/>
        <v>#NUM!</v>
      </c>
      <c r="L12" s="187"/>
      <c r="M12" s="189">
        <f t="shared" si="3"/>
        <v>0</v>
      </c>
      <c r="Z12" s="194"/>
      <c r="AA12" s="194"/>
      <c r="AG12" s="195"/>
      <c r="AH12" s="180" t="s">
        <v>61</v>
      </c>
      <c r="AI12" s="180">
        <f>AI11-1</f>
        <v>49</v>
      </c>
    </row>
    <row r="13" spans="1:36" ht="14.45" customHeight="1">
      <c r="A13" s="106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90">
        <v>8</v>
      </c>
      <c r="I13" s="191" t="str">
        <f t="shared" si="1"/>
        <v/>
      </c>
      <c r="J13" s="190" t="e">
        <f t="shared" si="5"/>
        <v>#NUM!</v>
      </c>
      <c r="K13" s="190" t="e">
        <f t="shared" si="2"/>
        <v>#NUM!</v>
      </c>
      <c r="L13" s="190"/>
      <c r="M13" s="192">
        <f t="shared" si="3"/>
        <v>0</v>
      </c>
      <c r="X13" s="193"/>
      <c r="AG13" s="195"/>
      <c r="AH13" s="180" t="s">
        <v>62</v>
      </c>
      <c r="AI13" s="180">
        <f>LOG(AI9)</f>
        <v>1.3617278360175928</v>
      </c>
    </row>
    <row r="14" spans="1:36">
      <c r="A14" s="102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187">
        <v>9</v>
      </c>
      <c r="I14" s="188" t="str">
        <f t="shared" si="1"/>
        <v/>
      </c>
      <c r="J14" s="187" t="e">
        <f t="shared" si="5"/>
        <v>#NUM!</v>
      </c>
      <c r="K14" s="187" t="e">
        <f t="shared" si="2"/>
        <v>#NUM!</v>
      </c>
      <c r="L14" s="187"/>
      <c r="M14" s="189">
        <f t="shared" si="3"/>
        <v>0</v>
      </c>
      <c r="X14" s="197"/>
      <c r="Z14" s="194"/>
      <c r="AA14" s="194"/>
      <c r="AG14" s="195"/>
      <c r="AH14" s="180" t="s">
        <v>64</v>
      </c>
      <c r="AI14" s="180">
        <f>LOG(AI10)</f>
        <v>1.6532125137753437</v>
      </c>
    </row>
    <row r="15" spans="1:36">
      <c r="A15" s="106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90">
        <v>10</v>
      </c>
      <c r="I15" s="191" t="str">
        <f t="shared" si="1"/>
        <v/>
      </c>
      <c r="J15" s="190" t="e">
        <f t="shared" si="5"/>
        <v>#NUM!</v>
      </c>
      <c r="K15" s="190" t="e">
        <f t="shared" si="2"/>
        <v>#NUM!</v>
      </c>
      <c r="L15" s="190"/>
      <c r="M15" s="192">
        <f t="shared" si="3"/>
        <v>0</v>
      </c>
      <c r="X15" s="193"/>
      <c r="Z15" s="194"/>
      <c r="AA15" s="194"/>
    </row>
    <row r="16" spans="1:36">
      <c r="A16" s="102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187">
        <v>11</v>
      </c>
      <c r="I16" s="188" t="str">
        <f t="shared" si="1"/>
        <v/>
      </c>
      <c r="J16" s="187" t="e">
        <f t="shared" si="5"/>
        <v>#NUM!</v>
      </c>
      <c r="K16" s="187" t="e">
        <f t="shared" si="2"/>
        <v>#NUM!</v>
      </c>
      <c r="L16" s="187"/>
      <c r="M16" s="189">
        <f t="shared" si="3"/>
        <v>0</v>
      </c>
      <c r="R16" s="198"/>
      <c r="Z16" s="194"/>
      <c r="AA16" s="194"/>
      <c r="AH16" s="199" t="s">
        <v>66</v>
      </c>
      <c r="AI16" s="180">
        <f>AI11-AI12*AI13/AI14</f>
        <v>9.6393909380186855</v>
      </c>
      <c r="AJ16" s="180" t="s">
        <v>67</v>
      </c>
    </row>
    <row r="17" spans="1:19">
      <c r="A17" s="106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90">
        <v>12</v>
      </c>
      <c r="I17" s="191" t="str">
        <f t="shared" si="1"/>
        <v/>
      </c>
      <c r="J17" s="190" t="e">
        <f t="shared" si="5"/>
        <v>#NUM!</v>
      </c>
      <c r="K17" s="190" t="e">
        <f t="shared" si="2"/>
        <v>#NUM!</v>
      </c>
      <c r="L17" s="190"/>
      <c r="M17" s="192">
        <f t="shared" si="3"/>
        <v>0</v>
      </c>
    </row>
    <row r="18" spans="1:19">
      <c r="A18" s="102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187">
        <v>13</v>
      </c>
      <c r="I18" s="188" t="str">
        <f t="shared" si="1"/>
        <v/>
      </c>
      <c r="J18" s="187" t="e">
        <f t="shared" si="5"/>
        <v>#NUM!</v>
      </c>
      <c r="K18" s="187" t="e">
        <f t="shared" si="2"/>
        <v>#NUM!</v>
      </c>
      <c r="L18" s="187"/>
      <c r="M18" s="189">
        <f t="shared" si="3"/>
        <v>0</v>
      </c>
    </row>
    <row r="19" spans="1:19">
      <c r="A19" s="106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90">
        <v>14</v>
      </c>
      <c r="I19" s="191" t="str">
        <f t="shared" si="1"/>
        <v/>
      </c>
      <c r="J19" s="190" t="e">
        <f t="shared" si="5"/>
        <v>#NUM!</v>
      </c>
      <c r="K19" s="190" t="e">
        <f t="shared" si="2"/>
        <v>#NUM!</v>
      </c>
      <c r="L19" s="190"/>
      <c r="M19" s="192">
        <f t="shared" si="3"/>
        <v>0</v>
      </c>
    </row>
    <row r="20" spans="1:19">
      <c r="A20" s="102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87">
        <v>15</v>
      </c>
      <c r="I20" s="188" t="str">
        <f t="shared" si="1"/>
        <v/>
      </c>
      <c r="J20" s="187" t="e">
        <f t="shared" si="5"/>
        <v>#NUM!</v>
      </c>
      <c r="K20" s="187" t="e">
        <f t="shared" si="2"/>
        <v>#NUM!</v>
      </c>
      <c r="L20" s="187"/>
      <c r="M20" s="189">
        <f t="shared" si="3"/>
        <v>0</v>
      </c>
      <c r="R20" s="200"/>
      <c r="S20" s="201"/>
    </row>
    <row r="21" spans="1:19">
      <c r="A21" s="106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90">
        <v>16</v>
      </c>
      <c r="I21" s="191" t="str">
        <f t="shared" si="1"/>
        <v/>
      </c>
      <c r="J21" s="190" t="e">
        <f t="shared" si="5"/>
        <v>#NUM!</v>
      </c>
      <c r="K21" s="190" t="e">
        <f t="shared" si="2"/>
        <v>#NUM!</v>
      </c>
      <c r="L21" s="190"/>
      <c r="M21" s="192">
        <f t="shared" si="3"/>
        <v>0</v>
      </c>
    </row>
    <row r="22" spans="1:19">
      <c r="A22" s="102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87">
        <v>17</v>
      </c>
      <c r="I22" s="188" t="str">
        <f t="shared" si="1"/>
        <v/>
      </c>
      <c r="J22" s="187" t="e">
        <f t="shared" si="5"/>
        <v>#NUM!</v>
      </c>
      <c r="K22" s="187" t="e">
        <f t="shared" si="2"/>
        <v>#NUM!</v>
      </c>
      <c r="L22" s="187"/>
      <c r="M22" s="189">
        <f t="shared" si="3"/>
        <v>0</v>
      </c>
    </row>
    <row r="23" spans="1:19">
      <c r="A23" s="106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90">
        <v>18</v>
      </c>
      <c r="I23" s="191" t="str">
        <f t="shared" si="1"/>
        <v/>
      </c>
      <c r="J23" s="190" t="e">
        <f t="shared" si="5"/>
        <v>#NUM!</v>
      </c>
      <c r="K23" s="190" t="e">
        <f t="shared" si="2"/>
        <v>#NUM!</v>
      </c>
      <c r="L23" s="190"/>
      <c r="M23" s="192">
        <f t="shared" si="3"/>
        <v>0</v>
      </c>
    </row>
    <row r="24" spans="1:19">
      <c r="A24" s="102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87">
        <v>19</v>
      </c>
      <c r="I24" s="188" t="str">
        <f t="shared" si="1"/>
        <v/>
      </c>
      <c r="J24" s="187" t="e">
        <f t="shared" si="5"/>
        <v>#NUM!</v>
      </c>
      <c r="K24" s="187" t="e">
        <f t="shared" si="2"/>
        <v>#NUM!</v>
      </c>
      <c r="L24" s="187"/>
      <c r="M24" s="189">
        <f t="shared" si="3"/>
        <v>0</v>
      </c>
      <c r="R24" s="200"/>
      <c r="S24" s="201"/>
    </row>
    <row r="25" spans="1:19">
      <c r="A25" s="106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90">
        <v>20</v>
      </c>
      <c r="I25" s="191" t="str">
        <f t="shared" si="1"/>
        <v/>
      </c>
      <c r="J25" s="190" t="e">
        <f t="shared" si="5"/>
        <v>#NUM!</v>
      </c>
      <c r="K25" s="190" t="e">
        <f t="shared" si="2"/>
        <v>#NUM!</v>
      </c>
      <c r="L25" s="190"/>
      <c r="M25" s="192">
        <f t="shared" si="3"/>
        <v>0</v>
      </c>
    </row>
    <row r="26" spans="1:19">
      <c r="A26" s="102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87">
        <v>21</v>
      </c>
      <c r="I26" s="188" t="str">
        <f t="shared" si="1"/>
        <v/>
      </c>
      <c r="J26" s="187" t="e">
        <f t="shared" si="5"/>
        <v>#NUM!</v>
      </c>
      <c r="K26" s="187" t="e">
        <f t="shared" si="2"/>
        <v>#NUM!</v>
      </c>
      <c r="L26" s="187"/>
      <c r="M26" s="189">
        <f t="shared" si="3"/>
        <v>0</v>
      </c>
    </row>
    <row r="27" spans="1:19">
      <c r="A27" s="106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90">
        <v>22</v>
      </c>
      <c r="I27" s="191" t="str">
        <f t="shared" si="1"/>
        <v/>
      </c>
      <c r="J27" s="190" t="e">
        <f t="shared" si="5"/>
        <v>#NUM!</v>
      </c>
      <c r="K27" s="190" t="e">
        <f t="shared" si="2"/>
        <v>#NUM!</v>
      </c>
      <c r="L27" s="190"/>
      <c r="M27" s="192">
        <f t="shared" si="3"/>
        <v>0</v>
      </c>
    </row>
    <row r="28" spans="1:19">
      <c r="A28" s="102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87">
        <v>23</v>
      </c>
      <c r="I28" s="188" t="str">
        <f t="shared" si="1"/>
        <v/>
      </c>
      <c r="J28" s="187" t="e">
        <f t="shared" si="5"/>
        <v>#NUM!</v>
      </c>
      <c r="K28" s="187" t="e">
        <f t="shared" si="2"/>
        <v>#NUM!</v>
      </c>
      <c r="L28" s="187"/>
      <c r="M28" s="189">
        <f t="shared" si="3"/>
        <v>0</v>
      </c>
      <c r="R28" s="200"/>
      <c r="S28" s="201"/>
    </row>
    <row r="29" spans="1:19">
      <c r="A29" s="106">
        <f t="shared" si="4"/>
        <v>0</v>
      </c>
      <c r="B29" s="41" t="str">
        <f t="shared" si="0"/>
        <v/>
      </c>
      <c r="C29" s="42"/>
      <c r="D29" s="42"/>
      <c r="E29" s="42"/>
      <c r="F29" s="42"/>
      <c r="G29" s="175"/>
      <c r="H29" s="190">
        <v>24</v>
      </c>
      <c r="I29" s="191" t="str">
        <f t="shared" si="1"/>
        <v/>
      </c>
      <c r="J29" s="190" t="e">
        <f t="shared" si="5"/>
        <v>#NUM!</v>
      </c>
      <c r="K29" s="190" t="e">
        <f t="shared" si="2"/>
        <v>#NUM!</v>
      </c>
      <c r="L29" s="190"/>
      <c r="M29" s="192">
        <f t="shared" si="3"/>
        <v>0</v>
      </c>
    </row>
    <row r="30" spans="1:19">
      <c r="A30" s="102">
        <f t="shared" si="4"/>
        <v>0</v>
      </c>
      <c r="B30" s="35" t="str">
        <f t="shared" si="0"/>
        <v/>
      </c>
      <c r="C30" s="36"/>
      <c r="D30" s="36"/>
      <c r="E30" s="36"/>
      <c r="F30" s="36"/>
      <c r="G30" s="175"/>
      <c r="H30" s="187">
        <v>25</v>
      </c>
      <c r="I30" s="188" t="str">
        <f t="shared" si="1"/>
        <v/>
      </c>
      <c r="J30" s="187" t="e">
        <f t="shared" si="5"/>
        <v>#NUM!</v>
      </c>
      <c r="K30" s="187" t="e">
        <f t="shared" si="2"/>
        <v>#NUM!</v>
      </c>
      <c r="L30" s="187"/>
      <c r="M30" s="189">
        <f t="shared" si="3"/>
        <v>0</v>
      </c>
    </row>
    <row r="31" spans="1:19">
      <c r="A31" s="106">
        <f t="shared" si="4"/>
        <v>0</v>
      </c>
      <c r="B31" s="41" t="str">
        <f t="shared" si="0"/>
        <v/>
      </c>
      <c r="C31" s="42"/>
      <c r="D31" s="42"/>
      <c r="E31" s="42"/>
      <c r="F31" s="42"/>
      <c r="G31" s="175"/>
      <c r="H31" s="190">
        <v>26</v>
      </c>
      <c r="I31" s="191" t="str">
        <f t="shared" si="1"/>
        <v/>
      </c>
      <c r="J31" s="190" t="e">
        <f t="shared" si="5"/>
        <v>#NUM!</v>
      </c>
      <c r="K31" s="190" t="e">
        <f t="shared" si="2"/>
        <v>#NUM!</v>
      </c>
      <c r="L31" s="190"/>
      <c r="M31" s="192">
        <f t="shared" si="3"/>
        <v>0</v>
      </c>
    </row>
    <row r="32" spans="1:19">
      <c r="A32" s="102">
        <f t="shared" si="4"/>
        <v>0</v>
      </c>
      <c r="B32" s="35" t="str">
        <f t="shared" si="0"/>
        <v/>
      </c>
      <c r="C32" s="36"/>
      <c r="D32" s="36"/>
      <c r="E32" s="36"/>
      <c r="F32" s="36"/>
      <c r="G32" s="175"/>
      <c r="H32" s="187">
        <v>27</v>
      </c>
      <c r="I32" s="188" t="str">
        <f t="shared" si="1"/>
        <v/>
      </c>
      <c r="J32" s="187" t="e">
        <f t="shared" si="5"/>
        <v>#NUM!</v>
      </c>
      <c r="K32" s="187" t="e">
        <f t="shared" si="2"/>
        <v>#NUM!</v>
      </c>
      <c r="L32" s="187"/>
      <c r="M32" s="189">
        <f t="shared" si="3"/>
        <v>0</v>
      </c>
      <c r="R32" s="200"/>
      <c r="S32" s="201"/>
    </row>
    <row r="33" spans="1:19">
      <c r="A33" s="106">
        <f t="shared" si="4"/>
        <v>0</v>
      </c>
      <c r="B33" s="41" t="str">
        <f t="shared" si="0"/>
        <v/>
      </c>
      <c r="C33" s="42"/>
      <c r="D33" s="42"/>
      <c r="E33" s="42"/>
      <c r="F33" s="42"/>
      <c r="G33" s="175"/>
      <c r="H33" s="190">
        <v>28</v>
      </c>
      <c r="I33" s="191" t="str">
        <f t="shared" si="1"/>
        <v/>
      </c>
      <c r="J33" s="190" t="e">
        <f t="shared" si="5"/>
        <v>#NUM!</v>
      </c>
      <c r="K33" s="190" t="e">
        <f t="shared" si="2"/>
        <v>#NUM!</v>
      </c>
      <c r="L33" s="190"/>
      <c r="M33" s="192">
        <f t="shared" si="3"/>
        <v>0</v>
      </c>
    </row>
    <row r="34" spans="1:19">
      <c r="A34" s="102">
        <f t="shared" si="4"/>
        <v>0</v>
      </c>
      <c r="B34" s="35" t="str">
        <f t="shared" si="0"/>
        <v/>
      </c>
      <c r="C34" s="36"/>
      <c r="D34" s="36"/>
      <c r="E34" s="36"/>
      <c r="F34" s="36"/>
      <c r="G34" s="175"/>
      <c r="H34" s="187">
        <v>29</v>
      </c>
      <c r="I34" s="188" t="str">
        <f t="shared" si="1"/>
        <v/>
      </c>
      <c r="J34" s="187" t="e">
        <f t="shared" si="5"/>
        <v>#NUM!</v>
      </c>
      <c r="K34" s="187" t="e">
        <f t="shared" si="2"/>
        <v>#NUM!</v>
      </c>
      <c r="L34" s="187"/>
      <c r="M34" s="189">
        <f t="shared" si="3"/>
        <v>0</v>
      </c>
    </row>
    <row r="35" spans="1:19">
      <c r="A35" s="106">
        <f t="shared" si="4"/>
        <v>0</v>
      </c>
      <c r="B35" s="41" t="str">
        <f t="shared" si="0"/>
        <v/>
      </c>
      <c r="C35" s="42"/>
      <c r="D35" s="42"/>
      <c r="E35" s="42"/>
      <c r="F35" s="42"/>
      <c r="G35" s="175"/>
      <c r="H35" s="190">
        <v>30</v>
      </c>
      <c r="I35" s="191" t="str">
        <f t="shared" si="1"/>
        <v/>
      </c>
      <c r="J35" s="190" t="e">
        <f t="shared" si="5"/>
        <v>#NUM!</v>
      </c>
      <c r="K35" s="190" t="e">
        <f t="shared" si="2"/>
        <v>#NUM!</v>
      </c>
      <c r="L35" s="190"/>
      <c r="M35" s="192">
        <f t="shared" si="3"/>
        <v>0</v>
      </c>
    </row>
    <row r="36" spans="1:19">
      <c r="A36" s="102">
        <f t="shared" si="4"/>
        <v>0</v>
      </c>
      <c r="B36" s="35" t="str">
        <f t="shared" si="0"/>
        <v/>
      </c>
      <c r="C36" s="36"/>
      <c r="D36" s="36"/>
      <c r="E36" s="36"/>
      <c r="F36" s="36"/>
      <c r="G36" s="175"/>
      <c r="H36" s="187">
        <v>31</v>
      </c>
      <c r="I36" s="188" t="str">
        <f t="shared" si="1"/>
        <v/>
      </c>
      <c r="J36" s="187" t="e">
        <f t="shared" si="5"/>
        <v>#NUM!</v>
      </c>
      <c r="K36" s="187" t="e">
        <f t="shared" si="2"/>
        <v>#NUM!</v>
      </c>
      <c r="L36" s="187"/>
      <c r="M36" s="189">
        <f t="shared" si="3"/>
        <v>0</v>
      </c>
      <c r="R36" s="200"/>
      <c r="S36" s="201"/>
    </row>
    <row r="37" spans="1:19">
      <c r="A37" s="106">
        <f t="shared" si="4"/>
        <v>0</v>
      </c>
      <c r="B37" s="41" t="str">
        <f t="shared" si="0"/>
        <v/>
      </c>
      <c r="C37" s="42"/>
      <c r="D37" s="42"/>
      <c r="E37" s="42"/>
      <c r="F37" s="42"/>
      <c r="G37" s="175"/>
      <c r="H37" s="190">
        <v>32</v>
      </c>
      <c r="I37" s="191" t="str">
        <f t="shared" si="1"/>
        <v/>
      </c>
      <c r="J37" s="190" t="e">
        <f t="shared" si="5"/>
        <v>#NUM!</v>
      </c>
      <c r="K37" s="190" t="e">
        <f t="shared" si="2"/>
        <v>#NUM!</v>
      </c>
      <c r="L37" s="190"/>
      <c r="M37" s="192">
        <f t="shared" si="3"/>
        <v>0</v>
      </c>
    </row>
    <row r="38" spans="1:19">
      <c r="A38" s="102">
        <f t="shared" si="4"/>
        <v>0</v>
      </c>
      <c r="B38" s="35" t="str">
        <f t="shared" si="0"/>
        <v/>
      </c>
      <c r="C38" s="36"/>
      <c r="D38" s="36"/>
      <c r="E38" s="36"/>
      <c r="F38" s="36"/>
      <c r="G38" s="175"/>
      <c r="H38" s="187">
        <v>33</v>
      </c>
      <c r="I38" s="188" t="str">
        <f t="shared" si="1"/>
        <v/>
      </c>
      <c r="J38" s="187" t="e">
        <f t="shared" si="5"/>
        <v>#NUM!</v>
      </c>
      <c r="K38" s="187" t="e">
        <f t="shared" si="2"/>
        <v>#NUM!</v>
      </c>
      <c r="L38" s="187"/>
      <c r="M38" s="189">
        <f t="shared" si="3"/>
        <v>0</v>
      </c>
    </row>
    <row r="39" spans="1:19">
      <c r="A39" s="106">
        <f t="shared" si="4"/>
        <v>0</v>
      </c>
      <c r="B39" s="41" t="str">
        <f t="shared" si="0"/>
        <v/>
      </c>
      <c r="C39" s="42"/>
      <c r="D39" s="42"/>
      <c r="E39" s="42"/>
      <c r="F39" s="42"/>
      <c r="G39" s="175"/>
      <c r="H39" s="190">
        <v>34</v>
      </c>
      <c r="I39" s="191" t="str">
        <f t="shared" si="1"/>
        <v/>
      </c>
      <c r="J39" s="190" t="e">
        <f t="shared" si="5"/>
        <v>#NUM!</v>
      </c>
      <c r="K39" s="190" t="e">
        <f t="shared" si="2"/>
        <v>#NUM!</v>
      </c>
      <c r="L39" s="190"/>
      <c r="M39" s="192">
        <f t="shared" si="3"/>
        <v>0</v>
      </c>
    </row>
    <row r="40" spans="1:19">
      <c r="A40" s="102">
        <f t="shared" si="4"/>
        <v>0</v>
      </c>
      <c r="B40" s="35" t="str">
        <f t="shared" si="0"/>
        <v/>
      </c>
      <c r="C40" s="36"/>
      <c r="D40" s="36"/>
      <c r="E40" s="36"/>
      <c r="F40" s="36"/>
      <c r="G40" s="175"/>
      <c r="H40" s="187">
        <v>35</v>
      </c>
      <c r="I40" s="188" t="str">
        <f t="shared" si="1"/>
        <v/>
      </c>
      <c r="J40" s="187" t="e">
        <f t="shared" si="5"/>
        <v>#NUM!</v>
      </c>
      <c r="K40" s="187" t="e">
        <f t="shared" si="2"/>
        <v>#NUM!</v>
      </c>
      <c r="L40" s="187"/>
      <c r="M40" s="189">
        <f t="shared" si="3"/>
        <v>0</v>
      </c>
    </row>
    <row r="41" spans="1:19">
      <c r="A41" s="106">
        <f t="shared" si="4"/>
        <v>0</v>
      </c>
      <c r="B41" s="41" t="str">
        <f t="shared" si="0"/>
        <v/>
      </c>
      <c r="C41" s="42"/>
      <c r="D41" s="42"/>
      <c r="E41" s="42"/>
      <c r="F41" s="42"/>
      <c r="G41" s="175"/>
      <c r="H41" s="190">
        <v>36</v>
      </c>
      <c r="I41" s="191" t="str">
        <f t="shared" si="1"/>
        <v/>
      </c>
      <c r="J41" s="190" t="e">
        <f t="shared" si="5"/>
        <v>#NUM!</v>
      </c>
      <c r="K41" s="190" t="e">
        <f t="shared" si="2"/>
        <v>#NUM!</v>
      </c>
      <c r="L41" s="190"/>
      <c r="M41" s="192">
        <f t="shared" si="3"/>
        <v>0</v>
      </c>
      <c r="S41" s="202"/>
    </row>
    <row r="42" spans="1:19">
      <c r="A42" s="102">
        <f t="shared" si="4"/>
        <v>0</v>
      </c>
      <c r="B42" s="35" t="str">
        <f t="shared" si="0"/>
        <v/>
      </c>
      <c r="C42" s="36"/>
      <c r="D42" s="36"/>
      <c r="E42" s="36"/>
      <c r="F42" s="36"/>
      <c r="G42" s="175"/>
      <c r="H42" s="187">
        <v>37</v>
      </c>
      <c r="I42" s="188" t="str">
        <f t="shared" si="1"/>
        <v/>
      </c>
      <c r="J42" s="187" t="e">
        <f t="shared" si="5"/>
        <v>#NUM!</v>
      </c>
      <c r="K42" s="187" t="e">
        <f t="shared" si="2"/>
        <v>#NUM!</v>
      </c>
      <c r="L42" s="187"/>
      <c r="M42" s="189">
        <f t="shared" si="3"/>
        <v>0</v>
      </c>
    </row>
    <row r="43" spans="1:19">
      <c r="A43" s="106">
        <f t="shared" si="4"/>
        <v>0</v>
      </c>
      <c r="B43" s="41" t="str">
        <f t="shared" si="0"/>
        <v/>
      </c>
      <c r="C43" s="42"/>
      <c r="D43" s="42"/>
      <c r="E43" s="42"/>
      <c r="F43" s="42"/>
      <c r="G43" s="175"/>
      <c r="H43" s="190">
        <v>38</v>
      </c>
      <c r="I43" s="191" t="str">
        <f t="shared" si="1"/>
        <v/>
      </c>
      <c r="J43" s="190" t="e">
        <f t="shared" si="5"/>
        <v>#NUM!</v>
      </c>
      <c r="K43" s="190" t="e">
        <f t="shared" si="2"/>
        <v>#NUM!</v>
      </c>
      <c r="L43" s="190"/>
      <c r="M43" s="192">
        <f t="shared" si="3"/>
        <v>0</v>
      </c>
    </row>
    <row r="44" spans="1:19">
      <c r="A44" s="102">
        <f t="shared" si="4"/>
        <v>0</v>
      </c>
      <c r="B44" s="35" t="str">
        <f t="shared" si="0"/>
        <v/>
      </c>
      <c r="C44" s="36"/>
      <c r="D44" s="36"/>
      <c r="E44" s="36"/>
      <c r="F44" s="36"/>
      <c r="G44" s="175"/>
      <c r="H44" s="187">
        <v>39</v>
      </c>
      <c r="I44" s="188" t="str">
        <f t="shared" si="1"/>
        <v/>
      </c>
      <c r="J44" s="187" t="e">
        <f t="shared" si="5"/>
        <v>#NUM!</v>
      </c>
      <c r="K44" s="187" t="e">
        <f t="shared" si="2"/>
        <v>#NUM!</v>
      </c>
      <c r="L44" s="187"/>
      <c r="M44" s="189">
        <f t="shared" si="3"/>
        <v>0</v>
      </c>
    </row>
    <row r="45" spans="1:19">
      <c r="A45" s="106">
        <f t="shared" si="4"/>
        <v>0</v>
      </c>
      <c r="B45" s="41" t="str">
        <f t="shared" si="0"/>
        <v/>
      </c>
      <c r="C45" s="42"/>
      <c r="D45" s="42"/>
      <c r="E45" s="42"/>
      <c r="F45" s="42"/>
      <c r="G45" s="175"/>
      <c r="H45" s="190">
        <v>40</v>
      </c>
      <c r="I45" s="191" t="str">
        <f t="shared" si="1"/>
        <v/>
      </c>
      <c r="J45" s="190" t="e">
        <f t="shared" si="5"/>
        <v>#NUM!</v>
      </c>
      <c r="K45" s="190" t="e">
        <f t="shared" si="2"/>
        <v>#NUM!</v>
      </c>
      <c r="L45" s="190"/>
      <c r="M45" s="192">
        <f t="shared" si="3"/>
        <v>0</v>
      </c>
    </row>
    <row r="46" spans="1:19">
      <c r="A46" s="102">
        <f t="shared" si="4"/>
        <v>0</v>
      </c>
      <c r="B46" s="35" t="str">
        <f t="shared" si="0"/>
        <v/>
      </c>
      <c r="C46" s="36"/>
      <c r="D46" s="36"/>
      <c r="E46" s="36"/>
      <c r="F46" s="36"/>
      <c r="G46" s="175"/>
      <c r="H46" s="187">
        <v>41</v>
      </c>
      <c r="I46" s="188" t="str">
        <f t="shared" si="1"/>
        <v/>
      </c>
      <c r="J46" s="187" t="e">
        <f t="shared" si="5"/>
        <v>#NUM!</v>
      </c>
      <c r="K46" s="187" t="e">
        <f t="shared" si="2"/>
        <v>#NUM!</v>
      </c>
      <c r="L46" s="187"/>
      <c r="M46" s="189">
        <f t="shared" si="3"/>
        <v>0</v>
      </c>
    </row>
    <row r="47" spans="1:19">
      <c r="A47" s="106">
        <f t="shared" si="4"/>
        <v>0</v>
      </c>
      <c r="B47" s="41" t="str">
        <f t="shared" si="0"/>
        <v/>
      </c>
      <c r="C47" s="42"/>
      <c r="D47" s="42"/>
      <c r="E47" s="42"/>
      <c r="F47" s="42"/>
      <c r="G47" s="175"/>
      <c r="H47" s="190">
        <v>42</v>
      </c>
      <c r="I47" s="191" t="str">
        <f t="shared" si="1"/>
        <v/>
      </c>
      <c r="J47" s="190" t="e">
        <f t="shared" si="5"/>
        <v>#NUM!</v>
      </c>
      <c r="K47" s="190" t="e">
        <f t="shared" si="2"/>
        <v>#NUM!</v>
      </c>
      <c r="L47" s="190"/>
      <c r="M47" s="192">
        <f t="shared" si="3"/>
        <v>0</v>
      </c>
    </row>
    <row r="48" spans="1:19">
      <c r="A48" s="102">
        <f t="shared" si="4"/>
        <v>0</v>
      </c>
      <c r="B48" s="35" t="str">
        <f t="shared" si="0"/>
        <v/>
      </c>
      <c r="C48" s="36"/>
      <c r="D48" s="36"/>
      <c r="E48" s="36"/>
      <c r="F48" s="36"/>
      <c r="G48" s="175"/>
      <c r="H48" s="187">
        <v>43</v>
      </c>
      <c r="I48" s="188" t="str">
        <f t="shared" si="1"/>
        <v/>
      </c>
      <c r="J48" s="187" t="e">
        <f t="shared" si="5"/>
        <v>#NUM!</v>
      </c>
      <c r="K48" s="187" t="e">
        <f t="shared" si="2"/>
        <v>#NUM!</v>
      </c>
      <c r="L48" s="187"/>
      <c r="M48" s="189">
        <f t="shared" si="3"/>
        <v>0</v>
      </c>
    </row>
    <row r="49" spans="1:38">
      <c r="A49" s="106">
        <f t="shared" si="4"/>
        <v>0</v>
      </c>
      <c r="B49" s="41" t="str">
        <f t="shared" si="0"/>
        <v/>
      </c>
      <c r="C49" s="42"/>
      <c r="D49" s="42"/>
      <c r="E49" s="42"/>
      <c r="F49" s="42"/>
      <c r="G49" s="175"/>
      <c r="H49" s="190">
        <v>44</v>
      </c>
      <c r="I49" s="191" t="str">
        <f t="shared" si="1"/>
        <v/>
      </c>
      <c r="J49" s="190" t="e">
        <f t="shared" si="5"/>
        <v>#NUM!</v>
      </c>
      <c r="K49" s="190" t="e">
        <f t="shared" si="2"/>
        <v>#NUM!</v>
      </c>
      <c r="L49" s="190"/>
      <c r="M49" s="192">
        <f t="shared" si="3"/>
        <v>0</v>
      </c>
    </row>
    <row r="50" spans="1:38">
      <c r="A50" s="102">
        <f t="shared" si="4"/>
        <v>0</v>
      </c>
      <c r="B50" s="35" t="str">
        <f t="shared" si="0"/>
        <v/>
      </c>
      <c r="C50" s="36"/>
      <c r="D50" s="36"/>
      <c r="E50" s="36"/>
      <c r="F50" s="36"/>
      <c r="G50" s="175"/>
      <c r="H50" s="187">
        <v>45</v>
      </c>
      <c r="I50" s="188" t="str">
        <f t="shared" si="1"/>
        <v/>
      </c>
      <c r="J50" s="187" t="e">
        <f t="shared" si="5"/>
        <v>#NUM!</v>
      </c>
      <c r="K50" s="187" t="e">
        <f t="shared" si="2"/>
        <v>#NUM!</v>
      </c>
      <c r="L50" s="187"/>
      <c r="M50" s="189">
        <f t="shared" si="3"/>
        <v>0</v>
      </c>
    </row>
    <row r="51" spans="1:38">
      <c r="A51" s="106">
        <f t="shared" si="4"/>
        <v>0</v>
      </c>
      <c r="B51" s="41" t="str">
        <f t="shared" si="0"/>
        <v/>
      </c>
      <c r="C51" s="42"/>
      <c r="D51" s="42"/>
      <c r="E51" s="42"/>
      <c r="F51" s="42"/>
      <c r="G51" s="175"/>
      <c r="H51" s="190">
        <v>46</v>
      </c>
      <c r="I51" s="191" t="str">
        <f t="shared" si="1"/>
        <v/>
      </c>
      <c r="J51" s="190" t="e">
        <f t="shared" si="5"/>
        <v>#NUM!</v>
      </c>
      <c r="K51" s="190" t="e">
        <f t="shared" si="2"/>
        <v>#NUM!</v>
      </c>
      <c r="L51" s="190"/>
      <c r="M51" s="192">
        <f t="shared" si="3"/>
        <v>0</v>
      </c>
    </row>
    <row r="52" spans="1:38">
      <c r="A52" s="102">
        <f t="shared" si="4"/>
        <v>0</v>
      </c>
      <c r="B52" s="35" t="str">
        <f t="shared" si="0"/>
        <v/>
      </c>
      <c r="C52" s="36"/>
      <c r="D52" s="36"/>
      <c r="E52" s="36"/>
      <c r="F52" s="36"/>
      <c r="G52" s="175"/>
      <c r="H52" s="187">
        <v>47</v>
      </c>
      <c r="I52" s="188" t="str">
        <f t="shared" si="1"/>
        <v/>
      </c>
      <c r="J52" s="187" t="e">
        <f t="shared" si="5"/>
        <v>#NUM!</v>
      </c>
      <c r="K52" s="187" t="e">
        <f t="shared" si="2"/>
        <v>#NUM!</v>
      </c>
      <c r="L52" s="187"/>
      <c r="M52" s="189">
        <f t="shared" si="3"/>
        <v>0</v>
      </c>
    </row>
    <row r="53" spans="1:38">
      <c r="A53" s="106">
        <f t="shared" si="4"/>
        <v>0</v>
      </c>
      <c r="B53" s="41" t="str">
        <f t="shared" si="0"/>
        <v/>
      </c>
      <c r="C53" s="42"/>
      <c r="D53" s="42"/>
      <c r="E53" s="42"/>
      <c r="F53" s="42"/>
      <c r="G53" s="175"/>
      <c r="H53" s="190">
        <v>48</v>
      </c>
      <c r="I53" s="191" t="str">
        <f t="shared" si="1"/>
        <v/>
      </c>
      <c r="J53" s="190" t="e">
        <f t="shared" si="5"/>
        <v>#NUM!</v>
      </c>
      <c r="K53" s="190" t="e">
        <f t="shared" si="2"/>
        <v>#NUM!</v>
      </c>
      <c r="L53" s="190"/>
      <c r="M53" s="192">
        <f t="shared" si="3"/>
        <v>0</v>
      </c>
    </row>
    <row r="54" spans="1:38">
      <c r="A54" s="102">
        <f t="shared" si="4"/>
        <v>0</v>
      </c>
      <c r="B54" s="35" t="str">
        <f t="shared" si="0"/>
        <v/>
      </c>
      <c r="C54" s="36"/>
      <c r="D54" s="36"/>
      <c r="E54" s="36"/>
      <c r="F54" s="36"/>
      <c r="G54" s="175"/>
      <c r="H54" s="187">
        <v>49</v>
      </c>
      <c r="I54" s="188" t="str">
        <f t="shared" si="1"/>
        <v/>
      </c>
      <c r="J54" s="187" t="e">
        <f t="shared" si="5"/>
        <v>#NUM!</v>
      </c>
      <c r="K54" s="187" t="e">
        <f t="shared" si="2"/>
        <v>#NUM!</v>
      </c>
      <c r="L54" s="187"/>
      <c r="M54" s="189">
        <f t="shared" si="3"/>
        <v>0</v>
      </c>
    </row>
    <row r="55" spans="1:38">
      <c r="A55" s="106">
        <f t="shared" si="4"/>
        <v>0</v>
      </c>
      <c r="B55" s="41" t="str">
        <f t="shared" si="0"/>
        <v/>
      </c>
      <c r="C55" s="42"/>
      <c r="D55" s="42"/>
      <c r="E55" s="42"/>
      <c r="F55" s="42"/>
      <c r="G55" s="175"/>
      <c r="H55" s="190">
        <v>50</v>
      </c>
      <c r="I55" s="191" t="str">
        <f t="shared" si="1"/>
        <v/>
      </c>
      <c r="J55" s="190" t="e">
        <f t="shared" si="5"/>
        <v>#NUM!</v>
      </c>
      <c r="K55" s="190" t="e">
        <f t="shared" si="2"/>
        <v>#NUM!</v>
      </c>
      <c r="L55" s="190"/>
      <c r="M55" s="192">
        <f t="shared" si="3"/>
        <v>0</v>
      </c>
    </row>
    <row r="56" spans="1:38">
      <c r="A56" s="102">
        <f t="shared" si="4"/>
        <v>0</v>
      </c>
      <c r="B56" s="35" t="str">
        <f t="shared" si="0"/>
        <v/>
      </c>
      <c r="C56" s="36"/>
      <c r="D56" s="36"/>
      <c r="E56" s="36"/>
      <c r="F56" s="36"/>
      <c r="G56" s="175"/>
      <c r="H56" s="187">
        <v>51</v>
      </c>
      <c r="I56" s="188" t="str">
        <f t="shared" si="1"/>
        <v/>
      </c>
      <c r="J56" s="187" t="e">
        <f t="shared" si="5"/>
        <v>#NUM!</v>
      </c>
      <c r="K56" s="187" t="e">
        <f t="shared" si="2"/>
        <v>#NUM!</v>
      </c>
      <c r="L56" s="187"/>
      <c r="M56" s="189">
        <f t="shared" si="3"/>
        <v>0</v>
      </c>
    </row>
    <row r="57" spans="1:38" s="175" customFormat="1">
      <c r="A57" s="106">
        <f t="shared" si="4"/>
        <v>0</v>
      </c>
      <c r="B57" s="41" t="str">
        <f t="shared" si="0"/>
        <v/>
      </c>
      <c r="C57" s="42"/>
      <c r="D57" s="42"/>
      <c r="E57" s="42"/>
      <c r="F57" s="42"/>
      <c r="H57" s="190">
        <v>52</v>
      </c>
      <c r="I57" s="191" t="str">
        <f t="shared" si="1"/>
        <v/>
      </c>
      <c r="J57" s="190" t="e">
        <f t="shared" si="5"/>
        <v>#NUM!</v>
      </c>
      <c r="K57" s="190" t="e">
        <f t="shared" si="2"/>
        <v>#NUM!</v>
      </c>
      <c r="L57" s="190"/>
      <c r="M57" s="192">
        <f t="shared" si="3"/>
        <v>0</v>
      </c>
      <c r="S57" s="180"/>
      <c r="T57" s="180"/>
      <c r="U57" s="180"/>
      <c r="V57" s="180"/>
      <c r="W57" s="180"/>
      <c r="X57" s="180"/>
      <c r="Y57" s="180"/>
      <c r="Z57" s="180"/>
      <c r="AA57" s="180"/>
      <c r="AB57" s="180"/>
      <c r="AC57" s="180"/>
      <c r="AD57" s="180"/>
      <c r="AE57" s="180"/>
      <c r="AF57" s="180"/>
      <c r="AG57" s="180"/>
      <c r="AH57" s="180"/>
      <c r="AI57" s="180"/>
      <c r="AJ57" s="180"/>
      <c r="AK57" s="180"/>
      <c r="AL57" s="180"/>
    </row>
    <row r="58" spans="1:38" s="175" customFormat="1">
      <c r="A58" s="102">
        <f t="shared" si="4"/>
        <v>0</v>
      </c>
      <c r="B58" s="35" t="str">
        <f t="shared" si="0"/>
        <v/>
      </c>
      <c r="C58" s="36"/>
      <c r="D58" s="36"/>
      <c r="E58" s="36"/>
      <c r="F58" s="36"/>
      <c r="H58" s="187">
        <v>53</v>
      </c>
      <c r="I58" s="188" t="str">
        <f t="shared" si="1"/>
        <v/>
      </c>
      <c r="J58" s="187" t="e">
        <f t="shared" si="5"/>
        <v>#NUM!</v>
      </c>
      <c r="K58" s="187" t="e">
        <f t="shared" si="2"/>
        <v>#NUM!</v>
      </c>
      <c r="L58" s="187"/>
      <c r="M58" s="189">
        <f t="shared" si="3"/>
        <v>0</v>
      </c>
      <c r="S58" s="180"/>
      <c r="T58" s="180"/>
      <c r="U58" s="180"/>
      <c r="V58" s="180"/>
      <c r="W58" s="180"/>
      <c r="X58" s="180"/>
      <c r="Y58" s="180"/>
      <c r="Z58" s="180"/>
      <c r="AA58" s="180"/>
      <c r="AB58" s="180"/>
      <c r="AC58" s="180"/>
      <c r="AD58" s="180"/>
      <c r="AE58" s="180"/>
      <c r="AF58" s="180"/>
      <c r="AG58" s="180"/>
      <c r="AH58" s="180"/>
      <c r="AI58" s="180"/>
      <c r="AJ58" s="180"/>
      <c r="AK58" s="180"/>
      <c r="AL58" s="180"/>
    </row>
    <row r="59" spans="1:38" s="175" customFormat="1">
      <c r="A59" s="106">
        <f t="shared" si="4"/>
        <v>0</v>
      </c>
      <c r="B59" s="41" t="str">
        <f t="shared" si="0"/>
        <v/>
      </c>
      <c r="C59" s="42"/>
      <c r="D59" s="42"/>
      <c r="E59" s="42"/>
      <c r="F59" s="42"/>
      <c r="H59" s="190">
        <v>54</v>
      </c>
      <c r="I59" s="191" t="str">
        <f t="shared" si="1"/>
        <v/>
      </c>
      <c r="J59" s="190" t="e">
        <f t="shared" si="5"/>
        <v>#NUM!</v>
      </c>
      <c r="K59" s="190" t="e">
        <f t="shared" si="2"/>
        <v>#NUM!</v>
      </c>
      <c r="L59" s="190"/>
      <c r="M59" s="192">
        <f t="shared" si="3"/>
        <v>0</v>
      </c>
      <c r="S59" s="180"/>
      <c r="T59" s="180"/>
      <c r="U59" s="180"/>
      <c r="V59" s="180"/>
      <c r="W59" s="180"/>
      <c r="X59" s="180"/>
      <c r="Y59" s="180"/>
      <c r="Z59" s="180"/>
      <c r="AA59" s="180"/>
      <c r="AB59" s="180"/>
      <c r="AC59" s="180"/>
      <c r="AD59" s="180"/>
      <c r="AE59" s="180"/>
      <c r="AF59" s="180"/>
      <c r="AG59" s="180"/>
      <c r="AH59" s="180"/>
      <c r="AI59" s="180"/>
      <c r="AJ59" s="180"/>
      <c r="AK59" s="180"/>
      <c r="AL59" s="180"/>
    </row>
    <row r="60" spans="1:38" s="175" customFormat="1">
      <c r="A60" s="102">
        <f t="shared" si="4"/>
        <v>0</v>
      </c>
      <c r="B60" s="35" t="str">
        <f t="shared" si="0"/>
        <v/>
      </c>
      <c r="C60" s="36"/>
      <c r="D60" s="36"/>
      <c r="E60" s="36"/>
      <c r="F60" s="36"/>
      <c r="H60" s="187">
        <v>55</v>
      </c>
      <c r="I60" s="188" t="str">
        <f t="shared" si="1"/>
        <v/>
      </c>
      <c r="J60" s="187" t="e">
        <f t="shared" si="5"/>
        <v>#NUM!</v>
      </c>
      <c r="K60" s="187" t="e">
        <f t="shared" si="2"/>
        <v>#NUM!</v>
      </c>
      <c r="L60" s="187"/>
      <c r="M60" s="189">
        <f t="shared" si="3"/>
        <v>0</v>
      </c>
      <c r="S60" s="180"/>
      <c r="T60" s="180"/>
      <c r="U60" s="180"/>
      <c r="V60" s="180"/>
      <c r="W60" s="180"/>
      <c r="X60" s="180"/>
      <c r="Y60" s="180"/>
      <c r="Z60" s="180"/>
      <c r="AA60" s="180"/>
      <c r="AB60" s="180"/>
      <c r="AC60" s="180"/>
      <c r="AD60" s="180"/>
      <c r="AE60" s="180"/>
      <c r="AF60" s="180"/>
      <c r="AG60" s="180"/>
      <c r="AH60" s="180"/>
      <c r="AI60" s="180"/>
      <c r="AJ60" s="180"/>
      <c r="AK60" s="180"/>
      <c r="AL60" s="180"/>
    </row>
    <row r="61" spans="1:38" s="175" customFormat="1">
      <c r="A61" s="106">
        <f t="shared" si="4"/>
        <v>0</v>
      </c>
      <c r="B61" s="41" t="str">
        <f t="shared" si="0"/>
        <v/>
      </c>
      <c r="C61" s="42"/>
      <c r="D61" s="42"/>
      <c r="E61" s="42"/>
      <c r="F61" s="42"/>
      <c r="H61" s="190">
        <v>56</v>
      </c>
      <c r="I61" s="191" t="str">
        <f t="shared" si="1"/>
        <v/>
      </c>
      <c r="J61" s="190" t="e">
        <f t="shared" si="5"/>
        <v>#NUM!</v>
      </c>
      <c r="K61" s="190" t="e">
        <f t="shared" si="2"/>
        <v>#NUM!</v>
      </c>
      <c r="L61" s="190"/>
      <c r="M61" s="192">
        <f t="shared" si="3"/>
        <v>0</v>
      </c>
      <c r="S61" s="180"/>
      <c r="T61" s="180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0"/>
      <c r="AF61" s="180"/>
      <c r="AG61" s="180"/>
      <c r="AH61" s="180"/>
      <c r="AI61" s="180"/>
      <c r="AJ61" s="180"/>
      <c r="AK61" s="180"/>
      <c r="AL61" s="180"/>
    </row>
    <row r="62" spans="1:38" s="175" customFormat="1">
      <c r="A62" s="102">
        <f t="shared" si="4"/>
        <v>0</v>
      </c>
      <c r="B62" s="35" t="str">
        <f t="shared" si="0"/>
        <v/>
      </c>
      <c r="C62" s="36"/>
      <c r="D62" s="36"/>
      <c r="E62" s="36"/>
      <c r="F62" s="36"/>
      <c r="H62" s="187">
        <v>57</v>
      </c>
      <c r="I62" s="188" t="str">
        <f t="shared" si="1"/>
        <v/>
      </c>
      <c r="J62" s="187" t="e">
        <f t="shared" si="5"/>
        <v>#NUM!</v>
      </c>
      <c r="K62" s="187" t="e">
        <f t="shared" si="2"/>
        <v>#NUM!</v>
      </c>
      <c r="L62" s="187"/>
      <c r="M62" s="189">
        <f t="shared" si="3"/>
        <v>0</v>
      </c>
      <c r="S62" s="180"/>
      <c r="T62" s="180"/>
      <c r="U62" s="180"/>
      <c r="V62" s="180"/>
      <c r="W62" s="180"/>
      <c r="X62" s="180"/>
      <c r="Y62" s="180"/>
      <c r="Z62" s="180"/>
      <c r="AA62" s="180"/>
      <c r="AB62" s="180"/>
      <c r="AC62" s="180"/>
      <c r="AD62" s="180"/>
      <c r="AE62" s="180"/>
      <c r="AF62" s="180"/>
      <c r="AG62" s="180"/>
      <c r="AH62" s="180"/>
      <c r="AI62" s="180"/>
      <c r="AJ62" s="180"/>
      <c r="AK62" s="180"/>
      <c r="AL62" s="180"/>
    </row>
    <row r="63" spans="1:38" s="175" customFormat="1">
      <c r="A63" s="106">
        <f t="shared" si="4"/>
        <v>0</v>
      </c>
      <c r="B63" s="41" t="str">
        <f t="shared" si="0"/>
        <v/>
      </c>
      <c r="C63" s="42"/>
      <c r="D63" s="42"/>
      <c r="E63" s="42"/>
      <c r="F63" s="42"/>
      <c r="H63" s="190">
        <v>58</v>
      </c>
      <c r="I63" s="191" t="str">
        <f t="shared" si="1"/>
        <v/>
      </c>
      <c r="J63" s="190" t="e">
        <f t="shared" si="5"/>
        <v>#NUM!</v>
      </c>
      <c r="K63" s="190" t="e">
        <f t="shared" si="2"/>
        <v>#NUM!</v>
      </c>
      <c r="L63" s="190"/>
      <c r="M63" s="192">
        <f t="shared" si="3"/>
        <v>0</v>
      </c>
      <c r="S63" s="180"/>
      <c r="T63" s="180"/>
      <c r="U63" s="180"/>
      <c r="V63" s="180"/>
      <c r="W63" s="180"/>
      <c r="X63" s="180"/>
      <c r="Y63" s="180"/>
      <c r="Z63" s="180"/>
      <c r="AA63" s="180"/>
      <c r="AB63" s="180"/>
      <c r="AC63" s="180"/>
      <c r="AD63" s="180"/>
      <c r="AE63" s="180"/>
      <c r="AF63" s="180"/>
      <c r="AG63" s="180"/>
      <c r="AH63" s="180"/>
      <c r="AI63" s="180"/>
      <c r="AJ63" s="180"/>
      <c r="AK63" s="180"/>
      <c r="AL63" s="180"/>
    </row>
    <row r="64" spans="1:38" s="175" customFormat="1">
      <c r="A64" s="102">
        <f t="shared" si="4"/>
        <v>0</v>
      </c>
      <c r="B64" s="35" t="str">
        <f t="shared" si="0"/>
        <v/>
      </c>
      <c r="C64" s="36"/>
      <c r="D64" s="36"/>
      <c r="E64" s="36"/>
      <c r="F64" s="36"/>
      <c r="H64" s="187">
        <v>59</v>
      </c>
      <c r="I64" s="188" t="str">
        <f t="shared" si="1"/>
        <v/>
      </c>
      <c r="J64" s="187" t="e">
        <f t="shared" si="5"/>
        <v>#NUM!</v>
      </c>
      <c r="K64" s="187" t="e">
        <f t="shared" si="2"/>
        <v>#NUM!</v>
      </c>
      <c r="L64" s="187"/>
      <c r="M64" s="189">
        <f t="shared" si="3"/>
        <v>0</v>
      </c>
      <c r="S64" s="180"/>
      <c r="T64" s="180"/>
      <c r="U64" s="180"/>
      <c r="V64" s="180"/>
      <c r="W64" s="180"/>
      <c r="X64" s="180"/>
      <c r="Y64" s="180"/>
      <c r="Z64" s="180"/>
      <c r="AA64" s="180"/>
      <c r="AB64" s="180"/>
      <c r="AC64" s="180"/>
      <c r="AD64" s="180"/>
      <c r="AE64" s="180"/>
      <c r="AF64" s="180"/>
      <c r="AG64" s="180"/>
      <c r="AH64" s="180"/>
      <c r="AI64" s="180"/>
      <c r="AJ64" s="180"/>
      <c r="AK64" s="180"/>
      <c r="AL64" s="180"/>
    </row>
    <row r="65" spans="1:38" s="175" customFormat="1">
      <c r="A65" s="106">
        <f t="shared" si="4"/>
        <v>0</v>
      </c>
      <c r="B65" s="41" t="str">
        <f t="shared" si="0"/>
        <v/>
      </c>
      <c r="C65" s="42"/>
      <c r="D65" s="42"/>
      <c r="E65" s="42"/>
      <c r="F65" s="42"/>
      <c r="H65" s="190">
        <v>60</v>
      </c>
      <c r="I65" s="191" t="str">
        <f t="shared" si="1"/>
        <v/>
      </c>
      <c r="J65" s="190" t="e">
        <f t="shared" si="5"/>
        <v>#NUM!</v>
      </c>
      <c r="K65" s="190" t="e">
        <f t="shared" si="2"/>
        <v>#NUM!</v>
      </c>
      <c r="L65" s="190"/>
      <c r="M65" s="192">
        <f t="shared" si="3"/>
        <v>0</v>
      </c>
      <c r="S65" s="180"/>
      <c r="T65" s="180"/>
      <c r="U65" s="180"/>
      <c r="V65" s="180"/>
      <c r="W65" s="180"/>
      <c r="X65" s="180"/>
      <c r="Y65" s="180"/>
      <c r="Z65" s="180"/>
      <c r="AA65" s="180"/>
      <c r="AB65" s="180"/>
      <c r="AC65" s="180"/>
      <c r="AD65" s="180"/>
      <c r="AE65" s="180"/>
      <c r="AF65" s="180"/>
      <c r="AG65" s="180"/>
      <c r="AH65" s="180"/>
      <c r="AI65" s="180"/>
      <c r="AJ65" s="180"/>
      <c r="AK65" s="180"/>
      <c r="AL65" s="180"/>
    </row>
    <row r="66" spans="1:38" s="175" customFormat="1">
      <c r="A66" s="102">
        <f t="shared" si="4"/>
        <v>0</v>
      </c>
      <c r="B66" s="35" t="str">
        <f t="shared" si="0"/>
        <v/>
      </c>
      <c r="C66" s="36"/>
      <c r="D66" s="36"/>
      <c r="E66" s="36"/>
      <c r="F66" s="36"/>
      <c r="H66" s="187">
        <v>61</v>
      </c>
      <c r="I66" s="188" t="str">
        <f t="shared" si="1"/>
        <v/>
      </c>
      <c r="J66" s="187" t="e">
        <f t="shared" si="5"/>
        <v>#NUM!</v>
      </c>
      <c r="K66" s="187" t="e">
        <f t="shared" si="2"/>
        <v>#NUM!</v>
      </c>
      <c r="L66" s="187"/>
      <c r="M66" s="189">
        <f t="shared" si="3"/>
        <v>0</v>
      </c>
      <c r="S66" s="180"/>
      <c r="T66" s="180"/>
      <c r="U66" s="180"/>
      <c r="V66" s="180"/>
      <c r="W66" s="180"/>
      <c r="X66" s="180"/>
      <c r="Y66" s="180"/>
      <c r="Z66" s="180"/>
      <c r="AA66" s="180"/>
      <c r="AB66" s="180"/>
      <c r="AC66" s="180"/>
      <c r="AD66" s="180"/>
      <c r="AE66" s="180"/>
      <c r="AF66" s="180"/>
      <c r="AG66" s="180"/>
      <c r="AH66" s="180"/>
      <c r="AI66" s="180"/>
      <c r="AJ66" s="180"/>
      <c r="AK66" s="180"/>
      <c r="AL66" s="180"/>
    </row>
    <row r="67" spans="1:38" s="175" customFormat="1">
      <c r="A67" s="106">
        <f t="shared" si="4"/>
        <v>0</v>
      </c>
      <c r="B67" s="41" t="str">
        <f t="shared" si="0"/>
        <v/>
      </c>
      <c r="C67" s="42"/>
      <c r="D67" s="42"/>
      <c r="E67" s="42"/>
      <c r="F67" s="42"/>
      <c r="H67" s="190">
        <v>62</v>
      </c>
      <c r="I67" s="191" t="str">
        <f t="shared" si="1"/>
        <v/>
      </c>
      <c r="J67" s="190" t="e">
        <f t="shared" si="5"/>
        <v>#NUM!</v>
      </c>
      <c r="K67" s="190" t="e">
        <f t="shared" si="2"/>
        <v>#NUM!</v>
      </c>
      <c r="L67" s="190"/>
      <c r="M67" s="192">
        <f t="shared" si="3"/>
        <v>0</v>
      </c>
      <c r="S67" s="180"/>
      <c r="T67" s="180"/>
      <c r="U67" s="180"/>
      <c r="V67" s="180"/>
      <c r="W67" s="180"/>
      <c r="X67" s="180"/>
      <c r="Y67" s="180"/>
      <c r="Z67" s="180"/>
      <c r="AA67" s="180"/>
      <c r="AB67" s="180"/>
      <c r="AC67" s="180"/>
      <c r="AD67" s="180"/>
      <c r="AE67" s="180"/>
      <c r="AF67" s="180"/>
      <c r="AG67" s="180"/>
      <c r="AH67" s="180"/>
      <c r="AI67" s="180"/>
      <c r="AJ67" s="180"/>
      <c r="AK67" s="180"/>
      <c r="AL67" s="180"/>
    </row>
    <row r="68" spans="1:38" s="175" customFormat="1">
      <c r="A68" s="102">
        <f t="shared" si="4"/>
        <v>0</v>
      </c>
      <c r="B68" s="35" t="str">
        <f t="shared" si="0"/>
        <v/>
      </c>
      <c r="C68" s="36"/>
      <c r="D68" s="36"/>
      <c r="E68" s="36"/>
      <c r="F68" s="36"/>
      <c r="H68" s="187">
        <v>63</v>
      </c>
      <c r="I68" s="188" t="str">
        <f t="shared" si="1"/>
        <v/>
      </c>
      <c r="J68" s="187" t="e">
        <f t="shared" si="5"/>
        <v>#NUM!</v>
      </c>
      <c r="K68" s="187" t="e">
        <f t="shared" si="2"/>
        <v>#NUM!</v>
      </c>
      <c r="L68" s="187"/>
      <c r="M68" s="189">
        <f t="shared" si="3"/>
        <v>0</v>
      </c>
      <c r="S68" s="180"/>
      <c r="T68" s="180"/>
      <c r="U68" s="180"/>
      <c r="V68" s="180"/>
      <c r="W68" s="180"/>
      <c r="X68" s="180"/>
      <c r="Y68" s="180"/>
      <c r="Z68" s="180"/>
      <c r="AA68" s="180"/>
      <c r="AB68" s="180"/>
      <c r="AC68" s="180"/>
      <c r="AD68" s="180"/>
      <c r="AE68" s="180"/>
      <c r="AF68" s="180"/>
      <c r="AG68" s="180"/>
      <c r="AH68" s="180"/>
      <c r="AI68" s="180"/>
      <c r="AJ68" s="180"/>
      <c r="AK68" s="180"/>
      <c r="AL68" s="180"/>
    </row>
    <row r="69" spans="1:38" s="175" customFormat="1">
      <c r="A69" s="106">
        <f t="shared" si="4"/>
        <v>0</v>
      </c>
      <c r="B69" s="41" t="str">
        <f t="shared" si="0"/>
        <v/>
      </c>
      <c r="C69" s="42"/>
      <c r="D69" s="42"/>
      <c r="E69" s="42"/>
      <c r="F69" s="42"/>
      <c r="H69" s="190">
        <v>64</v>
      </c>
      <c r="I69" s="191" t="str">
        <f t="shared" si="1"/>
        <v/>
      </c>
      <c r="J69" s="190" t="e">
        <f t="shared" si="5"/>
        <v>#NUM!</v>
      </c>
      <c r="K69" s="190" t="e">
        <f t="shared" si="2"/>
        <v>#NUM!</v>
      </c>
      <c r="L69" s="190"/>
      <c r="M69" s="192">
        <f t="shared" si="3"/>
        <v>0</v>
      </c>
      <c r="S69" s="180"/>
      <c r="T69" s="180"/>
      <c r="U69" s="180"/>
      <c r="V69" s="180"/>
      <c r="W69" s="180"/>
      <c r="X69" s="180"/>
      <c r="Y69" s="180"/>
      <c r="Z69" s="180"/>
      <c r="AA69" s="180"/>
      <c r="AB69" s="180"/>
      <c r="AC69" s="180"/>
      <c r="AD69" s="180"/>
      <c r="AE69" s="180"/>
      <c r="AF69" s="180"/>
      <c r="AG69" s="180"/>
      <c r="AH69" s="180"/>
      <c r="AI69" s="180"/>
      <c r="AJ69" s="180"/>
      <c r="AK69" s="180"/>
      <c r="AL69" s="180"/>
    </row>
    <row r="70" spans="1:38" s="175" customFormat="1">
      <c r="A70" s="102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187">
        <v>65</v>
      </c>
      <c r="I70" s="188" t="str">
        <f t="shared" ref="I70:I133" si="7">IF(H70&lt;$H$2+1,($I$2-($I$2-1)*(LOG(H70)/LOG($H$2))),"")</f>
        <v/>
      </c>
      <c r="J70" s="187" t="e">
        <f t="shared" si="5"/>
        <v>#NUM!</v>
      </c>
      <c r="K70" s="187" t="e">
        <f t="shared" ref="K70:K133" si="8">J70*$J$2</f>
        <v>#NUM!</v>
      </c>
      <c r="L70" s="187"/>
      <c r="M70" s="189">
        <f t="shared" ref="M70:M133" si="9">IF(I70&lt;&gt;"",K70+I70+L70,0)</f>
        <v>0</v>
      </c>
      <c r="S70" s="180"/>
      <c r="T70" s="180"/>
      <c r="U70" s="180"/>
      <c r="V70" s="180"/>
      <c r="W70" s="180"/>
      <c r="X70" s="180"/>
      <c r="Y70" s="180"/>
      <c r="Z70" s="180"/>
      <c r="AA70" s="180"/>
      <c r="AB70" s="180"/>
      <c r="AC70" s="180"/>
      <c r="AD70" s="180"/>
      <c r="AE70" s="180"/>
      <c r="AF70" s="180"/>
      <c r="AG70" s="180"/>
      <c r="AH70" s="180"/>
      <c r="AI70" s="180"/>
      <c r="AJ70" s="180"/>
      <c r="AK70" s="180"/>
      <c r="AL70" s="180"/>
    </row>
    <row r="71" spans="1:38" s="175" customFormat="1">
      <c r="A71" s="106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190">
        <v>66</v>
      </c>
      <c r="I71" s="191" t="str">
        <f t="shared" si="7"/>
        <v/>
      </c>
      <c r="J71" s="190" t="e">
        <f t="shared" ref="J71:J134" si="11">INT(LOG($H$2,2))-ROUNDUP(LOG(H71,2),0)+IF(OR($H$2=1,$H$2=2,$H$2=4,$H$2=8,$H$2=16,$H$2=32,$H$2=64,$H$2=128,$H$2=256),0,1)</f>
        <v>#NUM!</v>
      </c>
      <c r="K71" s="190" t="e">
        <f t="shared" si="8"/>
        <v>#NUM!</v>
      </c>
      <c r="L71" s="190"/>
      <c r="M71" s="192">
        <f t="shared" si="9"/>
        <v>0</v>
      </c>
      <c r="S71" s="180"/>
      <c r="T71" s="180"/>
      <c r="U71" s="180"/>
      <c r="V71" s="180"/>
      <c r="W71" s="180"/>
      <c r="X71" s="180"/>
      <c r="Y71" s="180"/>
      <c r="Z71" s="180"/>
      <c r="AA71" s="180"/>
      <c r="AB71" s="180"/>
      <c r="AC71" s="180"/>
      <c r="AD71" s="180"/>
      <c r="AE71" s="180"/>
      <c r="AF71" s="180"/>
      <c r="AG71" s="180"/>
      <c r="AH71" s="180"/>
      <c r="AI71" s="180"/>
      <c r="AJ71" s="180"/>
      <c r="AK71" s="180"/>
      <c r="AL71" s="180"/>
    </row>
    <row r="72" spans="1:38" s="175" customFormat="1">
      <c r="A72" s="102">
        <f t="shared" si="10"/>
        <v>0</v>
      </c>
      <c r="B72" s="35" t="str">
        <f t="shared" si="6"/>
        <v/>
      </c>
      <c r="C72" s="36"/>
      <c r="D72" s="36"/>
      <c r="E72" s="36"/>
      <c r="F72" s="36"/>
      <c r="H72" s="187">
        <v>67</v>
      </c>
      <c r="I72" s="188" t="str">
        <f t="shared" si="7"/>
        <v/>
      </c>
      <c r="J72" s="187" t="e">
        <f t="shared" si="11"/>
        <v>#NUM!</v>
      </c>
      <c r="K72" s="187" t="e">
        <f t="shared" si="8"/>
        <v>#NUM!</v>
      </c>
      <c r="L72" s="187"/>
      <c r="M72" s="189">
        <f t="shared" si="9"/>
        <v>0</v>
      </c>
      <c r="S72" s="180"/>
      <c r="T72" s="180"/>
      <c r="U72" s="180"/>
      <c r="V72" s="180"/>
      <c r="W72" s="180"/>
      <c r="X72" s="180"/>
      <c r="Y72" s="180"/>
      <c r="Z72" s="180"/>
      <c r="AA72" s="180"/>
      <c r="AB72" s="180"/>
      <c r="AC72" s="180"/>
      <c r="AD72" s="180"/>
      <c r="AE72" s="180"/>
      <c r="AF72" s="180"/>
      <c r="AG72" s="180"/>
      <c r="AH72" s="180"/>
      <c r="AI72" s="180"/>
      <c r="AJ72" s="180"/>
      <c r="AK72" s="180"/>
      <c r="AL72" s="180"/>
    </row>
    <row r="73" spans="1:38" s="175" customFormat="1">
      <c r="A73" s="106">
        <f t="shared" si="10"/>
        <v>0</v>
      </c>
      <c r="B73" s="41" t="str">
        <f t="shared" si="6"/>
        <v/>
      </c>
      <c r="C73" s="42"/>
      <c r="D73" s="42"/>
      <c r="E73" s="42"/>
      <c r="F73" s="42"/>
      <c r="H73" s="190">
        <v>68</v>
      </c>
      <c r="I73" s="191" t="str">
        <f t="shared" si="7"/>
        <v/>
      </c>
      <c r="J73" s="190" t="e">
        <f t="shared" si="11"/>
        <v>#NUM!</v>
      </c>
      <c r="K73" s="190" t="e">
        <f t="shared" si="8"/>
        <v>#NUM!</v>
      </c>
      <c r="L73" s="190"/>
      <c r="M73" s="192">
        <f t="shared" si="9"/>
        <v>0</v>
      </c>
      <c r="S73" s="180"/>
      <c r="T73" s="180"/>
      <c r="U73" s="180"/>
      <c r="V73" s="180"/>
      <c r="W73" s="180"/>
      <c r="X73" s="180"/>
      <c r="Y73" s="180"/>
      <c r="Z73" s="180"/>
      <c r="AA73" s="180"/>
      <c r="AB73" s="180"/>
      <c r="AC73" s="180"/>
      <c r="AD73" s="180"/>
      <c r="AE73" s="180"/>
      <c r="AF73" s="180"/>
      <c r="AG73" s="180"/>
      <c r="AH73" s="180"/>
      <c r="AI73" s="180"/>
      <c r="AJ73" s="180"/>
      <c r="AK73" s="180"/>
      <c r="AL73" s="180"/>
    </row>
    <row r="74" spans="1:38" s="175" customFormat="1">
      <c r="A74" s="102">
        <f t="shared" si="10"/>
        <v>0</v>
      </c>
      <c r="B74" s="35" t="str">
        <f t="shared" si="6"/>
        <v/>
      </c>
      <c r="C74" s="36"/>
      <c r="D74" s="36"/>
      <c r="E74" s="36"/>
      <c r="F74" s="36"/>
      <c r="H74" s="187">
        <v>69</v>
      </c>
      <c r="I74" s="188" t="str">
        <f t="shared" si="7"/>
        <v/>
      </c>
      <c r="J74" s="187" t="e">
        <f t="shared" si="11"/>
        <v>#NUM!</v>
      </c>
      <c r="K74" s="187" t="e">
        <f t="shared" si="8"/>
        <v>#NUM!</v>
      </c>
      <c r="L74" s="187"/>
      <c r="M74" s="189">
        <f t="shared" si="9"/>
        <v>0</v>
      </c>
      <c r="S74" s="180"/>
      <c r="T74" s="180"/>
      <c r="U74" s="180"/>
      <c r="V74" s="180"/>
      <c r="W74" s="180"/>
      <c r="X74" s="180"/>
      <c r="Y74" s="180"/>
      <c r="Z74" s="180"/>
      <c r="AA74" s="180"/>
      <c r="AB74" s="180"/>
      <c r="AC74" s="180"/>
      <c r="AD74" s="180"/>
      <c r="AE74" s="180"/>
      <c r="AF74" s="180"/>
      <c r="AG74" s="180"/>
      <c r="AH74" s="180"/>
      <c r="AI74" s="180"/>
      <c r="AJ74" s="180"/>
      <c r="AK74" s="180"/>
      <c r="AL74" s="180"/>
    </row>
    <row r="75" spans="1:38" s="175" customFormat="1">
      <c r="A75" s="106">
        <f t="shared" si="10"/>
        <v>0</v>
      </c>
      <c r="B75" s="41" t="str">
        <f t="shared" si="6"/>
        <v/>
      </c>
      <c r="C75" s="42"/>
      <c r="D75" s="42"/>
      <c r="E75" s="42"/>
      <c r="F75" s="42"/>
      <c r="H75" s="190">
        <v>70</v>
      </c>
      <c r="I75" s="191" t="str">
        <f t="shared" si="7"/>
        <v/>
      </c>
      <c r="J75" s="190" t="e">
        <f t="shared" si="11"/>
        <v>#NUM!</v>
      </c>
      <c r="K75" s="190" t="e">
        <f t="shared" si="8"/>
        <v>#NUM!</v>
      </c>
      <c r="L75" s="190"/>
      <c r="M75" s="192">
        <f t="shared" si="9"/>
        <v>0</v>
      </c>
      <c r="S75" s="180"/>
      <c r="T75" s="180"/>
      <c r="U75" s="180"/>
      <c r="V75" s="180"/>
      <c r="W75" s="180"/>
      <c r="X75" s="180"/>
      <c r="Y75" s="180"/>
      <c r="Z75" s="180"/>
      <c r="AA75" s="180"/>
      <c r="AB75" s="180"/>
      <c r="AC75" s="180"/>
      <c r="AD75" s="180"/>
      <c r="AE75" s="180"/>
      <c r="AF75" s="180"/>
      <c r="AG75" s="180"/>
      <c r="AH75" s="180"/>
      <c r="AI75" s="180"/>
      <c r="AJ75" s="180"/>
      <c r="AK75" s="180"/>
      <c r="AL75" s="180"/>
    </row>
    <row r="76" spans="1:38" s="175" customFormat="1">
      <c r="A76" s="102">
        <f t="shared" si="10"/>
        <v>0</v>
      </c>
      <c r="B76" s="35" t="str">
        <f t="shared" si="6"/>
        <v/>
      </c>
      <c r="C76" s="36"/>
      <c r="D76" s="36"/>
      <c r="E76" s="36"/>
      <c r="F76" s="36"/>
      <c r="H76" s="187">
        <v>71</v>
      </c>
      <c r="I76" s="188" t="str">
        <f t="shared" si="7"/>
        <v/>
      </c>
      <c r="J76" s="187" t="e">
        <f t="shared" si="11"/>
        <v>#NUM!</v>
      </c>
      <c r="K76" s="187" t="e">
        <f t="shared" si="8"/>
        <v>#NUM!</v>
      </c>
      <c r="L76" s="187"/>
      <c r="M76" s="189">
        <f t="shared" si="9"/>
        <v>0</v>
      </c>
      <c r="S76" s="180"/>
      <c r="T76" s="180"/>
      <c r="U76" s="180"/>
      <c r="V76" s="180"/>
      <c r="W76" s="180"/>
      <c r="X76" s="180"/>
      <c r="Y76" s="180"/>
      <c r="Z76" s="180"/>
      <c r="AA76" s="180"/>
      <c r="AB76" s="180"/>
      <c r="AC76" s="180"/>
      <c r="AD76" s="180"/>
      <c r="AE76" s="180"/>
      <c r="AF76" s="180"/>
      <c r="AG76" s="180"/>
      <c r="AH76" s="180"/>
      <c r="AI76" s="180"/>
      <c r="AJ76" s="180"/>
      <c r="AK76" s="180"/>
      <c r="AL76" s="180"/>
    </row>
    <row r="77" spans="1:38" s="175" customFormat="1">
      <c r="A77" s="106">
        <f t="shared" si="10"/>
        <v>0</v>
      </c>
      <c r="B77" s="41" t="str">
        <f t="shared" si="6"/>
        <v/>
      </c>
      <c r="C77" s="42"/>
      <c r="D77" s="42"/>
      <c r="E77" s="42"/>
      <c r="F77" s="42"/>
      <c r="H77" s="190">
        <v>72</v>
      </c>
      <c r="I77" s="191" t="str">
        <f t="shared" si="7"/>
        <v/>
      </c>
      <c r="J77" s="190" t="e">
        <f t="shared" si="11"/>
        <v>#NUM!</v>
      </c>
      <c r="K77" s="190" t="e">
        <f t="shared" si="8"/>
        <v>#NUM!</v>
      </c>
      <c r="L77" s="190"/>
      <c r="M77" s="192">
        <f t="shared" si="9"/>
        <v>0</v>
      </c>
      <c r="S77" s="180"/>
      <c r="T77" s="180"/>
      <c r="U77" s="180"/>
      <c r="V77" s="180"/>
      <c r="W77" s="180"/>
      <c r="X77" s="180"/>
      <c r="Y77" s="180"/>
      <c r="Z77" s="180"/>
      <c r="AA77" s="180"/>
      <c r="AB77" s="180"/>
      <c r="AC77" s="180"/>
      <c r="AD77" s="180"/>
      <c r="AE77" s="180"/>
      <c r="AF77" s="180"/>
      <c r="AG77" s="180"/>
      <c r="AH77" s="180"/>
      <c r="AI77" s="180"/>
      <c r="AJ77" s="180"/>
      <c r="AK77" s="180"/>
      <c r="AL77" s="180"/>
    </row>
    <row r="78" spans="1:38" s="175" customFormat="1">
      <c r="A78" s="102">
        <f t="shared" si="10"/>
        <v>0</v>
      </c>
      <c r="B78" s="35" t="str">
        <f t="shared" si="6"/>
        <v/>
      </c>
      <c r="C78" s="36"/>
      <c r="D78" s="36"/>
      <c r="E78" s="36"/>
      <c r="F78" s="36"/>
      <c r="H78" s="187">
        <v>73</v>
      </c>
      <c r="I78" s="188" t="str">
        <f t="shared" si="7"/>
        <v/>
      </c>
      <c r="J78" s="187" t="e">
        <f t="shared" si="11"/>
        <v>#NUM!</v>
      </c>
      <c r="K78" s="187" t="e">
        <f t="shared" si="8"/>
        <v>#NUM!</v>
      </c>
      <c r="L78" s="187"/>
      <c r="M78" s="189">
        <f t="shared" si="9"/>
        <v>0</v>
      </c>
      <c r="S78" s="180"/>
      <c r="T78" s="180"/>
      <c r="U78" s="180"/>
      <c r="V78" s="180"/>
      <c r="W78" s="180"/>
      <c r="X78" s="180"/>
      <c r="Y78" s="180"/>
      <c r="Z78" s="180"/>
      <c r="AA78" s="180"/>
      <c r="AB78" s="180"/>
      <c r="AC78" s="180"/>
      <c r="AD78" s="180"/>
      <c r="AE78" s="180"/>
      <c r="AF78" s="180"/>
      <c r="AG78" s="180"/>
      <c r="AH78" s="180"/>
      <c r="AI78" s="180"/>
      <c r="AJ78" s="180"/>
      <c r="AK78" s="180"/>
      <c r="AL78" s="180"/>
    </row>
    <row r="79" spans="1:38" s="175" customFormat="1">
      <c r="A79" s="106">
        <f t="shared" si="10"/>
        <v>0</v>
      </c>
      <c r="B79" s="41" t="str">
        <f t="shared" si="6"/>
        <v/>
      </c>
      <c r="C79" s="42"/>
      <c r="D79" s="42"/>
      <c r="E79" s="42"/>
      <c r="F79" s="42"/>
      <c r="H79" s="190">
        <v>74</v>
      </c>
      <c r="I79" s="191" t="str">
        <f t="shared" si="7"/>
        <v/>
      </c>
      <c r="J79" s="190" t="e">
        <f t="shared" si="11"/>
        <v>#NUM!</v>
      </c>
      <c r="K79" s="190" t="e">
        <f t="shared" si="8"/>
        <v>#NUM!</v>
      </c>
      <c r="L79" s="190"/>
      <c r="M79" s="192">
        <f t="shared" si="9"/>
        <v>0</v>
      </c>
      <c r="S79" s="180"/>
      <c r="T79" s="180"/>
      <c r="U79" s="180"/>
      <c r="V79" s="180"/>
      <c r="W79" s="180"/>
      <c r="X79" s="180"/>
      <c r="Y79" s="180"/>
      <c r="Z79" s="180"/>
      <c r="AA79" s="180"/>
      <c r="AB79" s="180"/>
      <c r="AC79" s="180"/>
      <c r="AD79" s="180"/>
      <c r="AE79" s="180"/>
      <c r="AF79" s="180"/>
      <c r="AG79" s="180"/>
      <c r="AH79" s="180"/>
      <c r="AI79" s="180"/>
      <c r="AJ79" s="180"/>
      <c r="AK79" s="180"/>
      <c r="AL79" s="180"/>
    </row>
    <row r="80" spans="1:38" s="175" customFormat="1">
      <c r="A80" s="102">
        <f t="shared" si="10"/>
        <v>0</v>
      </c>
      <c r="B80" s="35" t="str">
        <f t="shared" si="6"/>
        <v/>
      </c>
      <c r="C80" s="36"/>
      <c r="D80" s="36"/>
      <c r="E80" s="36"/>
      <c r="F80" s="36"/>
      <c r="H80" s="187">
        <v>75</v>
      </c>
      <c r="I80" s="188" t="str">
        <f t="shared" si="7"/>
        <v/>
      </c>
      <c r="J80" s="187" t="e">
        <f t="shared" si="11"/>
        <v>#NUM!</v>
      </c>
      <c r="K80" s="187" t="e">
        <f t="shared" si="8"/>
        <v>#NUM!</v>
      </c>
      <c r="L80" s="187"/>
      <c r="M80" s="189">
        <f t="shared" si="9"/>
        <v>0</v>
      </c>
      <c r="S80" s="180"/>
      <c r="T80" s="180"/>
      <c r="U80" s="180"/>
      <c r="V80" s="180"/>
      <c r="W80" s="180"/>
      <c r="X80" s="180"/>
      <c r="Y80" s="180"/>
      <c r="Z80" s="180"/>
      <c r="AA80" s="180"/>
      <c r="AB80" s="180"/>
      <c r="AC80" s="180"/>
      <c r="AD80" s="180"/>
      <c r="AE80" s="180"/>
      <c r="AF80" s="180"/>
      <c r="AG80" s="180"/>
      <c r="AH80" s="180"/>
      <c r="AI80" s="180"/>
      <c r="AJ80" s="180"/>
      <c r="AK80" s="180"/>
      <c r="AL80" s="180"/>
    </row>
    <row r="81" spans="1:38" s="175" customFormat="1">
      <c r="A81" s="106">
        <f t="shared" si="10"/>
        <v>0</v>
      </c>
      <c r="B81" s="41" t="str">
        <f t="shared" si="6"/>
        <v/>
      </c>
      <c r="C81" s="42"/>
      <c r="D81" s="42"/>
      <c r="E81" s="42"/>
      <c r="F81" s="42"/>
      <c r="H81" s="190">
        <v>76</v>
      </c>
      <c r="I81" s="191" t="str">
        <f t="shared" si="7"/>
        <v/>
      </c>
      <c r="J81" s="190" t="e">
        <f t="shared" si="11"/>
        <v>#NUM!</v>
      </c>
      <c r="K81" s="190" t="e">
        <f t="shared" si="8"/>
        <v>#NUM!</v>
      </c>
      <c r="L81" s="190"/>
      <c r="M81" s="192">
        <f t="shared" si="9"/>
        <v>0</v>
      </c>
      <c r="S81" s="180"/>
      <c r="T81" s="180"/>
      <c r="U81" s="180"/>
      <c r="V81" s="180"/>
      <c r="W81" s="180"/>
      <c r="X81" s="180"/>
      <c r="Y81" s="180"/>
      <c r="Z81" s="180"/>
      <c r="AA81" s="180"/>
      <c r="AB81" s="180"/>
      <c r="AC81" s="180"/>
      <c r="AD81" s="180"/>
      <c r="AE81" s="180"/>
      <c r="AF81" s="180"/>
      <c r="AG81" s="180"/>
      <c r="AH81" s="180"/>
      <c r="AI81" s="180"/>
      <c r="AJ81" s="180"/>
      <c r="AK81" s="180"/>
      <c r="AL81" s="180"/>
    </row>
    <row r="82" spans="1:38" s="175" customFormat="1">
      <c r="A82" s="102">
        <f t="shared" si="10"/>
        <v>0</v>
      </c>
      <c r="B82" s="35" t="str">
        <f t="shared" si="6"/>
        <v/>
      </c>
      <c r="C82" s="36"/>
      <c r="D82" s="36"/>
      <c r="E82" s="36"/>
      <c r="F82" s="36"/>
      <c r="H82" s="187">
        <v>77</v>
      </c>
      <c r="I82" s="188" t="str">
        <f t="shared" si="7"/>
        <v/>
      </c>
      <c r="J82" s="187" t="e">
        <f t="shared" si="11"/>
        <v>#NUM!</v>
      </c>
      <c r="K82" s="187" t="e">
        <f t="shared" si="8"/>
        <v>#NUM!</v>
      </c>
      <c r="L82" s="187"/>
      <c r="M82" s="189">
        <f t="shared" si="9"/>
        <v>0</v>
      </c>
      <c r="S82" s="180"/>
      <c r="T82" s="180"/>
      <c r="U82" s="180"/>
      <c r="V82" s="180"/>
      <c r="W82" s="180"/>
      <c r="X82" s="180"/>
      <c r="Y82" s="180"/>
      <c r="Z82" s="180"/>
      <c r="AA82" s="180"/>
      <c r="AB82" s="180"/>
      <c r="AC82" s="180"/>
      <c r="AD82" s="180"/>
      <c r="AE82" s="180"/>
      <c r="AF82" s="180"/>
      <c r="AG82" s="180"/>
      <c r="AH82" s="180"/>
      <c r="AI82" s="180"/>
      <c r="AJ82" s="180"/>
      <c r="AK82" s="180"/>
      <c r="AL82" s="180"/>
    </row>
    <row r="83" spans="1:38" s="175" customFormat="1">
      <c r="A83" s="106">
        <f t="shared" si="10"/>
        <v>0</v>
      </c>
      <c r="B83" s="41" t="str">
        <f t="shared" si="6"/>
        <v/>
      </c>
      <c r="C83" s="42"/>
      <c r="D83" s="42"/>
      <c r="E83" s="42"/>
      <c r="F83" s="42"/>
      <c r="H83" s="190">
        <v>78</v>
      </c>
      <c r="I83" s="191" t="str">
        <f t="shared" si="7"/>
        <v/>
      </c>
      <c r="J83" s="190" t="e">
        <f t="shared" si="11"/>
        <v>#NUM!</v>
      </c>
      <c r="K83" s="190" t="e">
        <f t="shared" si="8"/>
        <v>#NUM!</v>
      </c>
      <c r="L83" s="190"/>
      <c r="M83" s="192">
        <f t="shared" si="9"/>
        <v>0</v>
      </c>
      <c r="S83" s="180"/>
      <c r="T83" s="180"/>
      <c r="U83" s="180"/>
      <c r="V83" s="180"/>
      <c r="W83" s="180"/>
      <c r="X83" s="180"/>
      <c r="Y83" s="180"/>
      <c r="Z83" s="180"/>
      <c r="AA83" s="180"/>
      <c r="AB83" s="180"/>
      <c r="AC83" s="180"/>
      <c r="AD83" s="180"/>
      <c r="AE83" s="180"/>
      <c r="AF83" s="180"/>
      <c r="AG83" s="180"/>
      <c r="AH83" s="180"/>
      <c r="AI83" s="180"/>
      <c r="AJ83" s="180"/>
      <c r="AK83" s="180"/>
      <c r="AL83" s="180"/>
    </row>
    <row r="84" spans="1:38" s="175" customFormat="1">
      <c r="A84" s="102">
        <f t="shared" si="10"/>
        <v>0</v>
      </c>
      <c r="B84" s="35" t="str">
        <f t="shared" si="6"/>
        <v/>
      </c>
      <c r="C84" s="36"/>
      <c r="D84" s="36"/>
      <c r="E84" s="36"/>
      <c r="F84" s="36"/>
      <c r="H84" s="187">
        <v>79</v>
      </c>
      <c r="I84" s="188" t="str">
        <f t="shared" si="7"/>
        <v/>
      </c>
      <c r="J84" s="187" t="e">
        <f t="shared" si="11"/>
        <v>#NUM!</v>
      </c>
      <c r="K84" s="187" t="e">
        <f t="shared" si="8"/>
        <v>#NUM!</v>
      </c>
      <c r="L84" s="187"/>
      <c r="M84" s="189">
        <f t="shared" si="9"/>
        <v>0</v>
      </c>
      <c r="S84" s="180"/>
      <c r="T84" s="180"/>
      <c r="U84" s="180"/>
      <c r="V84" s="180"/>
      <c r="W84" s="180"/>
      <c r="X84" s="180"/>
      <c r="Y84" s="180"/>
      <c r="Z84" s="180"/>
      <c r="AA84" s="180"/>
      <c r="AB84" s="180"/>
      <c r="AC84" s="180"/>
      <c r="AD84" s="180"/>
      <c r="AE84" s="180"/>
      <c r="AF84" s="180"/>
      <c r="AG84" s="180"/>
      <c r="AH84" s="180"/>
      <c r="AI84" s="180"/>
      <c r="AJ84" s="180"/>
      <c r="AK84" s="180"/>
      <c r="AL84" s="180"/>
    </row>
    <row r="85" spans="1:38" s="175" customFormat="1">
      <c r="A85" s="106">
        <f t="shared" si="10"/>
        <v>0</v>
      </c>
      <c r="B85" s="41" t="str">
        <f t="shared" si="6"/>
        <v/>
      </c>
      <c r="C85" s="42"/>
      <c r="D85" s="42"/>
      <c r="E85" s="42"/>
      <c r="F85" s="42"/>
      <c r="H85" s="190">
        <v>80</v>
      </c>
      <c r="I85" s="191" t="str">
        <f t="shared" si="7"/>
        <v/>
      </c>
      <c r="J85" s="190" t="e">
        <f t="shared" si="11"/>
        <v>#NUM!</v>
      </c>
      <c r="K85" s="190" t="e">
        <f t="shared" si="8"/>
        <v>#NUM!</v>
      </c>
      <c r="L85" s="190"/>
      <c r="M85" s="192">
        <f t="shared" si="9"/>
        <v>0</v>
      </c>
      <c r="S85" s="180"/>
      <c r="T85" s="180"/>
      <c r="U85" s="180"/>
      <c r="V85" s="180"/>
      <c r="W85" s="180"/>
      <c r="X85" s="180"/>
      <c r="Y85" s="180"/>
      <c r="Z85" s="180"/>
      <c r="AA85" s="180"/>
      <c r="AB85" s="180"/>
      <c r="AC85" s="180"/>
      <c r="AD85" s="180"/>
      <c r="AE85" s="180"/>
      <c r="AF85" s="180"/>
      <c r="AG85" s="180"/>
      <c r="AH85" s="180"/>
      <c r="AI85" s="180"/>
      <c r="AJ85" s="180"/>
      <c r="AK85" s="180"/>
      <c r="AL85" s="180"/>
    </row>
    <row r="86" spans="1:38" s="175" customFormat="1">
      <c r="A86" s="102">
        <f t="shared" si="10"/>
        <v>0</v>
      </c>
      <c r="B86" s="35" t="str">
        <f t="shared" si="6"/>
        <v/>
      </c>
      <c r="C86" s="36"/>
      <c r="D86" s="36"/>
      <c r="E86" s="36"/>
      <c r="F86" s="36"/>
      <c r="H86" s="187">
        <v>81</v>
      </c>
      <c r="I86" s="188" t="str">
        <f t="shared" si="7"/>
        <v/>
      </c>
      <c r="J86" s="187" t="e">
        <f t="shared" si="11"/>
        <v>#NUM!</v>
      </c>
      <c r="K86" s="187" t="e">
        <f t="shared" si="8"/>
        <v>#NUM!</v>
      </c>
      <c r="L86" s="187"/>
      <c r="M86" s="189">
        <f t="shared" si="9"/>
        <v>0</v>
      </c>
      <c r="S86" s="180"/>
      <c r="T86" s="180"/>
      <c r="U86" s="180"/>
      <c r="V86" s="180"/>
      <c r="W86" s="180"/>
      <c r="X86" s="180"/>
      <c r="Y86" s="180"/>
      <c r="Z86" s="180"/>
      <c r="AA86" s="180"/>
      <c r="AB86" s="180"/>
      <c r="AC86" s="180"/>
      <c r="AD86" s="180"/>
      <c r="AE86" s="180"/>
      <c r="AF86" s="180"/>
      <c r="AG86" s="180"/>
      <c r="AH86" s="180"/>
      <c r="AI86" s="180"/>
      <c r="AJ86" s="180"/>
      <c r="AK86" s="180"/>
      <c r="AL86" s="180"/>
    </row>
    <row r="87" spans="1:38" s="175" customFormat="1">
      <c r="A87" s="106">
        <f t="shared" si="10"/>
        <v>0</v>
      </c>
      <c r="B87" s="41" t="str">
        <f t="shared" si="6"/>
        <v/>
      </c>
      <c r="C87" s="42"/>
      <c r="D87" s="42"/>
      <c r="E87" s="42"/>
      <c r="F87" s="42"/>
      <c r="H87" s="190">
        <v>82</v>
      </c>
      <c r="I87" s="191" t="str">
        <f t="shared" si="7"/>
        <v/>
      </c>
      <c r="J87" s="190" t="e">
        <f t="shared" si="11"/>
        <v>#NUM!</v>
      </c>
      <c r="K87" s="190" t="e">
        <f t="shared" si="8"/>
        <v>#NUM!</v>
      </c>
      <c r="L87" s="190"/>
      <c r="M87" s="192">
        <f t="shared" si="9"/>
        <v>0</v>
      </c>
      <c r="S87" s="180"/>
      <c r="T87" s="180"/>
      <c r="U87" s="180"/>
      <c r="V87" s="180"/>
      <c r="W87" s="180"/>
      <c r="X87" s="180"/>
      <c r="Y87" s="180"/>
      <c r="Z87" s="180"/>
      <c r="AA87" s="180"/>
      <c r="AB87" s="180"/>
      <c r="AC87" s="180"/>
      <c r="AD87" s="180"/>
      <c r="AE87" s="180"/>
      <c r="AF87" s="180"/>
      <c r="AG87" s="180"/>
      <c r="AH87" s="180"/>
      <c r="AI87" s="180"/>
      <c r="AJ87" s="180"/>
      <c r="AK87" s="180"/>
      <c r="AL87" s="180"/>
    </row>
    <row r="88" spans="1:38" s="175" customFormat="1">
      <c r="A88" s="102">
        <f t="shared" si="10"/>
        <v>0</v>
      </c>
      <c r="B88" s="35" t="str">
        <f t="shared" si="6"/>
        <v/>
      </c>
      <c r="C88" s="36"/>
      <c r="D88" s="36"/>
      <c r="E88" s="36"/>
      <c r="F88" s="36"/>
      <c r="H88" s="187">
        <v>83</v>
      </c>
      <c r="I88" s="188" t="str">
        <f t="shared" si="7"/>
        <v/>
      </c>
      <c r="J88" s="187" t="e">
        <f t="shared" si="11"/>
        <v>#NUM!</v>
      </c>
      <c r="K88" s="187" t="e">
        <f t="shared" si="8"/>
        <v>#NUM!</v>
      </c>
      <c r="L88" s="187"/>
      <c r="M88" s="189">
        <f t="shared" si="9"/>
        <v>0</v>
      </c>
      <c r="S88" s="180"/>
      <c r="T88" s="180"/>
      <c r="U88" s="180"/>
      <c r="V88" s="180"/>
      <c r="W88" s="180"/>
      <c r="X88" s="180"/>
      <c r="Y88" s="180"/>
      <c r="Z88" s="180"/>
      <c r="AA88" s="180"/>
      <c r="AB88" s="180"/>
      <c r="AC88" s="180"/>
      <c r="AD88" s="180"/>
      <c r="AE88" s="180"/>
      <c r="AF88" s="180"/>
      <c r="AG88" s="180"/>
      <c r="AH88" s="180"/>
      <c r="AI88" s="180"/>
      <c r="AJ88" s="180"/>
      <c r="AK88" s="180"/>
      <c r="AL88" s="180"/>
    </row>
    <row r="89" spans="1:38" s="175" customFormat="1">
      <c r="A89" s="106">
        <f t="shared" si="10"/>
        <v>0</v>
      </c>
      <c r="B89" s="41" t="str">
        <f t="shared" si="6"/>
        <v/>
      </c>
      <c r="C89" s="42"/>
      <c r="D89" s="42"/>
      <c r="E89" s="42"/>
      <c r="F89" s="42"/>
      <c r="H89" s="190">
        <v>84</v>
      </c>
      <c r="I89" s="191" t="str">
        <f t="shared" si="7"/>
        <v/>
      </c>
      <c r="J89" s="190" t="e">
        <f t="shared" si="11"/>
        <v>#NUM!</v>
      </c>
      <c r="K89" s="190" t="e">
        <f t="shared" si="8"/>
        <v>#NUM!</v>
      </c>
      <c r="L89" s="190"/>
      <c r="M89" s="192">
        <f t="shared" si="9"/>
        <v>0</v>
      </c>
      <c r="S89" s="180"/>
      <c r="T89" s="180"/>
      <c r="U89" s="180"/>
      <c r="V89" s="180"/>
      <c r="W89" s="180"/>
      <c r="X89" s="180"/>
      <c r="Y89" s="180"/>
      <c r="Z89" s="180"/>
      <c r="AA89" s="180"/>
      <c r="AB89" s="180"/>
      <c r="AC89" s="180"/>
      <c r="AD89" s="180"/>
      <c r="AE89" s="180"/>
      <c r="AF89" s="180"/>
      <c r="AG89" s="180"/>
      <c r="AH89" s="180"/>
      <c r="AI89" s="180"/>
      <c r="AJ89" s="180"/>
      <c r="AK89" s="180"/>
      <c r="AL89" s="180"/>
    </row>
    <row r="90" spans="1:38" s="175" customFormat="1">
      <c r="A90" s="102">
        <f t="shared" si="10"/>
        <v>0</v>
      </c>
      <c r="B90" s="35" t="str">
        <f t="shared" si="6"/>
        <v/>
      </c>
      <c r="C90" s="36"/>
      <c r="D90" s="36"/>
      <c r="E90" s="36"/>
      <c r="F90" s="36"/>
      <c r="H90" s="187">
        <v>85</v>
      </c>
      <c r="I90" s="188" t="str">
        <f t="shared" si="7"/>
        <v/>
      </c>
      <c r="J90" s="187" t="e">
        <f t="shared" si="11"/>
        <v>#NUM!</v>
      </c>
      <c r="K90" s="187" t="e">
        <f t="shared" si="8"/>
        <v>#NUM!</v>
      </c>
      <c r="L90" s="187"/>
      <c r="M90" s="189">
        <f t="shared" si="9"/>
        <v>0</v>
      </c>
      <c r="S90" s="180"/>
      <c r="T90" s="180"/>
      <c r="U90" s="180"/>
      <c r="V90" s="180"/>
      <c r="W90" s="180"/>
      <c r="X90" s="180"/>
      <c r="Y90" s="180"/>
      <c r="Z90" s="180"/>
      <c r="AA90" s="180"/>
      <c r="AB90" s="180"/>
      <c r="AC90" s="180"/>
      <c r="AD90" s="180"/>
      <c r="AE90" s="180"/>
      <c r="AF90" s="180"/>
      <c r="AG90" s="180"/>
      <c r="AH90" s="180"/>
      <c r="AI90" s="180"/>
      <c r="AJ90" s="180"/>
      <c r="AK90" s="180"/>
      <c r="AL90" s="180"/>
    </row>
    <row r="91" spans="1:38" s="175" customFormat="1">
      <c r="A91" s="106">
        <f t="shared" si="10"/>
        <v>0</v>
      </c>
      <c r="B91" s="41" t="str">
        <f t="shared" si="6"/>
        <v/>
      </c>
      <c r="C91" s="42"/>
      <c r="D91" s="42"/>
      <c r="E91" s="42"/>
      <c r="F91" s="42"/>
      <c r="H91" s="190">
        <v>86</v>
      </c>
      <c r="I91" s="191" t="str">
        <f t="shared" si="7"/>
        <v/>
      </c>
      <c r="J91" s="190" t="e">
        <f t="shared" si="11"/>
        <v>#NUM!</v>
      </c>
      <c r="K91" s="190" t="e">
        <f t="shared" si="8"/>
        <v>#NUM!</v>
      </c>
      <c r="L91" s="190"/>
      <c r="M91" s="192">
        <f t="shared" si="9"/>
        <v>0</v>
      </c>
      <c r="S91" s="180"/>
      <c r="T91" s="180"/>
      <c r="U91" s="180"/>
      <c r="V91" s="180"/>
      <c r="W91" s="180"/>
      <c r="X91" s="180"/>
      <c r="Y91" s="180"/>
      <c r="Z91" s="180"/>
      <c r="AA91" s="180"/>
      <c r="AB91" s="180"/>
      <c r="AC91" s="180"/>
      <c r="AD91" s="180"/>
      <c r="AE91" s="180"/>
      <c r="AF91" s="180"/>
      <c r="AG91" s="180"/>
      <c r="AH91" s="180"/>
      <c r="AI91" s="180"/>
      <c r="AJ91" s="180"/>
      <c r="AK91" s="180"/>
      <c r="AL91" s="180"/>
    </row>
    <row r="92" spans="1:38" s="175" customFormat="1">
      <c r="A92" s="102">
        <f t="shared" si="10"/>
        <v>0</v>
      </c>
      <c r="B92" s="35" t="str">
        <f t="shared" si="6"/>
        <v/>
      </c>
      <c r="C92" s="36"/>
      <c r="D92" s="36"/>
      <c r="E92" s="36"/>
      <c r="F92" s="36"/>
      <c r="H92" s="187">
        <v>87</v>
      </c>
      <c r="I92" s="188" t="str">
        <f t="shared" si="7"/>
        <v/>
      </c>
      <c r="J92" s="187" t="e">
        <f t="shared" si="11"/>
        <v>#NUM!</v>
      </c>
      <c r="K92" s="187" t="e">
        <f t="shared" si="8"/>
        <v>#NUM!</v>
      </c>
      <c r="L92" s="187"/>
      <c r="M92" s="189">
        <f t="shared" si="9"/>
        <v>0</v>
      </c>
      <c r="S92" s="180"/>
      <c r="T92" s="180"/>
      <c r="U92" s="180"/>
      <c r="V92" s="180"/>
      <c r="W92" s="180"/>
      <c r="X92" s="180"/>
      <c r="Y92" s="180"/>
      <c r="Z92" s="180"/>
      <c r="AA92" s="180"/>
      <c r="AB92" s="180"/>
      <c r="AC92" s="180"/>
      <c r="AD92" s="180"/>
      <c r="AE92" s="180"/>
      <c r="AF92" s="180"/>
      <c r="AG92" s="180"/>
      <c r="AH92" s="180"/>
      <c r="AI92" s="180"/>
      <c r="AJ92" s="180"/>
      <c r="AK92" s="180"/>
      <c r="AL92" s="180"/>
    </row>
    <row r="93" spans="1:38" s="175" customFormat="1">
      <c r="A93" s="106">
        <f t="shared" si="10"/>
        <v>0</v>
      </c>
      <c r="B93" s="41" t="str">
        <f t="shared" si="6"/>
        <v/>
      </c>
      <c r="C93" s="42"/>
      <c r="D93" s="42"/>
      <c r="E93" s="42"/>
      <c r="F93" s="42"/>
      <c r="H93" s="190">
        <v>88</v>
      </c>
      <c r="I93" s="191" t="str">
        <f t="shared" si="7"/>
        <v/>
      </c>
      <c r="J93" s="190" t="e">
        <f t="shared" si="11"/>
        <v>#NUM!</v>
      </c>
      <c r="K93" s="190" t="e">
        <f t="shared" si="8"/>
        <v>#NUM!</v>
      </c>
      <c r="L93" s="190"/>
      <c r="M93" s="192">
        <f t="shared" si="9"/>
        <v>0</v>
      </c>
      <c r="S93" s="180"/>
      <c r="T93" s="180"/>
      <c r="U93" s="180"/>
      <c r="V93" s="180"/>
      <c r="W93" s="180"/>
      <c r="X93" s="180"/>
      <c r="Y93" s="180"/>
      <c r="Z93" s="180"/>
      <c r="AA93" s="180"/>
      <c r="AB93" s="180"/>
      <c r="AC93" s="180"/>
      <c r="AD93" s="180"/>
      <c r="AE93" s="180"/>
      <c r="AF93" s="180"/>
      <c r="AG93" s="180"/>
      <c r="AH93" s="180"/>
      <c r="AI93" s="180"/>
      <c r="AJ93" s="180"/>
      <c r="AK93" s="180"/>
      <c r="AL93" s="180"/>
    </row>
    <row r="94" spans="1:38" s="175" customFormat="1">
      <c r="A94" s="102">
        <f t="shared" si="10"/>
        <v>0</v>
      </c>
      <c r="B94" s="35" t="str">
        <f t="shared" si="6"/>
        <v/>
      </c>
      <c r="C94" s="36"/>
      <c r="D94" s="36"/>
      <c r="E94" s="36"/>
      <c r="F94" s="36"/>
      <c r="H94" s="187">
        <v>89</v>
      </c>
      <c r="I94" s="188" t="str">
        <f t="shared" si="7"/>
        <v/>
      </c>
      <c r="J94" s="187" t="e">
        <f t="shared" si="11"/>
        <v>#NUM!</v>
      </c>
      <c r="K94" s="187" t="e">
        <f t="shared" si="8"/>
        <v>#NUM!</v>
      </c>
      <c r="L94" s="187"/>
      <c r="M94" s="189">
        <f t="shared" si="9"/>
        <v>0</v>
      </c>
      <c r="S94" s="180"/>
      <c r="T94" s="180"/>
      <c r="U94" s="180"/>
      <c r="V94" s="180"/>
      <c r="W94" s="180"/>
      <c r="X94" s="180"/>
      <c r="Y94" s="180"/>
      <c r="Z94" s="180"/>
      <c r="AA94" s="180"/>
      <c r="AB94" s="180"/>
      <c r="AC94" s="180"/>
      <c r="AD94" s="180"/>
      <c r="AE94" s="180"/>
      <c r="AF94" s="180"/>
      <c r="AG94" s="180"/>
      <c r="AH94" s="180"/>
      <c r="AI94" s="180"/>
      <c r="AJ94" s="180"/>
      <c r="AK94" s="180"/>
      <c r="AL94" s="180"/>
    </row>
    <row r="95" spans="1:38" s="175" customFormat="1">
      <c r="A95" s="106">
        <f t="shared" si="10"/>
        <v>0</v>
      </c>
      <c r="B95" s="41" t="str">
        <f t="shared" si="6"/>
        <v/>
      </c>
      <c r="C95" s="42"/>
      <c r="D95" s="42"/>
      <c r="E95" s="42"/>
      <c r="F95" s="42"/>
      <c r="H95" s="190">
        <v>90</v>
      </c>
      <c r="I95" s="191" t="str">
        <f t="shared" si="7"/>
        <v/>
      </c>
      <c r="J95" s="190" t="e">
        <f t="shared" si="11"/>
        <v>#NUM!</v>
      </c>
      <c r="K95" s="190" t="e">
        <f t="shared" si="8"/>
        <v>#NUM!</v>
      </c>
      <c r="L95" s="190"/>
      <c r="M95" s="192">
        <f t="shared" si="9"/>
        <v>0</v>
      </c>
      <c r="S95" s="180"/>
      <c r="T95" s="180"/>
      <c r="U95" s="180"/>
      <c r="V95" s="180"/>
      <c r="W95" s="180"/>
      <c r="X95" s="180"/>
      <c r="Y95" s="180"/>
      <c r="Z95" s="180"/>
      <c r="AA95" s="180"/>
      <c r="AB95" s="180"/>
      <c r="AC95" s="180"/>
      <c r="AD95" s="180"/>
      <c r="AE95" s="180"/>
      <c r="AF95" s="180"/>
      <c r="AG95" s="180"/>
      <c r="AH95" s="180"/>
      <c r="AI95" s="180"/>
      <c r="AJ95" s="180"/>
      <c r="AK95" s="180"/>
      <c r="AL95" s="180"/>
    </row>
    <row r="96" spans="1:38" s="175" customFormat="1">
      <c r="A96" s="102">
        <f t="shared" si="10"/>
        <v>0</v>
      </c>
      <c r="B96" s="35" t="str">
        <f t="shared" si="6"/>
        <v/>
      </c>
      <c r="C96" s="36"/>
      <c r="D96" s="36"/>
      <c r="E96" s="36"/>
      <c r="F96" s="36"/>
      <c r="H96" s="187">
        <v>91</v>
      </c>
      <c r="I96" s="188" t="str">
        <f t="shared" si="7"/>
        <v/>
      </c>
      <c r="J96" s="187" t="e">
        <f t="shared" si="11"/>
        <v>#NUM!</v>
      </c>
      <c r="K96" s="187" t="e">
        <f t="shared" si="8"/>
        <v>#NUM!</v>
      </c>
      <c r="L96" s="187"/>
      <c r="M96" s="189">
        <f t="shared" si="9"/>
        <v>0</v>
      </c>
      <c r="S96" s="180"/>
      <c r="T96" s="180"/>
      <c r="U96" s="180"/>
      <c r="V96" s="180"/>
      <c r="W96" s="180"/>
      <c r="X96" s="180"/>
      <c r="Y96" s="180"/>
      <c r="Z96" s="180"/>
      <c r="AA96" s="180"/>
      <c r="AB96" s="180"/>
      <c r="AC96" s="180"/>
      <c r="AD96" s="180"/>
      <c r="AE96" s="180"/>
      <c r="AF96" s="180"/>
      <c r="AG96" s="180"/>
      <c r="AH96" s="180"/>
      <c r="AI96" s="180"/>
      <c r="AJ96" s="180"/>
      <c r="AK96" s="180"/>
      <c r="AL96" s="180"/>
    </row>
    <row r="97" spans="1:38" s="175" customFormat="1">
      <c r="A97" s="106">
        <f t="shared" si="10"/>
        <v>0</v>
      </c>
      <c r="B97" s="41" t="str">
        <f t="shared" si="6"/>
        <v/>
      </c>
      <c r="C97" s="42"/>
      <c r="D97" s="42"/>
      <c r="E97" s="42"/>
      <c r="F97" s="42"/>
      <c r="H97" s="190">
        <v>92</v>
      </c>
      <c r="I97" s="191" t="str">
        <f t="shared" si="7"/>
        <v/>
      </c>
      <c r="J97" s="190" t="e">
        <f t="shared" si="11"/>
        <v>#NUM!</v>
      </c>
      <c r="K97" s="190" t="e">
        <f t="shared" si="8"/>
        <v>#NUM!</v>
      </c>
      <c r="L97" s="190"/>
      <c r="M97" s="192">
        <f t="shared" si="9"/>
        <v>0</v>
      </c>
      <c r="S97" s="180"/>
      <c r="T97" s="180"/>
      <c r="U97" s="180"/>
      <c r="V97" s="180"/>
      <c r="W97" s="180"/>
      <c r="X97" s="180"/>
      <c r="Y97" s="180"/>
      <c r="Z97" s="180"/>
      <c r="AA97" s="180"/>
      <c r="AB97" s="180"/>
      <c r="AC97" s="180"/>
      <c r="AD97" s="180"/>
      <c r="AE97" s="180"/>
      <c r="AF97" s="180"/>
      <c r="AG97" s="180"/>
      <c r="AH97" s="180"/>
      <c r="AI97" s="180"/>
      <c r="AJ97" s="180"/>
      <c r="AK97" s="180"/>
      <c r="AL97" s="180"/>
    </row>
    <row r="98" spans="1:38" s="175" customFormat="1">
      <c r="A98" s="102">
        <f t="shared" si="10"/>
        <v>0</v>
      </c>
      <c r="B98" s="35" t="str">
        <f t="shared" si="6"/>
        <v/>
      </c>
      <c r="C98" s="36"/>
      <c r="D98" s="36"/>
      <c r="E98" s="36"/>
      <c r="F98" s="36"/>
      <c r="H98" s="187">
        <v>93</v>
      </c>
      <c r="I98" s="188" t="str">
        <f t="shared" si="7"/>
        <v/>
      </c>
      <c r="J98" s="187" t="e">
        <f t="shared" si="11"/>
        <v>#NUM!</v>
      </c>
      <c r="K98" s="187" t="e">
        <f t="shared" si="8"/>
        <v>#NUM!</v>
      </c>
      <c r="L98" s="187"/>
      <c r="M98" s="189">
        <f t="shared" si="9"/>
        <v>0</v>
      </c>
      <c r="S98" s="180"/>
      <c r="T98" s="180"/>
      <c r="U98" s="180"/>
      <c r="V98" s="180"/>
      <c r="W98" s="180"/>
      <c r="X98" s="180"/>
      <c r="Y98" s="180"/>
      <c r="Z98" s="180"/>
      <c r="AA98" s="180"/>
      <c r="AB98" s="180"/>
      <c r="AC98" s="180"/>
      <c r="AD98" s="180"/>
      <c r="AE98" s="180"/>
      <c r="AF98" s="180"/>
      <c r="AG98" s="180"/>
      <c r="AH98" s="180"/>
      <c r="AI98" s="180"/>
      <c r="AJ98" s="180"/>
      <c r="AK98" s="180"/>
      <c r="AL98" s="180"/>
    </row>
    <row r="99" spans="1:38" s="175" customFormat="1">
      <c r="A99" s="106">
        <f t="shared" si="10"/>
        <v>0</v>
      </c>
      <c r="B99" s="41" t="str">
        <f t="shared" si="6"/>
        <v/>
      </c>
      <c r="C99" s="42"/>
      <c r="D99" s="42"/>
      <c r="E99" s="42"/>
      <c r="F99" s="42"/>
      <c r="H99" s="190">
        <v>94</v>
      </c>
      <c r="I99" s="191" t="str">
        <f t="shared" si="7"/>
        <v/>
      </c>
      <c r="J99" s="190" t="e">
        <f t="shared" si="11"/>
        <v>#NUM!</v>
      </c>
      <c r="K99" s="190" t="e">
        <f t="shared" si="8"/>
        <v>#NUM!</v>
      </c>
      <c r="L99" s="190"/>
      <c r="M99" s="192">
        <f t="shared" si="9"/>
        <v>0</v>
      </c>
      <c r="S99" s="180"/>
      <c r="T99" s="180"/>
      <c r="U99" s="180"/>
      <c r="V99" s="180"/>
      <c r="W99" s="180"/>
      <c r="X99" s="180"/>
      <c r="Y99" s="180"/>
      <c r="Z99" s="180"/>
      <c r="AA99" s="180"/>
      <c r="AB99" s="180"/>
      <c r="AC99" s="180"/>
      <c r="AD99" s="180"/>
      <c r="AE99" s="180"/>
      <c r="AF99" s="180"/>
      <c r="AG99" s="180"/>
      <c r="AH99" s="180"/>
      <c r="AI99" s="180"/>
      <c r="AJ99" s="180"/>
      <c r="AK99" s="180"/>
      <c r="AL99" s="180"/>
    </row>
    <row r="100" spans="1:38" s="175" customFormat="1">
      <c r="A100" s="102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187">
        <v>95</v>
      </c>
      <c r="I100" s="188" t="str">
        <f t="shared" si="7"/>
        <v/>
      </c>
      <c r="J100" s="187" t="e">
        <f t="shared" si="11"/>
        <v>#NUM!</v>
      </c>
      <c r="K100" s="187" t="e">
        <f t="shared" si="8"/>
        <v>#NUM!</v>
      </c>
      <c r="L100" s="187"/>
      <c r="M100" s="189">
        <f t="shared" si="9"/>
        <v>0</v>
      </c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  <c r="AC100" s="180"/>
      <c r="AD100" s="180"/>
      <c r="AE100" s="180"/>
      <c r="AF100" s="180"/>
      <c r="AG100" s="180"/>
      <c r="AH100" s="180"/>
      <c r="AI100" s="180"/>
      <c r="AJ100" s="180"/>
      <c r="AK100" s="180"/>
      <c r="AL100" s="180"/>
    </row>
    <row r="101" spans="1:38" s="175" customFormat="1">
      <c r="A101" s="106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190">
        <v>96</v>
      </c>
      <c r="I101" s="191" t="str">
        <f t="shared" si="7"/>
        <v/>
      </c>
      <c r="J101" s="190" t="e">
        <f t="shared" si="11"/>
        <v>#NUM!</v>
      </c>
      <c r="K101" s="190" t="e">
        <f t="shared" si="8"/>
        <v>#NUM!</v>
      </c>
      <c r="L101" s="190"/>
      <c r="M101" s="192">
        <f t="shared" si="9"/>
        <v>0</v>
      </c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  <c r="AC101" s="180"/>
      <c r="AD101" s="180"/>
      <c r="AE101" s="180"/>
      <c r="AF101" s="180"/>
      <c r="AG101" s="180"/>
      <c r="AH101" s="180"/>
      <c r="AI101" s="180"/>
      <c r="AJ101" s="180"/>
      <c r="AK101" s="180"/>
      <c r="AL101" s="180"/>
    </row>
    <row r="102" spans="1:38" s="175" customFormat="1">
      <c r="A102" s="102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187">
        <v>97</v>
      </c>
      <c r="I102" s="188" t="str">
        <f t="shared" si="7"/>
        <v/>
      </c>
      <c r="J102" s="187" t="e">
        <f t="shared" si="11"/>
        <v>#NUM!</v>
      </c>
      <c r="K102" s="187" t="e">
        <f t="shared" si="8"/>
        <v>#NUM!</v>
      </c>
      <c r="L102" s="187"/>
      <c r="M102" s="189">
        <f t="shared" si="9"/>
        <v>0</v>
      </c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  <c r="AC102" s="180"/>
      <c r="AD102" s="180"/>
      <c r="AE102" s="180"/>
      <c r="AF102" s="180"/>
      <c r="AG102" s="180"/>
      <c r="AH102" s="180"/>
      <c r="AI102" s="180"/>
      <c r="AJ102" s="180"/>
      <c r="AK102" s="180"/>
      <c r="AL102" s="180"/>
    </row>
    <row r="103" spans="1:38" s="175" customFormat="1">
      <c r="A103" s="106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190">
        <v>98</v>
      </c>
      <c r="I103" s="191" t="str">
        <f t="shared" si="7"/>
        <v/>
      </c>
      <c r="J103" s="190" t="e">
        <f t="shared" si="11"/>
        <v>#NUM!</v>
      </c>
      <c r="K103" s="190" t="e">
        <f t="shared" si="8"/>
        <v>#NUM!</v>
      </c>
      <c r="L103" s="190"/>
      <c r="M103" s="192">
        <f t="shared" si="9"/>
        <v>0</v>
      </c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  <c r="AC103" s="180"/>
      <c r="AD103" s="180"/>
      <c r="AE103" s="180"/>
      <c r="AF103" s="180"/>
      <c r="AG103" s="180"/>
      <c r="AH103" s="180"/>
      <c r="AI103" s="180"/>
      <c r="AJ103" s="180"/>
      <c r="AK103" s="180"/>
      <c r="AL103" s="180"/>
    </row>
    <row r="104" spans="1:38" s="175" customFormat="1">
      <c r="A104" s="102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187">
        <v>99</v>
      </c>
      <c r="I104" s="188" t="str">
        <f t="shared" si="7"/>
        <v/>
      </c>
      <c r="J104" s="187" t="e">
        <f t="shared" si="11"/>
        <v>#NUM!</v>
      </c>
      <c r="K104" s="187" t="e">
        <f t="shared" si="8"/>
        <v>#NUM!</v>
      </c>
      <c r="L104" s="187"/>
      <c r="M104" s="189">
        <f t="shared" si="9"/>
        <v>0</v>
      </c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  <c r="AC104" s="180"/>
      <c r="AD104" s="180"/>
      <c r="AE104" s="180"/>
      <c r="AF104" s="180"/>
      <c r="AG104" s="180"/>
      <c r="AH104" s="180"/>
      <c r="AI104" s="180"/>
      <c r="AJ104" s="180"/>
      <c r="AK104" s="180"/>
      <c r="AL104" s="180"/>
    </row>
    <row r="105" spans="1:38" s="175" customFormat="1">
      <c r="A105" s="106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190">
        <v>100</v>
      </c>
      <c r="I105" s="191" t="str">
        <f t="shared" si="7"/>
        <v/>
      </c>
      <c r="J105" s="190" t="e">
        <f t="shared" si="11"/>
        <v>#NUM!</v>
      </c>
      <c r="K105" s="190" t="e">
        <f t="shared" si="8"/>
        <v>#NUM!</v>
      </c>
      <c r="L105" s="190"/>
      <c r="M105" s="192">
        <f t="shared" si="9"/>
        <v>0</v>
      </c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  <c r="AC105" s="180"/>
      <c r="AD105" s="180"/>
      <c r="AE105" s="180"/>
      <c r="AF105" s="180"/>
      <c r="AG105" s="180"/>
      <c r="AH105" s="180"/>
      <c r="AI105" s="180"/>
      <c r="AJ105" s="180"/>
      <c r="AK105" s="180"/>
      <c r="AL105" s="180"/>
    </row>
    <row r="106" spans="1:38" s="175" customFormat="1">
      <c r="A106" s="102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187">
        <v>101</v>
      </c>
      <c r="I106" s="188" t="str">
        <f t="shared" si="7"/>
        <v/>
      </c>
      <c r="J106" s="187" t="e">
        <f t="shared" si="11"/>
        <v>#NUM!</v>
      </c>
      <c r="K106" s="187" t="e">
        <f t="shared" si="8"/>
        <v>#NUM!</v>
      </c>
      <c r="L106" s="187"/>
      <c r="M106" s="189">
        <f t="shared" si="9"/>
        <v>0</v>
      </c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  <c r="AC106" s="180"/>
      <c r="AD106" s="180"/>
      <c r="AE106" s="180"/>
      <c r="AF106" s="180"/>
      <c r="AG106" s="180"/>
      <c r="AH106" s="180"/>
      <c r="AI106" s="180"/>
      <c r="AJ106" s="180"/>
      <c r="AK106" s="180"/>
      <c r="AL106" s="180"/>
    </row>
    <row r="107" spans="1:38" s="175" customFormat="1">
      <c r="A107" s="106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190">
        <v>102</v>
      </c>
      <c r="I107" s="191" t="str">
        <f t="shared" si="7"/>
        <v/>
      </c>
      <c r="J107" s="190" t="e">
        <f t="shared" si="11"/>
        <v>#NUM!</v>
      </c>
      <c r="K107" s="190" t="e">
        <f t="shared" si="8"/>
        <v>#NUM!</v>
      </c>
      <c r="L107" s="190"/>
      <c r="M107" s="192">
        <f t="shared" si="9"/>
        <v>0</v>
      </c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  <c r="AC107" s="180"/>
      <c r="AD107" s="180"/>
      <c r="AE107" s="180"/>
      <c r="AF107" s="180"/>
      <c r="AG107" s="180"/>
      <c r="AH107" s="180"/>
      <c r="AI107" s="180"/>
      <c r="AJ107" s="180"/>
      <c r="AK107" s="180"/>
      <c r="AL107" s="180"/>
    </row>
    <row r="108" spans="1:38" s="175" customFormat="1">
      <c r="A108" s="102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187">
        <v>103</v>
      </c>
      <c r="I108" s="188" t="str">
        <f t="shared" si="7"/>
        <v/>
      </c>
      <c r="J108" s="187" t="e">
        <f t="shared" si="11"/>
        <v>#NUM!</v>
      </c>
      <c r="K108" s="187" t="e">
        <f t="shared" si="8"/>
        <v>#NUM!</v>
      </c>
      <c r="L108" s="187"/>
      <c r="M108" s="189">
        <f t="shared" si="9"/>
        <v>0</v>
      </c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  <c r="AC108" s="180"/>
      <c r="AD108" s="180"/>
      <c r="AE108" s="180"/>
      <c r="AF108" s="180"/>
      <c r="AG108" s="180"/>
      <c r="AH108" s="180"/>
      <c r="AI108" s="180"/>
      <c r="AJ108" s="180"/>
      <c r="AK108" s="180"/>
      <c r="AL108" s="180"/>
    </row>
    <row r="109" spans="1:38" s="175" customFormat="1">
      <c r="A109" s="106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190">
        <v>104</v>
      </c>
      <c r="I109" s="191" t="str">
        <f t="shared" si="7"/>
        <v/>
      </c>
      <c r="J109" s="190" t="e">
        <f t="shared" si="11"/>
        <v>#NUM!</v>
      </c>
      <c r="K109" s="190" t="e">
        <f t="shared" si="8"/>
        <v>#NUM!</v>
      </c>
      <c r="L109" s="190"/>
      <c r="M109" s="192">
        <f t="shared" si="9"/>
        <v>0</v>
      </c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  <c r="AC109" s="180"/>
      <c r="AD109" s="180"/>
      <c r="AE109" s="180"/>
      <c r="AF109" s="180"/>
      <c r="AG109" s="180"/>
      <c r="AH109" s="180"/>
      <c r="AI109" s="180"/>
      <c r="AJ109" s="180"/>
      <c r="AK109" s="180"/>
      <c r="AL109" s="180"/>
    </row>
    <row r="110" spans="1:38" s="175" customFormat="1">
      <c r="A110" s="102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187">
        <v>105</v>
      </c>
      <c r="I110" s="188" t="str">
        <f t="shared" si="7"/>
        <v/>
      </c>
      <c r="J110" s="187" t="e">
        <f t="shared" si="11"/>
        <v>#NUM!</v>
      </c>
      <c r="K110" s="187" t="e">
        <f t="shared" si="8"/>
        <v>#NUM!</v>
      </c>
      <c r="L110" s="187"/>
      <c r="M110" s="189">
        <f t="shared" si="9"/>
        <v>0</v>
      </c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  <c r="AC110" s="180"/>
      <c r="AD110" s="180"/>
      <c r="AE110" s="180"/>
      <c r="AF110" s="180"/>
      <c r="AG110" s="180"/>
      <c r="AH110" s="180"/>
      <c r="AI110" s="180"/>
      <c r="AJ110" s="180"/>
      <c r="AK110" s="180"/>
      <c r="AL110" s="180"/>
    </row>
    <row r="111" spans="1:38" s="175" customFormat="1">
      <c r="A111" s="106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190">
        <v>106</v>
      </c>
      <c r="I111" s="191" t="str">
        <f t="shared" si="7"/>
        <v/>
      </c>
      <c r="J111" s="190" t="e">
        <f t="shared" si="11"/>
        <v>#NUM!</v>
      </c>
      <c r="K111" s="190" t="e">
        <f t="shared" si="8"/>
        <v>#NUM!</v>
      </c>
      <c r="L111" s="190"/>
      <c r="M111" s="192">
        <f t="shared" si="9"/>
        <v>0</v>
      </c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  <c r="AC111" s="180"/>
      <c r="AD111" s="180"/>
      <c r="AE111" s="180"/>
      <c r="AF111" s="180"/>
      <c r="AG111" s="180"/>
      <c r="AH111" s="180"/>
      <c r="AI111" s="180"/>
      <c r="AJ111" s="180"/>
      <c r="AK111" s="180"/>
      <c r="AL111" s="180"/>
    </row>
    <row r="112" spans="1:38" s="175" customFormat="1">
      <c r="A112" s="102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187">
        <v>107</v>
      </c>
      <c r="I112" s="188" t="str">
        <f t="shared" si="7"/>
        <v/>
      </c>
      <c r="J112" s="187" t="e">
        <f t="shared" si="11"/>
        <v>#NUM!</v>
      </c>
      <c r="K112" s="187" t="e">
        <f t="shared" si="8"/>
        <v>#NUM!</v>
      </c>
      <c r="L112" s="187"/>
      <c r="M112" s="189">
        <f t="shared" si="9"/>
        <v>0</v>
      </c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  <c r="AC112" s="180"/>
      <c r="AD112" s="180"/>
      <c r="AE112" s="180"/>
      <c r="AF112" s="180"/>
      <c r="AG112" s="180"/>
      <c r="AH112" s="180"/>
      <c r="AI112" s="180"/>
      <c r="AJ112" s="180"/>
      <c r="AK112" s="180"/>
      <c r="AL112" s="180"/>
    </row>
    <row r="113" spans="1:38" s="175" customFormat="1">
      <c r="A113" s="106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190">
        <v>108</v>
      </c>
      <c r="I113" s="191" t="str">
        <f t="shared" si="7"/>
        <v/>
      </c>
      <c r="J113" s="190" t="e">
        <f t="shared" si="11"/>
        <v>#NUM!</v>
      </c>
      <c r="K113" s="190" t="e">
        <f t="shared" si="8"/>
        <v>#NUM!</v>
      </c>
      <c r="L113" s="190"/>
      <c r="M113" s="192">
        <f t="shared" si="9"/>
        <v>0</v>
      </c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  <c r="AC113" s="180"/>
      <c r="AD113" s="180"/>
      <c r="AE113" s="180"/>
      <c r="AF113" s="180"/>
      <c r="AG113" s="180"/>
      <c r="AH113" s="180"/>
      <c r="AI113" s="180"/>
      <c r="AJ113" s="180"/>
      <c r="AK113" s="180"/>
      <c r="AL113" s="180"/>
    </row>
    <row r="114" spans="1:38" s="175" customFormat="1">
      <c r="A114" s="102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187">
        <v>109</v>
      </c>
      <c r="I114" s="188" t="str">
        <f t="shared" si="7"/>
        <v/>
      </c>
      <c r="J114" s="187" t="e">
        <f t="shared" si="11"/>
        <v>#NUM!</v>
      </c>
      <c r="K114" s="187" t="e">
        <f t="shared" si="8"/>
        <v>#NUM!</v>
      </c>
      <c r="L114" s="187"/>
      <c r="M114" s="189">
        <f t="shared" si="9"/>
        <v>0</v>
      </c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  <c r="AC114" s="180"/>
      <c r="AD114" s="180"/>
      <c r="AE114" s="180"/>
      <c r="AF114" s="180"/>
      <c r="AG114" s="180"/>
      <c r="AH114" s="180"/>
      <c r="AI114" s="180"/>
      <c r="AJ114" s="180"/>
      <c r="AK114" s="180"/>
      <c r="AL114" s="180"/>
    </row>
    <row r="115" spans="1:38" s="175" customFormat="1">
      <c r="A115" s="106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190">
        <v>110</v>
      </c>
      <c r="I115" s="191" t="str">
        <f t="shared" si="7"/>
        <v/>
      </c>
      <c r="J115" s="190" t="e">
        <f t="shared" si="11"/>
        <v>#NUM!</v>
      </c>
      <c r="K115" s="190" t="e">
        <f t="shared" si="8"/>
        <v>#NUM!</v>
      </c>
      <c r="L115" s="190"/>
      <c r="M115" s="192">
        <f t="shared" si="9"/>
        <v>0</v>
      </c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180"/>
      <c r="AF115" s="180"/>
      <c r="AG115" s="180"/>
      <c r="AH115" s="180"/>
      <c r="AI115" s="180"/>
      <c r="AJ115" s="180"/>
      <c r="AK115" s="180"/>
      <c r="AL115" s="180"/>
    </row>
    <row r="116" spans="1:38" s="175" customFormat="1">
      <c r="A116" s="102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187">
        <v>111</v>
      </c>
      <c r="I116" s="188" t="str">
        <f t="shared" si="7"/>
        <v/>
      </c>
      <c r="J116" s="187" t="e">
        <f t="shared" si="11"/>
        <v>#NUM!</v>
      </c>
      <c r="K116" s="187" t="e">
        <f t="shared" si="8"/>
        <v>#NUM!</v>
      </c>
      <c r="L116" s="187"/>
      <c r="M116" s="189">
        <f t="shared" si="9"/>
        <v>0</v>
      </c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  <c r="AC116" s="180"/>
      <c r="AD116" s="180"/>
      <c r="AE116" s="180"/>
      <c r="AF116" s="180"/>
      <c r="AG116" s="180"/>
      <c r="AH116" s="180"/>
      <c r="AI116" s="180"/>
      <c r="AJ116" s="180"/>
      <c r="AK116" s="180"/>
      <c r="AL116" s="180"/>
    </row>
    <row r="117" spans="1:38" s="175" customFormat="1">
      <c r="A117" s="106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190">
        <v>112</v>
      </c>
      <c r="I117" s="191" t="str">
        <f t="shared" si="7"/>
        <v/>
      </c>
      <c r="J117" s="190" t="e">
        <f t="shared" si="11"/>
        <v>#NUM!</v>
      </c>
      <c r="K117" s="190" t="e">
        <f t="shared" si="8"/>
        <v>#NUM!</v>
      </c>
      <c r="L117" s="190"/>
      <c r="M117" s="192">
        <f t="shared" si="9"/>
        <v>0</v>
      </c>
      <c r="S117" s="180"/>
      <c r="T117" s="180"/>
      <c r="U117" s="180"/>
      <c r="V117" s="180"/>
      <c r="W117" s="180"/>
      <c r="X117" s="180"/>
      <c r="Y117" s="180"/>
      <c r="Z117" s="180"/>
      <c r="AA117" s="180"/>
      <c r="AB117" s="180"/>
      <c r="AC117" s="180"/>
      <c r="AD117" s="180"/>
      <c r="AE117" s="180"/>
      <c r="AF117" s="180"/>
      <c r="AG117" s="180"/>
      <c r="AH117" s="180"/>
      <c r="AI117" s="180"/>
      <c r="AJ117" s="180"/>
      <c r="AK117" s="180"/>
      <c r="AL117" s="180"/>
    </row>
    <row r="118" spans="1:38" s="175" customFormat="1">
      <c r="A118" s="102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187">
        <v>113</v>
      </c>
      <c r="I118" s="188" t="str">
        <f t="shared" si="7"/>
        <v/>
      </c>
      <c r="J118" s="187" t="e">
        <f t="shared" si="11"/>
        <v>#NUM!</v>
      </c>
      <c r="K118" s="187" t="e">
        <f t="shared" si="8"/>
        <v>#NUM!</v>
      </c>
      <c r="L118" s="187"/>
      <c r="M118" s="189">
        <f t="shared" si="9"/>
        <v>0</v>
      </c>
      <c r="S118" s="180"/>
      <c r="T118" s="180"/>
      <c r="U118" s="180"/>
      <c r="V118" s="180"/>
      <c r="W118" s="180"/>
      <c r="X118" s="180"/>
      <c r="Y118" s="180"/>
      <c r="Z118" s="180"/>
      <c r="AA118" s="180"/>
      <c r="AB118" s="180"/>
      <c r="AC118" s="180"/>
      <c r="AD118" s="180"/>
      <c r="AE118" s="180"/>
      <c r="AF118" s="180"/>
      <c r="AG118" s="180"/>
      <c r="AH118" s="180"/>
      <c r="AI118" s="180"/>
      <c r="AJ118" s="180"/>
      <c r="AK118" s="180"/>
      <c r="AL118" s="180"/>
    </row>
    <row r="119" spans="1:38" s="175" customFormat="1">
      <c r="A119" s="106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190">
        <v>114</v>
      </c>
      <c r="I119" s="191" t="str">
        <f t="shared" si="7"/>
        <v/>
      </c>
      <c r="J119" s="190" t="e">
        <f t="shared" si="11"/>
        <v>#NUM!</v>
      </c>
      <c r="K119" s="190" t="e">
        <f t="shared" si="8"/>
        <v>#NUM!</v>
      </c>
      <c r="L119" s="190"/>
      <c r="M119" s="192">
        <f t="shared" si="9"/>
        <v>0</v>
      </c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  <c r="AC119" s="180"/>
      <c r="AD119" s="180"/>
      <c r="AE119" s="180"/>
      <c r="AF119" s="180"/>
      <c r="AG119" s="180"/>
      <c r="AH119" s="180"/>
      <c r="AI119" s="180"/>
      <c r="AJ119" s="180"/>
      <c r="AK119" s="180"/>
      <c r="AL119" s="180"/>
    </row>
    <row r="120" spans="1:38" s="175" customFormat="1">
      <c r="A120" s="102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187">
        <v>115</v>
      </c>
      <c r="I120" s="188" t="str">
        <f t="shared" si="7"/>
        <v/>
      </c>
      <c r="J120" s="187" t="e">
        <f t="shared" si="11"/>
        <v>#NUM!</v>
      </c>
      <c r="K120" s="187" t="e">
        <f t="shared" si="8"/>
        <v>#NUM!</v>
      </c>
      <c r="L120" s="187"/>
      <c r="M120" s="189">
        <f t="shared" si="9"/>
        <v>0</v>
      </c>
      <c r="S120" s="180"/>
      <c r="T120" s="180"/>
      <c r="U120" s="180"/>
      <c r="V120" s="180"/>
      <c r="W120" s="180"/>
      <c r="X120" s="180"/>
      <c r="Y120" s="180"/>
      <c r="Z120" s="180"/>
      <c r="AA120" s="180"/>
      <c r="AB120" s="180"/>
      <c r="AC120" s="180"/>
      <c r="AD120" s="180"/>
      <c r="AE120" s="180"/>
      <c r="AF120" s="180"/>
      <c r="AG120" s="180"/>
      <c r="AH120" s="180"/>
      <c r="AI120" s="180"/>
      <c r="AJ120" s="180"/>
      <c r="AK120" s="180"/>
      <c r="AL120" s="180"/>
    </row>
    <row r="121" spans="1:38" s="175" customFormat="1">
      <c r="A121" s="106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190">
        <v>116</v>
      </c>
      <c r="I121" s="191" t="str">
        <f t="shared" si="7"/>
        <v/>
      </c>
      <c r="J121" s="190" t="e">
        <f t="shared" si="11"/>
        <v>#NUM!</v>
      </c>
      <c r="K121" s="190" t="e">
        <f t="shared" si="8"/>
        <v>#NUM!</v>
      </c>
      <c r="L121" s="190"/>
      <c r="M121" s="192">
        <f t="shared" si="9"/>
        <v>0</v>
      </c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  <c r="AC121" s="180"/>
      <c r="AD121" s="180"/>
      <c r="AE121" s="180"/>
      <c r="AF121" s="180"/>
      <c r="AG121" s="180"/>
      <c r="AH121" s="180"/>
      <c r="AI121" s="180"/>
      <c r="AJ121" s="180"/>
      <c r="AK121" s="180"/>
      <c r="AL121" s="180"/>
    </row>
    <row r="122" spans="1:38" s="175" customFormat="1">
      <c r="A122" s="102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187">
        <v>117</v>
      </c>
      <c r="I122" s="188" t="str">
        <f t="shared" si="7"/>
        <v/>
      </c>
      <c r="J122" s="187" t="e">
        <f t="shared" si="11"/>
        <v>#NUM!</v>
      </c>
      <c r="K122" s="187" t="e">
        <f t="shared" si="8"/>
        <v>#NUM!</v>
      </c>
      <c r="L122" s="187"/>
      <c r="M122" s="189">
        <f t="shared" si="9"/>
        <v>0</v>
      </c>
      <c r="S122" s="180"/>
      <c r="T122" s="180"/>
      <c r="U122" s="180"/>
      <c r="V122" s="180"/>
      <c r="W122" s="180"/>
      <c r="X122" s="180"/>
      <c r="Y122" s="180"/>
      <c r="Z122" s="180"/>
      <c r="AA122" s="180"/>
      <c r="AB122" s="180"/>
      <c r="AC122" s="180"/>
      <c r="AD122" s="180"/>
      <c r="AE122" s="180"/>
      <c r="AF122" s="180"/>
      <c r="AG122" s="180"/>
      <c r="AH122" s="180"/>
      <c r="AI122" s="180"/>
      <c r="AJ122" s="180"/>
      <c r="AK122" s="180"/>
      <c r="AL122" s="180"/>
    </row>
    <row r="123" spans="1:38" s="175" customFormat="1">
      <c r="A123" s="106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190">
        <v>118</v>
      </c>
      <c r="I123" s="191" t="str">
        <f t="shared" si="7"/>
        <v/>
      </c>
      <c r="J123" s="190" t="e">
        <f t="shared" si="11"/>
        <v>#NUM!</v>
      </c>
      <c r="K123" s="190" t="e">
        <f t="shared" si="8"/>
        <v>#NUM!</v>
      </c>
      <c r="L123" s="190"/>
      <c r="M123" s="192">
        <f t="shared" si="9"/>
        <v>0</v>
      </c>
      <c r="S123" s="180"/>
      <c r="T123" s="180"/>
      <c r="U123" s="180"/>
      <c r="V123" s="180"/>
      <c r="W123" s="180"/>
      <c r="X123" s="180"/>
      <c r="Y123" s="180"/>
      <c r="Z123" s="180"/>
      <c r="AA123" s="180"/>
      <c r="AB123" s="180"/>
      <c r="AC123" s="180"/>
      <c r="AD123" s="180"/>
      <c r="AE123" s="180"/>
      <c r="AF123" s="180"/>
      <c r="AG123" s="180"/>
      <c r="AH123" s="180"/>
      <c r="AI123" s="180"/>
      <c r="AJ123" s="180"/>
      <c r="AK123" s="180"/>
      <c r="AL123" s="180"/>
    </row>
    <row r="124" spans="1:38" s="175" customFormat="1">
      <c r="A124" s="102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187">
        <v>119</v>
      </c>
      <c r="I124" s="188" t="str">
        <f t="shared" si="7"/>
        <v/>
      </c>
      <c r="J124" s="187" t="e">
        <f t="shared" si="11"/>
        <v>#NUM!</v>
      </c>
      <c r="K124" s="187" t="e">
        <f t="shared" si="8"/>
        <v>#NUM!</v>
      </c>
      <c r="L124" s="187"/>
      <c r="M124" s="189">
        <f t="shared" si="9"/>
        <v>0</v>
      </c>
      <c r="S124" s="180"/>
      <c r="T124" s="180"/>
      <c r="U124" s="180"/>
      <c r="V124" s="180"/>
      <c r="W124" s="180"/>
      <c r="X124" s="180"/>
      <c r="Y124" s="180"/>
      <c r="Z124" s="180"/>
      <c r="AA124" s="180"/>
      <c r="AB124" s="180"/>
      <c r="AC124" s="180"/>
      <c r="AD124" s="180"/>
      <c r="AE124" s="180"/>
      <c r="AF124" s="180"/>
      <c r="AG124" s="180"/>
      <c r="AH124" s="180"/>
      <c r="AI124" s="180"/>
      <c r="AJ124" s="180"/>
      <c r="AK124" s="180"/>
      <c r="AL124" s="180"/>
    </row>
    <row r="125" spans="1:38" s="175" customFormat="1">
      <c r="A125" s="106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190">
        <v>120</v>
      </c>
      <c r="I125" s="191" t="str">
        <f t="shared" si="7"/>
        <v/>
      </c>
      <c r="J125" s="190" t="e">
        <f t="shared" si="11"/>
        <v>#NUM!</v>
      </c>
      <c r="K125" s="190" t="e">
        <f t="shared" si="8"/>
        <v>#NUM!</v>
      </c>
      <c r="L125" s="190"/>
      <c r="M125" s="192">
        <f t="shared" si="9"/>
        <v>0</v>
      </c>
      <c r="S125" s="180"/>
      <c r="T125" s="180"/>
      <c r="U125" s="180"/>
      <c r="V125" s="180"/>
      <c r="W125" s="180"/>
      <c r="X125" s="180"/>
      <c r="Y125" s="180"/>
      <c r="Z125" s="180"/>
      <c r="AA125" s="180"/>
      <c r="AB125" s="180"/>
      <c r="AC125" s="180"/>
      <c r="AD125" s="180"/>
      <c r="AE125" s="180"/>
      <c r="AF125" s="180"/>
      <c r="AG125" s="180"/>
      <c r="AH125" s="180"/>
      <c r="AI125" s="180"/>
      <c r="AJ125" s="180"/>
      <c r="AK125" s="180"/>
      <c r="AL125" s="180"/>
    </row>
    <row r="126" spans="1:38" s="175" customFormat="1">
      <c r="A126" s="102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187">
        <v>121</v>
      </c>
      <c r="I126" s="188" t="str">
        <f t="shared" si="7"/>
        <v/>
      </c>
      <c r="J126" s="187" t="e">
        <f t="shared" si="11"/>
        <v>#NUM!</v>
      </c>
      <c r="K126" s="187" t="e">
        <f t="shared" si="8"/>
        <v>#NUM!</v>
      </c>
      <c r="L126" s="187"/>
      <c r="M126" s="189">
        <f t="shared" si="9"/>
        <v>0</v>
      </c>
      <c r="S126" s="180"/>
      <c r="T126" s="180"/>
      <c r="U126" s="180"/>
      <c r="V126" s="180"/>
      <c r="W126" s="180"/>
      <c r="X126" s="180"/>
      <c r="Y126" s="180"/>
      <c r="Z126" s="180"/>
      <c r="AA126" s="180"/>
      <c r="AB126" s="180"/>
      <c r="AC126" s="180"/>
      <c r="AD126" s="180"/>
      <c r="AE126" s="180"/>
      <c r="AF126" s="180"/>
      <c r="AG126" s="180"/>
      <c r="AH126" s="180"/>
      <c r="AI126" s="180"/>
      <c r="AJ126" s="180"/>
      <c r="AK126" s="180"/>
      <c r="AL126" s="180"/>
    </row>
    <row r="127" spans="1:38" s="175" customFormat="1">
      <c r="A127" s="106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190">
        <v>122</v>
      </c>
      <c r="I127" s="191" t="str">
        <f t="shared" si="7"/>
        <v/>
      </c>
      <c r="J127" s="190" t="e">
        <f t="shared" si="11"/>
        <v>#NUM!</v>
      </c>
      <c r="K127" s="190" t="e">
        <f t="shared" si="8"/>
        <v>#NUM!</v>
      </c>
      <c r="L127" s="190"/>
      <c r="M127" s="192">
        <f t="shared" si="9"/>
        <v>0</v>
      </c>
      <c r="S127" s="180"/>
      <c r="T127" s="180"/>
      <c r="U127" s="180"/>
      <c r="V127" s="180"/>
      <c r="W127" s="180"/>
      <c r="X127" s="180"/>
      <c r="Y127" s="180"/>
      <c r="Z127" s="180"/>
      <c r="AA127" s="180"/>
      <c r="AB127" s="180"/>
      <c r="AC127" s="180"/>
      <c r="AD127" s="180"/>
      <c r="AE127" s="180"/>
      <c r="AF127" s="180"/>
      <c r="AG127" s="180"/>
      <c r="AH127" s="180"/>
      <c r="AI127" s="180"/>
      <c r="AJ127" s="180"/>
      <c r="AK127" s="180"/>
      <c r="AL127" s="180"/>
    </row>
    <row r="128" spans="1:38" s="175" customFormat="1">
      <c r="A128" s="102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187">
        <v>123</v>
      </c>
      <c r="I128" s="188" t="str">
        <f t="shared" si="7"/>
        <v/>
      </c>
      <c r="J128" s="187" t="e">
        <f t="shared" si="11"/>
        <v>#NUM!</v>
      </c>
      <c r="K128" s="187" t="e">
        <f t="shared" si="8"/>
        <v>#NUM!</v>
      </c>
      <c r="L128" s="187"/>
      <c r="M128" s="189">
        <f t="shared" si="9"/>
        <v>0</v>
      </c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  <c r="AC128" s="180"/>
      <c r="AD128" s="180"/>
      <c r="AE128" s="180"/>
      <c r="AF128" s="180"/>
      <c r="AG128" s="180"/>
      <c r="AH128" s="180"/>
      <c r="AI128" s="180"/>
      <c r="AJ128" s="180"/>
      <c r="AK128" s="180"/>
      <c r="AL128" s="180"/>
    </row>
    <row r="129" spans="1:38" s="175" customFormat="1">
      <c r="A129" s="106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190">
        <v>124</v>
      </c>
      <c r="I129" s="191" t="str">
        <f t="shared" si="7"/>
        <v/>
      </c>
      <c r="J129" s="190" t="e">
        <f t="shared" si="11"/>
        <v>#NUM!</v>
      </c>
      <c r="K129" s="190" t="e">
        <f t="shared" si="8"/>
        <v>#NUM!</v>
      </c>
      <c r="L129" s="190"/>
      <c r="M129" s="192">
        <f t="shared" si="9"/>
        <v>0</v>
      </c>
      <c r="S129" s="180"/>
      <c r="T129" s="180"/>
      <c r="U129" s="180"/>
      <c r="V129" s="180"/>
      <c r="W129" s="180"/>
      <c r="X129" s="180"/>
      <c r="Y129" s="180"/>
      <c r="Z129" s="180"/>
      <c r="AA129" s="180"/>
      <c r="AB129" s="180"/>
      <c r="AC129" s="180"/>
      <c r="AD129" s="180"/>
      <c r="AE129" s="180"/>
      <c r="AF129" s="180"/>
      <c r="AG129" s="180"/>
      <c r="AH129" s="180"/>
      <c r="AI129" s="180"/>
      <c r="AJ129" s="180"/>
      <c r="AK129" s="180"/>
      <c r="AL129" s="180"/>
    </row>
    <row r="130" spans="1:38" s="175" customFormat="1">
      <c r="A130" s="102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187">
        <v>125</v>
      </c>
      <c r="I130" s="188" t="str">
        <f t="shared" si="7"/>
        <v/>
      </c>
      <c r="J130" s="187" t="e">
        <f t="shared" si="11"/>
        <v>#NUM!</v>
      </c>
      <c r="K130" s="187" t="e">
        <f t="shared" si="8"/>
        <v>#NUM!</v>
      </c>
      <c r="L130" s="187"/>
      <c r="M130" s="189">
        <f t="shared" si="9"/>
        <v>0</v>
      </c>
      <c r="S130" s="180"/>
      <c r="T130" s="180"/>
      <c r="U130" s="180"/>
      <c r="V130" s="180"/>
      <c r="W130" s="180"/>
      <c r="X130" s="180"/>
      <c r="Y130" s="180"/>
      <c r="Z130" s="180"/>
      <c r="AA130" s="180"/>
      <c r="AB130" s="180"/>
      <c r="AC130" s="180"/>
      <c r="AD130" s="180"/>
      <c r="AE130" s="180"/>
      <c r="AF130" s="180"/>
      <c r="AG130" s="180"/>
      <c r="AH130" s="180"/>
      <c r="AI130" s="180"/>
      <c r="AJ130" s="180"/>
      <c r="AK130" s="180"/>
      <c r="AL130" s="180"/>
    </row>
    <row r="131" spans="1:38" s="175" customFormat="1">
      <c r="A131" s="106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190">
        <v>126</v>
      </c>
      <c r="I131" s="191" t="str">
        <f t="shared" si="7"/>
        <v/>
      </c>
      <c r="J131" s="190" t="e">
        <f t="shared" si="11"/>
        <v>#NUM!</v>
      </c>
      <c r="K131" s="190" t="e">
        <f t="shared" si="8"/>
        <v>#NUM!</v>
      </c>
      <c r="L131" s="190"/>
      <c r="M131" s="192">
        <f t="shared" si="9"/>
        <v>0</v>
      </c>
      <c r="S131" s="180"/>
      <c r="T131" s="180"/>
      <c r="U131" s="180"/>
      <c r="V131" s="180"/>
      <c r="W131" s="180"/>
      <c r="X131" s="180"/>
      <c r="Y131" s="180"/>
      <c r="Z131" s="180"/>
      <c r="AA131" s="180"/>
      <c r="AB131" s="180"/>
      <c r="AC131" s="180"/>
      <c r="AD131" s="180"/>
      <c r="AE131" s="180"/>
      <c r="AF131" s="180"/>
      <c r="AG131" s="180"/>
      <c r="AH131" s="180"/>
      <c r="AI131" s="180"/>
      <c r="AJ131" s="180"/>
      <c r="AK131" s="180"/>
      <c r="AL131" s="180"/>
    </row>
    <row r="132" spans="1:38" s="175" customFormat="1">
      <c r="A132" s="102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187">
        <v>127</v>
      </c>
      <c r="I132" s="188" t="str">
        <f t="shared" si="7"/>
        <v/>
      </c>
      <c r="J132" s="187" t="e">
        <f t="shared" si="11"/>
        <v>#NUM!</v>
      </c>
      <c r="K132" s="187" t="e">
        <f t="shared" si="8"/>
        <v>#NUM!</v>
      </c>
      <c r="L132" s="187"/>
      <c r="M132" s="189">
        <f t="shared" si="9"/>
        <v>0</v>
      </c>
      <c r="S132" s="180"/>
      <c r="T132" s="180"/>
      <c r="U132" s="180"/>
      <c r="V132" s="180"/>
      <c r="W132" s="180"/>
      <c r="X132" s="180"/>
      <c r="Y132" s="180"/>
      <c r="Z132" s="180"/>
      <c r="AA132" s="180"/>
      <c r="AB132" s="180"/>
      <c r="AC132" s="180"/>
      <c r="AD132" s="180"/>
      <c r="AE132" s="180"/>
      <c r="AF132" s="180"/>
      <c r="AG132" s="180"/>
      <c r="AH132" s="180"/>
      <c r="AI132" s="180"/>
      <c r="AJ132" s="180"/>
      <c r="AK132" s="180"/>
      <c r="AL132" s="180"/>
    </row>
    <row r="133" spans="1:38" s="175" customFormat="1">
      <c r="A133" s="106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190">
        <v>128</v>
      </c>
      <c r="I133" s="191" t="str">
        <f t="shared" si="7"/>
        <v/>
      </c>
      <c r="J133" s="190" t="e">
        <f t="shared" si="11"/>
        <v>#NUM!</v>
      </c>
      <c r="K133" s="190" t="e">
        <f t="shared" si="8"/>
        <v>#NUM!</v>
      </c>
      <c r="L133" s="190"/>
      <c r="M133" s="192">
        <f t="shared" si="9"/>
        <v>0</v>
      </c>
      <c r="S133" s="180"/>
      <c r="T133" s="180"/>
      <c r="U133" s="180"/>
      <c r="V133" s="180"/>
      <c r="W133" s="180"/>
      <c r="X133" s="180"/>
      <c r="Y133" s="180"/>
      <c r="Z133" s="180"/>
      <c r="AA133" s="180"/>
      <c r="AB133" s="180"/>
      <c r="AC133" s="180"/>
      <c r="AD133" s="180"/>
      <c r="AE133" s="180"/>
      <c r="AF133" s="180"/>
      <c r="AG133" s="180"/>
      <c r="AH133" s="180"/>
      <c r="AI133" s="180"/>
      <c r="AJ133" s="180"/>
      <c r="AK133" s="180"/>
      <c r="AL133" s="180"/>
    </row>
    <row r="134" spans="1:38" s="175" customFormat="1">
      <c r="A134" s="102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187">
        <v>129</v>
      </c>
      <c r="I134" s="188" t="str">
        <f t="shared" ref="I134:I197" si="13">IF(H134&lt;$H$2+1,($I$2-($I$2-1)*(LOG(H134)/LOG($H$2))),"")</f>
        <v/>
      </c>
      <c r="J134" s="187" t="e">
        <f t="shared" si="11"/>
        <v>#NUM!</v>
      </c>
      <c r="K134" s="187" t="e">
        <f t="shared" ref="K134:K197" si="14">J134*$J$2</f>
        <v>#NUM!</v>
      </c>
      <c r="L134" s="187"/>
      <c r="M134" s="189">
        <f t="shared" ref="M134:M197" si="15">IF(I134&lt;&gt;"",K134+I134+L134,0)</f>
        <v>0</v>
      </c>
      <c r="S134" s="180"/>
      <c r="T134" s="180"/>
      <c r="U134" s="180"/>
      <c r="V134" s="180"/>
      <c r="W134" s="180"/>
      <c r="X134" s="180"/>
      <c r="Y134" s="180"/>
      <c r="Z134" s="180"/>
      <c r="AA134" s="180"/>
      <c r="AB134" s="180"/>
      <c r="AC134" s="180"/>
      <c r="AD134" s="180"/>
      <c r="AE134" s="180"/>
      <c r="AF134" s="180"/>
      <c r="AG134" s="180"/>
      <c r="AH134" s="180"/>
      <c r="AI134" s="180"/>
      <c r="AJ134" s="180"/>
      <c r="AK134" s="180"/>
      <c r="AL134" s="180"/>
    </row>
    <row r="135" spans="1:38" s="175" customFormat="1">
      <c r="A135" s="106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190">
        <v>130</v>
      </c>
      <c r="I135" s="191" t="str">
        <f t="shared" si="13"/>
        <v/>
      </c>
      <c r="J135" s="190" t="e">
        <f t="shared" ref="J135:J198" si="17">INT(LOG($H$2,2))-ROUNDUP(LOG(H135,2),0)+IF(OR($H$2=1,$H$2=2,$H$2=4,$H$2=8,$H$2=16,$H$2=32,$H$2=64,$H$2=128,$H$2=256),0,1)</f>
        <v>#NUM!</v>
      </c>
      <c r="K135" s="190" t="e">
        <f t="shared" si="14"/>
        <v>#NUM!</v>
      </c>
      <c r="L135" s="190"/>
      <c r="M135" s="192">
        <f t="shared" si="15"/>
        <v>0</v>
      </c>
      <c r="S135" s="180"/>
      <c r="T135" s="180"/>
      <c r="U135" s="180"/>
      <c r="V135" s="180"/>
      <c r="W135" s="180"/>
      <c r="X135" s="180"/>
      <c r="Y135" s="180"/>
      <c r="Z135" s="180"/>
      <c r="AA135" s="180"/>
      <c r="AB135" s="180"/>
      <c r="AC135" s="180"/>
      <c r="AD135" s="180"/>
      <c r="AE135" s="180"/>
      <c r="AF135" s="180"/>
      <c r="AG135" s="180"/>
      <c r="AH135" s="180"/>
      <c r="AI135" s="180"/>
      <c r="AJ135" s="180"/>
      <c r="AK135" s="180"/>
      <c r="AL135" s="180"/>
    </row>
    <row r="136" spans="1:38" s="175" customFormat="1">
      <c r="A136" s="102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187">
        <v>131</v>
      </c>
      <c r="I136" s="188" t="str">
        <f t="shared" si="13"/>
        <v/>
      </c>
      <c r="J136" s="187" t="e">
        <f t="shared" si="17"/>
        <v>#NUM!</v>
      </c>
      <c r="K136" s="187" t="e">
        <f t="shared" si="14"/>
        <v>#NUM!</v>
      </c>
      <c r="L136" s="187"/>
      <c r="M136" s="189">
        <f t="shared" si="15"/>
        <v>0</v>
      </c>
      <c r="S136" s="180"/>
      <c r="T136" s="180"/>
      <c r="U136" s="180"/>
      <c r="V136" s="180"/>
      <c r="W136" s="180"/>
      <c r="X136" s="180"/>
      <c r="Y136" s="180"/>
      <c r="Z136" s="180"/>
      <c r="AA136" s="180"/>
      <c r="AB136" s="180"/>
      <c r="AC136" s="180"/>
      <c r="AD136" s="180"/>
      <c r="AE136" s="180"/>
      <c r="AF136" s="180"/>
      <c r="AG136" s="180"/>
      <c r="AH136" s="180"/>
      <c r="AI136" s="180"/>
      <c r="AJ136" s="180"/>
      <c r="AK136" s="180"/>
      <c r="AL136" s="180"/>
    </row>
    <row r="137" spans="1:38" s="175" customFormat="1">
      <c r="A137" s="106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190">
        <v>132</v>
      </c>
      <c r="I137" s="191" t="str">
        <f t="shared" si="13"/>
        <v/>
      </c>
      <c r="J137" s="190" t="e">
        <f t="shared" si="17"/>
        <v>#NUM!</v>
      </c>
      <c r="K137" s="190" t="e">
        <f t="shared" si="14"/>
        <v>#NUM!</v>
      </c>
      <c r="L137" s="190"/>
      <c r="M137" s="192">
        <f t="shared" si="15"/>
        <v>0</v>
      </c>
      <c r="S137" s="180"/>
      <c r="T137" s="180"/>
      <c r="U137" s="180"/>
      <c r="V137" s="180"/>
      <c r="W137" s="180"/>
      <c r="X137" s="180"/>
      <c r="Y137" s="180"/>
      <c r="Z137" s="180"/>
      <c r="AA137" s="180"/>
      <c r="AB137" s="180"/>
      <c r="AC137" s="180"/>
      <c r="AD137" s="180"/>
      <c r="AE137" s="180"/>
      <c r="AF137" s="180"/>
      <c r="AG137" s="180"/>
      <c r="AH137" s="180"/>
      <c r="AI137" s="180"/>
      <c r="AJ137" s="180"/>
      <c r="AK137" s="180"/>
      <c r="AL137" s="180"/>
    </row>
    <row r="138" spans="1:38" s="175" customFormat="1">
      <c r="A138" s="102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187">
        <v>133</v>
      </c>
      <c r="I138" s="188" t="str">
        <f t="shared" si="13"/>
        <v/>
      </c>
      <c r="J138" s="187" t="e">
        <f t="shared" si="17"/>
        <v>#NUM!</v>
      </c>
      <c r="K138" s="187" t="e">
        <f t="shared" si="14"/>
        <v>#NUM!</v>
      </c>
      <c r="L138" s="187"/>
      <c r="M138" s="189">
        <f t="shared" si="15"/>
        <v>0</v>
      </c>
      <c r="S138" s="180"/>
      <c r="T138" s="180"/>
      <c r="U138" s="180"/>
      <c r="V138" s="180"/>
      <c r="W138" s="180"/>
      <c r="X138" s="180"/>
      <c r="Y138" s="180"/>
      <c r="Z138" s="180"/>
      <c r="AA138" s="180"/>
      <c r="AB138" s="180"/>
      <c r="AC138" s="180"/>
      <c r="AD138" s="180"/>
      <c r="AE138" s="180"/>
      <c r="AF138" s="180"/>
      <c r="AG138" s="180"/>
      <c r="AH138" s="180"/>
      <c r="AI138" s="180"/>
      <c r="AJ138" s="180"/>
      <c r="AK138" s="180"/>
      <c r="AL138" s="180"/>
    </row>
    <row r="139" spans="1:38" s="175" customFormat="1">
      <c r="A139" s="106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190">
        <v>134</v>
      </c>
      <c r="I139" s="191" t="str">
        <f t="shared" si="13"/>
        <v/>
      </c>
      <c r="J139" s="190" t="e">
        <f t="shared" si="17"/>
        <v>#NUM!</v>
      </c>
      <c r="K139" s="190" t="e">
        <f t="shared" si="14"/>
        <v>#NUM!</v>
      </c>
      <c r="L139" s="190"/>
      <c r="M139" s="192">
        <f t="shared" si="15"/>
        <v>0</v>
      </c>
      <c r="S139" s="180"/>
      <c r="T139" s="180"/>
      <c r="U139" s="180"/>
      <c r="V139" s="180"/>
      <c r="W139" s="180"/>
      <c r="X139" s="180"/>
      <c r="Y139" s="180"/>
      <c r="Z139" s="180"/>
      <c r="AA139" s="180"/>
      <c r="AB139" s="180"/>
      <c r="AC139" s="180"/>
      <c r="AD139" s="180"/>
      <c r="AE139" s="180"/>
      <c r="AF139" s="180"/>
      <c r="AG139" s="180"/>
      <c r="AH139" s="180"/>
      <c r="AI139" s="180"/>
      <c r="AJ139" s="180"/>
      <c r="AK139" s="180"/>
      <c r="AL139" s="180"/>
    </row>
    <row r="140" spans="1:38" s="175" customFormat="1">
      <c r="A140" s="102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187">
        <v>135</v>
      </c>
      <c r="I140" s="188" t="str">
        <f t="shared" si="13"/>
        <v/>
      </c>
      <c r="J140" s="187" t="e">
        <f t="shared" si="17"/>
        <v>#NUM!</v>
      </c>
      <c r="K140" s="187" t="e">
        <f t="shared" si="14"/>
        <v>#NUM!</v>
      </c>
      <c r="L140" s="187"/>
      <c r="M140" s="189">
        <f t="shared" si="15"/>
        <v>0</v>
      </c>
      <c r="S140" s="180"/>
      <c r="T140" s="180"/>
      <c r="U140" s="180"/>
      <c r="V140" s="180"/>
      <c r="W140" s="180"/>
      <c r="X140" s="180"/>
      <c r="Y140" s="180"/>
      <c r="Z140" s="180"/>
      <c r="AA140" s="180"/>
      <c r="AB140" s="180"/>
      <c r="AC140" s="180"/>
      <c r="AD140" s="180"/>
      <c r="AE140" s="180"/>
      <c r="AF140" s="180"/>
      <c r="AG140" s="180"/>
      <c r="AH140" s="180"/>
      <c r="AI140" s="180"/>
      <c r="AJ140" s="180"/>
      <c r="AK140" s="180"/>
      <c r="AL140" s="180"/>
    </row>
    <row r="141" spans="1:38">
      <c r="A141" s="204"/>
      <c r="G141" s="175"/>
      <c r="H141" s="190">
        <v>136</v>
      </c>
      <c r="I141" s="188" t="str">
        <f t="shared" si="13"/>
        <v/>
      </c>
      <c r="J141" s="187" t="e">
        <f t="shared" si="17"/>
        <v>#NUM!</v>
      </c>
      <c r="K141" s="187" t="e">
        <f t="shared" si="14"/>
        <v>#NUM!</v>
      </c>
      <c r="L141" s="187"/>
      <c r="M141" s="189">
        <f t="shared" si="15"/>
        <v>0</v>
      </c>
    </row>
    <row r="142" spans="1:38">
      <c r="A142" s="204"/>
      <c r="G142" s="175"/>
      <c r="H142" s="187">
        <v>137</v>
      </c>
      <c r="I142" s="188" t="str">
        <f t="shared" si="13"/>
        <v/>
      </c>
      <c r="J142" s="187" t="e">
        <f t="shared" si="17"/>
        <v>#NUM!</v>
      </c>
      <c r="K142" s="187" t="e">
        <f t="shared" si="14"/>
        <v>#NUM!</v>
      </c>
      <c r="L142" s="187"/>
      <c r="M142" s="189">
        <f t="shared" si="15"/>
        <v>0</v>
      </c>
    </row>
    <row r="143" spans="1:38">
      <c r="A143" s="204"/>
      <c r="G143" s="175"/>
      <c r="H143" s="190">
        <v>138</v>
      </c>
      <c r="I143" s="188" t="str">
        <f t="shared" si="13"/>
        <v/>
      </c>
      <c r="J143" s="187" t="e">
        <f t="shared" si="17"/>
        <v>#NUM!</v>
      </c>
      <c r="K143" s="187" t="e">
        <f t="shared" si="14"/>
        <v>#NUM!</v>
      </c>
      <c r="L143" s="187"/>
      <c r="M143" s="189">
        <f t="shared" si="15"/>
        <v>0</v>
      </c>
    </row>
    <row r="144" spans="1:38">
      <c r="A144" s="204"/>
      <c r="G144" s="175"/>
      <c r="H144" s="187">
        <v>139</v>
      </c>
      <c r="I144" s="188" t="str">
        <f t="shared" si="13"/>
        <v/>
      </c>
      <c r="J144" s="187" t="e">
        <f t="shared" si="17"/>
        <v>#NUM!</v>
      </c>
      <c r="K144" s="187" t="e">
        <f t="shared" si="14"/>
        <v>#NUM!</v>
      </c>
      <c r="L144" s="187"/>
      <c r="M144" s="189">
        <f t="shared" si="15"/>
        <v>0</v>
      </c>
    </row>
    <row r="145" spans="1:13">
      <c r="A145" s="204"/>
      <c r="G145" s="175"/>
      <c r="H145" s="190">
        <v>140</v>
      </c>
      <c r="I145" s="188" t="str">
        <f t="shared" si="13"/>
        <v/>
      </c>
      <c r="J145" s="187" t="e">
        <f t="shared" si="17"/>
        <v>#NUM!</v>
      </c>
      <c r="K145" s="187" t="e">
        <f t="shared" si="14"/>
        <v>#NUM!</v>
      </c>
      <c r="L145" s="187"/>
      <c r="M145" s="189">
        <f t="shared" si="15"/>
        <v>0</v>
      </c>
    </row>
    <row r="146" spans="1:13">
      <c r="A146" s="204"/>
      <c r="G146" s="175"/>
      <c r="H146" s="187">
        <v>141</v>
      </c>
      <c r="I146" s="188" t="str">
        <f t="shared" si="13"/>
        <v/>
      </c>
      <c r="J146" s="187" t="e">
        <f t="shared" si="17"/>
        <v>#NUM!</v>
      </c>
      <c r="K146" s="187" t="e">
        <f t="shared" si="14"/>
        <v>#NUM!</v>
      </c>
      <c r="L146" s="187"/>
      <c r="M146" s="189">
        <f t="shared" si="15"/>
        <v>0</v>
      </c>
    </row>
    <row r="147" spans="1:13">
      <c r="A147" s="204"/>
      <c r="G147" s="175"/>
      <c r="H147" s="190">
        <v>142</v>
      </c>
      <c r="I147" s="188" t="str">
        <f t="shared" si="13"/>
        <v/>
      </c>
      <c r="J147" s="187" t="e">
        <f t="shared" si="17"/>
        <v>#NUM!</v>
      </c>
      <c r="K147" s="187" t="e">
        <f t="shared" si="14"/>
        <v>#NUM!</v>
      </c>
      <c r="L147" s="187"/>
      <c r="M147" s="189">
        <f t="shared" si="15"/>
        <v>0</v>
      </c>
    </row>
    <row r="148" spans="1:13">
      <c r="A148" s="204"/>
      <c r="G148" s="175"/>
      <c r="H148" s="187">
        <v>143</v>
      </c>
      <c r="I148" s="188" t="str">
        <f t="shared" si="13"/>
        <v/>
      </c>
      <c r="J148" s="187" t="e">
        <f t="shared" si="17"/>
        <v>#NUM!</v>
      </c>
      <c r="K148" s="187" t="e">
        <f t="shared" si="14"/>
        <v>#NUM!</v>
      </c>
      <c r="L148" s="187"/>
      <c r="M148" s="189">
        <f t="shared" si="15"/>
        <v>0</v>
      </c>
    </row>
    <row r="149" spans="1:13">
      <c r="A149" s="204"/>
      <c r="G149" s="175"/>
      <c r="H149" s="190">
        <v>144</v>
      </c>
      <c r="I149" s="188" t="str">
        <f t="shared" si="13"/>
        <v/>
      </c>
      <c r="J149" s="187" t="e">
        <f t="shared" si="17"/>
        <v>#NUM!</v>
      </c>
      <c r="K149" s="187" t="e">
        <f t="shared" si="14"/>
        <v>#NUM!</v>
      </c>
      <c r="L149" s="187"/>
      <c r="M149" s="189">
        <f t="shared" si="15"/>
        <v>0</v>
      </c>
    </row>
    <row r="150" spans="1:13">
      <c r="A150" s="204"/>
      <c r="G150" s="175"/>
      <c r="H150" s="187">
        <v>145</v>
      </c>
      <c r="I150" s="188" t="str">
        <f t="shared" si="13"/>
        <v/>
      </c>
      <c r="J150" s="187" t="e">
        <f t="shared" si="17"/>
        <v>#NUM!</v>
      </c>
      <c r="K150" s="187" t="e">
        <f t="shared" si="14"/>
        <v>#NUM!</v>
      </c>
      <c r="L150" s="187"/>
      <c r="M150" s="189">
        <f t="shared" si="15"/>
        <v>0</v>
      </c>
    </row>
    <row r="151" spans="1:13">
      <c r="A151" s="204"/>
      <c r="G151" s="175"/>
      <c r="H151" s="190">
        <v>146</v>
      </c>
      <c r="I151" s="188" t="str">
        <f t="shared" si="13"/>
        <v/>
      </c>
      <c r="J151" s="187" t="e">
        <f t="shared" si="17"/>
        <v>#NUM!</v>
      </c>
      <c r="K151" s="187" t="e">
        <f t="shared" si="14"/>
        <v>#NUM!</v>
      </c>
      <c r="L151" s="187"/>
      <c r="M151" s="189">
        <f t="shared" si="15"/>
        <v>0</v>
      </c>
    </row>
    <row r="152" spans="1:13">
      <c r="A152" s="204"/>
      <c r="G152" s="175"/>
      <c r="H152" s="187">
        <v>147</v>
      </c>
      <c r="I152" s="188" t="str">
        <f t="shared" si="13"/>
        <v/>
      </c>
      <c r="J152" s="187" t="e">
        <f t="shared" si="17"/>
        <v>#NUM!</v>
      </c>
      <c r="K152" s="187" t="e">
        <f t="shared" si="14"/>
        <v>#NUM!</v>
      </c>
      <c r="L152" s="187"/>
      <c r="M152" s="189">
        <f t="shared" si="15"/>
        <v>0</v>
      </c>
    </row>
    <row r="153" spans="1:13">
      <c r="A153" s="204"/>
      <c r="G153" s="175"/>
      <c r="H153" s="190">
        <v>148</v>
      </c>
      <c r="I153" s="188" t="str">
        <f t="shared" si="13"/>
        <v/>
      </c>
      <c r="J153" s="187" t="e">
        <f t="shared" si="17"/>
        <v>#NUM!</v>
      </c>
      <c r="K153" s="187" t="e">
        <f t="shared" si="14"/>
        <v>#NUM!</v>
      </c>
      <c r="L153" s="187"/>
      <c r="M153" s="189">
        <f t="shared" si="15"/>
        <v>0</v>
      </c>
    </row>
    <row r="154" spans="1:13">
      <c r="A154" s="204"/>
      <c r="G154" s="175"/>
      <c r="H154" s="187">
        <v>149</v>
      </c>
      <c r="I154" s="188" t="str">
        <f t="shared" si="13"/>
        <v/>
      </c>
      <c r="J154" s="187" t="e">
        <f t="shared" si="17"/>
        <v>#NUM!</v>
      </c>
      <c r="K154" s="187" t="e">
        <f t="shared" si="14"/>
        <v>#NUM!</v>
      </c>
      <c r="L154" s="187"/>
      <c r="M154" s="189">
        <f t="shared" si="15"/>
        <v>0</v>
      </c>
    </row>
    <row r="155" spans="1:13">
      <c r="A155" s="204"/>
      <c r="G155" s="175"/>
      <c r="H155" s="190">
        <v>150</v>
      </c>
      <c r="I155" s="188" t="str">
        <f t="shared" si="13"/>
        <v/>
      </c>
      <c r="J155" s="187" t="e">
        <f t="shared" si="17"/>
        <v>#NUM!</v>
      </c>
      <c r="K155" s="187" t="e">
        <f t="shared" si="14"/>
        <v>#NUM!</v>
      </c>
      <c r="L155" s="187"/>
      <c r="M155" s="189">
        <f t="shared" si="15"/>
        <v>0</v>
      </c>
    </row>
    <row r="156" spans="1:13">
      <c r="A156" s="204"/>
      <c r="G156" s="175"/>
      <c r="H156" s="187">
        <v>151</v>
      </c>
      <c r="I156" s="188" t="str">
        <f t="shared" si="13"/>
        <v/>
      </c>
      <c r="J156" s="187" t="e">
        <f t="shared" si="17"/>
        <v>#NUM!</v>
      </c>
      <c r="K156" s="187" t="e">
        <f t="shared" si="14"/>
        <v>#NUM!</v>
      </c>
      <c r="L156" s="187"/>
      <c r="M156" s="189">
        <f t="shared" si="15"/>
        <v>0</v>
      </c>
    </row>
    <row r="157" spans="1:13">
      <c r="A157" s="204"/>
      <c r="G157" s="175"/>
      <c r="H157" s="190">
        <v>152</v>
      </c>
      <c r="I157" s="188" t="str">
        <f t="shared" si="13"/>
        <v/>
      </c>
      <c r="J157" s="187" t="e">
        <f t="shared" si="17"/>
        <v>#NUM!</v>
      </c>
      <c r="K157" s="187" t="e">
        <f t="shared" si="14"/>
        <v>#NUM!</v>
      </c>
      <c r="L157" s="187"/>
      <c r="M157" s="189">
        <f t="shared" si="15"/>
        <v>0</v>
      </c>
    </row>
    <row r="158" spans="1:13">
      <c r="A158" s="204"/>
      <c r="G158" s="175"/>
      <c r="H158" s="187">
        <v>153</v>
      </c>
      <c r="I158" s="188" t="str">
        <f t="shared" si="13"/>
        <v/>
      </c>
      <c r="J158" s="187" t="e">
        <f t="shared" si="17"/>
        <v>#NUM!</v>
      </c>
      <c r="K158" s="187" t="e">
        <f t="shared" si="14"/>
        <v>#NUM!</v>
      </c>
      <c r="L158" s="187"/>
      <c r="M158" s="189">
        <f t="shared" si="15"/>
        <v>0</v>
      </c>
    </row>
    <row r="159" spans="1:13">
      <c r="A159" s="204"/>
      <c r="G159" s="175"/>
      <c r="H159" s="190">
        <v>154</v>
      </c>
      <c r="I159" s="188" t="str">
        <f t="shared" si="13"/>
        <v/>
      </c>
      <c r="J159" s="187" t="e">
        <f t="shared" si="17"/>
        <v>#NUM!</v>
      </c>
      <c r="K159" s="187" t="e">
        <f t="shared" si="14"/>
        <v>#NUM!</v>
      </c>
      <c r="L159" s="187"/>
      <c r="M159" s="189">
        <f t="shared" si="15"/>
        <v>0</v>
      </c>
    </row>
    <row r="160" spans="1:13">
      <c r="A160" s="204"/>
      <c r="G160" s="175"/>
      <c r="H160" s="187">
        <v>155</v>
      </c>
      <c r="I160" s="188" t="str">
        <f t="shared" si="13"/>
        <v/>
      </c>
      <c r="J160" s="187" t="e">
        <f t="shared" si="17"/>
        <v>#NUM!</v>
      </c>
      <c r="K160" s="187" t="e">
        <f t="shared" si="14"/>
        <v>#NUM!</v>
      </c>
      <c r="L160" s="187"/>
      <c r="M160" s="189">
        <f t="shared" si="15"/>
        <v>0</v>
      </c>
    </row>
    <row r="161" spans="1:13">
      <c r="A161" s="204"/>
      <c r="G161" s="175"/>
      <c r="H161" s="190">
        <v>156</v>
      </c>
      <c r="I161" s="188" t="str">
        <f t="shared" si="13"/>
        <v/>
      </c>
      <c r="J161" s="187" t="e">
        <f t="shared" si="17"/>
        <v>#NUM!</v>
      </c>
      <c r="K161" s="187" t="e">
        <f t="shared" si="14"/>
        <v>#NUM!</v>
      </c>
      <c r="L161" s="187"/>
      <c r="M161" s="189">
        <f t="shared" si="15"/>
        <v>0</v>
      </c>
    </row>
    <row r="162" spans="1:13">
      <c r="A162" s="204"/>
      <c r="G162" s="175"/>
      <c r="H162" s="187">
        <v>157</v>
      </c>
      <c r="I162" s="188" t="str">
        <f t="shared" si="13"/>
        <v/>
      </c>
      <c r="J162" s="187" t="e">
        <f t="shared" si="17"/>
        <v>#NUM!</v>
      </c>
      <c r="K162" s="187" t="e">
        <f t="shared" si="14"/>
        <v>#NUM!</v>
      </c>
      <c r="L162" s="187"/>
      <c r="M162" s="189">
        <f t="shared" si="15"/>
        <v>0</v>
      </c>
    </row>
    <row r="163" spans="1:13">
      <c r="A163" s="204"/>
      <c r="G163" s="175"/>
      <c r="H163" s="190">
        <v>158</v>
      </c>
      <c r="I163" s="188" t="str">
        <f t="shared" si="13"/>
        <v/>
      </c>
      <c r="J163" s="187" t="e">
        <f t="shared" si="17"/>
        <v>#NUM!</v>
      </c>
      <c r="K163" s="187" t="e">
        <f t="shared" si="14"/>
        <v>#NUM!</v>
      </c>
      <c r="L163" s="187"/>
      <c r="M163" s="189">
        <f t="shared" si="15"/>
        <v>0</v>
      </c>
    </row>
    <row r="164" spans="1:13">
      <c r="A164" s="204"/>
      <c r="G164" s="175"/>
      <c r="H164" s="187">
        <v>159</v>
      </c>
      <c r="I164" s="188" t="str">
        <f t="shared" si="13"/>
        <v/>
      </c>
      <c r="J164" s="187" t="e">
        <f t="shared" si="17"/>
        <v>#NUM!</v>
      </c>
      <c r="K164" s="187" t="e">
        <f t="shared" si="14"/>
        <v>#NUM!</v>
      </c>
      <c r="L164" s="187"/>
      <c r="M164" s="189">
        <f t="shared" si="15"/>
        <v>0</v>
      </c>
    </row>
    <row r="165" spans="1:13">
      <c r="A165" s="204"/>
      <c r="G165" s="175"/>
      <c r="H165" s="190">
        <v>160</v>
      </c>
      <c r="I165" s="188" t="str">
        <f t="shared" si="13"/>
        <v/>
      </c>
      <c r="J165" s="187" t="e">
        <f t="shared" si="17"/>
        <v>#NUM!</v>
      </c>
      <c r="K165" s="187" t="e">
        <f t="shared" si="14"/>
        <v>#NUM!</v>
      </c>
      <c r="L165" s="187"/>
      <c r="M165" s="189">
        <f t="shared" si="15"/>
        <v>0</v>
      </c>
    </row>
    <row r="166" spans="1:13">
      <c r="A166" s="204"/>
      <c r="G166" s="175"/>
      <c r="H166" s="187">
        <v>161</v>
      </c>
      <c r="I166" s="188" t="str">
        <f t="shared" si="13"/>
        <v/>
      </c>
      <c r="J166" s="187" t="e">
        <f t="shared" si="17"/>
        <v>#NUM!</v>
      </c>
      <c r="K166" s="187" t="e">
        <f t="shared" si="14"/>
        <v>#NUM!</v>
      </c>
      <c r="L166" s="187"/>
      <c r="M166" s="189">
        <f t="shared" si="15"/>
        <v>0</v>
      </c>
    </row>
    <row r="167" spans="1:13">
      <c r="A167" s="204"/>
      <c r="G167" s="175"/>
      <c r="H167" s="190">
        <v>162</v>
      </c>
      <c r="I167" s="188" t="str">
        <f t="shared" si="13"/>
        <v/>
      </c>
      <c r="J167" s="187" t="e">
        <f t="shared" si="17"/>
        <v>#NUM!</v>
      </c>
      <c r="K167" s="187" t="e">
        <f t="shared" si="14"/>
        <v>#NUM!</v>
      </c>
      <c r="L167" s="187"/>
      <c r="M167" s="189">
        <f t="shared" si="15"/>
        <v>0</v>
      </c>
    </row>
    <row r="168" spans="1:13">
      <c r="A168" s="204"/>
      <c r="G168" s="175"/>
      <c r="H168" s="187">
        <v>163</v>
      </c>
      <c r="I168" s="188" t="str">
        <f t="shared" si="13"/>
        <v/>
      </c>
      <c r="J168" s="187" t="e">
        <f t="shared" si="17"/>
        <v>#NUM!</v>
      </c>
      <c r="K168" s="187" t="e">
        <f t="shared" si="14"/>
        <v>#NUM!</v>
      </c>
      <c r="L168" s="187"/>
      <c r="M168" s="189">
        <f t="shared" si="15"/>
        <v>0</v>
      </c>
    </row>
    <row r="169" spans="1:13">
      <c r="A169" s="204"/>
      <c r="C169" s="203" t="s">
        <v>57</v>
      </c>
      <c r="G169" s="175"/>
      <c r="H169" s="190">
        <v>164</v>
      </c>
      <c r="I169" s="188" t="str">
        <f t="shared" si="13"/>
        <v/>
      </c>
      <c r="J169" s="187" t="e">
        <f t="shared" si="17"/>
        <v>#NUM!</v>
      </c>
      <c r="K169" s="187" t="e">
        <f t="shared" si="14"/>
        <v>#NUM!</v>
      </c>
      <c r="L169" s="187"/>
      <c r="M169" s="189">
        <f t="shared" si="15"/>
        <v>0</v>
      </c>
    </row>
    <row r="170" spans="1:13">
      <c r="A170" s="204"/>
      <c r="G170" s="175"/>
      <c r="H170" s="187">
        <v>165</v>
      </c>
      <c r="I170" s="188" t="str">
        <f t="shared" si="13"/>
        <v/>
      </c>
      <c r="J170" s="187" t="e">
        <f t="shared" si="17"/>
        <v>#NUM!</v>
      </c>
      <c r="K170" s="187" t="e">
        <f t="shared" si="14"/>
        <v>#NUM!</v>
      </c>
      <c r="L170" s="187"/>
      <c r="M170" s="189">
        <f t="shared" si="15"/>
        <v>0</v>
      </c>
    </row>
    <row r="171" spans="1:13">
      <c r="A171" s="204"/>
      <c r="G171" s="175"/>
      <c r="H171" s="190">
        <v>166</v>
      </c>
      <c r="I171" s="188" t="str">
        <f t="shared" si="13"/>
        <v/>
      </c>
      <c r="J171" s="187" t="e">
        <f t="shared" si="17"/>
        <v>#NUM!</v>
      </c>
      <c r="K171" s="187" t="e">
        <f t="shared" si="14"/>
        <v>#NUM!</v>
      </c>
      <c r="L171" s="187"/>
      <c r="M171" s="189">
        <f t="shared" si="15"/>
        <v>0</v>
      </c>
    </row>
    <row r="172" spans="1:13">
      <c r="A172" s="204"/>
      <c r="G172" s="175"/>
      <c r="H172" s="187">
        <v>167</v>
      </c>
      <c r="I172" s="188" t="str">
        <f t="shared" si="13"/>
        <v/>
      </c>
      <c r="J172" s="187" t="e">
        <f t="shared" si="17"/>
        <v>#NUM!</v>
      </c>
      <c r="K172" s="187" t="e">
        <f t="shared" si="14"/>
        <v>#NUM!</v>
      </c>
      <c r="L172" s="187"/>
      <c r="M172" s="189">
        <f t="shared" si="15"/>
        <v>0</v>
      </c>
    </row>
    <row r="173" spans="1:13">
      <c r="A173" s="204"/>
      <c r="G173" s="175"/>
      <c r="H173" s="190">
        <v>168</v>
      </c>
      <c r="I173" s="188" t="str">
        <f t="shared" si="13"/>
        <v/>
      </c>
      <c r="J173" s="187" t="e">
        <f t="shared" si="17"/>
        <v>#NUM!</v>
      </c>
      <c r="K173" s="187" t="e">
        <f t="shared" si="14"/>
        <v>#NUM!</v>
      </c>
      <c r="L173" s="187"/>
      <c r="M173" s="189">
        <f t="shared" si="15"/>
        <v>0</v>
      </c>
    </row>
    <row r="174" spans="1:13">
      <c r="A174" s="204"/>
      <c r="G174" s="175"/>
      <c r="H174" s="187">
        <v>169</v>
      </c>
      <c r="I174" s="188" t="str">
        <f t="shared" si="13"/>
        <v/>
      </c>
      <c r="J174" s="187" t="e">
        <f t="shared" si="17"/>
        <v>#NUM!</v>
      </c>
      <c r="K174" s="187" t="e">
        <f t="shared" si="14"/>
        <v>#NUM!</v>
      </c>
      <c r="L174" s="187"/>
      <c r="M174" s="189">
        <f t="shared" si="15"/>
        <v>0</v>
      </c>
    </row>
    <row r="175" spans="1:13">
      <c r="A175" s="204"/>
      <c r="G175" s="175"/>
      <c r="H175" s="190">
        <v>170</v>
      </c>
      <c r="I175" s="188" t="str">
        <f t="shared" si="13"/>
        <v/>
      </c>
      <c r="J175" s="187" t="e">
        <f t="shared" si="17"/>
        <v>#NUM!</v>
      </c>
      <c r="K175" s="187" t="e">
        <f t="shared" si="14"/>
        <v>#NUM!</v>
      </c>
      <c r="L175" s="187"/>
      <c r="M175" s="189">
        <f t="shared" si="15"/>
        <v>0</v>
      </c>
    </row>
    <row r="176" spans="1:13">
      <c r="A176" s="204"/>
      <c r="G176" s="175"/>
      <c r="H176" s="187">
        <v>171</v>
      </c>
      <c r="I176" s="188" t="str">
        <f t="shared" si="13"/>
        <v/>
      </c>
      <c r="J176" s="187" t="e">
        <f t="shared" si="17"/>
        <v>#NUM!</v>
      </c>
      <c r="K176" s="187" t="e">
        <f t="shared" si="14"/>
        <v>#NUM!</v>
      </c>
      <c r="L176" s="187"/>
      <c r="M176" s="189">
        <f t="shared" si="15"/>
        <v>0</v>
      </c>
    </row>
    <row r="177" spans="1:13">
      <c r="A177" s="204"/>
      <c r="G177" s="175"/>
      <c r="H177" s="190">
        <v>172</v>
      </c>
      <c r="I177" s="188" t="str">
        <f t="shared" si="13"/>
        <v/>
      </c>
      <c r="J177" s="187" t="e">
        <f t="shared" si="17"/>
        <v>#NUM!</v>
      </c>
      <c r="K177" s="187" t="e">
        <f t="shared" si="14"/>
        <v>#NUM!</v>
      </c>
      <c r="L177" s="187"/>
      <c r="M177" s="189">
        <f t="shared" si="15"/>
        <v>0</v>
      </c>
    </row>
    <row r="178" spans="1:13">
      <c r="A178" s="204"/>
      <c r="G178" s="175"/>
      <c r="H178" s="187">
        <v>173</v>
      </c>
      <c r="I178" s="188" t="str">
        <f t="shared" si="13"/>
        <v/>
      </c>
      <c r="J178" s="187" t="e">
        <f t="shared" si="17"/>
        <v>#NUM!</v>
      </c>
      <c r="K178" s="187" t="e">
        <f t="shared" si="14"/>
        <v>#NUM!</v>
      </c>
      <c r="L178" s="187"/>
      <c r="M178" s="189">
        <f t="shared" si="15"/>
        <v>0</v>
      </c>
    </row>
    <row r="179" spans="1:13">
      <c r="A179" s="204"/>
      <c r="G179" s="175"/>
      <c r="H179" s="190">
        <v>174</v>
      </c>
      <c r="I179" s="188" t="str">
        <f t="shared" si="13"/>
        <v/>
      </c>
      <c r="J179" s="187" t="e">
        <f t="shared" si="17"/>
        <v>#NUM!</v>
      </c>
      <c r="K179" s="187" t="e">
        <f t="shared" si="14"/>
        <v>#NUM!</v>
      </c>
      <c r="L179" s="187"/>
      <c r="M179" s="189">
        <f t="shared" si="15"/>
        <v>0</v>
      </c>
    </row>
    <row r="180" spans="1:13">
      <c r="A180" s="204"/>
      <c r="G180" s="175"/>
      <c r="H180" s="187">
        <v>175</v>
      </c>
      <c r="I180" s="188" t="str">
        <f t="shared" si="13"/>
        <v/>
      </c>
      <c r="J180" s="187" t="e">
        <f t="shared" si="17"/>
        <v>#NUM!</v>
      </c>
      <c r="K180" s="187" t="e">
        <f t="shared" si="14"/>
        <v>#NUM!</v>
      </c>
      <c r="L180" s="187"/>
      <c r="M180" s="189">
        <f t="shared" si="15"/>
        <v>0</v>
      </c>
    </row>
    <row r="181" spans="1:13">
      <c r="A181" s="204"/>
      <c r="G181" s="175"/>
      <c r="H181" s="190">
        <v>176</v>
      </c>
      <c r="I181" s="188" t="str">
        <f t="shared" si="13"/>
        <v/>
      </c>
      <c r="J181" s="187" t="e">
        <f t="shared" si="17"/>
        <v>#NUM!</v>
      </c>
      <c r="K181" s="187" t="e">
        <f t="shared" si="14"/>
        <v>#NUM!</v>
      </c>
      <c r="L181" s="187"/>
      <c r="M181" s="189">
        <f t="shared" si="15"/>
        <v>0</v>
      </c>
    </row>
    <row r="182" spans="1:13">
      <c r="A182" s="204"/>
      <c r="G182" s="175"/>
      <c r="H182" s="187">
        <v>177</v>
      </c>
      <c r="I182" s="188" t="str">
        <f t="shared" si="13"/>
        <v/>
      </c>
      <c r="J182" s="187" t="e">
        <f t="shared" si="17"/>
        <v>#NUM!</v>
      </c>
      <c r="K182" s="187" t="e">
        <f t="shared" si="14"/>
        <v>#NUM!</v>
      </c>
      <c r="L182" s="187"/>
      <c r="M182" s="189">
        <f t="shared" si="15"/>
        <v>0</v>
      </c>
    </row>
    <row r="183" spans="1:13">
      <c r="A183" s="204"/>
      <c r="G183" s="175"/>
      <c r="H183" s="190">
        <v>178</v>
      </c>
      <c r="I183" s="188" t="str">
        <f t="shared" si="13"/>
        <v/>
      </c>
      <c r="J183" s="187" t="e">
        <f t="shared" si="17"/>
        <v>#NUM!</v>
      </c>
      <c r="K183" s="187" t="e">
        <f t="shared" si="14"/>
        <v>#NUM!</v>
      </c>
      <c r="L183" s="187"/>
      <c r="M183" s="189">
        <f t="shared" si="15"/>
        <v>0</v>
      </c>
    </row>
    <row r="184" spans="1:13">
      <c r="A184" s="204"/>
      <c r="G184" s="175"/>
      <c r="H184" s="187">
        <v>179</v>
      </c>
      <c r="I184" s="188" t="str">
        <f t="shared" si="13"/>
        <v/>
      </c>
      <c r="J184" s="187" t="e">
        <f t="shared" si="17"/>
        <v>#NUM!</v>
      </c>
      <c r="K184" s="187" t="e">
        <f t="shared" si="14"/>
        <v>#NUM!</v>
      </c>
      <c r="L184" s="187"/>
      <c r="M184" s="189">
        <f t="shared" si="15"/>
        <v>0</v>
      </c>
    </row>
    <row r="185" spans="1:13">
      <c r="A185" s="204"/>
      <c r="G185" s="175"/>
      <c r="H185" s="190">
        <v>180</v>
      </c>
      <c r="I185" s="188" t="str">
        <f t="shared" si="13"/>
        <v/>
      </c>
      <c r="J185" s="187" t="e">
        <f t="shared" si="17"/>
        <v>#NUM!</v>
      </c>
      <c r="K185" s="187" t="e">
        <f t="shared" si="14"/>
        <v>#NUM!</v>
      </c>
      <c r="L185" s="187"/>
      <c r="M185" s="189">
        <f t="shared" si="15"/>
        <v>0</v>
      </c>
    </row>
    <row r="186" spans="1:13">
      <c r="A186" s="204"/>
      <c r="G186" s="175"/>
      <c r="H186" s="187">
        <v>181</v>
      </c>
      <c r="I186" s="188" t="str">
        <f t="shared" si="13"/>
        <v/>
      </c>
      <c r="J186" s="187" t="e">
        <f t="shared" si="17"/>
        <v>#NUM!</v>
      </c>
      <c r="K186" s="187" t="e">
        <f t="shared" si="14"/>
        <v>#NUM!</v>
      </c>
      <c r="L186" s="187"/>
      <c r="M186" s="189">
        <f t="shared" si="15"/>
        <v>0</v>
      </c>
    </row>
    <row r="187" spans="1:13">
      <c r="A187" s="204"/>
      <c r="G187" s="175"/>
      <c r="H187" s="190">
        <v>182</v>
      </c>
      <c r="I187" s="188" t="str">
        <f t="shared" si="13"/>
        <v/>
      </c>
      <c r="J187" s="187" t="e">
        <f t="shared" si="17"/>
        <v>#NUM!</v>
      </c>
      <c r="K187" s="187" t="e">
        <f t="shared" si="14"/>
        <v>#NUM!</v>
      </c>
      <c r="L187" s="187"/>
      <c r="M187" s="189">
        <f t="shared" si="15"/>
        <v>0</v>
      </c>
    </row>
    <row r="188" spans="1:13">
      <c r="A188" s="204"/>
      <c r="G188" s="175"/>
      <c r="H188" s="187">
        <v>183</v>
      </c>
      <c r="I188" s="188" t="str">
        <f t="shared" si="13"/>
        <v/>
      </c>
      <c r="J188" s="187" t="e">
        <f t="shared" si="17"/>
        <v>#NUM!</v>
      </c>
      <c r="K188" s="187" t="e">
        <f t="shared" si="14"/>
        <v>#NUM!</v>
      </c>
      <c r="L188" s="187"/>
      <c r="M188" s="189">
        <f t="shared" si="15"/>
        <v>0</v>
      </c>
    </row>
    <row r="189" spans="1:13">
      <c r="A189" s="204"/>
      <c r="G189" s="175"/>
      <c r="H189" s="190">
        <v>184</v>
      </c>
      <c r="I189" s="188" t="str">
        <f t="shared" si="13"/>
        <v/>
      </c>
      <c r="J189" s="187" t="e">
        <f t="shared" si="17"/>
        <v>#NUM!</v>
      </c>
      <c r="K189" s="187" t="e">
        <f t="shared" si="14"/>
        <v>#NUM!</v>
      </c>
      <c r="L189" s="187"/>
      <c r="M189" s="189">
        <f t="shared" si="15"/>
        <v>0</v>
      </c>
    </row>
    <row r="190" spans="1:13">
      <c r="A190" s="204"/>
      <c r="G190" s="175"/>
      <c r="H190" s="187">
        <v>185</v>
      </c>
      <c r="I190" s="188" t="str">
        <f t="shared" si="13"/>
        <v/>
      </c>
      <c r="J190" s="187" t="e">
        <f t="shared" si="17"/>
        <v>#NUM!</v>
      </c>
      <c r="K190" s="187" t="e">
        <f t="shared" si="14"/>
        <v>#NUM!</v>
      </c>
      <c r="L190" s="187"/>
      <c r="M190" s="189">
        <f t="shared" si="15"/>
        <v>0</v>
      </c>
    </row>
    <row r="191" spans="1:13">
      <c r="A191" s="204"/>
      <c r="G191" s="175"/>
      <c r="H191" s="190">
        <v>186</v>
      </c>
      <c r="I191" s="188" t="str">
        <f t="shared" si="13"/>
        <v/>
      </c>
      <c r="J191" s="187" t="e">
        <f t="shared" si="17"/>
        <v>#NUM!</v>
      </c>
      <c r="K191" s="187" t="e">
        <f t="shared" si="14"/>
        <v>#NUM!</v>
      </c>
      <c r="L191" s="187"/>
      <c r="M191" s="189">
        <f t="shared" si="15"/>
        <v>0</v>
      </c>
    </row>
    <row r="192" spans="1:13">
      <c r="A192" s="204"/>
      <c r="G192" s="175"/>
      <c r="H192" s="187">
        <v>187</v>
      </c>
      <c r="I192" s="188" t="str">
        <f t="shared" si="13"/>
        <v/>
      </c>
      <c r="J192" s="187" t="e">
        <f t="shared" si="17"/>
        <v>#NUM!</v>
      </c>
      <c r="K192" s="187" t="e">
        <f t="shared" si="14"/>
        <v>#NUM!</v>
      </c>
      <c r="L192" s="187"/>
      <c r="M192" s="189">
        <f t="shared" si="15"/>
        <v>0</v>
      </c>
    </row>
    <row r="193" spans="1:13">
      <c r="A193" s="204"/>
      <c r="G193" s="175"/>
      <c r="H193" s="190">
        <v>188</v>
      </c>
      <c r="I193" s="188" t="str">
        <f t="shared" si="13"/>
        <v/>
      </c>
      <c r="J193" s="187" t="e">
        <f t="shared" si="17"/>
        <v>#NUM!</v>
      </c>
      <c r="K193" s="187" t="e">
        <f t="shared" si="14"/>
        <v>#NUM!</v>
      </c>
      <c r="L193" s="187"/>
      <c r="M193" s="189">
        <f t="shared" si="15"/>
        <v>0</v>
      </c>
    </row>
    <row r="194" spans="1:13">
      <c r="A194" s="204"/>
      <c r="G194" s="175"/>
      <c r="H194" s="187">
        <v>189</v>
      </c>
      <c r="I194" s="188" t="str">
        <f t="shared" si="13"/>
        <v/>
      </c>
      <c r="J194" s="187" t="e">
        <f t="shared" si="17"/>
        <v>#NUM!</v>
      </c>
      <c r="K194" s="187" t="e">
        <f t="shared" si="14"/>
        <v>#NUM!</v>
      </c>
      <c r="L194" s="187"/>
      <c r="M194" s="189">
        <f t="shared" si="15"/>
        <v>0</v>
      </c>
    </row>
    <row r="195" spans="1:13">
      <c r="A195" s="204"/>
      <c r="G195" s="175"/>
      <c r="H195" s="190">
        <v>190</v>
      </c>
      <c r="I195" s="188" t="str">
        <f t="shared" si="13"/>
        <v/>
      </c>
      <c r="J195" s="187" t="e">
        <f t="shared" si="17"/>
        <v>#NUM!</v>
      </c>
      <c r="K195" s="187" t="e">
        <f t="shared" si="14"/>
        <v>#NUM!</v>
      </c>
      <c r="L195" s="187"/>
      <c r="M195" s="189">
        <f t="shared" si="15"/>
        <v>0</v>
      </c>
    </row>
    <row r="196" spans="1:13">
      <c r="A196" s="204"/>
      <c r="G196" s="175"/>
      <c r="H196" s="187">
        <v>191</v>
      </c>
      <c r="I196" s="188" t="str">
        <f t="shared" si="13"/>
        <v/>
      </c>
      <c r="J196" s="187" t="e">
        <f t="shared" si="17"/>
        <v>#NUM!</v>
      </c>
      <c r="K196" s="187" t="e">
        <f t="shared" si="14"/>
        <v>#NUM!</v>
      </c>
      <c r="L196" s="187"/>
      <c r="M196" s="189">
        <f t="shared" si="15"/>
        <v>0</v>
      </c>
    </row>
    <row r="197" spans="1:13">
      <c r="A197" s="204"/>
      <c r="G197" s="175"/>
      <c r="H197" s="190">
        <v>192</v>
      </c>
      <c r="I197" s="188" t="str">
        <f t="shared" si="13"/>
        <v/>
      </c>
      <c r="J197" s="187" t="e">
        <f t="shared" si="17"/>
        <v>#NUM!</v>
      </c>
      <c r="K197" s="187" t="e">
        <f t="shared" si="14"/>
        <v>#NUM!</v>
      </c>
      <c r="L197" s="187"/>
      <c r="M197" s="189">
        <f t="shared" si="15"/>
        <v>0</v>
      </c>
    </row>
    <row r="198" spans="1:13">
      <c r="A198" s="204"/>
      <c r="G198" s="175"/>
      <c r="H198" s="187">
        <v>193</v>
      </c>
      <c r="I198" s="188" t="str">
        <f t="shared" ref="I198:I261" si="18">IF(H198&lt;$H$2+1,($I$2-($I$2-1)*(LOG(H198)/LOG($H$2))),"")</f>
        <v/>
      </c>
      <c r="J198" s="187" t="e">
        <f t="shared" si="17"/>
        <v>#NUM!</v>
      </c>
      <c r="K198" s="187" t="e">
        <f t="shared" ref="K198:K261" si="19">J198*$J$2</f>
        <v>#NUM!</v>
      </c>
      <c r="L198" s="187"/>
      <c r="M198" s="189">
        <f t="shared" ref="M198:M261" si="20">IF(I198&lt;&gt;"",K198+I198+L198,0)</f>
        <v>0</v>
      </c>
    </row>
    <row r="199" spans="1:13">
      <c r="A199" s="204"/>
      <c r="G199" s="175"/>
      <c r="H199" s="190">
        <v>194</v>
      </c>
      <c r="I199" s="188" t="str">
        <f t="shared" si="18"/>
        <v/>
      </c>
      <c r="J199" s="187" t="e">
        <f t="shared" ref="J199:J262" si="21">INT(LOG($H$2,2))-ROUNDUP(LOG(H199,2),0)+IF(OR($H$2=1,$H$2=2,$H$2=4,$H$2=8,$H$2=16,$H$2=32,$H$2=64,$H$2=128,$H$2=256),0,1)</f>
        <v>#NUM!</v>
      </c>
      <c r="K199" s="187" t="e">
        <f t="shared" si="19"/>
        <v>#NUM!</v>
      </c>
      <c r="L199" s="187"/>
      <c r="M199" s="189">
        <f t="shared" si="20"/>
        <v>0</v>
      </c>
    </row>
    <row r="200" spans="1:13">
      <c r="A200" s="204"/>
      <c r="G200" s="175"/>
      <c r="H200" s="187">
        <v>195</v>
      </c>
      <c r="I200" s="188" t="str">
        <f t="shared" si="18"/>
        <v/>
      </c>
      <c r="J200" s="187" t="e">
        <f t="shared" si="21"/>
        <v>#NUM!</v>
      </c>
      <c r="K200" s="187" t="e">
        <f t="shared" si="19"/>
        <v>#NUM!</v>
      </c>
      <c r="L200" s="187"/>
      <c r="M200" s="189">
        <f t="shared" si="20"/>
        <v>0</v>
      </c>
    </row>
    <row r="201" spans="1:13">
      <c r="A201" s="204"/>
      <c r="G201" s="175"/>
      <c r="H201" s="190">
        <v>196</v>
      </c>
      <c r="I201" s="188" t="str">
        <f t="shared" si="18"/>
        <v/>
      </c>
      <c r="J201" s="187" t="e">
        <f t="shared" si="21"/>
        <v>#NUM!</v>
      </c>
      <c r="K201" s="187" t="e">
        <f t="shared" si="19"/>
        <v>#NUM!</v>
      </c>
      <c r="L201" s="187"/>
      <c r="M201" s="189">
        <f t="shared" si="20"/>
        <v>0</v>
      </c>
    </row>
    <row r="202" spans="1:13">
      <c r="A202" s="204"/>
      <c r="G202" s="175"/>
      <c r="H202" s="187">
        <v>197</v>
      </c>
      <c r="I202" s="188" t="str">
        <f t="shared" si="18"/>
        <v/>
      </c>
      <c r="J202" s="187" t="e">
        <f t="shared" si="21"/>
        <v>#NUM!</v>
      </c>
      <c r="K202" s="187" t="e">
        <f t="shared" si="19"/>
        <v>#NUM!</v>
      </c>
      <c r="L202" s="187"/>
      <c r="M202" s="189">
        <f t="shared" si="20"/>
        <v>0</v>
      </c>
    </row>
    <row r="203" spans="1:13">
      <c r="A203" s="204"/>
      <c r="G203" s="175"/>
      <c r="H203" s="190">
        <v>198</v>
      </c>
      <c r="I203" s="188" t="str">
        <f t="shared" si="18"/>
        <v/>
      </c>
      <c r="J203" s="187" t="e">
        <f t="shared" si="21"/>
        <v>#NUM!</v>
      </c>
      <c r="K203" s="187" t="e">
        <f t="shared" si="19"/>
        <v>#NUM!</v>
      </c>
      <c r="L203" s="187"/>
      <c r="M203" s="189">
        <f t="shared" si="20"/>
        <v>0</v>
      </c>
    </row>
    <row r="204" spans="1:13">
      <c r="A204" s="204"/>
      <c r="G204" s="175"/>
      <c r="H204" s="187">
        <v>199</v>
      </c>
      <c r="I204" s="188" t="str">
        <f t="shared" si="18"/>
        <v/>
      </c>
      <c r="J204" s="187" t="e">
        <f t="shared" si="21"/>
        <v>#NUM!</v>
      </c>
      <c r="K204" s="187" t="e">
        <f t="shared" si="19"/>
        <v>#NUM!</v>
      </c>
      <c r="L204" s="187"/>
      <c r="M204" s="189">
        <f t="shared" si="20"/>
        <v>0</v>
      </c>
    </row>
    <row r="205" spans="1:13">
      <c r="A205" s="204"/>
      <c r="G205" s="175"/>
      <c r="H205" s="190">
        <v>200</v>
      </c>
      <c r="I205" s="188" t="str">
        <f t="shared" si="18"/>
        <v/>
      </c>
      <c r="J205" s="187" t="e">
        <f t="shared" si="21"/>
        <v>#NUM!</v>
      </c>
      <c r="K205" s="187" t="e">
        <f t="shared" si="19"/>
        <v>#NUM!</v>
      </c>
      <c r="L205" s="187"/>
      <c r="M205" s="189">
        <f t="shared" si="20"/>
        <v>0</v>
      </c>
    </row>
    <row r="206" spans="1:13">
      <c r="A206" s="204"/>
      <c r="G206" s="175"/>
      <c r="H206" s="187">
        <v>201</v>
      </c>
      <c r="I206" s="188" t="str">
        <f t="shared" si="18"/>
        <v/>
      </c>
      <c r="J206" s="187" t="e">
        <f t="shared" si="21"/>
        <v>#NUM!</v>
      </c>
      <c r="K206" s="187" t="e">
        <f t="shared" si="19"/>
        <v>#NUM!</v>
      </c>
      <c r="L206" s="187"/>
      <c r="M206" s="189">
        <f t="shared" si="20"/>
        <v>0</v>
      </c>
    </row>
    <row r="207" spans="1:13">
      <c r="A207" s="204"/>
      <c r="G207" s="175"/>
      <c r="H207" s="190">
        <v>202</v>
      </c>
      <c r="I207" s="188" t="str">
        <f t="shared" si="18"/>
        <v/>
      </c>
      <c r="J207" s="187" t="e">
        <f t="shared" si="21"/>
        <v>#NUM!</v>
      </c>
      <c r="K207" s="187" t="e">
        <f t="shared" si="19"/>
        <v>#NUM!</v>
      </c>
      <c r="L207" s="187"/>
      <c r="M207" s="189">
        <f t="shared" si="20"/>
        <v>0</v>
      </c>
    </row>
    <row r="208" spans="1:13">
      <c r="A208" s="204"/>
      <c r="G208" s="175"/>
      <c r="H208" s="187">
        <v>203</v>
      </c>
      <c r="I208" s="188" t="str">
        <f t="shared" si="18"/>
        <v/>
      </c>
      <c r="J208" s="187" t="e">
        <f t="shared" si="21"/>
        <v>#NUM!</v>
      </c>
      <c r="K208" s="187" t="e">
        <f t="shared" si="19"/>
        <v>#NUM!</v>
      </c>
      <c r="L208" s="187"/>
      <c r="M208" s="189">
        <f t="shared" si="20"/>
        <v>0</v>
      </c>
    </row>
    <row r="209" spans="1:13">
      <c r="A209" s="204"/>
      <c r="G209" s="175"/>
      <c r="H209" s="190">
        <v>204</v>
      </c>
      <c r="I209" s="188" t="str">
        <f t="shared" si="18"/>
        <v/>
      </c>
      <c r="J209" s="187" t="e">
        <f t="shared" si="21"/>
        <v>#NUM!</v>
      </c>
      <c r="K209" s="187" t="e">
        <f t="shared" si="19"/>
        <v>#NUM!</v>
      </c>
      <c r="L209" s="187"/>
      <c r="M209" s="189">
        <f t="shared" si="20"/>
        <v>0</v>
      </c>
    </row>
    <row r="210" spans="1:13">
      <c r="A210" s="204"/>
      <c r="G210" s="175"/>
      <c r="H210" s="187">
        <v>205</v>
      </c>
      <c r="I210" s="188" t="str">
        <f t="shared" si="18"/>
        <v/>
      </c>
      <c r="J210" s="187" t="e">
        <f t="shared" si="21"/>
        <v>#NUM!</v>
      </c>
      <c r="K210" s="187" t="e">
        <f t="shared" si="19"/>
        <v>#NUM!</v>
      </c>
      <c r="L210" s="187"/>
      <c r="M210" s="189">
        <f t="shared" si="20"/>
        <v>0</v>
      </c>
    </row>
    <row r="211" spans="1:13">
      <c r="A211" s="204"/>
      <c r="G211" s="175"/>
      <c r="H211" s="190">
        <v>206</v>
      </c>
      <c r="I211" s="188" t="str">
        <f t="shared" si="18"/>
        <v/>
      </c>
      <c r="J211" s="187" t="e">
        <f t="shared" si="21"/>
        <v>#NUM!</v>
      </c>
      <c r="K211" s="187" t="e">
        <f t="shared" si="19"/>
        <v>#NUM!</v>
      </c>
      <c r="L211" s="187"/>
      <c r="M211" s="189">
        <f t="shared" si="20"/>
        <v>0</v>
      </c>
    </row>
    <row r="212" spans="1:13">
      <c r="A212" s="204"/>
      <c r="G212" s="175"/>
      <c r="H212" s="187">
        <v>207</v>
      </c>
      <c r="I212" s="188" t="str">
        <f t="shared" si="18"/>
        <v/>
      </c>
      <c r="J212" s="187" t="e">
        <f t="shared" si="21"/>
        <v>#NUM!</v>
      </c>
      <c r="K212" s="187" t="e">
        <f t="shared" si="19"/>
        <v>#NUM!</v>
      </c>
      <c r="L212" s="187"/>
      <c r="M212" s="189">
        <f t="shared" si="20"/>
        <v>0</v>
      </c>
    </row>
    <row r="213" spans="1:13">
      <c r="A213" s="204"/>
      <c r="G213" s="175"/>
      <c r="H213" s="190">
        <v>208</v>
      </c>
      <c r="I213" s="188" t="str">
        <f t="shared" si="18"/>
        <v/>
      </c>
      <c r="J213" s="187" t="e">
        <f t="shared" si="21"/>
        <v>#NUM!</v>
      </c>
      <c r="K213" s="187" t="e">
        <f t="shared" si="19"/>
        <v>#NUM!</v>
      </c>
      <c r="L213" s="187"/>
      <c r="M213" s="189">
        <f t="shared" si="20"/>
        <v>0</v>
      </c>
    </row>
    <row r="214" spans="1:13">
      <c r="A214" s="204"/>
      <c r="G214" s="175"/>
      <c r="H214" s="187">
        <v>209</v>
      </c>
      <c r="I214" s="188" t="str">
        <f t="shared" si="18"/>
        <v/>
      </c>
      <c r="J214" s="187" t="e">
        <f t="shared" si="21"/>
        <v>#NUM!</v>
      </c>
      <c r="K214" s="187" t="e">
        <f t="shared" si="19"/>
        <v>#NUM!</v>
      </c>
      <c r="L214" s="187"/>
      <c r="M214" s="189">
        <f t="shared" si="20"/>
        <v>0</v>
      </c>
    </row>
    <row r="215" spans="1:13">
      <c r="A215" s="204"/>
      <c r="G215" s="175"/>
      <c r="H215" s="190">
        <v>210</v>
      </c>
      <c r="I215" s="188" t="str">
        <f t="shared" si="18"/>
        <v/>
      </c>
      <c r="J215" s="187" t="e">
        <f t="shared" si="21"/>
        <v>#NUM!</v>
      </c>
      <c r="K215" s="187" t="e">
        <f t="shared" si="19"/>
        <v>#NUM!</v>
      </c>
      <c r="L215" s="187"/>
      <c r="M215" s="189">
        <f t="shared" si="20"/>
        <v>0</v>
      </c>
    </row>
    <row r="216" spans="1:13">
      <c r="A216" s="204"/>
      <c r="G216" s="175"/>
      <c r="H216" s="187">
        <v>211</v>
      </c>
      <c r="I216" s="188" t="str">
        <f t="shared" si="18"/>
        <v/>
      </c>
      <c r="J216" s="187" t="e">
        <f t="shared" si="21"/>
        <v>#NUM!</v>
      </c>
      <c r="K216" s="187" t="e">
        <f t="shared" si="19"/>
        <v>#NUM!</v>
      </c>
      <c r="L216" s="187"/>
      <c r="M216" s="189">
        <f t="shared" si="20"/>
        <v>0</v>
      </c>
    </row>
    <row r="217" spans="1:13">
      <c r="A217" s="204"/>
      <c r="G217" s="175"/>
      <c r="H217" s="190">
        <v>212</v>
      </c>
      <c r="I217" s="188" t="str">
        <f t="shared" si="18"/>
        <v/>
      </c>
      <c r="J217" s="187" t="e">
        <f t="shared" si="21"/>
        <v>#NUM!</v>
      </c>
      <c r="K217" s="187" t="e">
        <f t="shared" si="19"/>
        <v>#NUM!</v>
      </c>
      <c r="L217" s="187"/>
      <c r="M217" s="189">
        <f t="shared" si="20"/>
        <v>0</v>
      </c>
    </row>
    <row r="218" spans="1:13">
      <c r="A218" s="204"/>
      <c r="G218" s="175"/>
      <c r="H218" s="187">
        <v>213</v>
      </c>
      <c r="I218" s="188" t="str">
        <f t="shared" si="18"/>
        <v/>
      </c>
      <c r="J218" s="187" t="e">
        <f t="shared" si="21"/>
        <v>#NUM!</v>
      </c>
      <c r="K218" s="187" t="e">
        <f t="shared" si="19"/>
        <v>#NUM!</v>
      </c>
      <c r="L218" s="187"/>
      <c r="M218" s="189">
        <f t="shared" si="20"/>
        <v>0</v>
      </c>
    </row>
    <row r="219" spans="1:13">
      <c r="A219" s="204"/>
      <c r="G219" s="175"/>
      <c r="H219" s="190">
        <v>214</v>
      </c>
      <c r="I219" s="188" t="str">
        <f t="shared" si="18"/>
        <v/>
      </c>
      <c r="J219" s="187" t="e">
        <f t="shared" si="21"/>
        <v>#NUM!</v>
      </c>
      <c r="K219" s="187" t="e">
        <f t="shared" si="19"/>
        <v>#NUM!</v>
      </c>
      <c r="L219" s="187"/>
      <c r="M219" s="189">
        <f t="shared" si="20"/>
        <v>0</v>
      </c>
    </row>
    <row r="220" spans="1:13">
      <c r="A220" s="204"/>
      <c r="G220" s="175"/>
      <c r="H220" s="187">
        <v>215</v>
      </c>
      <c r="I220" s="188" t="str">
        <f t="shared" si="18"/>
        <v/>
      </c>
      <c r="J220" s="187" t="e">
        <f t="shared" si="21"/>
        <v>#NUM!</v>
      </c>
      <c r="K220" s="187" t="e">
        <f t="shared" si="19"/>
        <v>#NUM!</v>
      </c>
      <c r="L220" s="187"/>
      <c r="M220" s="189">
        <f t="shared" si="20"/>
        <v>0</v>
      </c>
    </row>
    <row r="221" spans="1:13">
      <c r="A221" s="204"/>
      <c r="G221" s="175"/>
      <c r="H221" s="190">
        <v>216</v>
      </c>
      <c r="I221" s="188" t="str">
        <f t="shared" si="18"/>
        <v/>
      </c>
      <c r="J221" s="187" t="e">
        <f t="shared" si="21"/>
        <v>#NUM!</v>
      </c>
      <c r="K221" s="187" t="e">
        <f t="shared" si="19"/>
        <v>#NUM!</v>
      </c>
      <c r="L221" s="187"/>
      <c r="M221" s="189">
        <f t="shared" si="20"/>
        <v>0</v>
      </c>
    </row>
    <row r="222" spans="1:13">
      <c r="A222" s="204"/>
      <c r="G222" s="175"/>
      <c r="H222" s="187">
        <v>217</v>
      </c>
      <c r="I222" s="188" t="str">
        <f t="shared" si="18"/>
        <v/>
      </c>
      <c r="J222" s="187" t="e">
        <f t="shared" si="21"/>
        <v>#NUM!</v>
      </c>
      <c r="K222" s="187" t="e">
        <f t="shared" si="19"/>
        <v>#NUM!</v>
      </c>
      <c r="L222" s="187"/>
      <c r="M222" s="189">
        <f t="shared" si="20"/>
        <v>0</v>
      </c>
    </row>
    <row r="223" spans="1:13">
      <c r="A223" s="204"/>
      <c r="G223" s="175"/>
      <c r="H223" s="190">
        <v>218</v>
      </c>
      <c r="I223" s="188" t="str">
        <f t="shared" si="18"/>
        <v/>
      </c>
      <c r="J223" s="187" t="e">
        <f t="shared" si="21"/>
        <v>#NUM!</v>
      </c>
      <c r="K223" s="187" t="e">
        <f t="shared" si="19"/>
        <v>#NUM!</v>
      </c>
      <c r="L223" s="187"/>
      <c r="M223" s="189">
        <f t="shared" si="20"/>
        <v>0</v>
      </c>
    </row>
    <row r="224" spans="1:13">
      <c r="A224" s="204"/>
      <c r="G224" s="175"/>
      <c r="H224" s="187">
        <v>219</v>
      </c>
      <c r="I224" s="188" t="str">
        <f t="shared" si="18"/>
        <v/>
      </c>
      <c r="J224" s="187" t="e">
        <f t="shared" si="21"/>
        <v>#NUM!</v>
      </c>
      <c r="K224" s="187" t="e">
        <f t="shared" si="19"/>
        <v>#NUM!</v>
      </c>
      <c r="L224" s="187"/>
      <c r="M224" s="189">
        <f t="shared" si="20"/>
        <v>0</v>
      </c>
    </row>
    <row r="225" spans="1:13">
      <c r="A225" s="204"/>
      <c r="G225" s="175"/>
      <c r="H225" s="190">
        <v>220</v>
      </c>
      <c r="I225" s="188" t="str">
        <f t="shared" si="18"/>
        <v/>
      </c>
      <c r="J225" s="187" t="e">
        <f t="shared" si="21"/>
        <v>#NUM!</v>
      </c>
      <c r="K225" s="187" t="e">
        <f t="shared" si="19"/>
        <v>#NUM!</v>
      </c>
      <c r="L225" s="187"/>
      <c r="M225" s="189">
        <f t="shared" si="20"/>
        <v>0</v>
      </c>
    </row>
    <row r="226" spans="1:13">
      <c r="A226" s="204"/>
      <c r="G226" s="175"/>
      <c r="H226" s="187">
        <v>221</v>
      </c>
      <c r="I226" s="188" t="str">
        <f t="shared" si="18"/>
        <v/>
      </c>
      <c r="J226" s="187" t="e">
        <f t="shared" si="21"/>
        <v>#NUM!</v>
      </c>
      <c r="K226" s="187" t="e">
        <f t="shared" si="19"/>
        <v>#NUM!</v>
      </c>
      <c r="L226" s="187"/>
      <c r="M226" s="189">
        <f t="shared" si="20"/>
        <v>0</v>
      </c>
    </row>
    <row r="227" spans="1:13">
      <c r="A227" s="204"/>
      <c r="G227" s="175"/>
      <c r="H227" s="190">
        <v>222</v>
      </c>
      <c r="I227" s="188" t="str">
        <f t="shared" si="18"/>
        <v/>
      </c>
      <c r="J227" s="187" t="e">
        <f t="shared" si="21"/>
        <v>#NUM!</v>
      </c>
      <c r="K227" s="187" t="e">
        <f t="shared" si="19"/>
        <v>#NUM!</v>
      </c>
      <c r="L227" s="187"/>
      <c r="M227" s="189">
        <f t="shared" si="20"/>
        <v>0</v>
      </c>
    </row>
    <row r="228" spans="1:13">
      <c r="A228" s="204"/>
      <c r="G228" s="175"/>
      <c r="H228" s="187">
        <v>223</v>
      </c>
      <c r="I228" s="188" t="str">
        <f t="shared" si="18"/>
        <v/>
      </c>
      <c r="J228" s="187" t="e">
        <f t="shared" si="21"/>
        <v>#NUM!</v>
      </c>
      <c r="K228" s="187" t="e">
        <f t="shared" si="19"/>
        <v>#NUM!</v>
      </c>
      <c r="L228" s="187"/>
      <c r="M228" s="189">
        <f t="shared" si="20"/>
        <v>0</v>
      </c>
    </row>
    <row r="229" spans="1:13">
      <c r="A229" s="204"/>
      <c r="G229" s="175"/>
      <c r="H229" s="190">
        <v>224</v>
      </c>
      <c r="I229" s="188" t="str">
        <f t="shared" si="18"/>
        <v/>
      </c>
      <c r="J229" s="187" t="e">
        <f t="shared" si="21"/>
        <v>#NUM!</v>
      </c>
      <c r="K229" s="187" t="e">
        <f t="shared" si="19"/>
        <v>#NUM!</v>
      </c>
      <c r="L229" s="187"/>
      <c r="M229" s="189">
        <f t="shared" si="20"/>
        <v>0</v>
      </c>
    </row>
    <row r="230" spans="1:13">
      <c r="A230" s="204"/>
      <c r="G230" s="175"/>
      <c r="H230" s="187">
        <v>225</v>
      </c>
      <c r="I230" s="188" t="str">
        <f t="shared" si="18"/>
        <v/>
      </c>
      <c r="J230" s="187" t="e">
        <f t="shared" si="21"/>
        <v>#NUM!</v>
      </c>
      <c r="K230" s="187" t="e">
        <f t="shared" si="19"/>
        <v>#NUM!</v>
      </c>
      <c r="L230" s="187"/>
      <c r="M230" s="189">
        <f t="shared" si="20"/>
        <v>0</v>
      </c>
    </row>
    <row r="231" spans="1:13">
      <c r="A231" s="204"/>
      <c r="G231" s="175"/>
      <c r="H231" s="190">
        <v>226</v>
      </c>
      <c r="I231" s="188" t="str">
        <f t="shared" si="18"/>
        <v/>
      </c>
      <c r="J231" s="187" t="e">
        <f t="shared" si="21"/>
        <v>#NUM!</v>
      </c>
      <c r="K231" s="187" t="e">
        <f t="shared" si="19"/>
        <v>#NUM!</v>
      </c>
      <c r="L231" s="187"/>
      <c r="M231" s="189">
        <f t="shared" si="20"/>
        <v>0</v>
      </c>
    </row>
    <row r="232" spans="1:13">
      <c r="A232" s="204"/>
      <c r="G232" s="175"/>
      <c r="H232" s="187">
        <v>227</v>
      </c>
      <c r="I232" s="188" t="str">
        <f t="shared" si="18"/>
        <v/>
      </c>
      <c r="J232" s="187" t="e">
        <f t="shared" si="21"/>
        <v>#NUM!</v>
      </c>
      <c r="K232" s="187" t="e">
        <f t="shared" si="19"/>
        <v>#NUM!</v>
      </c>
      <c r="L232" s="187"/>
      <c r="M232" s="189">
        <f t="shared" si="20"/>
        <v>0</v>
      </c>
    </row>
    <row r="233" spans="1:13">
      <c r="A233" s="204"/>
      <c r="G233" s="175"/>
      <c r="H233" s="190">
        <v>228</v>
      </c>
      <c r="I233" s="188" t="str">
        <f t="shared" si="18"/>
        <v/>
      </c>
      <c r="J233" s="187" t="e">
        <f t="shared" si="21"/>
        <v>#NUM!</v>
      </c>
      <c r="K233" s="187" t="e">
        <f t="shared" si="19"/>
        <v>#NUM!</v>
      </c>
      <c r="L233" s="187"/>
      <c r="M233" s="189">
        <f t="shared" si="20"/>
        <v>0</v>
      </c>
    </row>
    <row r="234" spans="1:13">
      <c r="A234" s="204"/>
      <c r="G234" s="175"/>
      <c r="H234" s="187">
        <v>229</v>
      </c>
      <c r="I234" s="188" t="str">
        <f t="shared" si="18"/>
        <v/>
      </c>
      <c r="J234" s="187" t="e">
        <f t="shared" si="21"/>
        <v>#NUM!</v>
      </c>
      <c r="K234" s="187" t="e">
        <f t="shared" si="19"/>
        <v>#NUM!</v>
      </c>
      <c r="L234" s="187"/>
      <c r="M234" s="189">
        <f t="shared" si="20"/>
        <v>0</v>
      </c>
    </row>
    <row r="235" spans="1:13">
      <c r="A235" s="204"/>
      <c r="G235" s="175"/>
      <c r="H235" s="190">
        <v>230</v>
      </c>
      <c r="I235" s="188" t="str">
        <f t="shared" si="18"/>
        <v/>
      </c>
      <c r="J235" s="187" t="e">
        <f t="shared" si="21"/>
        <v>#NUM!</v>
      </c>
      <c r="K235" s="187" t="e">
        <f t="shared" si="19"/>
        <v>#NUM!</v>
      </c>
      <c r="L235" s="187"/>
      <c r="M235" s="189">
        <f t="shared" si="20"/>
        <v>0</v>
      </c>
    </row>
    <row r="236" spans="1:13">
      <c r="A236" s="204"/>
      <c r="G236" s="175"/>
      <c r="H236" s="187">
        <v>231</v>
      </c>
      <c r="I236" s="188" t="str">
        <f t="shared" si="18"/>
        <v/>
      </c>
      <c r="J236" s="187" t="e">
        <f t="shared" si="21"/>
        <v>#NUM!</v>
      </c>
      <c r="K236" s="187" t="e">
        <f t="shared" si="19"/>
        <v>#NUM!</v>
      </c>
      <c r="L236" s="187"/>
      <c r="M236" s="189">
        <f t="shared" si="20"/>
        <v>0</v>
      </c>
    </row>
    <row r="237" spans="1:13">
      <c r="A237" s="204"/>
      <c r="G237" s="175"/>
      <c r="H237" s="190">
        <v>232</v>
      </c>
      <c r="I237" s="188" t="str">
        <f t="shared" si="18"/>
        <v/>
      </c>
      <c r="J237" s="187" t="e">
        <f t="shared" si="21"/>
        <v>#NUM!</v>
      </c>
      <c r="K237" s="187" t="e">
        <f t="shared" si="19"/>
        <v>#NUM!</v>
      </c>
      <c r="L237" s="187"/>
      <c r="M237" s="189">
        <f t="shared" si="20"/>
        <v>0</v>
      </c>
    </row>
    <row r="238" spans="1:13">
      <c r="A238" s="204"/>
      <c r="G238" s="175"/>
      <c r="H238" s="187">
        <v>233</v>
      </c>
      <c r="I238" s="188" t="str">
        <f t="shared" si="18"/>
        <v/>
      </c>
      <c r="J238" s="187" t="e">
        <f t="shared" si="21"/>
        <v>#NUM!</v>
      </c>
      <c r="K238" s="187" t="e">
        <f t="shared" si="19"/>
        <v>#NUM!</v>
      </c>
      <c r="L238" s="187"/>
      <c r="M238" s="189">
        <f t="shared" si="20"/>
        <v>0</v>
      </c>
    </row>
    <row r="239" spans="1:13">
      <c r="A239" s="204"/>
      <c r="G239" s="175"/>
      <c r="H239" s="190">
        <v>234</v>
      </c>
      <c r="I239" s="188" t="str">
        <f t="shared" si="18"/>
        <v/>
      </c>
      <c r="J239" s="187" t="e">
        <f t="shared" si="21"/>
        <v>#NUM!</v>
      </c>
      <c r="K239" s="187" t="e">
        <f t="shared" si="19"/>
        <v>#NUM!</v>
      </c>
      <c r="L239" s="187"/>
      <c r="M239" s="189">
        <f t="shared" si="20"/>
        <v>0</v>
      </c>
    </row>
    <row r="240" spans="1:13">
      <c r="A240" s="204"/>
      <c r="G240" s="175"/>
      <c r="H240" s="187">
        <v>235</v>
      </c>
      <c r="I240" s="188" t="str">
        <f t="shared" si="18"/>
        <v/>
      </c>
      <c r="J240" s="187" t="e">
        <f t="shared" si="21"/>
        <v>#NUM!</v>
      </c>
      <c r="K240" s="187" t="e">
        <f t="shared" si="19"/>
        <v>#NUM!</v>
      </c>
      <c r="L240" s="187"/>
      <c r="M240" s="189">
        <f t="shared" si="20"/>
        <v>0</v>
      </c>
    </row>
    <row r="241" spans="1:13">
      <c r="A241" s="204"/>
      <c r="G241" s="175"/>
      <c r="H241" s="190">
        <v>236</v>
      </c>
      <c r="I241" s="188" t="str">
        <f t="shared" si="18"/>
        <v/>
      </c>
      <c r="J241" s="187" t="e">
        <f t="shared" si="21"/>
        <v>#NUM!</v>
      </c>
      <c r="K241" s="187" t="e">
        <f t="shared" si="19"/>
        <v>#NUM!</v>
      </c>
      <c r="L241" s="187"/>
      <c r="M241" s="189">
        <f t="shared" si="20"/>
        <v>0</v>
      </c>
    </row>
    <row r="242" spans="1:13">
      <c r="A242" s="204"/>
      <c r="G242" s="175"/>
      <c r="H242" s="187">
        <v>237</v>
      </c>
      <c r="I242" s="188" t="str">
        <f t="shared" si="18"/>
        <v/>
      </c>
      <c r="J242" s="187" t="e">
        <f t="shared" si="21"/>
        <v>#NUM!</v>
      </c>
      <c r="K242" s="187" t="e">
        <f t="shared" si="19"/>
        <v>#NUM!</v>
      </c>
      <c r="L242" s="187"/>
      <c r="M242" s="189">
        <f t="shared" si="20"/>
        <v>0</v>
      </c>
    </row>
    <row r="243" spans="1:13">
      <c r="A243" s="204"/>
      <c r="G243" s="175"/>
      <c r="H243" s="190">
        <v>238</v>
      </c>
      <c r="I243" s="188" t="str">
        <f t="shared" si="18"/>
        <v/>
      </c>
      <c r="J243" s="187" t="e">
        <f t="shared" si="21"/>
        <v>#NUM!</v>
      </c>
      <c r="K243" s="187" t="e">
        <f t="shared" si="19"/>
        <v>#NUM!</v>
      </c>
      <c r="L243" s="187"/>
      <c r="M243" s="189">
        <f t="shared" si="20"/>
        <v>0</v>
      </c>
    </row>
    <row r="244" spans="1:13">
      <c r="A244" s="204"/>
      <c r="G244" s="175"/>
      <c r="H244" s="187">
        <v>239</v>
      </c>
      <c r="I244" s="188" t="str">
        <f t="shared" si="18"/>
        <v/>
      </c>
      <c r="J244" s="187" t="e">
        <f t="shared" si="21"/>
        <v>#NUM!</v>
      </c>
      <c r="K244" s="187" t="e">
        <f t="shared" si="19"/>
        <v>#NUM!</v>
      </c>
      <c r="L244" s="187"/>
      <c r="M244" s="189">
        <f t="shared" si="20"/>
        <v>0</v>
      </c>
    </row>
    <row r="245" spans="1:13">
      <c r="A245" s="204"/>
      <c r="G245" s="175"/>
      <c r="H245" s="190">
        <v>240</v>
      </c>
      <c r="I245" s="188" t="str">
        <f t="shared" si="18"/>
        <v/>
      </c>
      <c r="J245" s="187" t="e">
        <f t="shared" si="21"/>
        <v>#NUM!</v>
      </c>
      <c r="K245" s="187" t="e">
        <f t="shared" si="19"/>
        <v>#NUM!</v>
      </c>
      <c r="L245" s="187"/>
      <c r="M245" s="189">
        <f t="shared" si="20"/>
        <v>0</v>
      </c>
    </row>
    <row r="246" spans="1:13">
      <c r="A246" s="204"/>
      <c r="G246" s="175"/>
      <c r="H246" s="187">
        <v>241</v>
      </c>
      <c r="I246" s="188" t="str">
        <f t="shared" si="18"/>
        <v/>
      </c>
      <c r="J246" s="187" t="e">
        <f t="shared" si="21"/>
        <v>#NUM!</v>
      </c>
      <c r="K246" s="187" t="e">
        <f t="shared" si="19"/>
        <v>#NUM!</v>
      </c>
      <c r="L246" s="187"/>
      <c r="M246" s="189">
        <f t="shared" si="20"/>
        <v>0</v>
      </c>
    </row>
    <row r="247" spans="1:13">
      <c r="A247" s="204"/>
      <c r="G247" s="175"/>
      <c r="H247" s="190">
        <v>242</v>
      </c>
      <c r="I247" s="188" t="str">
        <f t="shared" si="18"/>
        <v/>
      </c>
      <c r="J247" s="187" t="e">
        <f t="shared" si="21"/>
        <v>#NUM!</v>
      </c>
      <c r="K247" s="187" t="e">
        <f t="shared" si="19"/>
        <v>#NUM!</v>
      </c>
      <c r="L247" s="187"/>
      <c r="M247" s="189">
        <f t="shared" si="20"/>
        <v>0</v>
      </c>
    </row>
    <row r="248" spans="1:13">
      <c r="A248" s="204"/>
      <c r="G248" s="175"/>
      <c r="H248" s="187">
        <v>243</v>
      </c>
      <c r="I248" s="188" t="str">
        <f t="shared" si="18"/>
        <v/>
      </c>
      <c r="J248" s="187" t="e">
        <f t="shared" si="21"/>
        <v>#NUM!</v>
      </c>
      <c r="K248" s="187" t="e">
        <f t="shared" si="19"/>
        <v>#NUM!</v>
      </c>
      <c r="L248" s="187"/>
      <c r="M248" s="189">
        <f t="shared" si="20"/>
        <v>0</v>
      </c>
    </row>
    <row r="249" spans="1:13">
      <c r="A249" s="204"/>
      <c r="G249" s="175"/>
      <c r="H249" s="190">
        <v>244</v>
      </c>
      <c r="I249" s="188" t="str">
        <f t="shared" si="18"/>
        <v/>
      </c>
      <c r="J249" s="187" t="e">
        <f t="shared" si="21"/>
        <v>#NUM!</v>
      </c>
      <c r="K249" s="187" t="e">
        <f t="shared" si="19"/>
        <v>#NUM!</v>
      </c>
      <c r="L249" s="187"/>
      <c r="M249" s="189">
        <f t="shared" si="20"/>
        <v>0</v>
      </c>
    </row>
    <row r="250" spans="1:13">
      <c r="A250" s="204"/>
      <c r="G250" s="175"/>
      <c r="H250" s="187">
        <v>245</v>
      </c>
      <c r="I250" s="188" t="str">
        <f t="shared" si="18"/>
        <v/>
      </c>
      <c r="J250" s="187" t="e">
        <f t="shared" si="21"/>
        <v>#NUM!</v>
      </c>
      <c r="K250" s="187" t="e">
        <f t="shared" si="19"/>
        <v>#NUM!</v>
      </c>
      <c r="L250" s="187"/>
      <c r="M250" s="189">
        <f t="shared" si="20"/>
        <v>0</v>
      </c>
    </row>
    <row r="251" spans="1:13">
      <c r="A251" s="204"/>
      <c r="G251" s="175"/>
      <c r="H251" s="190">
        <v>246</v>
      </c>
      <c r="I251" s="188" t="str">
        <f t="shared" si="18"/>
        <v/>
      </c>
      <c r="J251" s="187" t="e">
        <f t="shared" si="21"/>
        <v>#NUM!</v>
      </c>
      <c r="K251" s="187" t="e">
        <f t="shared" si="19"/>
        <v>#NUM!</v>
      </c>
      <c r="L251" s="187"/>
      <c r="M251" s="189">
        <f t="shared" si="20"/>
        <v>0</v>
      </c>
    </row>
    <row r="252" spans="1:13">
      <c r="A252" s="204"/>
      <c r="G252" s="175"/>
      <c r="H252" s="187">
        <v>247</v>
      </c>
      <c r="I252" s="188" t="str">
        <f t="shared" si="18"/>
        <v/>
      </c>
      <c r="J252" s="187" t="e">
        <f t="shared" si="21"/>
        <v>#NUM!</v>
      </c>
      <c r="K252" s="187" t="e">
        <f t="shared" si="19"/>
        <v>#NUM!</v>
      </c>
      <c r="L252" s="187"/>
      <c r="M252" s="189">
        <f t="shared" si="20"/>
        <v>0</v>
      </c>
    </row>
    <row r="253" spans="1:13">
      <c r="A253" s="204"/>
      <c r="G253" s="175"/>
      <c r="H253" s="190">
        <v>248</v>
      </c>
      <c r="I253" s="188" t="str">
        <f t="shared" si="18"/>
        <v/>
      </c>
      <c r="J253" s="187" t="e">
        <f t="shared" si="21"/>
        <v>#NUM!</v>
      </c>
      <c r="K253" s="187" t="e">
        <f t="shared" si="19"/>
        <v>#NUM!</v>
      </c>
      <c r="L253" s="187"/>
      <c r="M253" s="189">
        <f t="shared" si="20"/>
        <v>0</v>
      </c>
    </row>
    <row r="254" spans="1:13">
      <c r="A254" s="204"/>
      <c r="G254" s="175"/>
      <c r="H254" s="187">
        <v>249</v>
      </c>
      <c r="I254" s="188" t="str">
        <f t="shared" si="18"/>
        <v/>
      </c>
      <c r="J254" s="187" t="e">
        <f t="shared" si="21"/>
        <v>#NUM!</v>
      </c>
      <c r="K254" s="187" t="e">
        <f t="shared" si="19"/>
        <v>#NUM!</v>
      </c>
      <c r="L254" s="187"/>
      <c r="M254" s="189">
        <f t="shared" si="20"/>
        <v>0</v>
      </c>
    </row>
    <row r="255" spans="1:13">
      <c r="A255" s="204"/>
      <c r="G255" s="175"/>
      <c r="H255" s="190">
        <v>250</v>
      </c>
      <c r="I255" s="188" t="str">
        <f t="shared" si="18"/>
        <v/>
      </c>
      <c r="J255" s="187" t="e">
        <f t="shared" si="21"/>
        <v>#NUM!</v>
      </c>
      <c r="K255" s="187" t="e">
        <f t="shared" si="19"/>
        <v>#NUM!</v>
      </c>
      <c r="L255" s="187"/>
      <c r="M255" s="189">
        <f t="shared" si="20"/>
        <v>0</v>
      </c>
    </row>
    <row r="256" spans="1:13">
      <c r="A256" s="204"/>
      <c r="G256" s="175"/>
      <c r="H256" s="187">
        <v>251</v>
      </c>
      <c r="I256" s="188" t="str">
        <f t="shared" si="18"/>
        <v/>
      </c>
      <c r="J256" s="187" t="e">
        <f t="shared" si="21"/>
        <v>#NUM!</v>
      </c>
      <c r="K256" s="187" t="e">
        <f t="shared" si="19"/>
        <v>#NUM!</v>
      </c>
      <c r="L256" s="187"/>
      <c r="M256" s="189">
        <f t="shared" si="20"/>
        <v>0</v>
      </c>
    </row>
    <row r="257" spans="1:13">
      <c r="A257" s="204"/>
      <c r="G257" s="175"/>
      <c r="H257" s="190">
        <v>252</v>
      </c>
      <c r="I257" s="188" t="str">
        <f t="shared" si="18"/>
        <v/>
      </c>
      <c r="J257" s="187" t="e">
        <f t="shared" si="21"/>
        <v>#NUM!</v>
      </c>
      <c r="K257" s="187" t="e">
        <f t="shared" si="19"/>
        <v>#NUM!</v>
      </c>
      <c r="L257" s="187"/>
      <c r="M257" s="189">
        <f t="shared" si="20"/>
        <v>0</v>
      </c>
    </row>
    <row r="258" spans="1:13">
      <c r="A258" s="204"/>
      <c r="G258" s="175"/>
      <c r="H258" s="187">
        <v>253</v>
      </c>
      <c r="I258" s="188" t="str">
        <f t="shared" si="18"/>
        <v/>
      </c>
      <c r="J258" s="187" t="e">
        <f t="shared" si="21"/>
        <v>#NUM!</v>
      </c>
      <c r="K258" s="187" t="e">
        <f t="shared" si="19"/>
        <v>#NUM!</v>
      </c>
      <c r="L258" s="187"/>
      <c r="M258" s="189">
        <f t="shared" si="20"/>
        <v>0</v>
      </c>
    </row>
    <row r="259" spans="1:13">
      <c r="A259" s="204"/>
      <c r="G259" s="175"/>
      <c r="H259" s="190">
        <v>254</v>
      </c>
      <c r="I259" s="188" t="str">
        <f t="shared" si="18"/>
        <v/>
      </c>
      <c r="J259" s="187" t="e">
        <f t="shared" si="21"/>
        <v>#NUM!</v>
      </c>
      <c r="K259" s="187" t="e">
        <f t="shared" si="19"/>
        <v>#NUM!</v>
      </c>
      <c r="L259" s="187"/>
      <c r="M259" s="189">
        <f t="shared" si="20"/>
        <v>0</v>
      </c>
    </row>
    <row r="260" spans="1:13">
      <c r="A260" s="204"/>
      <c r="G260" s="175"/>
      <c r="H260" s="187">
        <v>255</v>
      </c>
      <c r="I260" s="188" t="str">
        <f t="shared" si="18"/>
        <v/>
      </c>
      <c r="J260" s="187" t="e">
        <f t="shared" si="21"/>
        <v>#NUM!</v>
      </c>
      <c r="K260" s="187" t="e">
        <f t="shared" si="19"/>
        <v>#NUM!</v>
      </c>
      <c r="L260" s="187"/>
      <c r="M260" s="189">
        <f t="shared" si="20"/>
        <v>0</v>
      </c>
    </row>
    <row r="261" spans="1:13">
      <c r="A261" s="204"/>
      <c r="G261" s="175"/>
      <c r="H261" s="190">
        <v>256</v>
      </c>
      <c r="I261" s="188" t="str">
        <f t="shared" si="18"/>
        <v/>
      </c>
      <c r="J261" s="187" t="e">
        <f t="shared" si="21"/>
        <v>#NUM!</v>
      </c>
      <c r="K261" s="187" t="e">
        <f t="shared" si="19"/>
        <v>#NUM!</v>
      </c>
      <c r="L261" s="187"/>
      <c r="M261" s="189">
        <f t="shared" si="20"/>
        <v>0</v>
      </c>
    </row>
    <row r="262" spans="1:13">
      <c r="A262" s="204"/>
      <c r="G262" s="175"/>
      <c r="H262" s="187">
        <v>257</v>
      </c>
      <c r="I262" s="188" t="str">
        <f t="shared" ref="I262:I305" si="22">IF(H262&lt;$H$2+1,($I$2-($I$2-1)*(LOG(H262)/LOG($H$2))),"")</f>
        <v/>
      </c>
      <c r="J262" s="187" t="e">
        <f t="shared" si="21"/>
        <v>#NUM!</v>
      </c>
      <c r="K262" s="187" t="e">
        <f t="shared" ref="K262:K305" si="23">J262*$J$2</f>
        <v>#NUM!</v>
      </c>
      <c r="L262" s="187"/>
      <c r="M262" s="189">
        <f t="shared" ref="M262:M305" si="24">IF(I262&lt;&gt;"",K262+I262+L262,0)</f>
        <v>0</v>
      </c>
    </row>
    <row r="263" spans="1:13">
      <c r="A263" s="204"/>
      <c r="G263" s="175"/>
      <c r="H263" s="190">
        <v>258</v>
      </c>
      <c r="I263" s="188" t="str">
        <f t="shared" si="22"/>
        <v/>
      </c>
      <c r="J263" s="187" t="e">
        <f t="shared" ref="J263:J305" si="25">INT(LOG($H$2,2))-ROUNDUP(LOG(H263,2),0)+IF(OR($H$2=1,$H$2=2,$H$2=4,$H$2=8,$H$2=16,$H$2=32,$H$2=64,$H$2=128,$H$2=256),0,1)</f>
        <v>#NUM!</v>
      </c>
      <c r="K263" s="187" t="e">
        <f t="shared" si="23"/>
        <v>#NUM!</v>
      </c>
      <c r="L263" s="187"/>
      <c r="M263" s="189">
        <f t="shared" si="24"/>
        <v>0</v>
      </c>
    </row>
    <row r="264" spans="1:13">
      <c r="A264" s="204"/>
      <c r="G264" s="175"/>
      <c r="H264" s="187">
        <v>259</v>
      </c>
      <c r="I264" s="188" t="str">
        <f t="shared" si="22"/>
        <v/>
      </c>
      <c r="J264" s="187" t="e">
        <f t="shared" si="25"/>
        <v>#NUM!</v>
      </c>
      <c r="K264" s="187" t="e">
        <f t="shared" si="23"/>
        <v>#NUM!</v>
      </c>
      <c r="L264" s="187"/>
      <c r="M264" s="189">
        <f t="shared" si="24"/>
        <v>0</v>
      </c>
    </row>
    <row r="265" spans="1:13">
      <c r="A265" s="204"/>
      <c r="G265" s="175"/>
      <c r="H265" s="190">
        <v>260</v>
      </c>
      <c r="I265" s="188" t="str">
        <f t="shared" si="22"/>
        <v/>
      </c>
      <c r="J265" s="187" t="e">
        <f t="shared" si="25"/>
        <v>#NUM!</v>
      </c>
      <c r="K265" s="187" t="e">
        <f t="shared" si="23"/>
        <v>#NUM!</v>
      </c>
      <c r="L265" s="187"/>
      <c r="M265" s="189">
        <f t="shared" si="24"/>
        <v>0</v>
      </c>
    </row>
    <row r="266" spans="1:13">
      <c r="A266" s="204"/>
      <c r="G266" s="175"/>
      <c r="H266" s="187">
        <v>261</v>
      </c>
      <c r="I266" s="188" t="str">
        <f t="shared" si="22"/>
        <v/>
      </c>
      <c r="J266" s="187" t="e">
        <f t="shared" si="25"/>
        <v>#NUM!</v>
      </c>
      <c r="K266" s="187" t="e">
        <f t="shared" si="23"/>
        <v>#NUM!</v>
      </c>
      <c r="L266" s="187"/>
      <c r="M266" s="189">
        <f t="shared" si="24"/>
        <v>0</v>
      </c>
    </row>
    <row r="267" spans="1:13">
      <c r="A267" s="204"/>
      <c r="G267" s="175"/>
      <c r="H267" s="190">
        <v>262</v>
      </c>
      <c r="I267" s="188" t="str">
        <f t="shared" si="22"/>
        <v/>
      </c>
      <c r="J267" s="187" t="e">
        <f t="shared" si="25"/>
        <v>#NUM!</v>
      </c>
      <c r="K267" s="187" t="e">
        <f t="shared" si="23"/>
        <v>#NUM!</v>
      </c>
      <c r="L267" s="187"/>
      <c r="M267" s="189">
        <f t="shared" si="24"/>
        <v>0</v>
      </c>
    </row>
    <row r="268" spans="1:13">
      <c r="A268" s="204"/>
      <c r="G268" s="175"/>
      <c r="H268" s="187">
        <v>263</v>
      </c>
      <c r="I268" s="188" t="str">
        <f t="shared" si="22"/>
        <v/>
      </c>
      <c r="J268" s="187" t="e">
        <f t="shared" si="25"/>
        <v>#NUM!</v>
      </c>
      <c r="K268" s="187" t="e">
        <f t="shared" si="23"/>
        <v>#NUM!</v>
      </c>
      <c r="L268" s="187"/>
      <c r="M268" s="189">
        <f t="shared" si="24"/>
        <v>0</v>
      </c>
    </row>
    <row r="269" spans="1:13">
      <c r="A269" s="204"/>
      <c r="G269" s="175"/>
      <c r="H269" s="190">
        <v>264</v>
      </c>
      <c r="I269" s="188" t="str">
        <f t="shared" si="22"/>
        <v/>
      </c>
      <c r="J269" s="187" t="e">
        <f t="shared" si="25"/>
        <v>#NUM!</v>
      </c>
      <c r="K269" s="187" t="e">
        <f t="shared" si="23"/>
        <v>#NUM!</v>
      </c>
      <c r="L269" s="187"/>
      <c r="M269" s="189">
        <f t="shared" si="24"/>
        <v>0</v>
      </c>
    </row>
    <row r="270" spans="1:13">
      <c r="A270" s="204"/>
      <c r="G270" s="175"/>
      <c r="H270" s="187">
        <v>265</v>
      </c>
      <c r="I270" s="188" t="str">
        <f t="shared" si="22"/>
        <v/>
      </c>
      <c r="J270" s="187" t="e">
        <f t="shared" si="25"/>
        <v>#NUM!</v>
      </c>
      <c r="K270" s="187" t="e">
        <f t="shared" si="23"/>
        <v>#NUM!</v>
      </c>
      <c r="L270" s="187"/>
      <c r="M270" s="189">
        <f t="shared" si="24"/>
        <v>0</v>
      </c>
    </row>
    <row r="271" spans="1:13">
      <c r="A271" s="204"/>
      <c r="G271" s="175"/>
      <c r="H271" s="190">
        <v>266</v>
      </c>
      <c r="I271" s="188" t="str">
        <f t="shared" si="22"/>
        <v/>
      </c>
      <c r="J271" s="187" t="e">
        <f t="shared" si="25"/>
        <v>#NUM!</v>
      </c>
      <c r="K271" s="187" t="e">
        <f t="shared" si="23"/>
        <v>#NUM!</v>
      </c>
      <c r="L271" s="187"/>
      <c r="M271" s="189">
        <f t="shared" si="24"/>
        <v>0</v>
      </c>
    </row>
    <row r="272" spans="1:13">
      <c r="A272" s="204"/>
      <c r="G272" s="175"/>
      <c r="H272" s="187">
        <v>267</v>
      </c>
      <c r="I272" s="188" t="str">
        <f t="shared" si="22"/>
        <v/>
      </c>
      <c r="J272" s="187" t="e">
        <f t="shared" si="25"/>
        <v>#NUM!</v>
      </c>
      <c r="K272" s="187" t="e">
        <f t="shared" si="23"/>
        <v>#NUM!</v>
      </c>
      <c r="L272" s="187"/>
      <c r="M272" s="189">
        <f t="shared" si="24"/>
        <v>0</v>
      </c>
    </row>
    <row r="273" spans="1:13">
      <c r="A273" s="204"/>
      <c r="G273" s="175"/>
      <c r="H273" s="190">
        <v>268</v>
      </c>
      <c r="I273" s="188" t="str">
        <f t="shared" si="22"/>
        <v/>
      </c>
      <c r="J273" s="187" t="e">
        <f t="shared" si="25"/>
        <v>#NUM!</v>
      </c>
      <c r="K273" s="187" t="e">
        <f t="shared" si="23"/>
        <v>#NUM!</v>
      </c>
      <c r="L273" s="187"/>
      <c r="M273" s="189">
        <f t="shared" si="24"/>
        <v>0</v>
      </c>
    </row>
    <row r="274" spans="1:13">
      <c r="A274" s="204"/>
      <c r="G274" s="175"/>
      <c r="H274" s="187">
        <v>269</v>
      </c>
      <c r="I274" s="188" t="str">
        <f t="shared" si="22"/>
        <v/>
      </c>
      <c r="J274" s="187" t="e">
        <f t="shared" si="25"/>
        <v>#NUM!</v>
      </c>
      <c r="K274" s="187" t="e">
        <f t="shared" si="23"/>
        <v>#NUM!</v>
      </c>
      <c r="L274" s="187"/>
      <c r="M274" s="189">
        <f t="shared" si="24"/>
        <v>0</v>
      </c>
    </row>
    <row r="275" spans="1:13">
      <c r="A275" s="204"/>
      <c r="G275" s="175"/>
      <c r="H275" s="190">
        <v>270</v>
      </c>
      <c r="I275" s="188" t="str">
        <f t="shared" si="22"/>
        <v/>
      </c>
      <c r="J275" s="187" t="e">
        <f t="shared" si="25"/>
        <v>#NUM!</v>
      </c>
      <c r="K275" s="187" t="e">
        <f t="shared" si="23"/>
        <v>#NUM!</v>
      </c>
      <c r="L275" s="187"/>
      <c r="M275" s="189">
        <f t="shared" si="24"/>
        <v>0</v>
      </c>
    </row>
    <row r="276" spans="1:13">
      <c r="A276" s="204"/>
      <c r="G276" s="175"/>
      <c r="H276" s="187">
        <v>271</v>
      </c>
      <c r="I276" s="188" t="str">
        <f t="shared" si="22"/>
        <v/>
      </c>
      <c r="J276" s="187" t="e">
        <f t="shared" si="25"/>
        <v>#NUM!</v>
      </c>
      <c r="K276" s="187" t="e">
        <f t="shared" si="23"/>
        <v>#NUM!</v>
      </c>
      <c r="L276" s="187"/>
      <c r="M276" s="189">
        <f t="shared" si="24"/>
        <v>0</v>
      </c>
    </row>
    <row r="277" spans="1:13">
      <c r="A277" s="204"/>
      <c r="G277" s="175"/>
      <c r="H277" s="190">
        <v>272</v>
      </c>
      <c r="I277" s="188" t="str">
        <f t="shared" si="22"/>
        <v/>
      </c>
      <c r="J277" s="187" t="e">
        <f t="shared" si="25"/>
        <v>#NUM!</v>
      </c>
      <c r="K277" s="187" t="e">
        <f t="shared" si="23"/>
        <v>#NUM!</v>
      </c>
      <c r="L277" s="187"/>
      <c r="M277" s="189">
        <f t="shared" si="24"/>
        <v>0</v>
      </c>
    </row>
    <row r="278" spans="1:13">
      <c r="A278" s="204"/>
      <c r="G278" s="175"/>
      <c r="H278" s="187">
        <v>273</v>
      </c>
      <c r="I278" s="188" t="str">
        <f t="shared" si="22"/>
        <v/>
      </c>
      <c r="J278" s="187" t="e">
        <f t="shared" si="25"/>
        <v>#NUM!</v>
      </c>
      <c r="K278" s="187" t="e">
        <f t="shared" si="23"/>
        <v>#NUM!</v>
      </c>
      <c r="L278" s="187"/>
      <c r="M278" s="189">
        <f t="shared" si="24"/>
        <v>0</v>
      </c>
    </row>
    <row r="279" spans="1:13">
      <c r="A279" s="204"/>
      <c r="G279" s="175"/>
      <c r="H279" s="190">
        <v>274</v>
      </c>
      <c r="I279" s="188" t="str">
        <f t="shared" si="22"/>
        <v/>
      </c>
      <c r="J279" s="187" t="e">
        <f t="shared" si="25"/>
        <v>#NUM!</v>
      </c>
      <c r="K279" s="187" t="e">
        <f t="shared" si="23"/>
        <v>#NUM!</v>
      </c>
      <c r="L279" s="187"/>
      <c r="M279" s="189">
        <f t="shared" si="24"/>
        <v>0</v>
      </c>
    </row>
    <row r="280" spans="1:13">
      <c r="A280" s="204"/>
      <c r="G280" s="175"/>
      <c r="H280" s="187">
        <v>275</v>
      </c>
      <c r="I280" s="188" t="str">
        <f t="shared" si="22"/>
        <v/>
      </c>
      <c r="J280" s="187" t="e">
        <f t="shared" si="25"/>
        <v>#NUM!</v>
      </c>
      <c r="K280" s="187" t="e">
        <f t="shared" si="23"/>
        <v>#NUM!</v>
      </c>
      <c r="L280" s="187"/>
      <c r="M280" s="189">
        <f t="shared" si="24"/>
        <v>0</v>
      </c>
    </row>
    <row r="281" spans="1:13">
      <c r="A281" s="204"/>
      <c r="G281" s="175"/>
      <c r="H281" s="190">
        <v>276</v>
      </c>
      <c r="I281" s="188" t="str">
        <f t="shared" si="22"/>
        <v/>
      </c>
      <c r="J281" s="187" t="e">
        <f t="shared" si="25"/>
        <v>#NUM!</v>
      </c>
      <c r="K281" s="187" t="e">
        <f t="shared" si="23"/>
        <v>#NUM!</v>
      </c>
      <c r="L281" s="187"/>
      <c r="M281" s="189">
        <f t="shared" si="24"/>
        <v>0</v>
      </c>
    </row>
    <row r="282" spans="1:13">
      <c r="A282" s="204"/>
      <c r="G282" s="175"/>
      <c r="H282" s="187">
        <v>277</v>
      </c>
      <c r="I282" s="188" t="str">
        <f t="shared" si="22"/>
        <v/>
      </c>
      <c r="J282" s="187" t="e">
        <f t="shared" si="25"/>
        <v>#NUM!</v>
      </c>
      <c r="K282" s="187" t="e">
        <f t="shared" si="23"/>
        <v>#NUM!</v>
      </c>
      <c r="L282" s="187"/>
      <c r="M282" s="189">
        <f t="shared" si="24"/>
        <v>0</v>
      </c>
    </row>
    <row r="283" spans="1:13">
      <c r="A283" s="204"/>
      <c r="G283" s="175"/>
      <c r="H283" s="190">
        <v>278</v>
      </c>
      <c r="I283" s="188" t="str">
        <f t="shared" si="22"/>
        <v/>
      </c>
      <c r="J283" s="187" t="e">
        <f t="shared" si="25"/>
        <v>#NUM!</v>
      </c>
      <c r="K283" s="187" t="e">
        <f t="shared" si="23"/>
        <v>#NUM!</v>
      </c>
      <c r="L283" s="187"/>
      <c r="M283" s="189">
        <f t="shared" si="24"/>
        <v>0</v>
      </c>
    </row>
    <row r="284" spans="1:13">
      <c r="A284" s="204"/>
      <c r="G284" s="175"/>
      <c r="H284" s="187">
        <v>279</v>
      </c>
      <c r="I284" s="188" t="str">
        <f t="shared" si="22"/>
        <v/>
      </c>
      <c r="J284" s="187" t="e">
        <f t="shared" si="25"/>
        <v>#NUM!</v>
      </c>
      <c r="K284" s="187" t="e">
        <f t="shared" si="23"/>
        <v>#NUM!</v>
      </c>
      <c r="L284" s="187"/>
      <c r="M284" s="189">
        <f t="shared" si="24"/>
        <v>0</v>
      </c>
    </row>
    <row r="285" spans="1:13">
      <c r="A285" s="204"/>
      <c r="G285" s="175"/>
      <c r="H285" s="190">
        <v>280</v>
      </c>
      <c r="I285" s="188" t="str">
        <f t="shared" si="22"/>
        <v/>
      </c>
      <c r="J285" s="187" t="e">
        <f t="shared" si="25"/>
        <v>#NUM!</v>
      </c>
      <c r="K285" s="187" t="e">
        <f t="shared" si="23"/>
        <v>#NUM!</v>
      </c>
      <c r="L285" s="187"/>
      <c r="M285" s="189">
        <f t="shared" si="24"/>
        <v>0</v>
      </c>
    </row>
    <row r="286" spans="1:13">
      <c r="A286" s="204"/>
      <c r="G286" s="175"/>
      <c r="H286" s="187">
        <v>281</v>
      </c>
      <c r="I286" s="188" t="str">
        <f t="shared" si="22"/>
        <v/>
      </c>
      <c r="J286" s="187" t="e">
        <f t="shared" si="25"/>
        <v>#NUM!</v>
      </c>
      <c r="K286" s="187" t="e">
        <f t="shared" si="23"/>
        <v>#NUM!</v>
      </c>
      <c r="L286" s="187"/>
      <c r="M286" s="189">
        <f t="shared" si="24"/>
        <v>0</v>
      </c>
    </row>
    <row r="287" spans="1:13">
      <c r="A287" s="204"/>
      <c r="G287" s="175"/>
      <c r="H287" s="190">
        <v>282</v>
      </c>
      <c r="I287" s="188" t="str">
        <f t="shared" si="22"/>
        <v/>
      </c>
      <c r="J287" s="187" t="e">
        <f t="shared" si="25"/>
        <v>#NUM!</v>
      </c>
      <c r="K287" s="187" t="e">
        <f t="shared" si="23"/>
        <v>#NUM!</v>
      </c>
      <c r="L287" s="187"/>
      <c r="M287" s="189">
        <f t="shared" si="24"/>
        <v>0</v>
      </c>
    </row>
    <row r="288" spans="1:13">
      <c r="A288" s="204"/>
      <c r="G288" s="175"/>
      <c r="H288" s="187">
        <v>283</v>
      </c>
      <c r="I288" s="188" t="str">
        <f t="shared" si="22"/>
        <v/>
      </c>
      <c r="J288" s="187" t="e">
        <f t="shared" si="25"/>
        <v>#NUM!</v>
      </c>
      <c r="K288" s="187" t="e">
        <f t="shared" si="23"/>
        <v>#NUM!</v>
      </c>
      <c r="L288" s="187"/>
      <c r="M288" s="189">
        <f t="shared" si="24"/>
        <v>0</v>
      </c>
    </row>
    <row r="289" spans="1:13">
      <c r="A289" s="204"/>
      <c r="G289" s="175"/>
      <c r="H289" s="190">
        <v>284</v>
      </c>
      <c r="I289" s="188" t="str">
        <f t="shared" si="22"/>
        <v/>
      </c>
      <c r="J289" s="187" t="e">
        <f t="shared" si="25"/>
        <v>#NUM!</v>
      </c>
      <c r="K289" s="187" t="e">
        <f t="shared" si="23"/>
        <v>#NUM!</v>
      </c>
      <c r="L289" s="187"/>
      <c r="M289" s="189">
        <f t="shared" si="24"/>
        <v>0</v>
      </c>
    </row>
    <row r="290" spans="1:13">
      <c r="A290" s="204"/>
      <c r="G290" s="175"/>
      <c r="H290" s="187">
        <v>285</v>
      </c>
      <c r="I290" s="188" t="str">
        <f t="shared" si="22"/>
        <v/>
      </c>
      <c r="J290" s="187" t="e">
        <f t="shared" si="25"/>
        <v>#NUM!</v>
      </c>
      <c r="K290" s="187" t="e">
        <f t="shared" si="23"/>
        <v>#NUM!</v>
      </c>
      <c r="L290" s="187"/>
      <c r="M290" s="189">
        <f t="shared" si="24"/>
        <v>0</v>
      </c>
    </row>
    <row r="291" spans="1:13">
      <c r="A291" s="204"/>
      <c r="G291" s="175"/>
      <c r="H291" s="190">
        <v>286</v>
      </c>
      <c r="I291" s="188" t="str">
        <f t="shared" si="22"/>
        <v/>
      </c>
      <c r="J291" s="187" t="e">
        <f t="shared" si="25"/>
        <v>#NUM!</v>
      </c>
      <c r="K291" s="187" t="e">
        <f t="shared" si="23"/>
        <v>#NUM!</v>
      </c>
      <c r="L291" s="187"/>
      <c r="M291" s="189">
        <f t="shared" si="24"/>
        <v>0</v>
      </c>
    </row>
    <row r="292" spans="1:13">
      <c r="A292" s="204"/>
      <c r="G292" s="175"/>
      <c r="H292" s="187">
        <v>287</v>
      </c>
      <c r="I292" s="188" t="str">
        <f t="shared" si="22"/>
        <v/>
      </c>
      <c r="J292" s="187" t="e">
        <f t="shared" si="25"/>
        <v>#NUM!</v>
      </c>
      <c r="K292" s="187" t="e">
        <f t="shared" si="23"/>
        <v>#NUM!</v>
      </c>
      <c r="L292" s="187"/>
      <c r="M292" s="189">
        <f t="shared" si="24"/>
        <v>0</v>
      </c>
    </row>
    <row r="293" spans="1:13">
      <c r="A293" s="204"/>
      <c r="G293" s="175"/>
      <c r="H293" s="187">
        <v>288</v>
      </c>
      <c r="I293" s="188" t="str">
        <f t="shared" si="22"/>
        <v/>
      </c>
      <c r="J293" s="187" t="e">
        <f t="shared" si="25"/>
        <v>#NUM!</v>
      </c>
      <c r="K293" s="187" t="e">
        <f t="shared" si="23"/>
        <v>#NUM!</v>
      </c>
      <c r="L293" s="187"/>
      <c r="M293" s="189">
        <f t="shared" si="24"/>
        <v>0</v>
      </c>
    </row>
    <row r="294" spans="1:13">
      <c r="A294" s="204"/>
      <c r="G294" s="175"/>
      <c r="H294" s="187">
        <v>289</v>
      </c>
      <c r="I294" s="188" t="str">
        <f t="shared" si="22"/>
        <v/>
      </c>
      <c r="J294" s="187" t="e">
        <f t="shared" si="25"/>
        <v>#NUM!</v>
      </c>
      <c r="K294" s="187" t="e">
        <f t="shared" si="23"/>
        <v>#NUM!</v>
      </c>
      <c r="L294" s="187"/>
      <c r="M294" s="189">
        <f t="shared" si="24"/>
        <v>0</v>
      </c>
    </row>
    <row r="295" spans="1:13">
      <c r="A295" s="204"/>
      <c r="G295" s="175"/>
      <c r="H295" s="187">
        <v>290</v>
      </c>
      <c r="I295" s="188" t="str">
        <f t="shared" si="22"/>
        <v/>
      </c>
      <c r="J295" s="187" t="e">
        <f t="shared" si="25"/>
        <v>#NUM!</v>
      </c>
      <c r="K295" s="187" t="e">
        <f t="shared" si="23"/>
        <v>#NUM!</v>
      </c>
      <c r="L295" s="187"/>
      <c r="M295" s="189">
        <f t="shared" si="24"/>
        <v>0</v>
      </c>
    </row>
    <row r="296" spans="1:13">
      <c r="A296" s="204"/>
      <c r="G296" s="175"/>
      <c r="H296" s="187">
        <v>291</v>
      </c>
      <c r="I296" s="188" t="str">
        <f t="shared" si="22"/>
        <v/>
      </c>
      <c r="J296" s="187" t="e">
        <f t="shared" si="25"/>
        <v>#NUM!</v>
      </c>
      <c r="K296" s="187" t="e">
        <f t="shared" si="23"/>
        <v>#NUM!</v>
      </c>
      <c r="L296" s="187"/>
      <c r="M296" s="189">
        <f t="shared" si="24"/>
        <v>0</v>
      </c>
    </row>
    <row r="297" spans="1:13">
      <c r="A297" s="204"/>
      <c r="G297" s="175"/>
      <c r="H297" s="187">
        <v>292</v>
      </c>
      <c r="I297" s="188" t="str">
        <f t="shared" si="22"/>
        <v/>
      </c>
      <c r="J297" s="187" t="e">
        <f t="shared" si="25"/>
        <v>#NUM!</v>
      </c>
      <c r="K297" s="187" t="e">
        <f t="shared" si="23"/>
        <v>#NUM!</v>
      </c>
      <c r="L297" s="187"/>
      <c r="M297" s="189">
        <f t="shared" si="24"/>
        <v>0</v>
      </c>
    </row>
    <row r="298" spans="1:13">
      <c r="A298" s="204"/>
      <c r="G298" s="175"/>
      <c r="H298" s="187">
        <v>293</v>
      </c>
      <c r="I298" s="188" t="str">
        <f t="shared" si="22"/>
        <v/>
      </c>
      <c r="J298" s="187" t="e">
        <f t="shared" si="25"/>
        <v>#NUM!</v>
      </c>
      <c r="K298" s="187" t="e">
        <f t="shared" si="23"/>
        <v>#NUM!</v>
      </c>
      <c r="L298" s="187"/>
      <c r="M298" s="189">
        <f t="shared" si="24"/>
        <v>0</v>
      </c>
    </row>
    <row r="299" spans="1:13">
      <c r="A299" s="204"/>
      <c r="G299" s="175"/>
      <c r="H299" s="187">
        <v>294</v>
      </c>
      <c r="I299" s="188" t="str">
        <f t="shared" si="22"/>
        <v/>
      </c>
      <c r="J299" s="187" t="e">
        <f t="shared" si="25"/>
        <v>#NUM!</v>
      </c>
      <c r="K299" s="187" t="e">
        <f t="shared" si="23"/>
        <v>#NUM!</v>
      </c>
      <c r="L299" s="187"/>
      <c r="M299" s="189">
        <f t="shared" si="24"/>
        <v>0</v>
      </c>
    </row>
    <row r="300" spans="1:13">
      <c r="A300" s="204"/>
      <c r="G300" s="175"/>
      <c r="H300" s="187">
        <v>295</v>
      </c>
      <c r="I300" s="188" t="str">
        <f t="shared" si="22"/>
        <v/>
      </c>
      <c r="J300" s="187" t="e">
        <f t="shared" si="25"/>
        <v>#NUM!</v>
      </c>
      <c r="K300" s="187" t="e">
        <f t="shared" si="23"/>
        <v>#NUM!</v>
      </c>
      <c r="L300" s="187"/>
      <c r="M300" s="189">
        <f t="shared" si="24"/>
        <v>0</v>
      </c>
    </row>
    <row r="301" spans="1:13">
      <c r="A301" s="204"/>
      <c r="G301" s="175"/>
      <c r="H301" s="187">
        <v>296</v>
      </c>
      <c r="I301" s="188" t="str">
        <f t="shared" si="22"/>
        <v/>
      </c>
      <c r="J301" s="187" t="e">
        <f t="shared" si="25"/>
        <v>#NUM!</v>
      </c>
      <c r="K301" s="187" t="e">
        <f t="shared" si="23"/>
        <v>#NUM!</v>
      </c>
      <c r="L301" s="187"/>
      <c r="M301" s="189">
        <f t="shared" si="24"/>
        <v>0</v>
      </c>
    </row>
    <row r="302" spans="1:13">
      <c r="A302" s="204"/>
      <c r="G302" s="175"/>
      <c r="H302" s="187">
        <v>297</v>
      </c>
      <c r="I302" s="188" t="str">
        <f t="shared" si="22"/>
        <v/>
      </c>
      <c r="J302" s="187" t="e">
        <f t="shared" si="25"/>
        <v>#NUM!</v>
      </c>
      <c r="K302" s="187" t="e">
        <f t="shared" si="23"/>
        <v>#NUM!</v>
      </c>
      <c r="L302" s="187"/>
      <c r="M302" s="189">
        <f t="shared" si="24"/>
        <v>0</v>
      </c>
    </row>
    <row r="303" spans="1:13">
      <c r="A303" s="204"/>
      <c r="G303" s="175"/>
      <c r="H303" s="187">
        <v>298</v>
      </c>
      <c r="I303" s="188" t="str">
        <f t="shared" si="22"/>
        <v/>
      </c>
      <c r="J303" s="187" t="e">
        <f t="shared" si="25"/>
        <v>#NUM!</v>
      </c>
      <c r="K303" s="187" t="e">
        <f t="shared" si="23"/>
        <v>#NUM!</v>
      </c>
      <c r="L303" s="187"/>
      <c r="M303" s="189">
        <f t="shared" si="24"/>
        <v>0</v>
      </c>
    </row>
    <row r="304" spans="1:13">
      <c r="A304" s="204"/>
      <c r="G304" s="175"/>
      <c r="H304" s="187">
        <v>299</v>
      </c>
      <c r="I304" s="188" t="str">
        <f t="shared" si="22"/>
        <v/>
      </c>
      <c r="J304" s="187" t="e">
        <f t="shared" si="25"/>
        <v>#NUM!</v>
      </c>
      <c r="K304" s="187" t="e">
        <f t="shared" si="23"/>
        <v>#NUM!</v>
      </c>
      <c r="L304" s="187"/>
      <c r="M304" s="189">
        <f t="shared" si="24"/>
        <v>0</v>
      </c>
    </row>
    <row r="305" spans="1:16">
      <c r="A305" s="204"/>
      <c r="G305" s="175"/>
      <c r="H305" s="187">
        <v>300</v>
      </c>
      <c r="I305" s="188" t="str">
        <f t="shared" si="22"/>
        <v/>
      </c>
      <c r="J305" s="187" t="e">
        <f t="shared" si="25"/>
        <v>#NUM!</v>
      </c>
      <c r="K305" s="187" t="e">
        <f t="shared" si="23"/>
        <v>#NUM!</v>
      </c>
      <c r="L305" s="187"/>
      <c r="M305" s="189">
        <f t="shared" si="24"/>
        <v>0</v>
      </c>
    </row>
    <row r="306" spans="1:16">
      <c r="A306" s="205"/>
    </row>
    <row r="314" spans="1:16">
      <c r="L314" s="208"/>
      <c r="P314" s="198"/>
    </row>
    <row r="315" spans="1:16">
      <c r="L315" s="208"/>
      <c r="P315" s="198"/>
    </row>
    <row r="316" spans="1:16">
      <c r="L316" s="208"/>
      <c r="P316" s="198"/>
    </row>
    <row r="317" spans="1:16">
      <c r="L317" s="208"/>
      <c r="P317" s="198"/>
    </row>
  </sheetData>
  <conditionalFormatting sqref="J6:K305">
    <cfRule type="cellIs" dxfId="3" priority="1" operator="lessThanOrEqual">
      <formula>0</formula>
    </cfRule>
  </conditionalFormatting>
  <hyperlinks>
    <hyperlink ref="C2" r:id="rId1" xr:uid="{1ED526B4-E6B6-425D-AF1B-C1BADEB62A8B}"/>
  </hyperlinks>
  <pageMargins left="0.7" right="0.7" top="0.75" bottom="0.75" header="0.3" footer="0.3"/>
  <pageSetup paperSize="9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5A229-7324-4D8D-AF51-40911CEB9033}">
  <sheetPr>
    <tabColor rgb="FF92D050"/>
  </sheetPr>
  <dimension ref="A1:AM317"/>
  <sheetViews>
    <sheetView topLeftCell="A39" workbookViewId="0">
      <selection activeCell="C37" sqref="C37"/>
    </sheetView>
  </sheetViews>
  <sheetFormatPr defaultColWidth="8.85546875" defaultRowHeight="14.25"/>
  <cols>
    <col min="1" max="1" width="8" style="123" customWidth="1"/>
    <col min="2" max="2" width="8.28515625" style="123" customWidth="1"/>
    <col min="3" max="3" width="34.7109375" style="123" customWidth="1"/>
    <col min="4" max="4" width="11.28515625" style="123" customWidth="1"/>
    <col min="5" max="6" width="8.85546875" style="123"/>
    <col min="7" max="7" width="0.85546875" style="123" customWidth="1"/>
    <col min="8" max="8" width="8.85546875" style="126"/>
    <col min="9" max="9" width="11" style="126" customWidth="1"/>
    <col min="10" max="10" width="15.28515625" style="126" customWidth="1"/>
    <col min="11" max="11" width="8.7109375" style="126" customWidth="1"/>
    <col min="12" max="12" width="11" style="126" customWidth="1"/>
    <col min="13" max="13" width="11.7109375" style="126" customWidth="1"/>
    <col min="14" max="14" width="11.7109375" style="127" customWidth="1"/>
    <col min="15" max="16" width="13.85546875" style="88" customWidth="1"/>
    <col min="17" max="19" width="8.85546875" style="88"/>
    <col min="20" max="21" width="8.85546875" style="93"/>
    <col min="22" max="22" width="12.140625" style="93" customWidth="1"/>
    <col min="23" max="23" width="27.42578125" style="93" customWidth="1"/>
    <col min="24" max="39" width="8.85546875" style="93"/>
    <col min="40" max="16384" width="8.85546875" style="123"/>
  </cols>
  <sheetData>
    <row r="1" spans="1:37" s="93" customFormat="1">
      <c r="A1" s="88"/>
      <c r="B1" s="88"/>
      <c r="C1" s="88"/>
      <c r="D1" s="88"/>
      <c r="E1" s="88"/>
      <c r="F1" s="88"/>
      <c r="G1" s="88"/>
      <c r="H1" s="89" t="s">
        <v>34</v>
      </c>
      <c r="I1" s="90" t="s">
        <v>35</v>
      </c>
      <c r="J1" s="90" t="s">
        <v>36</v>
      </c>
      <c r="K1" s="91" t="s">
        <v>105</v>
      </c>
      <c r="L1" s="130" t="s">
        <v>106</v>
      </c>
      <c r="M1" s="131"/>
      <c r="N1" s="92"/>
      <c r="O1" s="88"/>
      <c r="P1" s="88"/>
      <c r="Q1" s="88"/>
      <c r="R1" s="88"/>
      <c r="S1" s="88"/>
    </row>
    <row r="2" spans="1:37" s="93" customFormat="1" ht="14.25" customHeight="1">
      <c r="A2" s="88"/>
      <c r="B2" s="21" t="s">
        <v>38</v>
      </c>
      <c r="C2" s="307" t="s">
        <v>154</v>
      </c>
      <c r="D2" s="307"/>
      <c r="E2" s="22"/>
      <c r="F2" s="22"/>
      <c r="G2" s="22"/>
      <c r="H2" s="94">
        <v>60</v>
      </c>
      <c r="I2" s="95">
        <v>50</v>
      </c>
      <c r="J2" s="95">
        <v>10</v>
      </c>
      <c r="K2" s="129">
        <f>3*H2^(1/3)</f>
        <v>11.744602923506591</v>
      </c>
      <c r="L2" s="132">
        <v>1.2</v>
      </c>
      <c r="M2" s="92"/>
      <c r="N2" s="92"/>
      <c r="O2" s="88"/>
      <c r="P2" s="88"/>
      <c r="Q2" s="88"/>
      <c r="R2" s="88"/>
      <c r="S2" s="88"/>
    </row>
    <row r="3" spans="1:37" s="93" customFormat="1" ht="14.25" customHeight="1">
      <c r="A3" s="88"/>
      <c r="B3" s="97" t="s">
        <v>40</v>
      </c>
      <c r="C3" s="308">
        <v>2023</v>
      </c>
      <c r="D3" s="308"/>
      <c r="E3" s="27"/>
      <c r="F3" s="27"/>
      <c r="G3" s="27"/>
      <c r="H3" s="92"/>
      <c r="I3" s="92"/>
      <c r="J3" s="98"/>
      <c r="K3" s="92"/>
      <c r="L3" s="92"/>
      <c r="M3" s="92"/>
      <c r="N3" s="92"/>
      <c r="O3" s="88"/>
      <c r="P3" s="88"/>
      <c r="Q3" s="88"/>
      <c r="R3" s="88"/>
      <c r="S3" s="88"/>
    </row>
    <row r="4" spans="1:37" s="93" customFormat="1" ht="10.15" customHeight="1">
      <c r="A4" s="29"/>
      <c r="B4" s="27"/>
      <c r="C4" s="29"/>
      <c r="D4" s="29"/>
      <c r="E4" s="29"/>
      <c r="F4" s="29"/>
      <c r="G4" s="29"/>
      <c r="H4" s="92"/>
      <c r="I4" s="92"/>
      <c r="J4" s="98"/>
      <c r="K4" s="92"/>
      <c r="L4" s="92"/>
      <c r="M4" s="92"/>
      <c r="N4" s="92"/>
      <c r="O4" s="88"/>
      <c r="P4" s="88"/>
      <c r="Q4" s="88"/>
      <c r="R4" s="88"/>
      <c r="S4" s="88"/>
    </row>
    <row r="5" spans="1:37" s="93" customFormat="1" ht="34.700000000000003">
      <c r="A5" s="1" t="s">
        <v>42</v>
      </c>
      <c r="B5" s="30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9"/>
      <c r="H5" s="99" t="s">
        <v>48</v>
      </c>
      <c r="I5" s="100" t="s">
        <v>49</v>
      </c>
      <c r="J5" s="101" t="s">
        <v>50</v>
      </c>
      <c r="K5" s="100" t="s">
        <v>51</v>
      </c>
      <c r="L5" s="100" t="s">
        <v>52</v>
      </c>
      <c r="M5" s="99" t="s">
        <v>53</v>
      </c>
      <c r="N5" s="99" t="s">
        <v>109</v>
      </c>
      <c r="O5" s="88"/>
      <c r="P5" s="88"/>
      <c r="Q5" s="88"/>
      <c r="R5" s="88"/>
      <c r="S5" s="88"/>
    </row>
    <row r="6" spans="1:37" s="93" customFormat="1" ht="14.45" customHeight="1">
      <c r="A6" s="102">
        <f t="shared" ref="A6:A69" si="0">N6</f>
        <v>174.28057052462373</v>
      </c>
      <c r="B6" s="35">
        <f t="shared" ref="B6:B65" si="1">IF(H6&gt;$H$2,"",(ROW()-5))</f>
        <v>1</v>
      </c>
      <c r="C6" s="36" t="s">
        <v>155</v>
      </c>
      <c r="D6" s="36" t="s">
        <v>156</v>
      </c>
      <c r="E6" s="36" t="s">
        <v>157</v>
      </c>
      <c r="F6" s="36" t="s">
        <v>158</v>
      </c>
      <c r="G6" s="29"/>
      <c r="H6" s="103">
        <v>1</v>
      </c>
      <c r="I6" s="104">
        <f t="shared" ref="I6:I69" si="2">IF(H6&lt;$H$2+1,($I$2-($I$2-1)*(LOG(H6)/LOG($H$2))),"")</f>
        <v>50</v>
      </c>
      <c r="J6" s="103">
        <f t="shared" ref="J6:J69" si="3">INT(LOG($H$2,2))-ROUNDUP(LOG(H6,2),0)+IF(OR($H$2=1,$H$2=2,$H$2=4,$H$2=8,$H$2=16,$H$2=32,$H$2=64,$H$2=128,$H$2=256),0,1)</f>
        <v>6</v>
      </c>
      <c r="K6" s="103">
        <f t="shared" ref="K6:K69" si="4">J6*$J$2</f>
        <v>60</v>
      </c>
      <c r="L6" s="105">
        <f>3*K2</f>
        <v>35.233808770519772</v>
      </c>
      <c r="M6" s="105">
        <f t="shared" ref="M6:M69" si="5">IF(I6&lt;&gt;"",K6+I6+L6,0)</f>
        <v>145.23380877051977</v>
      </c>
      <c r="N6" s="105">
        <f t="shared" ref="N6:N69" si="6">IF(I6&lt;&gt;"",M6*L$2,0)</f>
        <v>174.28057052462373</v>
      </c>
      <c r="O6" s="88"/>
      <c r="P6" s="88"/>
      <c r="Q6" s="88"/>
      <c r="R6" s="88"/>
      <c r="S6" s="88"/>
    </row>
    <row r="7" spans="1:37" s="93" customFormat="1" ht="14.45" customHeight="1">
      <c r="A7" s="106">
        <f t="shared" si="0"/>
        <v>138.23257112960746</v>
      </c>
      <c r="B7" s="41">
        <f t="shared" si="1"/>
        <v>2</v>
      </c>
      <c r="C7" s="42" t="s">
        <v>159</v>
      </c>
      <c r="D7" s="42" t="s">
        <v>160</v>
      </c>
      <c r="E7" s="42" t="s">
        <v>161</v>
      </c>
      <c r="F7" s="42" t="s">
        <v>158</v>
      </c>
      <c r="G7" s="29"/>
      <c r="H7" s="107">
        <v>2</v>
      </c>
      <c r="I7" s="108">
        <f t="shared" si="2"/>
        <v>41.704603427659706</v>
      </c>
      <c r="J7" s="107">
        <f t="shared" si="3"/>
        <v>5</v>
      </c>
      <c r="K7" s="107">
        <f t="shared" si="4"/>
        <v>50</v>
      </c>
      <c r="L7" s="109">
        <f>2*K2</f>
        <v>23.489205847013181</v>
      </c>
      <c r="M7" s="109">
        <f t="shared" si="5"/>
        <v>115.19380927467289</v>
      </c>
      <c r="N7" s="109">
        <f t="shared" si="6"/>
        <v>138.23257112960746</v>
      </c>
      <c r="O7" s="88"/>
      <c r="P7" s="88"/>
      <c r="Q7" s="88"/>
      <c r="R7" s="88"/>
      <c r="S7" s="88"/>
    </row>
    <row r="8" spans="1:37" s="93" customFormat="1" ht="14.45" customHeight="1">
      <c r="A8" s="102">
        <f t="shared" si="0"/>
        <v>106.31605251328369</v>
      </c>
      <c r="B8" s="35">
        <f t="shared" si="1"/>
        <v>3</v>
      </c>
      <c r="C8" s="36" t="s">
        <v>162</v>
      </c>
      <c r="D8" s="36" t="s">
        <v>163</v>
      </c>
      <c r="E8" s="36" t="s">
        <v>164</v>
      </c>
      <c r="F8" s="36" t="s">
        <v>158</v>
      </c>
      <c r="G8" s="29"/>
      <c r="H8" s="103">
        <v>3</v>
      </c>
      <c r="I8" s="104">
        <f t="shared" si="2"/>
        <v>36.852107504229828</v>
      </c>
      <c r="J8" s="103">
        <f t="shared" si="3"/>
        <v>4</v>
      </c>
      <c r="K8" s="103">
        <f t="shared" si="4"/>
        <v>40</v>
      </c>
      <c r="L8" s="105">
        <f>K2</f>
        <v>11.744602923506591</v>
      </c>
      <c r="M8" s="105">
        <f t="shared" si="5"/>
        <v>88.596710427736411</v>
      </c>
      <c r="N8" s="105">
        <f t="shared" si="6"/>
        <v>106.31605251328369</v>
      </c>
      <c r="O8" s="88"/>
      <c r="P8" s="88"/>
      <c r="Q8" s="88"/>
      <c r="R8" s="88"/>
      <c r="S8" s="88"/>
    </row>
    <row r="9" spans="1:37" s="93" customFormat="1" ht="14.45" customHeight="1">
      <c r="A9" s="106">
        <f t="shared" si="0"/>
        <v>106.31605251328369</v>
      </c>
      <c r="B9" s="41">
        <f t="shared" si="1"/>
        <v>4</v>
      </c>
      <c r="C9" s="42" t="s">
        <v>165</v>
      </c>
      <c r="D9" s="42" t="s">
        <v>166</v>
      </c>
      <c r="E9" s="42" t="s">
        <v>167</v>
      </c>
      <c r="F9" s="42" t="s">
        <v>158</v>
      </c>
      <c r="G9" s="29"/>
      <c r="H9" s="107">
        <v>3</v>
      </c>
      <c r="I9" s="108">
        <f t="shared" si="2"/>
        <v>36.852107504229828</v>
      </c>
      <c r="J9" s="107">
        <f t="shared" si="3"/>
        <v>4</v>
      </c>
      <c r="K9" s="107">
        <f t="shared" si="4"/>
        <v>40</v>
      </c>
      <c r="L9" s="109">
        <f>K2</f>
        <v>11.744602923506591</v>
      </c>
      <c r="M9" s="109">
        <f t="shared" si="5"/>
        <v>88.596710427736411</v>
      </c>
      <c r="N9" s="109">
        <f t="shared" si="6"/>
        <v>106.31605251328369</v>
      </c>
      <c r="O9" s="88"/>
      <c r="P9" s="88"/>
      <c r="Q9" s="88"/>
      <c r="R9" s="88"/>
      <c r="S9" s="88"/>
      <c r="V9" s="110"/>
      <c r="Z9" s="111"/>
      <c r="AA9" s="111"/>
      <c r="AG9" s="112"/>
      <c r="AH9" s="93" t="s">
        <v>57</v>
      </c>
      <c r="AI9" s="93">
        <v>23</v>
      </c>
    </row>
    <row r="10" spans="1:37" s="93" customFormat="1" ht="14.45" customHeight="1">
      <c r="A10" s="102">
        <f t="shared" si="0"/>
        <v>72.886422768540896</v>
      </c>
      <c r="B10" s="35">
        <f t="shared" si="1"/>
        <v>5</v>
      </c>
      <c r="C10" s="36" t="s">
        <v>168</v>
      </c>
      <c r="D10" s="36" t="s">
        <v>169</v>
      </c>
      <c r="E10" s="36" t="s">
        <v>170</v>
      </c>
      <c r="F10" s="36" t="s">
        <v>158</v>
      </c>
      <c r="G10" s="29"/>
      <c r="H10" s="103">
        <v>5</v>
      </c>
      <c r="I10" s="104">
        <f t="shared" si="2"/>
        <v>30.73868564045075</v>
      </c>
      <c r="J10" s="103">
        <f t="shared" si="3"/>
        <v>3</v>
      </c>
      <c r="K10" s="103">
        <f t="shared" si="4"/>
        <v>30</v>
      </c>
      <c r="L10" s="103"/>
      <c r="M10" s="105">
        <f t="shared" si="5"/>
        <v>60.738685640450754</v>
      </c>
      <c r="N10" s="105">
        <f t="shared" si="6"/>
        <v>72.886422768540896</v>
      </c>
      <c r="O10" s="88"/>
      <c r="P10" s="88"/>
      <c r="Q10" s="88"/>
      <c r="R10" s="88"/>
      <c r="S10" s="88"/>
      <c r="W10" s="110"/>
      <c r="AA10" s="111"/>
      <c r="AB10" s="111"/>
      <c r="AH10" s="112"/>
      <c r="AI10" s="93" t="s">
        <v>58</v>
      </c>
      <c r="AJ10" s="93">
        <v>45</v>
      </c>
    </row>
    <row r="11" spans="1:37" s="93" customFormat="1" ht="14.45" customHeight="1">
      <c r="A11" s="106">
        <f t="shared" si="0"/>
        <v>70.268053118267446</v>
      </c>
      <c r="B11" s="41">
        <f t="shared" si="1"/>
        <v>6</v>
      </c>
      <c r="C11" s="42" t="s">
        <v>171</v>
      </c>
      <c r="D11" s="42" t="s">
        <v>172</v>
      </c>
      <c r="E11" s="42" t="s">
        <v>173</v>
      </c>
      <c r="F11" s="42" t="s">
        <v>158</v>
      </c>
      <c r="G11" s="29"/>
      <c r="H11" s="107">
        <v>6</v>
      </c>
      <c r="I11" s="108">
        <f t="shared" si="2"/>
        <v>28.556710931889537</v>
      </c>
      <c r="J11" s="107">
        <f t="shared" si="3"/>
        <v>3</v>
      </c>
      <c r="K11" s="107">
        <f t="shared" si="4"/>
        <v>30</v>
      </c>
      <c r="L11" s="107"/>
      <c r="M11" s="109">
        <f t="shared" si="5"/>
        <v>58.55671093188954</v>
      </c>
      <c r="N11" s="109">
        <f t="shared" si="6"/>
        <v>70.268053118267446</v>
      </c>
      <c r="O11" s="88"/>
      <c r="P11" s="88"/>
      <c r="Q11" s="88"/>
      <c r="R11" s="88"/>
      <c r="S11" s="88"/>
      <c r="W11" s="113"/>
      <c r="AA11" s="111"/>
      <c r="AB11" s="111"/>
      <c r="AH11" s="112"/>
      <c r="AI11" s="93" t="s">
        <v>60</v>
      </c>
      <c r="AJ11" s="93">
        <v>50</v>
      </c>
    </row>
    <row r="12" spans="1:37" s="93" customFormat="1" ht="14.45" customHeight="1">
      <c r="A12" s="102">
        <f t="shared" si="0"/>
        <v>68.054253122664846</v>
      </c>
      <c r="B12" s="35">
        <f t="shared" si="1"/>
        <v>7</v>
      </c>
      <c r="C12" s="36" t="s">
        <v>174</v>
      </c>
      <c r="D12" s="36" t="s">
        <v>175</v>
      </c>
      <c r="E12" s="36" t="s">
        <v>176</v>
      </c>
      <c r="F12" s="36" t="s">
        <v>158</v>
      </c>
      <c r="G12" s="29"/>
      <c r="H12" s="103">
        <v>7</v>
      </c>
      <c r="I12" s="104">
        <f t="shared" si="2"/>
        <v>26.711877602220707</v>
      </c>
      <c r="J12" s="103">
        <f t="shared" si="3"/>
        <v>3</v>
      </c>
      <c r="K12" s="103">
        <f t="shared" si="4"/>
        <v>30</v>
      </c>
      <c r="L12" s="103"/>
      <c r="M12" s="105">
        <f t="shared" si="5"/>
        <v>56.71187760222071</v>
      </c>
      <c r="N12" s="105">
        <f t="shared" si="6"/>
        <v>68.054253122664846</v>
      </c>
      <c r="O12" s="88"/>
      <c r="P12" s="88"/>
      <c r="Q12" s="88"/>
      <c r="R12" s="88"/>
      <c r="S12" s="88"/>
      <c r="AA12" s="111"/>
      <c r="AB12" s="111"/>
      <c r="AH12" s="112"/>
      <c r="AI12" s="93" t="s">
        <v>61</v>
      </c>
      <c r="AJ12" s="93">
        <f>AJ11-1</f>
        <v>49</v>
      </c>
    </row>
    <row r="13" spans="1:37" s="93" customFormat="1" ht="14.45" customHeight="1">
      <c r="A13" s="106">
        <f t="shared" si="0"/>
        <v>66.136572339574954</v>
      </c>
      <c r="B13" s="41">
        <f t="shared" si="1"/>
        <v>8</v>
      </c>
      <c r="C13" s="42" t="s">
        <v>177</v>
      </c>
      <c r="D13" s="42" t="s">
        <v>172</v>
      </c>
      <c r="E13" s="42" t="s">
        <v>170</v>
      </c>
      <c r="F13" s="42" t="s">
        <v>158</v>
      </c>
      <c r="G13" s="29"/>
      <c r="H13" s="107">
        <v>8</v>
      </c>
      <c r="I13" s="108">
        <f t="shared" si="2"/>
        <v>25.113810282979131</v>
      </c>
      <c r="J13" s="107">
        <f t="shared" si="3"/>
        <v>3</v>
      </c>
      <c r="K13" s="107">
        <f t="shared" si="4"/>
        <v>30</v>
      </c>
      <c r="L13" s="107"/>
      <c r="M13" s="109">
        <f t="shared" si="5"/>
        <v>55.113810282979131</v>
      </c>
      <c r="N13" s="109">
        <f t="shared" si="6"/>
        <v>66.136572339574954</v>
      </c>
      <c r="O13" s="88"/>
      <c r="P13" s="88"/>
      <c r="Q13" s="88"/>
      <c r="R13" s="88"/>
      <c r="S13" s="88"/>
      <c r="Y13" s="110"/>
      <c r="AH13" s="112"/>
      <c r="AI13" s="93" t="s">
        <v>62</v>
      </c>
      <c r="AJ13" s="93" t="e">
        <f>LOG(AJ9)</f>
        <v>#NUM!</v>
      </c>
    </row>
    <row r="14" spans="1:37" s="93" customFormat="1">
      <c r="A14" s="102">
        <f t="shared" si="0"/>
        <v>52.445058010151584</v>
      </c>
      <c r="B14" s="35">
        <f t="shared" si="1"/>
        <v>9</v>
      </c>
      <c r="C14" s="36" t="s">
        <v>178</v>
      </c>
      <c r="D14" s="36" t="s">
        <v>179</v>
      </c>
      <c r="E14" s="36" t="s">
        <v>164</v>
      </c>
      <c r="F14" s="36" t="s">
        <v>158</v>
      </c>
      <c r="G14" s="29"/>
      <c r="H14" s="103">
        <v>9</v>
      </c>
      <c r="I14" s="104">
        <f t="shared" si="2"/>
        <v>23.704215008459652</v>
      </c>
      <c r="J14" s="103">
        <f t="shared" si="3"/>
        <v>2</v>
      </c>
      <c r="K14" s="103">
        <f t="shared" si="4"/>
        <v>20</v>
      </c>
      <c r="L14" s="103"/>
      <c r="M14" s="105">
        <f t="shared" si="5"/>
        <v>43.704215008459656</v>
      </c>
      <c r="N14" s="105">
        <f t="shared" si="6"/>
        <v>52.445058010151584</v>
      </c>
      <c r="O14" s="88"/>
      <c r="P14" s="88"/>
      <c r="Q14" s="88"/>
      <c r="R14" s="88"/>
      <c r="S14" s="88"/>
      <c r="Y14" s="114"/>
      <c r="AA14" s="111"/>
      <c r="AB14" s="111"/>
      <c r="AH14" s="112"/>
      <c r="AI14" s="93" t="s">
        <v>64</v>
      </c>
      <c r="AJ14" s="93">
        <f>LOG(AJ10)</f>
        <v>1.6532125137753437</v>
      </c>
    </row>
    <row r="15" spans="1:37" s="93" customFormat="1">
      <c r="A15" s="106">
        <f t="shared" si="0"/>
        <v>50.93194688173255</v>
      </c>
      <c r="B15" s="41">
        <f t="shared" si="1"/>
        <v>10</v>
      </c>
      <c r="C15" s="42" t="s">
        <v>180</v>
      </c>
      <c r="D15" s="42" t="s">
        <v>181</v>
      </c>
      <c r="E15" s="42" t="s">
        <v>176</v>
      </c>
      <c r="F15" s="42" t="s">
        <v>158</v>
      </c>
      <c r="G15" s="29"/>
      <c r="H15" s="107">
        <v>10</v>
      </c>
      <c r="I15" s="108">
        <f t="shared" si="2"/>
        <v>22.443289068110463</v>
      </c>
      <c r="J15" s="107">
        <f t="shared" si="3"/>
        <v>2</v>
      </c>
      <c r="K15" s="107">
        <f t="shared" si="4"/>
        <v>20</v>
      </c>
      <c r="L15" s="107"/>
      <c r="M15" s="109">
        <f t="shared" si="5"/>
        <v>42.44328906811046</v>
      </c>
      <c r="N15" s="109">
        <f t="shared" si="6"/>
        <v>50.93194688173255</v>
      </c>
      <c r="O15" s="88"/>
      <c r="P15" s="88"/>
      <c r="Q15" s="88"/>
      <c r="R15" s="88"/>
      <c r="S15" s="88"/>
      <c r="Y15" s="110"/>
      <c r="AA15" s="111"/>
      <c r="AB15" s="111"/>
    </row>
    <row r="16" spans="1:37" s="93" customFormat="1" ht="38.85">
      <c r="A16" s="102">
        <f t="shared" si="0"/>
        <v>49.56317137021265</v>
      </c>
      <c r="B16" s="35">
        <f t="shared" si="1"/>
        <v>11</v>
      </c>
      <c r="C16" s="36" t="s">
        <v>182</v>
      </c>
      <c r="D16" s="36" t="s">
        <v>183</v>
      </c>
      <c r="E16" s="36" t="s">
        <v>173</v>
      </c>
      <c r="F16" s="36" t="s">
        <v>158</v>
      </c>
      <c r="G16" s="29"/>
      <c r="H16" s="103">
        <v>11</v>
      </c>
      <c r="I16" s="104">
        <f t="shared" si="2"/>
        <v>21.302642808510541</v>
      </c>
      <c r="J16" s="103">
        <f t="shared" si="3"/>
        <v>2</v>
      </c>
      <c r="K16" s="103">
        <f t="shared" si="4"/>
        <v>20</v>
      </c>
      <c r="L16" s="103"/>
      <c r="M16" s="105">
        <f t="shared" si="5"/>
        <v>41.302642808510541</v>
      </c>
      <c r="N16" s="105">
        <f t="shared" si="6"/>
        <v>49.56317137021265</v>
      </c>
      <c r="O16" s="88"/>
      <c r="P16" s="88"/>
      <c r="Q16" s="88"/>
      <c r="R16" s="88"/>
      <c r="S16" s="115"/>
      <c r="AA16" s="111"/>
      <c r="AB16" s="111"/>
      <c r="AI16" s="116" t="s">
        <v>66</v>
      </c>
      <c r="AJ16" s="93" t="e">
        <f>AJ11-AJ12*AJ13/AJ14</f>
        <v>#NUM!</v>
      </c>
      <c r="AK16" s="93" t="s">
        <v>67</v>
      </c>
    </row>
    <row r="17" spans="1:20" s="93" customFormat="1" ht="25.9">
      <c r="A17" s="106">
        <f t="shared" si="0"/>
        <v>48.313577231459092</v>
      </c>
      <c r="B17" s="41">
        <f t="shared" si="1"/>
        <v>12</v>
      </c>
      <c r="C17" s="42" t="s">
        <v>184</v>
      </c>
      <c r="D17" s="42" t="s">
        <v>185</v>
      </c>
      <c r="E17" s="42" t="s">
        <v>170</v>
      </c>
      <c r="F17" s="42" t="s">
        <v>158</v>
      </c>
      <c r="G17" s="29"/>
      <c r="H17" s="107">
        <v>12</v>
      </c>
      <c r="I17" s="108">
        <f t="shared" si="2"/>
        <v>20.261314359549242</v>
      </c>
      <c r="J17" s="107">
        <f t="shared" si="3"/>
        <v>2</v>
      </c>
      <c r="K17" s="107">
        <f t="shared" si="4"/>
        <v>20</v>
      </c>
      <c r="L17" s="107"/>
      <c r="M17" s="109">
        <f t="shared" si="5"/>
        <v>40.261314359549246</v>
      </c>
      <c r="N17" s="109">
        <f t="shared" si="6"/>
        <v>48.313577231459092</v>
      </c>
      <c r="O17" s="88"/>
      <c r="P17" s="88"/>
      <c r="Q17" s="88"/>
      <c r="R17" s="88"/>
      <c r="S17" s="88"/>
    </row>
    <row r="18" spans="1:20" s="93" customFormat="1">
      <c r="A18" s="102">
        <f t="shared" si="0"/>
        <v>47.164062055176622</v>
      </c>
      <c r="B18" s="35">
        <f t="shared" si="1"/>
        <v>13</v>
      </c>
      <c r="C18" s="36" t="s">
        <v>186</v>
      </c>
      <c r="D18" s="36" t="s">
        <v>169</v>
      </c>
      <c r="E18" s="36" t="s">
        <v>170</v>
      </c>
      <c r="F18" s="36" t="s">
        <v>158</v>
      </c>
      <c r="G18" s="29"/>
      <c r="H18" s="103">
        <v>13</v>
      </c>
      <c r="I18" s="104">
        <f t="shared" si="2"/>
        <v>19.303385045980516</v>
      </c>
      <c r="J18" s="103">
        <f t="shared" si="3"/>
        <v>2</v>
      </c>
      <c r="K18" s="103">
        <f t="shared" si="4"/>
        <v>20</v>
      </c>
      <c r="L18" s="103"/>
      <c r="M18" s="105">
        <f t="shared" si="5"/>
        <v>39.303385045980519</v>
      </c>
      <c r="N18" s="105">
        <f t="shared" si="6"/>
        <v>47.164062055176622</v>
      </c>
      <c r="O18" s="88"/>
      <c r="P18" s="88"/>
      <c r="Q18" s="88"/>
      <c r="R18" s="88"/>
      <c r="S18" s="88"/>
    </row>
    <row r="19" spans="1:20" s="93" customFormat="1">
      <c r="A19" s="106">
        <f t="shared" si="0"/>
        <v>46.0997772358565</v>
      </c>
      <c r="B19" s="41">
        <f t="shared" si="1"/>
        <v>14</v>
      </c>
      <c r="C19" s="42" t="s">
        <v>187</v>
      </c>
      <c r="D19" s="42" t="s">
        <v>188</v>
      </c>
      <c r="E19" s="42" t="s">
        <v>189</v>
      </c>
      <c r="F19" s="42" t="s">
        <v>158</v>
      </c>
      <c r="G19" s="29"/>
      <c r="H19" s="107">
        <v>14</v>
      </c>
      <c r="I19" s="108">
        <f t="shared" si="2"/>
        <v>18.416481029880419</v>
      </c>
      <c r="J19" s="107">
        <f t="shared" si="3"/>
        <v>2</v>
      </c>
      <c r="K19" s="107">
        <f t="shared" si="4"/>
        <v>20</v>
      </c>
      <c r="L19" s="107"/>
      <c r="M19" s="109">
        <f t="shared" si="5"/>
        <v>38.416481029880416</v>
      </c>
      <c r="N19" s="109">
        <f t="shared" si="6"/>
        <v>46.0997772358565</v>
      </c>
      <c r="O19" s="88"/>
      <c r="P19" s="88"/>
      <c r="Q19" s="88"/>
      <c r="R19" s="88"/>
      <c r="S19" s="88"/>
    </row>
    <row r="20" spans="1:20" s="93" customFormat="1">
      <c r="A20" s="102">
        <f t="shared" si="0"/>
        <v>45.108951773616688</v>
      </c>
      <c r="B20" s="35">
        <f t="shared" si="1"/>
        <v>15</v>
      </c>
      <c r="C20" s="36" t="s">
        <v>190</v>
      </c>
      <c r="D20" s="36" t="s">
        <v>191</v>
      </c>
      <c r="E20" s="36" t="s">
        <v>157</v>
      </c>
      <c r="F20" s="36" t="s">
        <v>158</v>
      </c>
      <c r="G20" s="29"/>
      <c r="H20" s="103">
        <v>15</v>
      </c>
      <c r="I20" s="104">
        <f t="shared" si="2"/>
        <v>17.590793144680575</v>
      </c>
      <c r="J20" s="103">
        <f t="shared" si="3"/>
        <v>2</v>
      </c>
      <c r="K20" s="103">
        <f t="shared" si="4"/>
        <v>20</v>
      </c>
      <c r="L20" s="103"/>
      <c r="M20" s="105">
        <f t="shared" si="5"/>
        <v>37.590793144680575</v>
      </c>
      <c r="N20" s="105">
        <f t="shared" si="6"/>
        <v>45.108951773616688</v>
      </c>
      <c r="O20" s="88"/>
      <c r="P20" s="88"/>
      <c r="Q20" s="88"/>
      <c r="R20" s="88"/>
      <c r="S20" s="117"/>
      <c r="T20" s="118"/>
    </row>
    <row r="21" spans="1:20" s="93" customFormat="1">
      <c r="A21" s="106">
        <f t="shared" si="0"/>
        <v>44.182096452766601</v>
      </c>
      <c r="B21" s="41">
        <f t="shared" si="1"/>
        <v>16</v>
      </c>
      <c r="C21" s="42" t="s">
        <v>192</v>
      </c>
      <c r="D21" s="42" t="s">
        <v>193</v>
      </c>
      <c r="E21" s="42" t="s">
        <v>194</v>
      </c>
      <c r="F21" s="42" t="s">
        <v>158</v>
      </c>
      <c r="G21" s="29"/>
      <c r="H21" s="107">
        <v>16</v>
      </c>
      <c r="I21" s="108">
        <f t="shared" si="2"/>
        <v>16.818413710638836</v>
      </c>
      <c r="J21" s="107">
        <f t="shared" si="3"/>
        <v>2</v>
      </c>
      <c r="K21" s="107">
        <f t="shared" si="4"/>
        <v>20</v>
      </c>
      <c r="L21" s="107"/>
      <c r="M21" s="109">
        <f t="shared" si="5"/>
        <v>36.818413710638836</v>
      </c>
      <c r="N21" s="109">
        <f t="shared" si="6"/>
        <v>44.182096452766601</v>
      </c>
      <c r="O21" s="88"/>
      <c r="P21" s="88"/>
      <c r="Q21" s="88"/>
      <c r="R21" s="88"/>
      <c r="S21" s="88"/>
    </row>
    <row r="22" spans="1:20" s="93" customFormat="1">
      <c r="A22" s="102">
        <f t="shared" si="0"/>
        <v>31.311449708548356</v>
      </c>
      <c r="B22" s="35">
        <f t="shared" si="1"/>
        <v>17</v>
      </c>
      <c r="C22" s="36" t="s">
        <v>195</v>
      </c>
      <c r="D22" s="36" t="s">
        <v>196</v>
      </c>
      <c r="E22" s="36" t="s">
        <v>173</v>
      </c>
      <c r="F22" s="36" t="s">
        <v>158</v>
      </c>
      <c r="G22" s="29"/>
      <c r="H22" s="103">
        <v>17</v>
      </c>
      <c r="I22" s="104">
        <f t="shared" si="2"/>
        <v>16.092874757123631</v>
      </c>
      <c r="J22" s="103">
        <f t="shared" si="3"/>
        <v>1</v>
      </c>
      <c r="K22" s="103">
        <f t="shared" si="4"/>
        <v>10</v>
      </c>
      <c r="L22" s="103"/>
      <c r="M22" s="105">
        <f t="shared" si="5"/>
        <v>26.092874757123631</v>
      </c>
      <c r="N22" s="105">
        <f t="shared" si="6"/>
        <v>31.311449708548356</v>
      </c>
      <c r="O22" s="88"/>
      <c r="P22" s="88"/>
      <c r="Q22" s="88"/>
      <c r="R22" s="88"/>
      <c r="S22" s="88"/>
    </row>
    <row r="23" spans="1:20" s="93" customFormat="1">
      <c r="A23" s="106">
        <f t="shared" si="0"/>
        <v>30.490582123343241</v>
      </c>
      <c r="B23" s="41">
        <f t="shared" si="1"/>
        <v>18</v>
      </c>
      <c r="C23" s="42" t="s">
        <v>197</v>
      </c>
      <c r="D23" s="42" t="s">
        <v>198</v>
      </c>
      <c r="E23" s="42" t="s">
        <v>157</v>
      </c>
      <c r="F23" s="42" t="s">
        <v>158</v>
      </c>
      <c r="G23" s="29"/>
      <c r="H23" s="107">
        <v>18</v>
      </c>
      <c r="I23" s="108">
        <f t="shared" si="2"/>
        <v>15.408818436119368</v>
      </c>
      <c r="J23" s="107">
        <f t="shared" si="3"/>
        <v>1</v>
      </c>
      <c r="K23" s="107">
        <f t="shared" si="4"/>
        <v>10</v>
      </c>
      <c r="L23" s="107"/>
      <c r="M23" s="109">
        <f t="shared" si="5"/>
        <v>25.408818436119368</v>
      </c>
      <c r="N23" s="109">
        <f t="shared" si="6"/>
        <v>30.490582123343241</v>
      </c>
      <c r="O23" s="88"/>
      <c r="P23" s="88"/>
      <c r="Q23" s="88"/>
      <c r="R23" s="88"/>
      <c r="S23" s="88"/>
    </row>
    <row r="24" spans="1:20" s="93" customFormat="1">
      <c r="A24" s="102">
        <f t="shared" si="0"/>
        <v>29.714107998516084</v>
      </c>
      <c r="B24" s="35">
        <f t="shared" si="1"/>
        <v>19</v>
      </c>
      <c r="C24" s="36" t="s">
        <v>199</v>
      </c>
      <c r="D24" s="36" t="s">
        <v>200</v>
      </c>
      <c r="E24" s="36" t="s">
        <v>157</v>
      </c>
      <c r="F24" s="36" t="s">
        <v>158</v>
      </c>
      <c r="G24" s="29"/>
      <c r="H24" s="103">
        <v>19</v>
      </c>
      <c r="I24" s="104">
        <f t="shared" si="2"/>
        <v>14.76175666543007</v>
      </c>
      <c r="J24" s="103">
        <f t="shared" si="3"/>
        <v>1</v>
      </c>
      <c r="K24" s="103">
        <f t="shared" si="4"/>
        <v>10</v>
      </c>
      <c r="L24" s="103"/>
      <c r="M24" s="105">
        <f t="shared" si="5"/>
        <v>24.76175666543007</v>
      </c>
      <c r="N24" s="105">
        <f t="shared" si="6"/>
        <v>29.714107998516084</v>
      </c>
      <c r="O24" s="88"/>
      <c r="P24" s="88"/>
      <c r="Q24" s="88"/>
      <c r="R24" s="88"/>
      <c r="S24" s="117"/>
      <c r="T24" s="118"/>
    </row>
    <row r="25" spans="1:20" s="93" customFormat="1">
      <c r="A25" s="106">
        <f t="shared" si="0"/>
        <v>28.977470994924204</v>
      </c>
      <c r="B25" s="41">
        <f t="shared" si="1"/>
        <v>20</v>
      </c>
      <c r="C25" s="42" t="s">
        <v>129</v>
      </c>
      <c r="D25" s="42"/>
      <c r="E25" s="42" t="s">
        <v>201</v>
      </c>
      <c r="F25" s="42" t="s">
        <v>158</v>
      </c>
      <c r="G25" s="29"/>
      <c r="H25" s="107">
        <v>20</v>
      </c>
      <c r="I25" s="108">
        <f t="shared" si="2"/>
        <v>14.147892495770172</v>
      </c>
      <c r="J25" s="107">
        <f t="shared" si="3"/>
        <v>1</v>
      </c>
      <c r="K25" s="107">
        <f t="shared" si="4"/>
        <v>10</v>
      </c>
      <c r="L25" s="107"/>
      <c r="M25" s="109">
        <f t="shared" si="5"/>
        <v>24.147892495770172</v>
      </c>
      <c r="N25" s="109">
        <f t="shared" si="6"/>
        <v>28.977470994924204</v>
      </c>
      <c r="O25" s="88"/>
      <c r="P25" s="88"/>
      <c r="Q25" s="88"/>
      <c r="R25" s="88"/>
      <c r="S25" s="88"/>
    </row>
    <row r="26" spans="1:20" s="93" customFormat="1">
      <c r="A26" s="102">
        <f t="shared" si="0"/>
        <v>28.276782127740645</v>
      </c>
      <c r="B26" s="35">
        <f t="shared" si="1"/>
        <v>21</v>
      </c>
      <c r="C26" s="36" t="s">
        <v>202</v>
      </c>
      <c r="D26" s="36" t="s">
        <v>203</v>
      </c>
      <c r="E26" s="36" t="s">
        <v>161</v>
      </c>
      <c r="F26" s="36" t="s">
        <v>158</v>
      </c>
      <c r="G26" s="29"/>
      <c r="H26" s="103">
        <v>21</v>
      </c>
      <c r="I26" s="104">
        <f t="shared" si="2"/>
        <v>13.563985106450538</v>
      </c>
      <c r="J26" s="103">
        <f t="shared" si="3"/>
        <v>1</v>
      </c>
      <c r="K26" s="103">
        <f t="shared" si="4"/>
        <v>10</v>
      </c>
      <c r="L26" s="103"/>
      <c r="M26" s="105">
        <f t="shared" si="5"/>
        <v>23.563985106450538</v>
      </c>
      <c r="N26" s="105">
        <f t="shared" si="6"/>
        <v>28.276782127740645</v>
      </c>
      <c r="O26" s="88"/>
      <c r="P26" s="88"/>
      <c r="Q26" s="88"/>
      <c r="R26" s="88"/>
      <c r="S26" s="88"/>
    </row>
    <row r="27" spans="1:20" s="93" customFormat="1">
      <c r="A27" s="106">
        <f t="shared" si="0"/>
        <v>27.608695483404304</v>
      </c>
      <c r="B27" s="41">
        <f t="shared" si="1"/>
        <v>22</v>
      </c>
      <c r="C27" s="42" t="s">
        <v>204</v>
      </c>
      <c r="D27" s="42" t="s">
        <v>205</v>
      </c>
      <c r="E27" s="42" t="s">
        <v>157</v>
      </c>
      <c r="F27" s="42" t="s">
        <v>158</v>
      </c>
      <c r="G27" s="29"/>
      <c r="H27" s="107">
        <v>22</v>
      </c>
      <c r="I27" s="108">
        <f t="shared" si="2"/>
        <v>13.007246236170253</v>
      </c>
      <c r="J27" s="107">
        <f t="shared" si="3"/>
        <v>1</v>
      </c>
      <c r="K27" s="107">
        <f t="shared" si="4"/>
        <v>10</v>
      </c>
      <c r="L27" s="107"/>
      <c r="M27" s="109">
        <f t="shared" si="5"/>
        <v>23.007246236170253</v>
      </c>
      <c r="N27" s="109">
        <f t="shared" si="6"/>
        <v>27.608695483404304</v>
      </c>
      <c r="O27" s="88"/>
      <c r="P27" s="88"/>
      <c r="Q27" s="88"/>
      <c r="R27" s="88"/>
      <c r="S27" s="88"/>
    </row>
    <row r="28" spans="1:20" s="93" customFormat="1">
      <c r="A28" s="102">
        <f t="shared" si="0"/>
        <v>26.970311585946863</v>
      </c>
      <c r="B28" s="35">
        <f t="shared" si="1"/>
        <v>23</v>
      </c>
      <c r="C28" s="36" t="s">
        <v>206</v>
      </c>
      <c r="D28" s="36" t="s">
        <v>207</v>
      </c>
      <c r="E28" s="36" t="s">
        <v>176</v>
      </c>
      <c r="F28" s="36" t="s">
        <v>158</v>
      </c>
      <c r="G28" s="29"/>
      <c r="H28" s="103">
        <v>23</v>
      </c>
      <c r="I28" s="104">
        <f t="shared" si="2"/>
        <v>12.475259654955721</v>
      </c>
      <c r="J28" s="103">
        <f t="shared" si="3"/>
        <v>1</v>
      </c>
      <c r="K28" s="103">
        <f t="shared" si="4"/>
        <v>10</v>
      </c>
      <c r="L28" s="103"/>
      <c r="M28" s="105">
        <f t="shared" si="5"/>
        <v>22.475259654955721</v>
      </c>
      <c r="N28" s="105">
        <f t="shared" si="6"/>
        <v>26.970311585946863</v>
      </c>
      <c r="O28" s="88"/>
      <c r="P28" s="88"/>
      <c r="Q28" s="88"/>
      <c r="R28" s="88"/>
      <c r="S28" s="117"/>
      <c r="T28" s="118"/>
    </row>
    <row r="29" spans="1:20" s="93" customFormat="1" ht="25.9">
      <c r="A29" s="106">
        <f t="shared" si="0"/>
        <v>26.35910134465075</v>
      </c>
      <c r="B29" s="41">
        <f t="shared" si="1"/>
        <v>24</v>
      </c>
      <c r="C29" s="42" t="s">
        <v>208</v>
      </c>
      <c r="D29" s="42" t="s">
        <v>209</v>
      </c>
      <c r="E29" s="42" t="s">
        <v>170</v>
      </c>
      <c r="F29" s="42" t="s">
        <v>158</v>
      </c>
      <c r="G29" s="88"/>
      <c r="H29" s="107">
        <v>24</v>
      </c>
      <c r="I29" s="108">
        <f t="shared" si="2"/>
        <v>11.965917787208959</v>
      </c>
      <c r="J29" s="107">
        <f t="shared" si="3"/>
        <v>1</v>
      </c>
      <c r="K29" s="107">
        <f t="shared" si="4"/>
        <v>10</v>
      </c>
      <c r="L29" s="107"/>
      <c r="M29" s="109">
        <f t="shared" si="5"/>
        <v>21.965917787208959</v>
      </c>
      <c r="N29" s="109">
        <f t="shared" si="6"/>
        <v>26.35910134465075</v>
      </c>
      <c r="O29" s="88"/>
      <c r="P29" s="88"/>
      <c r="Q29" s="88"/>
      <c r="R29" s="88"/>
      <c r="S29" s="88"/>
    </row>
    <row r="30" spans="1:20" s="93" customFormat="1">
      <c r="A30" s="102">
        <f t="shared" si="0"/>
        <v>25.7728455370818</v>
      </c>
      <c r="B30" s="35">
        <f t="shared" si="1"/>
        <v>25</v>
      </c>
      <c r="C30" s="36" t="s">
        <v>210</v>
      </c>
      <c r="D30" s="36" t="s">
        <v>211</v>
      </c>
      <c r="E30" s="36" t="s">
        <v>170</v>
      </c>
      <c r="F30" s="36" t="s">
        <v>158</v>
      </c>
      <c r="G30" s="88"/>
      <c r="H30" s="103">
        <v>25</v>
      </c>
      <c r="I30" s="104">
        <f t="shared" si="2"/>
        <v>11.477371280901501</v>
      </c>
      <c r="J30" s="103">
        <f t="shared" si="3"/>
        <v>1</v>
      </c>
      <c r="K30" s="103">
        <f t="shared" si="4"/>
        <v>10</v>
      </c>
      <c r="L30" s="103"/>
      <c r="M30" s="105">
        <f t="shared" si="5"/>
        <v>21.477371280901501</v>
      </c>
      <c r="N30" s="105">
        <f t="shared" si="6"/>
        <v>25.7728455370818</v>
      </c>
      <c r="O30" s="88"/>
      <c r="P30" s="88"/>
      <c r="Q30" s="88"/>
      <c r="R30" s="88"/>
      <c r="S30" s="88"/>
    </row>
    <row r="31" spans="1:20" s="93" customFormat="1">
      <c r="A31" s="106">
        <f t="shared" si="0"/>
        <v>25.209586168368268</v>
      </c>
      <c r="B31" s="41">
        <f t="shared" si="1"/>
        <v>26</v>
      </c>
      <c r="C31" s="42" t="s">
        <v>212</v>
      </c>
      <c r="D31" s="42" t="s">
        <v>213</v>
      </c>
      <c r="E31" s="42" t="s">
        <v>157</v>
      </c>
      <c r="F31" s="42" t="s">
        <v>158</v>
      </c>
      <c r="G31" s="88"/>
      <c r="H31" s="107">
        <v>26</v>
      </c>
      <c r="I31" s="108">
        <f t="shared" si="2"/>
        <v>11.007988473640225</v>
      </c>
      <c r="J31" s="107">
        <f t="shared" si="3"/>
        <v>1</v>
      </c>
      <c r="K31" s="107">
        <f t="shared" si="4"/>
        <v>10</v>
      </c>
      <c r="L31" s="107"/>
      <c r="M31" s="109">
        <f t="shared" si="5"/>
        <v>21.007988473640225</v>
      </c>
      <c r="N31" s="109">
        <f t="shared" si="6"/>
        <v>25.209586168368268</v>
      </c>
      <c r="O31" s="88"/>
      <c r="P31" s="88"/>
      <c r="Q31" s="88"/>
      <c r="R31" s="88"/>
      <c r="S31" s="88"/>
    </row>
    <row r="32" spans="1:20" s="93" customFormat="1">
      <c r="A32" s="102">
        <f t="shared" si="0"/>
        <v>24.667587015227372</v>
      </c>
      <c r="B32" s="35">
        <f t="shared" si="1"/>
        <v>27</v>
      </c>
      <c r="C32" s="36" t="s">
        <v>214</v>
      </c>
      <c r="D32" s="36" t="s">
        <v>215</v>
      </c>
      <c r="E32" s="36" t="s">
        <v>176</v>
      </c>
      <c r="F32" s="36" t="s">
        <v>158</v>
      </c>
      <c r="G32" s="88"/>
      <c r="H32" s="103">
        <v>27</v>
      </c>
      <c r="I32" s="104">
        <f t="shared" si="2"/>
        <v>10.556322512689476</v>
      </c>
      <c r="J32" s="103">
        <f t="shared" si="3"/>
        <v>1</v>
      </c>
      <c r="K32" s="103">
        <f t="shared" si="4"/>
        <v>10</v>
      </c>
      <c r="L32" s="103"/>
      <c r="M32" s="105">
        <f t="shared" si="5"/>
        <v>20.556322512689476</v>
      </c>
      <c r="N32" s="105">
        <f t="shared" si="6"/>
        <v>24.667587015227372</v>
      </c>
      <c r="O32" s="88"/>
      <c r="P32" s="88"/>
      <c r="Q32" s="88"/>
      <c r="R32" s="88"/>
      <c r="S32" s="117"/>
      <c r="T32" s="118"/>
    </row>
    <row r="33" spans="1:20" s="93" customFormat="1">
      <c r="A33" s="106">
        <f t="shared" si="0"/>
        <v>24.145301349048154</v>
      </c>
      <c r="B33" s="41">
        <f t="shared" si="1"/>
        <v>28</v>
      </c>
      <c r="C33" s="42" t="s">
        <v>216</v>
      </c>
      <c r="D33" s="42" t="s">
        <v>211</v>
      </c>
      <c r="E33" s="42" t="s">
        <v>170</v>
      </c>
      <c r="F33" s="42" t="s">
        <v>158</v>
      </c>
      <c r="G33" s="88"/>
      <c r="H33" s="107">
        <v>28</v>
      </c>
      <c r="I33" s="108">
        <f t="shared" si="2"/>
        <v>10.121084457540128</v>
      </c>
      <c r="J33" s="107">
        <f t="shared" si="3"/>
        <v>1</v>
      </c>
      <c r="K33" s="107">
        <f t="shared" si="4"/>
        <v>10</v>
      </c>
      <c r="L33" s="107"/>
      <c r="M33" s="109">
        <f t="shared" si="5"/>
        <v>20.121084457540128</v>
      </c>
      <c r="N33" s="109">
        <f t="shared" si="6"/>
        <v>24.145301349048154</v>
      </c>
      <c r="O33" s="88"/>
      <c r="P33" s="88"/>
      <c r="Q33" s="88"/>
      <c r="R33" s="88"/>
      <c r="S33" s="88"/>
    </row>
    <row r="34" spans="1:20" s="93" customFormat="1">
      <c r="A34" s="102">
        <f t="shared" si="0"/>
        <v>23.641345325429359</v>
      </c>
      <c r="B34" s="35">
        <f t="shared" si="1"/>
        <v>29</v>
      </c>
      <c r="C34" s="36" t="s">
        <v>20</v>
      </c>
      <c r="D34" s="36" t="s">
        <v>217</v>
      </c>
      <c r="E34" s="36" t="s">
        <v>201</v>
      </c>
      <c r="F34" s="36" t="s">
        <v>158</v>
      </c>
      <c r="G34" s="88"/>
      <c r="H34" s="103">
        <v>29</v>
      </c>
      <c r="I34" s="104">
        <f t="shared" si="2"/>
        <v>9.7011211045244679</v>
      </c>
      <c r="J34" s="103">
        <f t="shared" si="3"/>
        <v>1</v>
      </c>
      <c r="K34" s="103">
        <f t="shared" si="4"/>
        <v>10</v>
      </c>
      <c r="L34" s="103"/>
      <c r="M34" s="105">
        <f t="shared" si="5"/>
        <v>19.701121104524468</v>
      </c>
      <c r="N34" s="105">
        <f t="shared" si="6"/>
        <v>23.641345325429359</v>
      </c>
      <c r="O34" s="88"/>
      <c r="P34" s="88"/>
      <c r="Q34" s="88"/>
      <c r="R34" s="88"/>
      <c r="S34" s="88"/>
    </row>
    <row r="35" spans="1:20" s="93" customFormat="1">
      <c r="A35" s="106">
        <f t="shared" si="0"/>
        <v>23.154475886808346</v>
      </c>
      <c r="B35" s="41">
        <f t="shared" si="1"/>
        <v>30</v>
      </c>
      <c r="C35" s="42" t="s">
        <v>218</v>
      </c>
      <c r="D35" s="42" t="s">
        <v>219</v>
      </c>
      <c r="E35" s="42" t="s">
        <v>164</v>
      </c>
      <c r="F35" s="42" t="s">
        <v>158</v>
      </c>
      <c r="G35" s="88"/>
      <c r="H35" s="107">
        <v>30</v>
      </c>
      <c r="I35" s="108">
        <f t="shared" si="2"/>
        <v>9.2953965723402874</v>
      </c>
      <c r="J35" s="107">
        <f t="shared" si="3"/>
        <v>1</v>
      </c>
      <c r="K35" s="107">
        <f t="shared" si="4"/>
        <v>10</v>
      </c>
      <c r="L35" s="107"/>
      <c r="M35" s="109">
        <f t="shared" si="5"/>
        <v>19.295396572340287</v>
      </c>
      <c r="N35" s="109">
        <f t="shared" si="6"/>
        <v>23.154475886808346</v>
      </c>
      <c r="O35" s="88"/>
      <c r="P35" s="88"/>
      <c r="Q35" s="88"/>
      <c r="R35" s="88"/>
      <c r="S35" s="88"/>
    </row>
    <row r="36" spans="1:20" s="93" customFormat="1">
      <c r="A36" s="102">
        <f t="shared" si="0"/>
        <v>22.683572289738965</v>
      </c>
      <c r="B36" s="35">
        <f t="shared" si="1"/>
        <v>31</v>
      </c>
      <c r="C36" s="36" t="s">
        <v>220</v>
      </c>
      <c r="D36" s="36" t="s">
        <v>221</v>
      </c>
      <c r="E36" s="36" t="s">
        <v>157</v>
      </c>
      <c r="F36" s="36" t="s">
        <v>158</v>
      </c>
      <c r="G36" s="88"/>
      <c r="H36" s="103">
        <v>31</v>
      </c>
      <c r="I36" s="104">
        <f t="shared" si="2"/>
        <v>8.9029769081158037</v>
      </c>
      <c r="J36" s="103">
        <f t="shared" si="3"/>
        <v>1</v>
      </c>
      <c r="K36" s="103">
        <f t="shared" si="4"/>
        <v>10</v>
      </c>
      <c r="L36" s="103"/>
      <c r="M36" s="105">
        <f t="shared" si="5"/>
        <v>18.902976908115804</v>
      </c>
      <c r="N36" s="105">
        <f t="shared" si="6"/>
        <v>22.683572289738965</v>
      </c>
      <c r="O36" s="88"/>
      <c r="P36" s="88"/>
      <c r="Q36" s="88"/>
      <c r="R36" s="88"/>
      <c r="S36" s="117"/>
      <c r="T36" s="118"/>
    </row>
    <row r="37" spans="1:20" s="93" customFormat="1" ht="38.85">
      <c r="A37" s="106">
        <f t="shared" si="0"/>
        <v>22.227620565958258</v>
      </c>
      <c r="B37" s="41">
        <f t="shared" si="1"/>
        <v>32</v>
      </c>
      <c r="C37" s="42" t="s">
        <v>26</v>
      </c>
      <c r="D37" s="42" t="s">
        <v>222</v>
      </c>
      <c r="E37" s="42" t="s">
        <v>201</v>
      </c>
      <c r="F37" s="42" t="s">
        <v>158</v>
      </c>
      <c r="G37" s="88"/>
      <c r="H37" s="107">
        <v>32</v>
      </c>
      <c r="I37" s="108">
        <f t="shared" si="2"/>
        <v>8.5230171382985489</v>
      </c>
      <c r="J37" s="107">
        <f t="shared" si="3"/>
        <v>1</v>
      </c>
      <c r="K37" s="107">
        <f t="shared" si="4"/>
        <v>10</v>
      </c>
      <c r="L37" s="107"/>
      <c r="M37" s="109">
        <f t="shared" si="5"/>
        <v>18.523017138298549</v>
      </c>
      <c r="N37" s="109">
        <f t="shared" si="6"/>
        <v>22.227620565958258</v>
      </c>
      <c r="O37" s="88"/>
      <c r="P37" s="88"/>
      <c r="Q37" s="88"/>
      <c r="R37" s="88"/>
      <c r="S37" s="88"/>
    </row>
    <row r="38" spans="1:20" s="93" customFormat="1" ht="25.9">
      <c r="A38" s="102">
        <f t="shared" si="0"/>
        <v>9.7857003752884335</v>
      </c>
      <c r="B38" s="35">
        <f t="shared" si="1"/>
        <v>33</v>
      </c>
      <c r="C38" s="36" t="s">
        <v>223</v>
      </c>
      <c r="D38" s="36" t="s">
        <v>224</v>
      </c>
      <c r="E38" s="36" t="s">
        <v>170</v>
      </c>
      <c r="F38" s="36" t="s">
        <v>158</v>
      </c>
      <c r="G38" s="88"/>
      <c r="H38" s="103">
        <v>33</v>
      </c>
      <c r="I38" s="104">
        <f t="shared" si="2"/>
        <v>8.1547503127403616</v>
      </c>
      <c r="J38" s="103">
        <f t="shared" si="3"/>
        <v>0</v>
      </c>
      <c r="K38" s="103">
        <f t="shared" si="4"/>
        <v>0</v>
      </c>
      <c r="L38" s="103"/>
      <c r="M38" s="105">
        <f t="shared" si="5"/>
        <v>8.1547503127403616</v>
      </c>
      <c r="N38" s="105">
        <f t="shared" si="6"/>
        <v>9.7857003752884335</v>
      </c>
      <c r="O38" s="88"/>
      <c r="P38" s="88"/>
      <c r="Q38" s="88"/>
      <c r="R38" s="88"/>
      <c r="S38" s="117"/>
      <c r="T38" s="118"/>
    </row>
    <row r="39" spans="1:20" s="93" customFormat="1">
      <c r="A39" s="106">
        <f t="shared" si="0"/>
        <v>9.356973821740004</v>
      </c>
      <c r="B39" s="41">
        <f t="shared" si="1"/>
        <v>34</v>
      </c>
      <c r="C39" s="42" t="s">
        <v>225</v>
      </c>
      <c r="D39" s="42" t="s">
        <v>226</v>
      </c>
      <c r="E39" s="42" t="s">
        <v>173</v>
      </c>
      <c r="F39" s="42" t="s">
        <v>158</v>
      </c>
      <c r="G39" s="88"/>
      <c r="H39" s="107">
        <v>34</v>
      </c>
      <c r="I39" s="108">
        <f t="shared" si="2"/>
        <v>7.797478184783337</v>
      </c>
      <c r="J39" s="107">
        <f t="shared" si="3"/>
        <v>0</v>
      </c>
      <c r="K39" s="107">
        <f t="shared" si="4"/>
        <v>0</v>
      </c>
      <c r="L39" s="107"/>
      <c r="M39" s="109">
        <f t="shared" si="5"/>
        <v>7.797478184783337</v>
      </c>
      <c r="N39" s="109">
        <f t="shared" si="6"/>
        <v>9.356973821740004</v>
      </c>
      <c r="O39" s="88"/>
      <c r="P39" s="88"/>
      <c r="Q39" s="88"/>
      <c r="R39" s="88"/>
      <c r="S39" s="88"/>
    </row>
    <row r="40" spans="1:20" s="93" customFormat="1">
      <c r="A40" s="102">
        <f t="shared" si="0"/>
        <v>8.940675891205748</v>
      </c>
      <c r="B40" s="35">
        <f t="shared" si="1"/>
        <v>35</v>
      </c>
      <c r="C40" s="36" t="s">
        <v>227</v>
      </c>
      <c r="D40" s="36" t="s">
        <v>228</v>
      </c>
      <c r="E40" s="36" t="s">
        <v>176</v>
      </c>
      <c r="F40" s="36" t="s">
        <v>158</v>
      </c>
      <c r="G40" s="88"/>
      <c r="H40" s="103">
        <v>35</v>
      </c>
      <c r="I40" s="104">
        <f t="shared" si="2"/>
        <v>7.450563242671457</v>
      </c>
      <c r="J40" s="103">
        <f t="shared" si="3"/>
        <v>0</v>
      </c>
      <c r="K40" s="103">
        <f t="shared" si="4"/>
        <v>0</v>
      </c>
      <c r="L40" s="103"/>
      <c r="M40" s="105">
        <f t="shared" si="5"/>
        <v>7.450563242671457</v>
      </c>
      <c r="N40" s="105">
        <f t="shared" si="6"/>
        <v>8.940675891205748</v>
      </c>
      <c r="O40" s="88"/>
      <c r="P40" s="88"/>
      <c r="Q40" s="88"/>
      <c r="R40" s="88"/>
      <c r="S40" s="117"/>
      <c r="T40" s="118"/>
    </row>
    <row r="41" spans="1:20" s="93" customFormat="1" ht="38.85">
      <c r="A41" s="106">
        <f t="shared" si="0"/>
        <v>8.5361062365348879</v>
      </c>
      <c r="B41" s="41">
        <f t="shared" si="1"/>
        <v>36</v>
      </c>
      <c r="C41" s="42" t="s">
        <v>229</v>
      </c>
      <c r="D41" s="42" t="s">
        <v>183</v>
      </c>
      <c r="E41" s="42" t="s">
        <v>230</v>
      </c>
      <c r="F41" s="42" t="s">
        <v>158</v>
      </c>
      <c r="G41" s="88"/>
      <c r="H41" s="107">
        <v>36</v>
      </c>
      <c r="I41" s="108">
        <f t="shared" si="2"/>
        <v>7.1134218637790738</v>
      </c>
      <c r="J41" s="107">
        <f t="shared" si="3"/>
        <v>0</v>
      </c>
      <c r="K41" s="107">
        <f t="shared" si="4"/>
        <v>0</v>
      </c>
      <c r="L41" s="107"/>
      <c r="M41" s="109">
        <f t="shared" si="5"/>
        <v>7.1134218637790738</v>
      </c>
      <c r="N41" s="109">
        <f t="shared" si="6"/>
        <v>8.5361062365348879</v>
      </c>
      <c r="O41" s="88"/>
      <c r="P41" s="88"/>
      <c r="Q41" s="88"/>
      <c r="R41" s="88"/>
      <c r="S41" s="88"/>
    </row>
    <row r="42" spans="1:20" s="93" customFormat="1">
      <c r="A42" s="102">
        <f t="shared" si="0"/>
        <v>8.1426220883940292</v>
      </c>
      <c r="B42" s="35">
        <f t="shared" si="1"/>
        <v>37</v>
      </c>
      <c r="C42" s="36" t="s">
        <v>24</v>
      </c>
      <c r="D42" s="36" t="s">
        <v>231</v>
      </c>
      <c r="E42" s="36" t="s">
        <v>201</v>
      </c>
      <c r="F42" s="36" t="s">
        <v>158</v>
      </c>
      <c r="G42" s="88"/>
      <c r="H42" s="103">
        <v>37</v>
      </c>
      <c r="I42" s="104">
        <f t="shared" si="2"/>
        <v>6.7855184069950241</v>
      </c>
      <c r="J42" s="103">
        <f t="shared" si="3"/>
        <v>0</v>
      </c>
      <c r="K42" s="103">
        <f t="shared" si="4"/>
        <v>0</v>
      </c>
      <c r="L42" s="103"/>
      <c r="M42" s="105">
        <f t="shared" si="5"/>
        <v>6.7855184069950241</v>
      </c>
      <c r="N42" s="105">
        <f t="shared" si="6"/>
        <v>8.1426220883940292</v>
      </c>
      <c r="O42" s="88"/>
      <c r="P42" s="88"/>
      <c r="Q42" s="88"/>
      <c r="R42" s="88"/>
      <c r="S42" s="117"/>
      <c r="T42" s="118"/>
    </row>
    <row r="43" spans="1:20" s="93" customFormat="1">
      <c r="A43" s="106">
        <f t="shared" si="0"/>
        <v>7.7596321117077389</v>
      </c>
      <c r="B43" s="41">
        <f t="shared" si="1"/>
        <v>38</v>
      </c>
      <c r="C43" s="42" t="s">
        <v>22</v>
      </c>
      <c r="D43" s="42" t="s">
        <v>232</v>
      </c>
      <c r="E43" s="42" t="s">
        <v>201</v>
      </c>
      <c r="F43" s="42" t="s">
        <v>158</v>
      </c>
      <c r="G43" s="88"/>
      <c r="H43" s="107">
        <v>38</v>
      </c>
      <c r="I43" s="108">
        <f t="shared" si="2"/>
        <v>6.4663600930897829</v>
      </c>
      <c r="J43" s="107">
        <f t="shared" si="3"/>
        <v>0</v>
      </c>
      <c r="K43" s="107">
        <f t="shared" si="4"/>
        <v>0</v>
      </c>
      <c r="L43" s="107"/>
      <c r="M43" s="109">
        <f t="shared" si="5"/>
        <v>6.4663600930897829</v>
      </c>
      <c r="N43" s="109">
        <f t="shared" si="6"/>
        <v>7.7596321117077389</v>
      </c>
      <c r="O43" s="88"/>
      <c r="P43" s="88"/>
      <c r="Q43" s="88"/>
      <c r="R43" s="88"/>
      <c r="S43" s="88"/>
    </row>
    <row r="44" spans="1:20" s="93" customFormat="1">
      <c r="A44" s="102">
        <f t="shared" si="0"/>
        <v>7.3865910602524076</v>
      </c>
      <c r="B44" s="35">
        <f t="shared" si="1"/>
        <v>39</v>
      </c>
      <c r="C44" s="36" t="s">
        <v>233</v>
      </c>
      <c r="D44" s="36" t="s">
        <v>234</v>
      </c>
      <c r="E44" s="36" t="s">
        <v>164</v>
      </c>
      <c r="F44" s="36" t="s">
        <v>158</v>
      </c>
      <c r="G44" s="88"/>
      <c r="H44" s="103">
        <v>39</v>
      </c>
      <c r="I44" s="104">
        <f t="shared" si="2"/>
        <v>6.1554925502103401</v>
      </c>
      <c r="J44" s="103">
        <f t="shared" si="3"/>
        <v>0</v>
      </c>
      <c r="K44" s="103">
        <f t="shared" si="4"/>
        <v>0</v>
      </c>
      <c r="L44" s="103"/>
      <c r="M44" s="105">
        <f t="shared" si="5"/>
        <v>6.1554925502103401</v>
      </c>
      <c r="N44" s="105">
        <f t="shared" si="6"/>
        <v>7.3865910602524076</v>
      </c>
      <c r="O44" s="88"/>
      <c r="P44" s="88"/>
      <c r="Q44" s="88"/>
      <c r="R44" s="88"/>
      <c r="S44" s="117"/>
      <c r="T44" s="118"/>
    </row>
    <row r="45" spans="1:20" s="93" customFormat="1">
      <c r="A45" s="106">
        <f t="shared" si="0"/>
        <v>7.0229951081158619</v>
      </c>
      <c r="B45" s="41">
        <f t="shared" si="1"/>
        <v>40</v>
      </c>
      <c r="C45" s="42" t="s">
        <v>235</v>
      </c>
      <c r="D45" s="42" t="s">
        <v>163</v>
      </c>
      <c r="E45" s="42" t="s">
        <v>164</v>
      </c>
      <c r="F45" s="42" t="s">
        <v>158</v>
      </c>
      <c r="G45" s="88"/>
      <c r="H45" s="107">
        <v>40</v>
      </c>
      <c r="I45" s="108">
        <f t="shared" si="2"/>
        <v>5.8524959234298848</v>
      </c>
      <c r="J45" s="107">
        <f t="shared" si="3"/>
        <v>0</v>
      </c>
      <c r="K45" s="107">
        <f t="shared" si="4"/>
        <v>0</v>
      </c>
      <c r="L45" s="107"/>
      <c r="M45" s="109">
        <f t="shared" si="5"/>
        <v>5.8524959234298848</v>
      </c>
      <c r="N45" s="109">
        <f t="shared" si="6"/>
        <v>7.0229951081158619</v>
      </c>
      <c r="O45" s="88"/>
      <c r="P45" s="88"/>
      <c r="Q45" s="88"/>
      <c r="R45" s="88"/>
      <c r="S45" s="88"/>
    </row>
    <row r="46" spans="1:20" s="93" customFormat="1">
      <c r="A46" s="102">
        <f t="shared" si="0"/>
        <v>6.6683777577075576</v>
      </c>
      <c r="B46" s="35">
        <f t="shared" si="1"/>
        <v>41</v>
      </c>
      <c r="C46" s="36" t="s">
        <v>236</v>
      </c>
      <c r="D46" s="36" t="s">
        <v>237</v>
      </c>
      <c r="E46" s="36" t="s">
        <v>238</v>
      </c>
      <c r="F46" s="36" t="s">
        <v>158</v>
      </c>
      <c r="G46" s="88"/>
      <c r="H46" s="103">
        <v>41</v>
      </c>
      <c r="I46" s="104">
        <f t="shared" si="2"/>
        <v>5.5569814647562978</v>
      </c>
      <c r="J46" s="103">
        <f t="shared" si="3"/>
        <v>0</v>
      </c>
      <c r="K46" s="103">
        <f t="shared" si="4"/>
        <v>0</v>
      </c>
      <c r="L46" s="103"/>
      <c r="M46" s="105">
        <f t="shared" si="5"/>
        <v>5.5569814647562978</v>
      </c>
      <c r="N46" s="105">
        <f t="shared" si="6"/>
        <v>6.6683777577075576</v>
      </c>
      <c r="O46" s="88"/>
      <c r="P46" s="88"/>
      <c r="Q46" s="88"/>
      <c r="R46" s="88"/>
      <c r="S46" s="117"/>
      <c r="T46" s="118"/>
    </row>
    <row r="47" spans="1:20" s="93" customFormat="1">
      <c r="A47" s="106">
        <f t="shared" si="0"/>
        <v>6.3223062409322921</v>
      </c>
      <c r="B47" s="41">
        <f t="shared" si="1"/>
        <v>42</v>
      </c>
      <c r="C47" s="42" t="s">
        <v>239</v>
      </c>
      <c r="D47" s="42" t="s">
        <v>240</v>
      </c>
      <c r="E47" s="42" t="s">
        <v>170</v>
      </c>
      <c r="F47" s="42" t="s">
        <v>158</v>
      </c>
      <c r="G47" s="88"/>
      <c r="H47" s="107">
        <v>42</v>
      </c>
      <c r="I47" s="108">
        <f t="shared" si="2"/>
        <v>5.2685885341102434</v>
      </c>
      <c r="J47" s="107">
        <f t="shared" si="3"/>
        <v>0</v>
      </c>
      <c r="K47" s="107">
        <f t="shared" si="4"/>
        <v>0</v>
      </c>
      <c r="L47" s="107"/>
      <c r="M47" s="109">
        <f t="shared" si="5"/>
        <v>5.2685885341102434</v>
      </c>
      <c r="N47" s="109">
        <f t="shared" si="6"/>
        <v>6.3223062409322921</v>
      </c>
      <c r="O47" s="88"/>
      <c r="P47" s="88"/>
      <c r="Q47" s="88"/>
      <c r="R47" s="88"/>
      <c r="S47" s="88"/>
    </row>
    <row r="48" spans="1:20" s="93" customFormat="1">
      <c r="A48" s="102">
        <f t="shared" si="0"/>
        <v>5.984378343879956</v>
      </c>
      <c r="B48" s="35">
        <f t="shared" si="1"/>
        <v>43</v>
      </c>
      <c r="C48" s="36" t="s">
        <v>241</v>
      </c>
      <c r="D48" s="36" t="s">
        <v>242</v>
      </c>
      <c r="E48" s="36" t="s">
        <v>243</v>
      </c>
      <c r="F48" s="36" t="s">
        <v>158</v>
      </c>
      <c r="G48" s="88"/>
      <c r="H48" s="103">
        <v>43</v>
      </c>
      <c r="I48" s="104">
        <f t="shared" si="2"/>
        <v>4.9869819532332968</v>
      </c>
      <c r="J48" s="103">
        <f t="shared" si="3"/>
        <v>0</v>
      </c>
      <c r="K48" s="103">
        <f t="shared" si="4"/>
        <v>0</v>
      </c>
      <c r="L48" s="103"/>
      <c r="M48" s="105">
        <f t="shared" si="5"/>
        <v>4.9869819532332968</v>
      </c>
      <c r="N48" s="105">
        <f t="shared" si="6"/>
        <v>5.984378343879956</v>
      </c>
      <c r="O48" s="88"/>
      <c r="P48" s="88"/>
      <c r="Q48" s="88"/>
      <c r="R48" s="88"/>
      <c r="S48" s="117"/>
      <c r="T48" s="118"/>
    </row>
    <row r="49" spans="1:20" s="93" customFormat="1" ht="25.9">
      <c r="A49" s="106">
        <f t="shared" si="0"/>
        <v>5.6542195965959507</v>
      </c>
      <c r="B49" s="41">
        <f t="shared" si="1"/>
        <v>44</v>
      </c>
      <c r="C49" s="42" t="s">
        <v>244</v>
      </c>
      <c r="D49" s="42" t="s">
        <v>245</v>
      </c>
      <c r="E49" s="42" t="s">
        <v>176</v>
      </c>
      <c r="F49" s="42" t="s">
        <v>158</v>
      </c>
      <c r="G49" s="88"/>
      <c r="H49" s="107">
        <v>44</v>
      </c>
      <c r="I49" s="108">
        <f t="shared" si="2"/>
        <v>4.711849663829959</v>
      </c>
      <c r="J49" s="107">
        <f t="shared" si="3"/>
        <v>0</v>
      </c>
      <c r="K49" s="107">
        <f t="shared" si="4"/>
        <v>0</v>
      </c>
      <c r="L49" s="107"/>
      <c r="M49" s="109">
        <f t="shared" si="5"/>
        <v>4.711849663829959</v>
      </c>
      <c r="N49" s="109">
        <f t="shared" si="6"/>
        <v>5.6542195965959507</v>
      </c>
      <c r="O49" s="88"/>
      <c r="P49" s="88"/>
      <c r="Q49" s="88"/>
      <c r="R49" s="88"/>
      <c r="S49" s="88"/>
    </row>
    <row r="50" spans="1:20" s="93" customFormat="1">
      <c r="A50" s="102">
        <f t="shared" si="0"/>
        <v>5.3314807786924829</v>
      </c>
      <c r="B50" s="35">
        <f t="shared" si="1"/>
        <v>45</v>
      </c>
      <c r="C50" s="36" t="s">
        <v>130</v>
      </c>
      <c r="D50" s="36" t="s">
        <v>246</v>
      </c>
      <c r="E50" s="36" t="s">
        <v>201</v>
      </c>
      <c r="F50" s="36" t="s">
        <v>158</v>
      </c>
      <c r="G50" s="88"/>
      <c r="H50" s="103">
        <v>45</v>
      </c>
      <c r="I50" s="104">
        <f t="shared" si="2"/>
        <v>4.4429006489104026</v>
      </c>
      <c r="J50" s="103">
        <f t="shared" si="3"/>
        <v>0</v>
      </c>
      <c r="K50" s="103">
        <f t="shared" si="4"/>
        <v>0</v>
      </c>
      <c r="L50" s="103"/>
      <c r="M50" s="105">
        <f t="shared" si="5"/>
        <v>4.4429006489104026</v>
      </c>
      <c r="N50" s="105">
        <f t="shared" si="6"/>
        <v>5.3314807786924829</v>
      </c>
      <c r="O50" s="88"/>
      <c r="P50" s="88"/>
      <c r="Q50" s="88"/>
      <c r="R50" s="88"/>
      <c r="S50" s="117"/>
      <c r="T50" s="118"/>
    </row>
    <row r="51" spans="1:20" s="93" customFormat="1">
      <c r="A51" s="106">
        <f t="shared" si="0"/>
        <v>5.0158356991385116</v>
      </c>
      <c r="B51" s="41">
        <f t="shared" si="1"/>
        <v>46</v>
      </c>
      <c r="C51" s="42" t="s">
        <v>247</v>
      </c>
      <c r="D51" s="42" t="s">
        <v>248</v>
      </c>
      <c r="E51" s="42" t="s">
        <v>176</v>
      </c>
      <c r="F51" s="42" t="s">
        <v>158</v>
      </c>
      <c r="G51" s="88"/>
      <c r="H51" s="107">
        <v>46</v>
      </c>
      <c r="I51" s="108">
        <f t="shared" si="2"/>
        <v>4.1798630826154266</v>
      </c>
      <c r="J51" s="107">
        <f t="shared" si="3"/>
        <v>0</v>
      </c>
      <c r="K51" s="107">
        <f t="shared" si="4"/>
        <v>0</v>
      </c>
      <c r="L51" s="107"/>
      <c r="M51" s="109">
        <f t="shared" si="5"/>
        <v>4.1798630826154266</v>
      </c>
      <c r="N51" s="109">
        <f t="shared" si="6"/>
        <v>5.0158356991385116</v>
      </c>
      <c r="O51" s="88"/>
      <c r="P51" s="88"/>
      <c r="Q51" s="88"/>
      <c r="R51" s="88"/>
      <c r="S51" s="88"/>
    </row>
    <row r="52" spans="1:20" s="93" customFormat="1">
      <c r="A52" s="102">
        <f t="shared" si="0"/>
        <v>4.706979214840481</v>
      </c>
      <c r="B52" s="35">
        <f t="shared" si="1"/>
        <v>47</v>
      </c>
      <c r="C52" s="36" t="s">
        <v>249</v>
      </c>
      <c r="D52" s="36" t="s">
        <v>250</v>
      </c>
      <c r="E52" s="36" t="s">
        <v>173</v>
      </c>
      <c r="F52" s="36" t="s">
        <v>158</v>
      </c>
      <c r="G52" s="88"/>
      <c r="H52" s="103">
        <v>47</v>
      </c>
      <c r="I52" s="104">
        <f t="shared" si="2"/>
        <v>3.9224826790337346</v>
      </c>
      <c r="J52" s="103">
        <f t="shared" si="3"/>
        <v>0</v>
      </c>
      <c r="K52" s="103">
        <f t="shared" si="4"/>
        <v>0</v>
      </c>
      <c r="L52" s="103"/>
      <c r="M52" s="105">
        <f t="shared" si="5"/>
        <v>3.9224826790337346</v>
      </c>
      <c r="N52" s="105">
        <f t="shared" si="6"/>
        <v>4.706979214840481</v>
      </c>
      <c r="O52" s="88"/>
      <c r="P52" s="88"/>
      <c r="Q52" s="88"/>
      <c r="R52" s="88"/>
      <c r="S52" s="117"/>
      <c r="T52" s="118"/>
    </row>
    <row r="53" spans="1:20" s="93" customFormat="1">
      <c r="A53" s="106">
        <f t="shared" si="0"/>
        <v>4.4046254578423971</v>
      </c>
      <c r="B53" s="41">
        <f t="shared" si="1"/>
        <v>48</v>
      </c>
      <c r="C53" s="42" t="s">
        <v>251</v>
      </c>
      <c r="D53" s="42" t="s">
        <v>252</v>
      </c>
      <c r="E53" s="42" t="s">
        <v>253</v>
      </c>
      <c r="F53" s="42" t="s">
        <v>158</v>
      </c>
      <c r="G53" s="88"/>
      <c r="H53" s="107">
        <v>48</v>
      </c>
      <c r="I53" s="108">
        <f t="shared" si="2"/>
        <v>3.6705212148686641</v>
      </c>
      <c r="J53" s="107">
        <f t="shared" si="3"/>
        <v>0</v>
      </c>
      <c r="K53" s="107">
        <f t="shared" si="4"/>
        <v>0</v>
      </c>
      <c r="L53" s="107"/>
      <c r="M53" s="109">
        <f t="shared" si="5"/>
        <v>3.6705212148686641</v>
      </c>
      <c r="N53" s="109">
        <f t="shared" si="6"/>
        <v>4.4046254578423971</v>
      </c>
      <c r="O53" s="88"/>
      <c r="P53" s="88"/>
      <c r="Q53" s="88"/>
      <c r="R53" s="88"/>
      <c r="S53" s="88"/>
    </row>
    <row r="54" spans="1:20" s="93" customFormat="1" ht="38.85">
      <c r="A54" s="102">
        <f t="shared" si="0"/>
        <v>4.1085062453296954</v>
      </c>
      <c r="B54" s="35">
        <f t="shared" si="1"/>
        <v>49</v>
      </c>
      <c r="C54" s="36" t="s">
        <v>254</v>
      </c>
      <c r="D54" s="36" t="s">
        <v>255</v>
      </c>
      <c r="E54" s="36" t="s">
        <v>256</v>
      </c>
      <c r="F54" s="36" t="s">
        <v>158</v>
      </c>
      <c r="G54" s="88"/>
      <c r="H54" s="103">
        <v>49</v>
      </c>
      <c r="I54" s="104">
        <f t="shared" si="2"/>
        <v>3.423755204441413</v>
      </c>
      <c r="J54" s="103">
        <f t="shared" si="3"/>
        <v>0</v>
      </c>
      <c r="K54" s="103">
        <f t="shared" si="4"/>
        <v>0</v>
      </c>
      <c r="L54" s="103"/>
      <c r="M54" s="105">
        <f t="shared" si="5"/>
        <v>3.423755204441413</v>
      </c>
      <c r="N54" s="105">
        <f t="shared" si="6"/>
        <v>4.1085062453296954</v>
      </c>
      <c r="O54" s="88"/>
      <c r="P54" s="88"/>
      <c r="Q54" s="88"/>
      <c r="R54" s="88"/>
      <c r="S54" s="117"/>
      <c r="T54" s="118"/>
    </row>
    <row r="55" spans="1:20" s="93" customFormat="1">
      <c r="A55" s="106">
        <f t="shared" si="0"/>
        <v>3.8183696502734645</v>
      </c>
      <c r="B55" s="41">
        <f t="shared" si="1"/>
        <v>50</v>
      </c>
      <c r="C55" s="42" t="s">
        <v>257</v>
      </c>
      <c r="D55" s="42" t="s">
        <v>258</v>
      </c>
      <c r="E55" s="42" t="s">
        <v>238</v>
      </c>
      <c r="F55" s="42" t="s">
        <v>158</v>
      </c>
      <c r="G55" s="88"/>
      <c r="H55" s="107">
        <v>50</v>
      </c>
      <c r="I55" s="108">
        <f t="shared" si="2"/>
        <v>3.1819747085612207</v>
      </c>
      <c r="J55" s="107">
        <f t="shared" si="3"/>
        <v>0</v>
      </c>
      <c r="K55" s="107">
        <f t="shared" si="4"/>
        <v>0</v>
      </c>
      <c r="L55" s="107"/>
      <c r="M55" s="109">
        <f t="shared" si="5"/>
        <v>3.1819747085612207</v>
      </c>
      <c r="N55" s="109">
        <f t="shared" si="6"/>
        <v>3.8183696502734645</v>
      </c>
      <c r="O55" s="88"/>
      <c r="P55" s="88"/>
      <c r="Q55" s="88"/>
      <c r="R55" s="88"/>
      <c r="S55" s="88"/>
    </row>
    <row r="56" spans="1:20" s="93" customFormat="1">
      <c r="A56" s="102">
        <f t="shared" si="0"/>
        <v>3.5339787136241512</v>
      </c>
      <c r="B56" s="35">
        <f t="shared" si="1"/>
        <v>51</v>
      </c>
      <c r="C56" s="36" t="s">
        <v>259</v>
      </c>
      <c r="D56" s="36" t="s">
        <v>260</v>
      </c>
      <c r="E56" s="36" t="s">
        <v>167</v>
      </c>
      <c r="F56" s="36" t="s">
        <v>158</v>
      </c>
      <c r="G56" s="88"/>
      <c r="H56" s="103">
        <v>51</v>
      </c>
      <c r="I56" s="104">
        <f t="shared" si="2"/>
        <v>2.9449822613534593</v>
      </c>
      <c r="J56" s="103">
        <f t="shared" si="3"/>
        <v>0</v>
      </c>
      <c r="K56" s="103">
        <f t="shared" si="4"/>
        <v>0</v>
      </c>
      <c r="L56" s="103"/>
      <c r="M56" s="105">
        <f t="shared" si="5"/>
        <v>2.9449822613534593</v>
      </c>
      <c r="N56" s="105">
        <f t="shared" si="6"/>
        <v>3.5339787136241512</v>
      </c>
      <c r="O56" s="88"/>
      <c r="P56" s="88"/>
      <c r="Q56" s="88"/>
      <c r="R56" s="88"/>
      <c r="S56" s="117"/>
      <c r="T56" s="118"/>
    </row>
    <row r="57" spans="1:20" s="93" customFormat="1">
      <c r="A57" s="106">
        <f t="shared" si="0"/>
        <v>3.2551102815599164</v>
      </c>
      <c r="B57" s="41">
        <f t="shared" si="1"/>
        <v>52</v>
      </c>
      <c r="C57" s="42" t="s">
        <v>261</v>
      </c>
      <c r="D57" s="42" t="s">
        <v>262</v>
      </c>
      <c r="E57" s="42" t="s">
        <v>243</v>
      </c>
      <c r="F57" s="42" t="s">
        <v>158</v>
      </c>
      <c r="G57" s="88"/>
      <c r="H57" s="107">
        <v>52</v>
      </c>
      <c r="I57" s="108">
        <f t="shared" si="2"/>
        <v>2.7125919012999304</v>
      </c>
      <c r="J57" s="107">
        <f t="shared" si="3"/>
        <v>0</v>
      </c>
      <c r="K57" s="107">
        <f t="shared" si="4"/>
        <v>0</v>
      </c>
      <c r="L57" s="107"/>
      <c r="M57" s="109">
        <f t="shared" si="5"/>
        <v>2.7125919012999304</v>
      </c>
      <c r="N57" s="109">
        <f t="shared" si="6"/>
        <v>3.2551102815599164</v>
      </c>
      <c r="O57" s="88"/>
      <c r="P57" s="88"/>
      <c r="Q57" s="88"/>
      <c r="R57" s="88"/>
      <c r="S57" s="88"/>
    </row>
    <row r="58" spans="1:20" s="93" customFormat="1">
      <c r="A58" s="102">
        <f t="shared" si="0"/>
        <v>2.9815539534943269</v>
      </c>
      <c r="B58" s="35">
        <f t="shared" si="1"/>
        <v>53</v>
      </c>
      <c r="C58" s="36" t="s">
        <v>263</v>
      </c>
      <c r="D58" s="36" t="s">
        <v>264</v>
      </c>
      <c r="E58" s="36" t="s">
        <v>194</v>
      </c>
      <c r="F58" s="36" t="s">
        <v>158</v>
      </c>
      <c r="G58" s="88"/>
      <c r="H58" s="103">
        <v>53</v>
      </c>
      <c r="I58" s="104">
        <f t="shared" si="2"/>
        <v>2.4846282945786058</v>
      </c>
      <c r="J58" s="103">
        <f t="shared" si="3"/>
        <v>0</v>
      </c>
      <c r="K58" s="103">
        <f t="shared" si="4"/>
        <v>0</v>
      </c>
      <c r="L58" s="103"/>
      <c r="M58" s="105">
        <f t="shared" si="5"/>
        <v>2.4846282945786058</v>
      </c>
      <c r="N58" s="105">
        <f t="shared" si="6"/>
        <v>2.9815539534943269</v>
      </c>
      <c r="O58" s="88"/>
      <c r="P58" s="88"/>
      <c r="Q58" s="88"/>
      <c r="R58" s="88"/>
      <c r="S58" s="117"/>
      <c r="T58" s="118"/>
    </row>
    <row r="59" spans="1:20" s="93" customFormat="1">
      <c r="A59" s="106">
        <f t="shared" si="0"/>
        <v>2.7131111284190181</v>
      </c>
      <c r="B59" s="41">
        <f t="shared" si="1"/>
        <v>54</v>
      </c>
      <c r="C59" s="42" t="s">
        <v>265</v>
      </c>
      <c r="D59" s="42" t="s">
        <v>266</v>
      </c>
      <c r="E59" s="42" t="s">
        <v>157</v>
      </c>
      <c r="F59" s="42" t="s">
        <v>158</v>
      </c>
      <c r="G59" s="88"/>
      <c r="H59" s="107">
        <v>54</v>
      </c>
      <c r="I59" s="108">
        <f t="shared" si="2"/>
        <v>2.2609259403491819</v>
      </c>
      <c r="J59" s="107">
        <f t="shared" si="3"/>
        <v>0</v>
      </c>
      <c r="K59" s="107">
        <f t="shared" si="4"/>
        <v>0</v>
      </c>
      <c r="L59" s="107"/>
      <c r="M59" s="109">
        <f t="shared" si="5"/>
        <v>2.2609259403491819</v>
      </c>
      <c r="N59" s="109">
        <f t="shared" si="6"/>
        <v>2.7131111284190181</v>
      </c>
      <c r="O59" s="88"/>
      <c r="P59" s="88"/>
      <c r="Q59" s="88"/>
      <c r="R59" s="88"/>
      <c r="S59" s="88"/>
    </row>
    <row r="60" spans="1:20" s="93" customFormat="1">
      <c r="A60" s="102">
        <f t="shared" si="0"/>
        <v>2.4495941387535538</v>
      </c>
      <c r="B60" s="35">
        <f t="shared" si="1"/>
        <v>55</v>
      </c>
      <c r="C60" s="36" t="s">
        <v>267</v>
      </c>
      <c r="D60" s="36" t="s">
        <v>268</v>
      </c>
      <c r="E60" s="36" t="s">
        <v>269</v>
      </c>
      <c r="F60" s="36" t="s">
        <v>158</v>
      </c>
      <c r="G60" s="88"/>
      <c r="H60" s="103">
        <v>55</v>
      </c>
      <c r="I60" s="104">
        <f t="shared" si="2"/>
        <v>2.0413284489612948</v>
      </c>
      <c r="J60" s="103">
        <f t="shared" si="3"/>
        <v>0</v>
      </c>
      <c r="K60" s="103">
        <f t="shared" si="4"/>
        <v>0</v>
      </c>
      <c r="L60" s="103"/>
      <c r="M60" s="105">
        <f t="shared" si="5"/>
        <v>2.0413284489612948</v>
      </c>
      <c r="N60" s="105">
        <f t="shared" si="6"/>
        <v>2.4495941387535538</v>
      </c>
      <c r="O60" s="88"/>
      <c r="P60" s="88"/>
      <c r="Q60" s="88"/>
      <c r="R60" s="88"/>
      <c r="S60" s="117"/>
      <c r="T60" s="118"/>
    </row>
    <row r="61" spans="1:20" s="93" customFormat="1">
      <c r="A61" s="106">
        <f t="shared" si="0"/>
        <v>2.1908254622398089</v>
      </c>
      <c r="B61" s="41">
        <f t="shared" si="1"/>
        <v>56</v>
      </c>
      <c r="C61" s="42" t="s">
        <v>270</v>
      </c>
      <c r="D61" s="42" t="s">
        <v>271</v>
      </c>
      <c r="E61" s="42" t="s">
        <v>170</v>
      </c>
      <c r="F61" s="42" t="s">
        <v>158</v>
      </c>
      <c r="G61" s="88"/>
      <c r="H61" s="107">
        <v>56</v>
      </c>
      <c r="I61" s="108">
        <f t="shared" si="2"/>
        <v>1.8256878851998408</v>
      </c>
      <c r="J61" s="107">
        <f t="shared" si="3"/>
        <v>0</v>
      </c>
      <c r="K61" s="107">
        <f t="shared" si="4"/>
        <v>0</v>
      </c>
      <c r="L61" s="107"/>
      <c r="M61" s="109">
        <f t="shared" si="5"/>
        <v>1.8256878851998408</v>
      </c>
      <c r="N61" s="109">
        <f t="shared" si="6"/>
        <v>2.1908254622398089</v>
      </c>
      <c r="O61" s="88"/>
      <c r="P61" s="88"/>
      <c r="Q61" s="88"/>
      <c r="R61" s="88"/>
      <c r="S61" s="88"/>
    </row>
    <row r="62" spans="1:20" s="93" customFormat="1">
      <c r="A62" s="102">
        <f t="shared" si="0"/>
        <v>1.9366370035918692</v>
      </c>
      <c r="B62" s="35">
        <f t="shared" si="1"/>
        <v>57</v>
      </c>
      <c r="C62" s="36" t="s">
        <v>272</v>
      </c>
      <c r="D62" s="36" t="s">
        <v>273</v>
      </c>
      <c r="E62" s="36" t="s">
        <v>170</v>
      </c>
      <c r="F62" s="36" t="s">
        <v>158</v>
      </c>
      <c r="G62" s="88"/>
      <c r="H62" s="103">
        <v>57</v>
      </c>
      <c r="I62" s="104">
        <f t="shared" si="2"/>
        <v>1.613864169659891</v>
      </c>
      <c r="J62" s="103">
        <f t="shared" si="3"/>
        <v>0</v>
      </c>
      <c r="K62" s="103">
        <f t="shared" si="4"/>
        <v>0</v>
      </c>
      <c r="L62" s="103"/>
      <c r="M62" s="105">
        <f t="shared" si="5"/>
        <v>1.613864169659891</v>
      </c>
      <c r="N62" s="105">
        <f t="shared" si="6"/>
        <v>1.9366370035918692</v>
      </c>
      <c r="O62" s="88"/>
      <c r="P62" s="88"/>
      <c r="Q62" s="88"/>
      <c r="R62" s="88"/>
      <c r="S62" s="117"/>
      <c r="T62" s="118"/>
    </row>
    <row r="63" spans="1:20" s="93" customFormat="1">
      <c r="A63" s="106">
        <f t="shared" si="0"/>
        <v>1.6868694386210079</v>
      </c>
      <c r="B63" s="41">
        <f t="shared" si="1"/>
        <v>58</v>
      </c>
      <c r="C63" s="42" t="s">
        <v>274</v>
      </c>
      <c r="D63" s="42" t="s">
        <v>275</v>
      </c>
      <c r="E63" s="42" t="s">
        <v>176</v>
      </c>
      <c r="F63" s="42" t="s">
        <v>158</v>
      </c>
      <c r="G63" s="88"/>
      <c r="H63" s="107">
        <v>58</v>
      </c>
      <c r="I63" s="108">
        <f t="shared" si="2"/>
        <v>1.4057245321841734</v>
      </c>
      <c r="J63" s="107">
        <f t="shared" si="3"/>
        <v>0</v>
      </c>
      <c r="K63" s="107">
        <f t="shared" si="4"/>
        <v>0</v>
      </c>
      <c r="L63" s="107"/>
      <c r="M63" s="109">
        <f t="shared" si="5"/>
        <v>1.4057245321841734</v>
      </c>
      <c r="N63" s="109">
        <f t="shared" si="6"/>
        <v>1.6868694386210079</v>
      </c>
      <c r="O63" s="88"/>
      <c r="P63" s="88"/>
      <c r="Q63" s="88"/>
      <c r="R63" s="88"/>
      <c r="S63" s="88"/>
    </row>
    <row r="64" spans="1:20" s="93" customFormat="1">
      <c r="A64" s="102">
        <f t="shared" si="0"/>
        <v>1.4413716144268192</v>
      </c>
      <c r="B64" s="35">
        <f t="shared" si="1"/>
        <v>59</v>
      </c>
      <c r="C64" s="36" t="s">
        <v>276</v>
      </c>
      <c r="D64" s="36" t="s">
        <v>277</v>
      </c>
      <c r="E64" s="36" t="s">
        <v>170</v>
      </c>
      <c r="F64" s="36" t="s">
        <v>158</v>
      </c>
      <c r="G64" s="88"/>
      <c r="H64" s="103">
        <v>59</v>
      </c>
      <c r="I64" s="104">
        <f t="shared" si="2"/>
        <v>1.2011430120223494</v>
      </c>
      <c r="J64" s="103">
        <f t="shared" si="3"/>
        <v>0</v>
      </c>
      <c r="K64" s="103">
        <f t="shared" si="4"/>
        <v>0</v>
      </c>
      <c r="L64" s="103"/>
      <c r="M64" s="105">
        <f t="shared" si="5"/>
        <v>1.2011430120223494</v>
      </c>
      <c r="N64" s="105">
        <f t="shared" si="6"/>
        <v>1.4413716144268192</v>
      </c>
      <c r="O64" s="88"/>
      <c r="P64" s="88"/>
      <c r="Q64" s="88"/>
      <c r="R64" s="88"/>
      <c r="S64" s="117"/>
      <c r="T64" s="118"/>
    </row>
    <row r="65" spans="1:20" s="93" customFormat="1">
      <c r="A65" s="106">
        <f t="shared" si="0"/>
        <v>1.2</v>
      </c>
      <c r="B65" s="41">
        <f t="shared" si="1"/>
        <v>60</v>
      </c>
      <c r="C65" s="42" t="s">
        <v>278</v>
      </c>
      <c r="D65" s="42" t="s">
        <v>279</v>
      </c>
      <c r="E65" s="42" t="s">
        <v>243</v>
      </c>
      <c r="F65" s="42" t="s">
        <v>158</v>
      </c>
      <c r="G65" s="88"/>
      <c r="H65" s="107">
        <v>60</v>
      </c>
      <c r="I65" s="108">
        <f t="shared" si="2"/>
        <v>1</v>
      </c>
      <c r="J65" s="107">
        <f t="shared" si="3"/>
        <v>0</v>
      </c>
      <c r="K65" s="107">
        <f t="shared" si="4"/>
        <v>0</v>
      </c>
      <c r="L65" s="107"/>
      <c r="M65" s="109">
        <f t="shared" si="5"/>
        <v>1</v>
      </c>
      <c r="N65" s="109">
        <f t="shared" si="6"/>
        <v>1.2</v>
      </c>
      <c r="O65" s="88"/>
      <c r="P65" s="88"/>
      <c r="Q65" s="88"/>
      <c r="R65" s="88"/>
      <c r="S65" s="88"/>
    </row>
    <row r="66" spans="1:20" s="93" customFormat="1">
      <c r="A66" s="102">
        <f t="shared" si="0"/>
        <v>0</v>
      </c>
      <c r="B66" s="35" t="str">
        <f t="shared" ref="B66:B73" si="7">IF(H66&gt;$H$2,"",(ROW()-5))</f>
        <v/>
      </c>
      <c r="C66" s="36"/>
      <c r="D66" s="36"/>
      <c r="E66" s="36"/>
      <c r="F66" s="36"/>
      <c r="G66" s="88"/>
      <c r="H66" s="103">
        <v>61</v>
      </c>
      <c r="I66" s="104" t="str">
        <f t="shared" si="2"/>
        <v/>
      </c>
      <c r="J66" s="103">
        <f t="shared" si="3"/>
        <v>0</v>
      </c>
      <c r="K66" s="103">
        <f t="shared" si="4"/>
        <v>0</v>
      </c>
      <c r="L66" s="103"/>
      <c r="M66" s="105">
        <f t="shared" si="5"/>
        <v>0</v>
      </c>
      <c r="N66" s="105">
        <f t="shared" si="6"/>
        <v>0</v>
      </c>
      <c r="O66" s="88"/>
      <c r="P66" s="88"/>
      <c r="Q66" s="88"/>
      <c r="R66" s="88"/>
      <c r="S66" s="117"/>
      <c r="T66" s="118"/>
    </row>
    <row r="67" spans="1:20" s="93" customFormat="1">
      <c r="A67" s="214">
        <v>44.39</v>
      </c>
      <c r="B67" s="264" t="s">
        <v>280</v>
      </c>
      <c r="C67" s="216" t="s">
        <v>19</v>
      </c>
      <c r="D67" s="42"/>
      <c r="E67" s="42"/>
      <c r="F67" s="42"/>
      <c r="G67" s="88"/>
      <c r="H67" s="107">
        <v>62</v>
      </c>
      <c r="I67" s="108" t="str">
        <f t="shared" si="2"/>
        <v/>
      </c>
      <c r="J67" s="107">
        <f t="shared" si="3"/>
        <v>0</v>
      </c>
      <c r="K67" s="107">
        <f t="shared" si="4"/>
        <v>0</v>
      </c>
      <c r="L67" s="107"/>
      <c r="M67" s="109">
        <f t="shared" si="5"/>
        <v>0</v>
      </c>
      <c r="N67" s="109">
        <f t="shared" si="6"/>
        <v>0</v>
      </c>
      <c r="O67" s="88"/>
      <c r="P67" s="88"/>
      <c r="Q67" s="88"/>
      <c r="R67" s="88"/>
      <c r="S67" s="88"/>
    </row>
    <row r="68" spans="1:20" s="93" customFormat="1">
      <c r="A68" s="102">
        <f t="shared" si="0"/>
        <v>0</v>
      </c>
      <c r="B68" s="35" t="str">
        <f t="shared" si="7"/>
        <v/>
      </c>
      <c r="C68" s="36"/>
      <c r="D68" s="36"/>
      <c r="E68" s="36"/>
      <c r="F68" s="36"/>
      <c r="G68" s="88"/>
      <c r="H68" s="103">
        <v>63</v>
      </c>
      <c r="I68" s="104" t="str">
        <f t="shared" si="2"/>
        <v/>
      </c>
      <c r="J68" s="103">
        <f t="shared" si="3"/>
        <v>0</v>
      </c>
      <c r="K68" s="103">
        <f t="shared" si="4"/>
        <v>0</v>
      </c>
      <c r="L68" s="103"/>
      <c r="M68" s="105">
        <f t="shared" si="5"/>
        <v>0</v>
      </c>
      <c r="N68" s="105">
        <f t="shared" si="6"/>
        <v>0</v>
      </c>
      <c r="O68" s="88"/>
      <c r="P68" s="88"/>
      <c r="Q68" s="88"/>
      <c r="R68" s="88"/>
      <c r="S68" s="117"/>
      <c r="T68" s="118"/>
    </row>
    <row r="69" spans="1:20" s="93" customFormat="1">
      <c r="A69" s="106">
        <f t="shared" si="0"/>
        <v>0</v>
      </c>
      <c r="B69" s="41" t="str">
        <f t="shared" si="7"/>
        <v/>
      </c>
      <c r="C69" s="42"/>
      <c r="D69" s="42"/>
      <c r="E69" s="42"/>
      <c r="F69" s="42"/>
      <c r="G69" s="88"/>
      <c r="H69" s="107">
        <v>64</v>
      </c>
      <c r="I69" s="108" t="str">
        <f t="shared" si="2"/>
        <v/>
      </c>
      <c r="J69" s="107">
        <f t="shared" si="3"/>
        <v>0</v>
      </c>
      <c r="K69" s="107">
        <f t="shared" si="4"/>
        <v>0</v>
      </c>
      <c r="L69" s="107"/>
      <c r="M69" s="109">
        <f t="shared" si="5"/>
        <v>0</v>
      </c>
      <c r="N69" s="109">
        <f t="shared" si="6"/>
        <v>0</v>
      </c>
      <c r="O69" s="88"/>
      <c r="P69" s="88"/>
      <c r="Q69" s="88"/>
      <c r="R69" s="88"/>
      <c r="S69" s="88"/>
    </row>
    <row r="70" spans="1:20" s="93" customFormat="1">
      <c r="A70" s="102">
        <f t="shared" ref="A70:A133" si="8">N70</f>
        <v>0</v>
      </c>
      <c r="B70" s="35" t="str">
        <f t="shared" si="7"/>
        <v/>
      </c>
      <c r="C70" s="36"/>
      <c r="D70" s="36"/>
      <c r="E70" s="36"/>
      <c r="F70" s="36"/>
      <c r="G70" s="88"/>
      <c r="H70" s="103">
        <v>65</v>
      </c>
      <c r="I70" s="104" t="str">
        <f t="shared" ref="I70:I133" si="9">IF(H70&lt;$H$2+1,($I$2-($I$2-1)*(LOG(H70)/LOG($H$2))),"")</f>
        <v/>
      </c>
      <c r="J70" s="103">
        <f t="shared" ref="J70:J133" si="10">INT(LOG($H$2,2))-ROUNDUP(LOG(H70,2),0)+IF(OR($H$2=1,$H$2=2,$H$2=4,$H$2=8,$H$2=16,$H$2=32,$H$2=64,$H$2=128,$H$2=256),0,1)</f>
        <v>-1</v>
      </c>
      <c r="K70" s="103">
        <f t="shared" ref="K70:K133" si="11">J70*$J$2</f>
        <v>-10</v>
      </c>
      <c r="L70" s="103"/>
      <c r="M70" s="105">
        <f t="shared" ref="M70:M133" si="12">IF(I70&lt;&gt;"",K70+I70+L70,0)</f>
        <v>0</v>
      </c>
      <c r="N70" s="105">
        <f t="shared" ref="N70:N133" si="13">IF(I70&lt;&gt;"",M70*L$2,0)</f>
        <v>0</v>
      </c>
      <c r="O70" s="88"/>
      <c r="P70" s="88"/>
      <c r="Q70" s="88"/>
      <c r="R70" s="88"/>
      <c r="S70" s="117"/>
      <c r="T70" s="118"/>
    </row>
    <row r="71" spans="1:20" s="93" customFormat="1">
      <c r="A71" s="106">
        <f t="shared" si="8"/>
        <v>0</v>
      </c>
      <c r="B71" s="41" t="str">
        <f t="shared" si="7"/>
        <v/>
      </c>
      <c r="C71" s="42"/>
      <c r="D71" s="42"/>
      <c r="E71" s="42"/>
      <c r="F71" s="42"/>
      <c r="G71" s="88"/>
      <c r="H71" s="107">
        <v>66</v>
      </c>
      <c r="I71" s="108" t="str">
        <f t="shared" si="9"/>
        <v/>
      </c>
      <c r="J71" s="107">
        <f t="shared" si="10"/>
        <v>-1</v>
      </c>
      <c r="K71" s="107">
        <f t="shared" si="11"/>
        <v>-10</v>
      </c>
      <c r="L71" s="107"/>
      <c r="M71" s="109">
        <f t="shared" si="12"/>
        <v>0</v>
      </c>
      <c r="N71" s="109">
        <f t="shared" si="13"/>
        <v>0</v>
      </c>
      <c r="O71" s="88"/>
      <c r="P71" s="88"/>
      <c r="Q71" s="88"/>
      <c r="R71" s="88"/>
      <c r="S71" s="88"/>
    </row>
    <row r="72" spans="1:20" s="93" customFormat="1">
      <c r="A72" s="102">
        <f t="shared" si="8"/>
        <v>0</v>
      </c>
      <c r="B72" s="35" t="str">
        <f t="shared" si="7"/>
        <v/>
      </c>
      <c r="C72" s="36"/>
      <c r="D72" s="36"/>
      <c r="E72" s="36"/>
      <c r="F72" s="36"/>
      <c r="G72" s="88"/>
      <c r="H72" s="103">
        <v>67</v>
      </c>
      <c r="I72" s="104" t="str">
        <f t="shared" si="9"/>
        <v/>
      </c>
      <c r="J72" s="103">
        <f t="shared" si="10"/>
        <v>-1</v>
      </c>
      <c r="K72" s="103">
        <f t="shared" si="11"/>
        <v>-10</v>
      </c>
      <c r="L72" s="103"/>
      <c r="M72" s="105">
        <f t="shared" si="12"/>
        <v>0</v>
      </c>
      <c r="N72" s="105">
        <f t="shared" si="13"/>
        <v>0</v>
      </c>
      <c r="O72" s="88"/>
      <c r="P72" s="88"/>
      <c r="Q72" s="88"/>
      <c r="R72" s="88"/>
      <c r="S72" s="117"/>
      <c r="T72" s="118"/>
    </row>
    <row r="73" spans="1:20" s="93" customFormat="1">
      <c r="A73" s="106">
        <f t="shared" si="8"/>
        <v>0</v>
      </c>
      <c r="B73" s="41" t="str">
        <f t="shared" si="7"/>
        <v/>
      </c>
      <c r="C73" s="42"/>
      <c r="D73" s="42"/>
      <c r="E73" s="42"/>
      <c r="F73" s="42"/>
      <c r="G73" s="88"/>
      <c r="H73" s="107">
        <v>68</v>
      </c>
      <c r="I73" s="108" t="str">
        <f t="shared" si="9"/>
        <v/>
      </c>
      <c r="J73" s="107">
        <f t="shared" si="10"/>
        <v>-1</v>
      </c>
      <c r="K73" s="107">
        <f t="shared" si="11"/>
        <v>-10</v>
      </c>
      <c r="L73" s="107"/>
      <c r="M73" s="109">
        <f t="shared" si="12"/>
        <v>0</v>
      </c>
      <c r="N73" s="109">
        <f t="shared" si="13"/>
        <v>0</v>
      </c>
      <c r="O73" s="88"/>
      <c r="P73" s="88"/>
      <c r="Q73" s="88"/>
      <c r="R73" s="88"/>
      <c r="S73" s="88"/>
    </row>
    <row r="74" spans="1:20" s="93" customFormat="1">
      <c r="A74" s="102">
        <f t="shared" si="8"/>
        <v>0</v>
      </c>
      <c r="B74" s="35" t="str">
        <f t="shared" ref="B74:B137" si="14">IF(H74&gt;$H$2,"",(ROW()-5))</f>
        <v/>
      </c>
      <c r="C74" s="36"/>
      <c r="D74" s="36"/>
      <c r="E74" s="36"/>
      <c r="F74" s="36"/>
      <c r="G74" s="88"/>
      <c r="H74" s="103">
        <v>69</v>
      </c>
      <c r="I74" s="104" t="str">
        <f t="shared" si="9"/>
        <v/>
      </c>
      <c r="J74" s="103">
        <f t="shared" si="10"/>
        <v>-1</v>
      </c>
      <c r="K74" s="103">
        <f t="shared" si="11"/>
        <v>-10</v>
      </c>
      <c r="L74" s="103"/>
      <c r="M74" s="105">
        <f t="shared" si="12"/>
        <v>0</v>
      </c>
      <c r="N74" s="105">
        <f t="shared" si="13"/>
        <v>0</v>
      </c>
      <c r="O74" s="88"/>
      <c r="P74" s="88"/>
      <c r="Q74" s="88"/>
      <c r="R74" s="88"/>
      <c r="S74" s="117"/>
      <c r="T74" s="118"/>
    </row>
    <row r="75" spans="1:20" s="93" customFormat="1">
      <c r="A75" s="106">
        <f t="shared" si="8"/>
        <v>0</v>
      </c>
      <c r="B75" s="41" t="str">
        <f t="shared" si="14"/>
        <v/>
      </c>
      <c r="C75" s="42"/>
      <c r="D75" s="42"/>
      <c r="E75" s="42"/>
      <c r="F75" s="42"/>
      <c r="G75" s="88"/>
      <c r="H75" s="107">
        <v>70</v>
      </c>
      <c r="I75" s="108" t="str">
        <f t="shared" si="9"/>
        <v/>
      </c>
      <c r="J75" s="107">
        <f t="shared" si="10"/>
        <v>-1</v>
      </c>
      <c r="K75" s="107">
        <f t="shared" si="11"/>
        <v>-10</v>
      </c>
      <c r="L75" s="107"/>
      <c r="M75" s="109">
        <f t="shared" si="12"/>
        <v>0</v>
      </c>
      <c r="N75" s="109">
        <f t="shared" si="13"/>
        <v>0</v>
      </c>
      <c r="O75" s="88"/>
      <c r="P75" s="88"/>
      <c r="Q75" s="88"/>
      <c r="R75" s="88"/>
      <c r="S75" s="88"/>
    </row>
    <row r="76" spans="1:20" s="93" customFormat="1">
      <c r="A76" s="102">
        <f t="shared" si="8"/>
        <v>0</v>
      </c>
      <c r="B76" s="35" t="str">
        <f t="shared" si="14"/>
        <v/>
      </c>
      <c r="C76" s="36"/>
      <c r="D76" s="36"/>
      <c r="E76" s="36"/>
      <c r="F76" s="36"/>
      <c r="G76" s="88"/>
      <c r="H76" s="103">
        <v>71</v>
      </c>
      <c r="I76" s="104" t="str">
        <f t="shared" si="9"/>
        <v/>
      </c>
      <c r="J76" s="103">
        <f t="shared" si="10"/>
        <v>-1</v>
      </c>
      <c r="K76" s="103">
        <f t="shared" si="11"/>
        <v>-10</v>
      </c>
      <c r="L76" s="103"/>
      <c r="M76" s="105">
        <f t="shared" si="12"/>
        <v>0</v>
      </c>
      <c r="N76" s="105">
        <f t="shared" si="13"/>
        <v>0</v>
      </c>
      <c r="O76" s="88"/>
      <c r="P76" s="88"/>
      <c r="Q76" s="88"/>
      <c r="R76" s="88"/>
      <c r="S76" s="117"/>
      <c r="T76" s="118"/>
    </row>
    <row r="77" spans="1:20" s="93" customFormat="1">
      <c r="A77" s="106">
        <f t="shared" si="8"/>
        <v>0</v>
      </c>
      <c r="B77" s="41" t="str">
        <f t="shared" si="14"/>
        <v/>
      </c>
      <c r="C77" s="42"/>
      <c r="D77" s="42"/>
      <c r="E77" s="42"/>
      <c r="F77" s="42"/>
      <c r="G77" s="88"/>
      <c r="H77" s="107">
        <v>72</v>
      </c>
      <c r="I77" s="108" t="str">
        <f t="shared" si="9"/>
        <v/>
      </c>
      <c r="J77" s="107">
        <f t="shared" si="10"/>
        <v>-1</v>
      </c>
      <c r="K77" s="107">
        <f t="shared" si="11"/>
        <v>-10</v>
      </c>
      <c r="L77" s="107"/>
      <c r="M77" s="109">
        <f t="shared" si="12"/>
        <v>0</v>
      </c>
      <c r="N77" s="109">
        <f t="shared" si="13"/>
        <v>0</v>
      </c>
      <c r="O77" s="88"/>
      <c r="P77" s="88"/>
      <c r="Q77" s="88"/>
      <c r="R77" s="88"/>
      <c r="S77" s="88"/>
    </row>
    <row r="78" spans="1:20" s="93" customFormat="1">
      <c r="A78" s="102">
        <v>1.95</v>
      </c>
      <c r="B78" s="35" t="str">
        <f t="shared" ref="B78" si="15">IF(H78&gt;$H$2,"",(ROW()-5))</f>
        <v/>
      </c>
      <c r="C78" s="36"/>
      <c r="D78" s="36"/>
      <c r="E78" s="36"/>
      <c r="F78" s="36"/>
      <c r="G78" s="88"/>
      <c r="H78" s="103">
        <v>73</v>
      </c>
      <c r="I78" s="104" t="str">
        <f t="shared" si="9"/>
        <v/>
      </c>
      <c r="J78" s="103">
        <f t="shared" si="10"/>
        <v>-1</v>
      </c>
      <c r="K78" s="103">
        <f t="shared" si="11"/>
        <v>-10</v>
      </c>
      <c r="L78" s="103"/>
      <c r="M78" s="105">
        <f t="shared" si="12"/>
        <v>0</v>
      </c>
      <c r="N78" s="105">
        <f t="shared" si="13"/>
        <v>0</v>
      </c>
      <c r="O78" s="88"/>
      <c r="P78" s="88"/>
      <c r="Q78" s="88"/>
      <c r="R78" s="88"/>
      <c r="S78" s="117"/>
      <c r="T78" s="118"/>
    </row>
    <row r="79" spans="1:20" s="93" customFormat="1">
      <c r="A79" s="106">
        <f t="shared" si="8"/>
        <v>0</v>
      </c>
      <c r="B79" s="41" t="str">
        <f t="shared" si="14"/>
        <v/>
      </c>
      <c r="C79" s="42"/>
      <c r="D79" s="42"/>
      <c r="E79" s="42"/>
      <c r="F79" s="42"/>
      <c r="G79" s="88"/>
      <c r="H79" s="107">
        <v>74</v>
      </c>
      <c r="I79" s="108" t="str">
        <f t="shared" si="9"/>
        <v/>
      </c>
      <c r="J79" s="107">
        <f t="shared" si="10"/>
        <v>-1</v>
      </c>
      <c r="K79" s="107">
        <f t="shared" si="11"/>
        <v>-10</v>
      </c>
      <c r="L79" s="107"/>
      <c r="M79" s="109">
        <f t="shared" si="12"/>
        <v>0</v>
      </c>
      <c r="N79" s="109">
        <f t="shared" si="13"/>
        <v>0</v>
      </c>
      <c r="O79" s="88"/>
      <c r="P79" s="88"/>
      <c r="Q79" s="88"/>
      <c r="R79" s="88"/>
      <c r="S79" s="88"/>
    </row>
    <row r="80" spans="1:20" s="93" customFormat="1">
      <c r="A80" s="102">
        <f t="shared" si="8"/>
        <v>0</v>
      </c>
      <c r="B80" s="35" t="str">
        <f t="shared" si="14"/>
        <v/>
      </c>
      <c r="C80" s="36"/>
      <c r="D80" s="36"/>
      <c r="E80" s="36"/>
      <c r="F80" s="36"/>
      <c r="G80" s="88"/>
      <c r="H80" s="103">
        <v>75</v>
      </c>
      <c r="I80" s="104" t="str">
        <f t="shared" si="9"/>
        <v/>
      </c>
      <c r="J80" s="103">
        <f t="shared" si="10"/>
        <v>-1</v>
      </c>
      <c r="K80" s="103">
        <f t="shared" si="11"/>
        <v>-10</v>
      </c>
      <c r="L80" s="103"/>
      <c r="M80" s="105">
        <f t="shared" si="12"/>
        <v>0</v>
      </c>
      <c r="N80" s="105">
        <f t="shared" si="13"/>
        <v>0</v>
      </c>
      <c r="O80" s="88"/>
      <c r="P80" s="88"/>
      <c r="Q80" s="88"/>
      <c r="R80" s="88"/>
      <c r="S80" s="117"/>
      <c r="T80" s="118"/>
    </row>
    <row r="81" spans="1:20" s="93" customFormat="1">
      <c r="A81" s="106">
        <f t="shared" si="8"/>
        <v>0</v>
      </c>
      <c r="B81" s="41" t="str">
        <f t="shared" si="14"/>
        <v/>
      </c>
      <c r="C81" s="42"/>
      <c r="D81" s="42"/>
      <c r="E81" s="42"/>
      <c r="F81" s="42"/>
      <c r="G81" s="88"/>
      <c r="H81" s="107">
        <v>76</v>
      </c>
      <c r="I81" s="108" t="str">
        <f t="shared" si="9"/>
        <v/>
      </c>
      <c r="J81" s="107">
        <f t="shared" si="10"/>
        <v>-1</v>
      </c>
      <c r="K81" s="107">
        <f t="shared" si="11"/>
        <v>-10</v>
      </c>
      <c r="L81" s="107"/>
      <c r="M81" s="109">
        <f t="shared" si="12"/>
        <v>0</v>
      </c>
      <c r="N81" s="109">
        <f t="shared" si="13"/>
        <v>0</v>
      </c>
      <c r="O81" s="88"/>
      <c r="P81" s="88"/>
      <c r="Q81" s="88"/>
      <c r="R81" s="88"/>
      <c r="S81" s="88"/>
    </row>
    <row r="82" spans="1:20" s="93" customFormat="1">
      <c r="A82" s="102">
        <f t="shared" si="8"/>
        <v>0</v>
      </c>
      <c r="B82" s="35" t="str">
        <f t="shared" si="14"/>
        <v/>
      </c>
      <c r="C82" s="36"/>
      <c r="D82" s="36"/>
      <c r="E82" s="36"/>
      <c r="F82" s="36"/>
      <c r="G82" s="88"/>
      <c r="H82" s="103">
        <v>77</v>
      </c>
      <c r="I82" s="104" t="str">
        <f t="shared" si="9"/>
        <v/>
      </c>
      <c r="J82" s="103">
        <f t="shared" si="10"/>
        <v>-1</v>
      </c>
      <c r="K82" s="103">
        <f t="shared" si="11"/>
        <v>-10</v>
      </c>
      <c r="L82" s="103"/>
      <c r="M82" s="105">
        <f t="shared" si="12"/>
        <v>0</v>
      </c>
      <c r="N82" s="105">
        <f t="shared" si="13"/>
        <v>0</v>
      </c>
      <c r="O82" s="88"/>
      <c r="P82" s="88"/>
      <c r="Q82" s="88"/>
      <c r="R82" s="88"/>
      <c r="S82" s="117"/>
      <c r="T82" s="118"/>
    </row>
    <row r="83" spans="1:20" s="93" customFormat="1">
      <c r="A83" s="106">
        <f t="shared" si="8"/>
        <v>0</v>
      </c>
      <c r="B83" s="41" t="str">
        <f t="shared" si="14"/>
        <v/>
      </c>
      <c r="C83" s="42"/>
      <c r="D83" s="42"/>
      <c r="E83" s="42"/>
      <c r="F83" s="42"/>
      <c r="G83" s="88"/>
      <c r="H83" s="107">
        <v>78</v>
      </c>
      <c r="I83" s="108" t="str">
        <f t="shared" si="9"/>
        <v/>
      </c>
      <c r="J83" s="107">
        <f t="shared" si="10"/>
        <v>-1</v>
      </c>
      <c r="K83" s="107">
        <f t="shared" si="11"/>
        <v>-10</v>
      </c>
      <c r="L83" s="107"/>
      <c r="M83" s="109">
        <f t="shared" si="12"/>
        <v>0</v>
      </c>
      <c r="N83" s="109">
        <f t="shared" si="13"/>
        <v>0</v>
      </c>
      <c r="O83" s="88"/>
      <c r="P83" s="88"/>
      <c r="Q83" s="88"/>
      <c r="R83" s="88"/>
      <c r="S83" s="88"/>
    </row>
    <row r="84" spans="1:20" s="93" customFormat="1">
      <c r="A84" s="102">
        <f t="shared" si="8"/>
        <v>0</v>
      </c>
      <c r="B84" s="35" t="str">
        <f t="shared" si="14"/>
        <v/>
      </c>
      <c r="C84" s="36"/>
      <c r="D84" s="36"/>
      <c r="E84" s="36"/>
      <c r="F84" s="36"/>
      <c r="G84" s="88"/>
      <c r="H84" s="103">
        <v>79</v>
      </c>
      <c r="I84" s="104" t="str">
        <f t="shared" si="9"/>
        <v/>
      </c>
      <c r="J84" s="103">
        <f t="shared" si="10"/>
        <v>-1</v>
      </c>
      <c r="K84" s="103">
        <f t="shared" si="11"/>
        <v>-10</v>
      </c>
      <c r="L84" s="103"/>
      <c r="M84" s="105">
        <f t="shared" si="12"/>
        <v>0</v>
      </c>
      <c r="N84" s="105">
        <f t="shared" si="13"/>
        <v>0</v>
      </c>
      <c r="O84" s="88"/>
      <c r="P84" s="88"/>
      <c r="Q84" s="88"/>
      <c r="R84" s="88"/>
      <c r="S84" s="117"/>
      <c r="T84" s="118"/>
    </row>
    <row r="85" spans="1:20" s="93" customFormat="1">
      <c r="A85" s="106">
        <f t="shared" si="8"/>
        <v>0</v>
      </c>
      <c r="B85" s="41" t="str">
        <f t="shared" si="14"/>
        <v/>
      </c>
      <c r="C85" s="42"/>
      <c r="D85" s="42"/>
      <c r="E85" s="42"/>
      <c r="F85" s="42"/>
      <c r="G85" s="88"/>
      <c r="H85" s="107">
        <v>80</v>
      </c>
      <c r="I85" s="108" t="str">
        <f t="shared" si="9"/>
        <v/>
      </c>
      <c r="J85" s="107">
        <f t="shared" si="10"/>
        <v>-1</v>
      </c>
      <c r="K85" s="107">
        <f t="shared" si="11"/>
        <v>-10</v>
      </c>
      <c r="L85" s="107"/>
      <c r="M85" s="109">
        <f t="shared" si="12"/>
        <v>0</v>
      </c>
      <c r="N85" s="109">
        <f t="shared" si="13"/>
        <v>0</v>
      </c>
      <c r="O85" s="88"/>
      <c r="P85" s="88"/>
      <c r="Q85" s="88"/>
      <c r="R85" s="88"/>
      <c r="S85" s="88"/>
    </row>
    <row r="86" spans="1:20" s="93" customFormat="1">
      <c r="A86" s="102">
        <f t="shared" si="8"/>
        <v>0</v>
      </c>
      <c r="B86" s="35" t="str">
        <f t="shared" si="14"/>
        <v/>
      </c>
      <c r="C86" s="36"/>
      <c r="D86" s="36"/>
      <c r="E86" s="36"/>
      <c r="F86" s="36"/>
      <c r="G86" s="88"/>
      <c r="H86" s="103">
        <v>81</v>
      </c>
      <c r="I86" s="104" t="str">
        <f t="shared" si="9"/>
        <v/>
      </c>
      <c r="J86" s="103">
        <f t="shared" si="10"/>
        <v>-1</v>
      </c>
      <c r="K86" s="103">
        <f t="shared" si="11"/>
        <v>-10</v>
      </c>
      <c r="L86" s="103"/>
      <c r="M86" s="105">
        <f t="shared" si="12"/>
        <v>0</v>
      </c>
      <c r="N86" s="105">
        <f t="shared" si="13"/>
        <v>0</v>
      </c>
      <c r="O86" s="88"/>
      <c r="P86" s="88"/>
      <c r="Q86" s="88"/>
      <c r="R86" s="88"/>
      <c r="S86" s="117"/>
      <c r="T86" s="118"/>
    </row>
    <row r="87" spans="1:20" s="93" customFormat="1">
      <c r="A87" s="106">
        <f t="shared" si="8"/>
        <v>0</v>
      </c>
      <c r="B87" s="41" t="str">
        <f t="shared" si="14"/>
        <v/>
      </c>
      <c r="C87" s="42"/>
      <c r="D87" s="42"/>
      <c r="E87" s="42"/>
      <c r="F87" s="42"/>
      <c r="G87" s="88"/>
      <c r="H87" s="107">
        <v>82</v>
      </c>
      <c r="I87" s="108" t="str">
        <f t="shared" si="9"/>
        <v/>
      </c>
      <c r="J87" s="107">
        <f t="shared" si="10"/>
        <v>-1</v>
      </c>
      <c r="K87" s="107">
        <f t="shared" si="11"/>
        <v>-10</v>
      </c>
      <c r="L87" s="107"/>
      <c r="M87" s="109">
        <f t="shared" si="12"/>
        <v>0</v>
      </c>
      <c r="N87" s="109">
        <f t="shared" si="13"/>
        <v>0</v>
      </c>
      <c r="O87" s="88"/>
      <c r="P87" s="88"/>
      <c r="Q87" s="88"/>
      <c r="R87" s="88"/>
      <c r="S87" s="88"/>
    </row>
    <row r="88" spans="1:20" s="93" customFormat="1">
      <c r="A88" s="102">
        <f t="shared" si="8"/>
        <v>0</v>
      </c>
      <c r="B88" s="35" t="str">
        <f t="shared" si="14"/>
        <v/>
      </c>
      <c r="C88" s="36"/>
      <c r="D88" s="36"/>
      <c r="E88" s="36"/>
      <c r="F88" s="36"/>
      <c r="G88" s="88"/>
      <c r="H88" s="103">
        <v>83</v>
      </c>
      <c r="I88" s="104" t="str">
        <f t="shared" si="9"/>
        <v/>
      </c>
      <c r="J88" s="103">
        <f t="shared" si="10"/>
        <v>-1</v>
      </c>
      <c r="K88" s="103">
        <f t="shared" si="11"/>
        <v>-10</v>
      </c>
      <c r="L88" s="103"/>
      <c r="M88" s="105">
        <f t="shared" si="12"/>
        <v>0</v>
      </c>
      <c r="N88" s="105">
        <f t="shared" si="13"/>
        <v>0</v>
      </c>
      <c r="O88" s="88"/>
      <c r="P88" s="88"/>
      <c r="Q88" s="88"/>
      <c r="R88" s="88"/>
      <c r="S88" s="117"/>
      <c r="T88" s="118"/>
    </row>
    <row r="89" spans="1:20" s="93" customFormat="1">
      <c r="A89" s="106">
        <f t="shared" si="8"/>
        <v>0</v>
      </c>
      <c r="B89" s="41" t="str">
        <f t="shared" si="14"/>
        <v/>
      </c>
      <c r="C89" s="42"/>
      <c r="D89" s="42"/>
      <c r="E89" s="42"/>
      <c r="F89" s="42"/>
      <c r="G89" s="88"/>
      <c r="H89" s="107">
        <v>84</v>
      </c>
      <c r="I89" s="108" t="str">
        <f t="shared" si="9"/>
        <v/>
      </c>
      <c r="J89" s="107">
        <f t="shared" si="10"/>
        <v>-1</v>
      </c>
      <c r="K89" s="107">
        <f t="shared" si="11"/>
        <v>-10</v>
      </c>
      <c r="L89" s="107"/>
      <c r="M89" s="109">
        <f t="shared" si="12"/>
        <v>0</v>
      </c>
      <c r="N89" s="109">
        <f t="shared" si="13"/>
        <v>0</v>
      </c>
      <c r="O89" s="88"/>
      <c r="P89" s="88"/>
      <c r="Q89" s="88"/>
      <c r="R89" s="88"/>
      <c r="S89" s="88"/>
    </row>
    <row r="90" spans="1:20" s="93" customFormat="1">
      <c r="A90" s="102">
        <f t="shared" si="8"/>
        <v>0</v>
      </c>
      <c r="B90" s="35" t="str">
        <f t="shared" si="14"/>
        <v/>
      </c>
      <c r="C90" s="36"/>
      <c r="D90" s="36"/>
      <c r="E90" s="36"/>
      <c r="F90" s="36"/>
      <c r="G90" s="88"/>
      <c r="H90" s="103">
        <v>85</v>
      </c>
      <c r="I90" s="104" t="str">
        <f t="shared" si="9"/>
        <v/>
      </c>
      <c r="J90" s="103">
        <f t="shared" si="10"/>
        <v>-1</v>
      </c>
      <c r="K90" s="103">
        <f t="shared" si="11"/>
        <v>-10</v>
      </c>
      <c r="L90" s="103"/>
      <c r="M90" s="105">
        <f t="shared" si="12"/>
        <v>0</v>
      </c>
      <c r="N90" s="105">
        <f t="shared" si="13"/>
        <v>0</v>
      </c>
      <c r="O90" s="88"/>
      <c r="P90" s="88"/>
      <c r="Q90" s="88"/>
      <c r="R90" s="88"/>
      <c r="S90" s="117"/>
      <c r="T90" s="118"/>
    </row>
    <row r="91" spans="1:20" s="93" customFormat="1">
      <c r="A91" s="106">
        <f t="shared" si="8"/>
        <v>0</v>
      </c>
      <c r="B91" s="41" t="str">
        <f t="shared" si="14"/>
        <v/>
      </c>
      <c r="C91" s="42"/>
      <c r="D91" s="42"/>
      <c r="E91" s="42"/>
      <c r="F91" s="42"/>
      <c r="G91" s="88"/>
      <c r="H91" s="107">
        <v>86</v>
      </c>
      <c r="I91" s="108" t="str">
        <f t="shared" si="9"/>
        <v/>
      </c>
      <c r="J91" s="107">
        <f t="shared" si="10"/>
        <v>-1</v>
      </c>
      <c r="K91" s="107">
        <f t="shared" si="11"/>
        <v>-10</v>
      </c>
      <c r="L91" s="107"/>
      <c r="M91" s="109">
        <f t="shared" si="12"/>
        <v>0</v>
      </c>
      <c r="N91" s="109">
        <f t="shared" si="13"/>
        <v>0</v>
      </c>
      <c r="O91" s="88"/>
      <c r="P91" s="88"/>
      <c r="Q91" s="88"/>
      <c r="R91" s="88"/>
      <c r="S91" s="88"/>
    </row>
    <row r="92" spans="1:20" s="93" customFormat="1">
      <c r="A92" s="102">
        <f t="shared" si="8"/>
        <v>0</v>
      </c>
      <c r="B92" s="35" t="str">
        <f t="shared" si="14"/>
        <v/>
      </c>
      <c r="C92" s="36"/>
      <c r="D92" s="36"/>
      <c r="E92" s="36"/>
      <c r="F92" s="36"/>
      <c r="G92" s="88"/>
      <c r="H92" s="103">
        <v>87</v>
      </c>
      <c r="I92" s="104" t="str">
        <f t="shared" si="9"/>
        <v/>
      </c>
      <c r="J92" s="103">
        <f t="shared" si="10"/>
        <v>-1</v>
      </c>
      <c r="K92" s="103">
        <f t="shared" si="11"/>
        <v>-10</v>
      </c>
      <c r="L92" s="103"/>
      <c r="M92" s="105">
        <f t="shared" si="12"/>
        <v>0</v>
      </c>
      <c r="N92" s="105">
        <f t="shared" si="13"/>
        <v>0</v>
      </c>
      <c r="O92" s="88"/>
      <c r="P92" s="88"/>
      <c r="Q92" s="88"/>
      <c r="R92" s="88"/>
      <c r="S92" s="117"/>
      <c r="T92" s="118"/>
    </row>
    <row r="93" spans="1:20" s="93" customFormat="1">
      <c r="A93" s="106">
        <f t="shared" si="8"/>
        <v>0</v>
      </c>
      <c r="B93" s="41" t="str">
        <f t="shared" si="14"/>
        <v/>
      </c>
      <c r="C93" s="42"/>
      <c r="D93" s="42"/>
      <c r="E93" s="42"/>
      <c r="F93" s="42"/>
      <c r="G93" s="88"/>
      <c r="H93" s="107">
        <v>88</v>
      </c>
      <c r="I93" s="108" t="str">
        <f t="shared" si="9"/>
        <v/>
      </c>
      <c r="J93" s="107">
        <f t="shared" si="10"/>
        <v>-1</v>
      </c>
      <c r="K93" s="107">
        <f t="shared" si="11"/>
        <v>-10</v>
      </c>
      <c r="L93" s="107"/>
      <c r="M93" s="109">
        <f t="shared" si="12"/>
        <v>0</v>
      </c>
      <c r="N93" s="109">
        <f t="shared" si="13"/>
        <v>0</v>
      </c>
      <c r="O93" s="88"/>
      <c r="P93" s="88"/>
      <c r="Q93" s="88"/>
      <c r="R93" s="88"/>
      <c r="S93" s="88"/>
    </row>
    <row r="94" spans="1:20" s="93" customFormat="1">
      <c r="A94" s="102">
        <f t="shared" si="8"/>
        <v>0</v>
      </c>
      <c r="B94" s="35" t="str">
        <f t="shared" si="14"/>
        <v/>
      </c>
      <c r="C94" s="36"/>
      <c r="D94" s="36"/>
      <c r="E94" s="36"/>
      <c r="F94" s="36"/>
      <c r="G94" s="88"/>
      <c r="H94" s="103">
        <v>89</v>
      </c>
      <c r="I94" s="104" t="str">
        <f t="shared" si="9"/>
        <v/>
      </c>
      <c r="J94" s="103">
        <f t="shared" si="10"/>
        <v>-1</v>
      </c>
      <c r="K94" s="103">
        <f t="shared" si="11"/>
        <v>-10</v>
      </c>
      <c r="L94" s="103"/>
      <c r="M94" s="105">
        <f t="shared" si="12"/>
        <v>0</v>
      </c>
      <c r="N94" s="105">
        <f t="shared" si="13"/>
        <v>0</v>
      </c>
      <c r="O94" s="88"/>
      <c r="P94" s="88"/>
      <c r="Q94" s="88"/>
      <c r="R94" s="88"/>
      <c r="S94" s="117"/>
      <c r="T94" s="118"/>
    </row>
    <row r="95" spans="1:20" s="93" customFormat="1">
      <c r="A95" s="106">
        <f t="shared" si="8"/>
        <v>0</v>
      </c>
      <c r="B95" s="41" t="str">
        <f t="shared" si="14"/>
        <v/>
      </c>
      <c r="C95" s="42"/>
      <c r="D95" s="42"/>
      <c r="E95" s="42"/>
      <c r="F95" s="42"/>
      <c r="G95" s="88"/>
      <c r="H95" s="107">
        <v>90</v>
      </c>
      <c r="I95" s="108" t="str">
        <f t="shared" si="9"/>
        <v/>
      </c>
      <c r="J95" s="107">
        <f t="shared" si="10"/>
        <v>-1</v>
      </c>
      <c r="K95" s="107">
        <f t="shared" si="11"/>
        <v>-10</v>
      </c>
      <c r="L95" s="107"/>
      <c r="M95" s="109">
        <f t="shared" si="12"/>
        <v>0</v>
      </c>
      <c r="N95" s="109">
        <f t="shared" si="13"/>
        <v>0</v>
      </c>
      <c r="O95" s="88"/>
      <c r="P95" s="88"/>
      <c r="Q95" s="88"/>
      <c r="R95" s="88"/>
      <c r="S95" s="88"/>
    </row>
    <row r="96" spans="1:20" s="93" customFormat="1">
      <c r="A96" s="102">
        <f t="shared" si="8"/>
        <v>0</v>
      </c>
      <c r="B96" s="35" t="str">
        <f t="shared" si="14"/>
        <v/>
      </c>
      <c r="C96" s="36"/>
      <c r="D96" s="36"/>
      <c r="E96" s="36"/>
      <c r="F96" s="36"/>
      <c r="G96" s="88"/>
      <c r="H96" s="103">
        <v>91</v>
      </c>
      <c r="I96" s="104" t="str">
        <f t="shared" si="9"/>
        <v/>
      </c>
      <c r="J96" s="103">
        <f t="shared" si="10"/>
        <v>-1</v>
      </c>
      <c r="K96" s="103">
        <f t="shared" si="11"/>
        <v>-10</v>
      </c>
      <c r="L96" s="103"/>
      <c r="M96" s="105">
        <f t="shared" si="12"/>
        <v>0</v>
      </c>
      <c r="N96" s="105">
        <f t="shared" si="13"/>
        <v>0</v>
      </c>
      <c r="O96" s="88"/>
      <c r="P96" s="88"/>
      <c r="Q96" s="88"/>
      <c r="R96" s="88"/>
      <c r="S96" s="117"/>
      <c r="T96" s="118"/>
    </row>
    <row r="97" spans="1:20" s="93" customFormat="1">
      <c r="A97" s="106">
        <f t="shared" si="8"/>
        <v>0</v>
      </c>
      <c r="B97" s="41" t="str">
        <f t="shared" si="14"/>
        <v/>
      </c>
      <c r="C97" s="42"/>
      <c r="D97" s="42"/>
      <c r="E97" s="42"/>
      <c r="F97" s="42"/>
      <c r="G97" s="88"/>
      <c r="H97" s="107">
        <v>92</v>
      </c>
      <c r="I97" s="108" t="str">
        <f t="shared" si="9"/>
        <v/>
      </c>
      <c r="J97" s="107">
        <f t="shared" si="10"/>
        <v>-1</v>
      </c>
      <c r="K97" s="107">
        <f t="shared" si="11"/>
        <v>-10</v>
      </c>
      <c r="L97" s="107"/>
      <c r="M97" s="109">
        <f t="shared" si="12"/>
        <v>0</v>
      </c>
      <c r="N97" s="109">
        <f t="shared" si="13"/>
        <v>0</v>
      </c>
      <c r="O97" s="88"/>
      <c r="P97" s="88"/>
      <c r="Q97" s="88"/>
      <c r="R97" s="88"/>
      <c r="S97" s="88"/>
    </row>
    <row r="98" spans="1:20" s="93" customFormat="1">
      <c r="A98" s="102">
        <f t="shared" si="8"/>
        <v>0</v>
      </c>
      <c r="B98" s="35" t="str">
        <f t="shared" si="14"/>
        <v/>
      </c>
      <c r="C98" s="36"/>
      <c r="D98" s="36"/>
      <c r="E98" s="36"/>
      <c r="F98" s="36"/>
      <c r="G98" s="88"/>
      <c r="H98" s="103">
        <v>93</v>
      </c>
      <c r="I98" s="104" t="str">
        <f t="shared" si="9"/>
        <v/>
      </c>
      <c r="J98" s="103">
        <f t="shared" si="10"/>
        <v>-1</v>
      </c>
      <c r="K98" s="103">
        <f t="shared" si="11"/>
        <v>-10</v>
      </c>
      <c r="L98" s="103"/>
      <c r="M98" s="105">
        <f t="shared" si="12"/>
        <v>0</v>
      </c>
      <c r="N98" s="105">
        <f t="shared" si="13"/>
        <v>0</v>
      </c>
      <c r="O98" s="88"/>
      <c r="P98" s="88"/>
      <c r="Q98" s="88"/>
      <c r="R98" s="88"/>
      <c r="S98" s="117"/>
      <c r="T98" s="118"/>
    </row>
    <row r="99" spans="1:20" s="93" customFormat="1">
      <c r="A99" s="106">
        <f t="shared" si="8"/>
        <v>0</v>
      </c>
      <c r="B99" s="41" t="str">
        <f t="shared" si="14"/>
        <v/>
      </c>
      <c r="C99" s="42"/>
      <c r="D99" s="42"/>
      <c r="E99" s="42"/>
      <c r="F99" s="42"/>
      <c r="G99" s="88"/>
      <c r="H99" s="107">
        <v>94</v>
      </c>
      <c r="I99" s="108" t="str">
        <f t="shared" si="9"/>
        <v/>
      </c>
      <c r="J99" s="107">
        <f t="shared" si="10"/>
        <v>-1</v>
      </c>
      <c r="K99" s="107">
        <f t="shared" si="11"/>
        <v>-10</v>
      </c>
      <c r="L99" s="107"/>
      <c r="M99" s="109">
        <f t="shared" si="12"/>
        <v>0</v>
      </c>
      <c r="N99" s="109">
        <f t="shared" si="13"/>
        <v>0</v>
      </c>
      <c r="O99" s="88"/>
      <c r="P99" s="88"/>
      <c r="Q99" s="88"/>
      <c r="R99" s="88"/>
      <c r="S99" s="88"/>
    </row>
    <row r="100" spans="1:20" s="93" customFormat="1">
      <c r="A100" s="102">
        <f t="shared" si="8"/>
        <v>0</v>
      </c>
      <c r="B100" s="35" t="str">
        <f t="shared" si="14"/>
        <v/>
      </c>
      <c r="C100" s="36"/>
      <c r="D100" s="36"/>
      <c r="E100" s="36"/>
      <c r="F100" s="36"/>
      <c r="G100" s="88"/>
      <c r="H100" s="103">
        <v>95</v>
      </c>
      <c r="I100" s="104" t="str">
        <f t="shared" si="9"/>
        <v/>
      </c>
      <c r="J100" s="103">
        <f t="shared" si="10"/>
        <v>-1</v>
      </c>
      <c r="K100" s="103">
        <f t="shared" si="11"/>
        <v>-10</v>
      </c>
      <c r="L100" s="103"/>
      <c r="M100" s="105">
        <f t="shared" si="12"/>
        <v>0</v>
      </c>
      <c r="N100" s="105">
        <f t="shared" si="13"/>
        <v>0</v>
      </c>
      <c r="O100" s="88"/>
      <c r="P100" s="88"/>
      <c r="Q100" s="88"/>
      <c r="R100" s="88"/>
      <c r="S100" s="117"/>
      <c r="T100" s="118"/>
    </row>
    <row r="101" spans="1:20" s="93" customFormat="1">
      <c r="A101" s="106">
        <f t="shared" si="8"/>
        <v>0</v>
      </c>
      <c r="B101" s="41" t="str">
        <f t="shared" si="14"/>
        <v/>
      </c>
      <c r="C101" s="42"/>
      <c r="D101" s="42"/>
      <c r="E101" s="42"/>
      <c r="F101" s="42"/>
      <c r="G101" s="88"/>
      <c r="H101" s="107">
        <v>96</v>
      </c>
      <c r="I101" s="108" t="str">
        <f t="shared" si="9"/>
        <v/>
      </c>
      <c r="J101" s="107">
        <f t="shared" si="10"/>
        <v>-1</v>
      </c>
      <c r="K101" s="107">
        <f t="shared" si="11"/>
        <v>-10</v>
      </c>
      <c r="L101" s="107"/>
      <c r="M101" s="109">
        <f t="shared" si="12"/>
        <v>0</v>
      </c>
      <c r="N101" s="109">
        <f t="shared" si="13"/>
        <v>0</v>
      </c>
      <c r="O101" s="88"/>
      <c r="P101" s="88"/>
      <c r="Q101" s="88"/>
      <c r="R101" s="88"/>
      <c r="S101" s="88"/>
    </row>
    <row r="102" spans="1:20" s="93" customFormat="1">
      <c r="A102" s="102">
        <f t="shared" si="8"/>
        <v>0</v>
      </c>
      <c r="B102" s="35" t="str">
        <f t="shared" si="14"/>
        <v/>
      </c>
      <c r="C102" s="36"/>
      <c r="D102" s="36"/>
      <c r="E102" s="36"/>
      <c r="F102" s="36"/>
      <c r="G102" s="88"/>
      <c r="H102" s="103">
        <v>97</v>
      </c>
      <c r="I102" s="104" t="str">
        <f t="shared" si="9"/>
        <v/>
      </c>
      <c r="J102" s="103">
        <f t="shared" si="10"/>
        <v>-1</v>
      </c>
      <c r="K102" s="103">
        <f t="shared" si="11"/>
        <v>-10</v>
      </c>
      <c r="L102" s="103"/>
      <c r="M102" s="105">
        <f t="shared" si="12"/>
        <v>0</v>
      </c>
      <c r="N102" s="105">
        <f t="shared" si="13"/>
        <v>0</v>
      </c>
      <c r="O102" s="88"/>
      <c r="P102" s="88"/>
      <c r="Q102" s="88"/>
      <c r="R102" s="88"/>
      <c r="S102" s="117"/>
      <c r="T102" s="118"/>
    </row>
    <row r="103" spans="1:20" s="93" customFormat="1">
      <c r="A103" s="106">
        <f t="shared" si="8"/>
        <v>0</v>
      </c>
      <c r="B103" s="41" t="str">
        <f t="shared" si="14"/>
        <v/>
      </c>
      <c r="C103" s="42"/>
      <c r="D103" s="42"/>
      <c r="E103" s="42"/>
      <c r="F103" s="42"/>
      <c r="G103" s="88"/>
      <c r="H103" s="107">
        <v>98</v>
      </c>
      <c r="I103" s="108" t="str">
        <f t="shared" si="9"/>
        <v/>
      </c>
      <c r="J103" s="107">
        <f t="shared" si="10"/>
        <v>-1</v>
      </c>
      <c r="K103" s="107">
        <f t="shared" si="11"/>
        <v>-10</v>
      </c>
      <c r="L103" s="107"/>
      <c r="M103" s="109">
        <f t="shared" si="12"/>
        <v>0</v>
      </c>
      <c r="N103" s="109">
        <f t="shared" si="13"/>
        <v>0</v>
      </c>
      <c r="O103" s="88"/>
      <c r="P103" s="88"/>
      <c r="Q103" s="88"/>
      <c r="R103" s="88"/>
      <c r="S103" s="88"/>
    </row>
    <row r="104" spans="1:20" s="93" customFormat="1">
      <c r="A104" s="102">
        <f t="shared" si="8"/>
        <v>0</v>
      </c>
      <c r="B104" s="35" t="str">
        <f t="shared" si="14"/>
        <v/>
      </c>
      <c r="C104" s="36"/>
      <c r="D104" s="36"/>
      <c r="E104" s="36"/>
      <c r="F104" s="36"/>
      <c r="G104" s="88"/>
      <c r="H104" s="103">
        <v>99</v>
      </c>
      <c r="I104" s="104" t="str">
        <f t="shared" si="9"/>
        <v/>
      </c>
      <c r="J104" s="103">
        <f t="shared" si="10"/>
        <v>-1</v>
      </c>
      <c r="K104" s="103">
        <f t="shared" si="11"/>
        <v>-10</v>
      </c>
      <c r="L104" s="103"/>
      <c r="M104" s="105">
        <f t="shared" si="12"/>
        <v>0</v>
      </c>
      <c r="N104" s="105">
        <f t="shared" si="13"/>
        <v>0</v>
      </c>
      <c r="O104" s="88"/>
      <c r="P104" s="88"/>
      <c r="Q104" s="88"/>
      <c r="R104" s="88"/>
      <c r="S104" s="117"/>
      <c r="T104" s="118"/>
    </row>
    <row r="105" spans="1:20" s="93" customFormat="1">
      <c r="A105" s="106">
        <f t="shared" si="8"/>
        <v>0</v>
      </c>
      <c r="B105" s="41" t="str">
        <f t="shared" si="14"/>
        <v/>
      </c>
      <c r="C105" s="42"/>
      <c r="D105" s="42"/>
      <c r="E105" s="42"/>
      <c r="F105" s="42"/>
      <c r="G105" s="88"/>
      <c r="H105" s="107">
        <v>100</v>
      </c>
      <c r="I105" s="108" t="str">
        <f t="shared" si="9"/>
        <v/>
      </c>
      <c r="J105" s="107">
        <f t="shared" si="10"/>
        <v>-1</v>
      </c>
      <c r="K105" s="107">
        <f t="shared" si="11"/>
        <v>-10</v>
      </c>
      <c r="L105" s="107"/>
      <c r="M105" s="109">
        <f t="shared" si="12"/>
        <v>0</v>
      </c>
      <c r="N105" s="109">
        <f t="shared" si="13"/>
        <v>0</v>
      </c>
      <c r="O105" s="88"/>
      <c r="P105" s="88"/>
      <c r="Q105" s="88"/>
      <c r="R105" s="88"/>
      <c r="S105" s="88"/>
    </row>
    <row r="106" spans="1:20" s="93" customFormat="1">
      <c r="A106" s="102">
        <f t="shared" si="8"/>
        <v>0</v>
      </c>
      <c r="B106" s="35" t="str">
        <f t="shared" si="14"/>
        <v/>
      </c>
      <c r="C106" s="36"/>
      <c r="D106" s="36"/>
      <c r="E106" s="36"/>
      <c r="F106" s="36"/>
      <c r="G106" s="88"/>
      <c r="H106" s="103">
        <v>101</v>
      </c>
      <c r="I106" s="104" t="str">
        <f t="shared" si="9"/>
        <v/>
      </c>
      <c r="J106" s="103">
        <f t="shared" si="10"/>
        <v>-1</v>
      </c>
      <c r="K106" s="103">
        <f t="shared" si="11"/>
        <v>-10</v>
      </c>
      <c r="L106" s="103"/>
      <c r="M106" s="105">
        <f t="shared" si="12"/>
        <v>0</v>
      </c>
      <c r="N106" s="105">
        <f t="shared" si="13"/>
        <v>0</v>
      </c>
      <c r="O106" s="88"/>
      <c r="P106" s="88"/>
      <c r="Q106" s="88"/>
      <c r="R106" s="88"/>
      <c r="S106" s="117"/>
      <c r="T106" s="118"/>
    </row>
    <row r="107" spans="1:20" s="93" customFormat="1">
      <c r="A107" s="106">
        <f t="shared" si="8"/>
        <v>0</v>
      </c>
      <c r="B107" s="41" t="str">
        <f t="shared" si="14"/>
        <v/>
      </c>
      <c r="C107" s="42"/>
      <c r="D107" s="42"/>
      <c r="E107" s="42"/>
      <c r="F107" s="42"/>
      <c r="G107" s="88"/>
      <c r="H107" s="107">
        <v>102</v>
      </c>
      <c r="I107" s="108" t="str">
        <f t="shared" si="9"/>
        <v/>
      </c>
      <c r="J107" s="107">
        <f t="shared" si="10"/>
        <v>-1</v>
      </c>
      <c r="K107" s="107">
        <f t="shared" si="11"/>
        <v>-10</v>
      </c>
      <c r="L107" s="107"/>
      <c r="M107" s="109">
        <f t="shared" si="12"/>
        <v>0</v>
      </c>
      <c r="N107" s="109">
        <f t="shared" si="13"/>
        <v>0</v>
      </c>
      <c r="O107" s="88"/>
      <c r="P107" s="88"/>
      <c r="Q107" s="88"/>
      <c r="R107" s="88"/>
      <c r="S107" s="88"/>
    </row>
    <row r="108" spans="1:20" s="93" customFormat="1">
      <c r="A108" s="102">
        <f t="shared" si="8"/>
        <v>0</v>
      </c>
      <c r="B108" s="35" t="str">
        <f t="shared" si="14"/>
        <v/>
      </c>
      <c r="C108" s="36"/>
      <c r="D108" s="36"/>
      <c r="E108" s="36"/>
      <c r="F108" s="36"/>
      <c r="G108" s="88"/>
      <c r="H108" s="103">
        <v>103</v>
      </c>
      <c r="I108" s="104" t="str">
        <f t="shared" si="9"/>
        <v/>
      </c>
      <c r="J108" s="103">
        <f t="shared" si="10"/>
        <v>-1</v>
      </c>
      <c r="K108" s="103">
        <f t="shared" si="11"/>
        <v>-10</v>
      </c>
      <c r="L108" s="103"/>
      <c r="M108" s="105">
        <f t="shared" si="12"/>
        <v>0</v>
      </c>
      <c r="N108" s="105">
        <f t="shared" si="13"/>
        <v>0</v>
      </c>
      <c r="O108" s="88"/>
      <c r="P108" s="88"/>
      <c r="Q108" s="88"/>
      <c r="R108" s="88"/>
      <c r="S108" s="117"/>
      <c r="T108" s="118"/>
    </row>
    <row r="109" spans="1:20" s="93" customFormat="1">
      <c r="A109" s="106">
        <f t="shared" si="8"/>
        <v>0</v>
      </c>
      <c r="B109" s="41" t="str">
        <f t="shared" si="14"/>
        <v/>
      </c>
      <c r="C109" s="42"/>
      <c r="D109" s="42"/>
      <c r="E109" s="42"/>
      <c r="F109" s="42"/>
      <c r="G109" s="88"/>
      <c r="H109" s="107">
        <v>104</v>
      </c>
      <c r="I109" s="108" t="str">
        <f t="shared" si="9"/>
        <v/>
      </c>
      <c r="J109" s="107">
        <f t="shared" si="10"/>
        <v>-1</v>
      </c>
      <c r="K109" s="107">
        <f t="shared" si="11"/>
        <v>-10</v>
      </c>
      <c r="L109" s="107"/>
      <c r="M109" s="109">
        <f t="shared" si="12"/>
        <v>0</v>
      </c>
      <c r="N109" s="109">
        <f t="shared" si="13"/>
        <v>0</v>
      </c>
      <c r="O109" s="88"/>
      <c r="P109" s="88"/>
      <c r="Q109" s="88"/>
      <c r="R109" s="88"/>
      <c r="S109" s="88"/>
    </row>
    <row r="110" spans="1:20" s="93" customFormat="1">
      <c r="A110" s="102">
        <f t="shared" si="8"/>
        <v>0</v>
      </c>
      <c r="B110" s="35" t="str">
        <f t="shared" si="14"/>
        <v/>
      </c>
      <c r="C110" s="36"/>
      <c r="D110" s="36"/>
      <c r="E110" s="36"/>
      <c r="F110" s="36"/>
      <c r="G110" s="88"/>
      <c r="H110" s="103">
        <v>105</v>
      </c>
      <c r="I110" s="104" t="str">
        <f t="shared" si="9"/>
        <v/>
      </c>
      <c r="J110" s="103">
        <f t="shared" si="10"/>
        <v>-1</v>
      </c>
      <c r="K110" s="103">
        <f t="shared" si="11"/>
        <v>-10</v>
      </c>
      <c r="L110" s="103"/>
      <c r="M110" s="105">
        <f t="shared" si="12"/>
        <v>0</v>
      </c>
      <c r="N110" s="105">
        <f t="shared" si="13"/>
        <v>0</v>
      </c>
      <c r="O110" s="88"/>
      <c r="P110" s="88"/>
      <c r="Q110" s="88"/>
      <c r="R110" s="88"/>
      <c r="S110" s="117"/>
      <c r="T110" s="118"/>
    </row>
    <row r="111" spans="1:20" s="93" customFormat="1">
      <c r="A111" s="106">
        <f t="shared" si="8"/>
        <v>0</v>
      </c>
      <c r="B111" s="41" t="str">
        <f t="shared" si="14"/>
        <v/>
      </c>
      <c r="C111" s="42"/>
      <c r="D111" s="42"/>
      <c r="E111" s="42"/>
      <c r="F111" s="42"/>
      <c r="G111" s="88"/>
      <c r="H111" s="107">
        <v>106</v>
      </c>
      <c r="I111" s="108" t="str">
        <f t="shared" si="9"/>
        <v/>
      </c>
      <c r="J111" s="107">
        <f t="shared" si="10"/>
        <v>-1</v>
      </c>
      <c r="K111" s="107">
        <f t="shared" si="11"/>
        <v>-10</v>
      </c>
      <c r="L111" s="107"/>
      <c r="M111" s="109">
        <f t="shared" si="12"/>
        <v>0</v>
      </c>
      <c r="N111" s="109">
        <f t="shared" si="13"/>
        <v>0</v>
      </c>
      <c r="O111" s="88"/>
      <c r="P111" s="88"/>
      <c r="Q111" s="88"/>
      <c r="R111" s="88"/>
      <c r="S111" s="88"/>
    </row>
    <row r="112" spans="1:20" s="93" customFormat="1">
      <c r="A112" s="102">
        <f t="shared" si="8"/>
        <v>0</v>
      </c>
      <c r="B112" s="35" t="str">
        <f t="shared" si="14"/>
        <v/>
      </c>
      <c r="C112" s="36"/>
      <c r="D112" s="36"/>
      <c r="E112" s="36"/>
      <c r="F112" s="36"/>
      <c r="G112" s="88"/>
      <c r="H112" s="103">
        <v>107</v>
      </c>
      <c r="I112" s="104" t="str">
        <f t="shared" si="9"/>
        <v/>
      </c>
      <c r="J112" s="103">
        <f t="shared" si="10"/>
        <v>-1</v>
      </c>
      <c r="K112" s="103">
        <f t="shared" si="11"/>
        <v>-10</v>
      </c>
      <c r="L112" s="103"/>
      <c r="M112" s="105">
        <f t="shared" si="12"/>
        <v>0</v>
      </c>
      <c r="N112" s="105">
        <f t="shared" si="13"/>
        <v>0</v>
      </c>
      <c r="O112" s="88"/>
      <c r="P112" s="88"/>
      <c r="Q112" s="88"/>
      <c r="R112" s="88"/>
      <c r="S112" s="117"/>
      <c r="T112" s="118"/>
    </row>
    <row r="113" spans="1:20" s="93" customFormat="1">
      <c r="A113" s="106">
        <f t="shared" si="8"/>
        <v>0</v>
      </c>
      <c r="B113" s="41" t="str">
        <f t="shared" si="14"/>
        <v/>
      </c>
      <c r="C113" s="42"/>
      <c r="D113" s="42"/>
      <c r="E113" s="42"/>
      <c r="F113" s="42"/>
      <c r="G113" s="88"/>
      <c r="H113" s="107">
        <v>108</v>
      </c>
      <c r="I113" s="108" t="str">
        <f t="shared" si="9"/>
        <v/>
      </c>
      <c r="J113" s="107">
        <f t="shared" si="10"/>
        <v>-1</v>
      </c>
      <c r="K113" s="107">
        <f t="shared" si="11"/>
        <v>-10</v>
      </c>
      <c r="L113" s="107"/>
      <c r="M113" s="109">
        <f t="shared" si="12"/>
        <v>0</v>
      </c>
      <c r="N113" s="109">
        <f t="shared" si="13"/>
        <v>0</v>
      </c>
      <c r="O113" s="88"/>
      <c r="P113" s="88"/>
      <c r="Q113" s="88"/>
      <c r="R113" s="88"/>
      <c r="S113" s="88"/>
    </row>
    <row r="114" spans="1:20" s="93" customFormat="1">
      <c r="A114" s="102">
        <f t="shared" si="8"/>
        <v>0</v>
      </c>
      <c r="B114" s="35" t="str">
        <f t="shared" si="14"/>
        <v/>
      </c>
      <c r="C114" s="36"/>
      <c r="D114" s="36"/>
      <c r="E114" s="36"/>
      <c r="F114" s="36"/>
      <c r="G114" s="88"/>
      <c r="H114" s="103">
        <v>109</v>
      </c>
      <c r="I114" s="104" t="str">
        <f t="shared" si="9"/>
        <v/>
      </c>
      <c r="J114" s="103">
        <f t="shared" si="10"/>
        <v>-1</v>
      </c>
      <c r="K114" s="103">
        <f t="shared" si="11"/>
        <v>-10</v>
      </c>
      <c r="L114" s="103"/>
      <c r="M114" s="105">
        <f t="shared" si="12"/>
        <v>0</v>
      </c>
      <c r="N114" s="105">
        <f t="shared" si="13"/>
        <v>0</v>
      </c>
      <c r="O114" s="88"/>
      <c r="P114" s="88"/>
      <c r="Q114" s="88"/>
      <c r="R114" s="88"/>
      <c r="S114" s="117"/>
      <c r="T114" s="118"/>
    </row>
    <row r="115" spans="1:20" s="93" customFormat="1">
      <c r="A115" s="106">
        <f t="shared" si="8"/>
        <v>0</v>
      </c>
      <c r="B115" s="41" t="str">
        <f t="shared" si="14"/>
        <v/>
      </c>
      <c r="C115" s="42"/>
      <c r="D115" s="42"/>
      <c r="E115" s="42"/>
      <c r="F115" s="42"/>
      <c r="G115" s="88"/>
      <c r="H115" s="107">
        <v>110</v>
      </c>
      <c r="I115" s="108" t="str">
        <f t="shared" si="9"/>
        <v/>
      </c>
      <c r="J115" s="107">
        <f t="shared" si="10"/>
        <v>-1</v>
      </c>
      <c r="K115" s="107">
        <f t="shared" si="11"/>
        <v>-10</v>
      </c>
      <c r="L115" s="107"/>
      <c r="M115" s="109">
        <f t="shared" si="12"/>
        <v>0</v>
      </c>
      <c r="N115" s="109">
        <f t="shared" si="13"/>
        <v>0</v>
      </c>
      <c r="O115" s="88"/>
      <c r="P115" s="88"/>
      <c r="Q115" s="88"/>
      <c r="R115" s="88"/>
      <c r="S115" s="88"/>
    </row>
    <row r="116" spans="1:20" s="93" customFormat="1">
      <c r="A116" s="102">
        <f t="shared" si="8"/>
        <v>0</v>
      </c>
      <c r="B116" s="35" t="str">
        <f t="shared" si="14"/>
        <v/>
      </c>
      <c r="C116" s="36"/>
      <c r="D116" s="36"/>
      <c r="E116" s="36"/>
      <c r="F116" s="36"/>
      <c r="G116" s="88"/>
      <c r="H116" s="103">
        <v>111</v>
      </c>
      <c r="I116" s="104" t="str">
        <f t="shared" si="9"/>
        <v/>
      </c>
      <c r="J116" s="103">
        <f t="shared" si="10"/>
        <v>-1</v>
      </c>
      <c r="K116" s="103">
        <f t="shared" si="11"/>
        <v>-10</v>
      </c>
      <c r="L116" s="103"/>
      <c r="M116" s="105">
        <f t="shared" si="12"/>
        <v>0</v>
      </c>
      <c r="N116" s="105">
        <f t="shared" si="13"/>
        <v>0</v>
      </c>
      <c r="O116" s="88"/>
      <c r="P116" s="88"/>
      <c r="Q116" s="88"/>
      <c r="R116" s="88"/>
      <c r="S116" s="117"/>
      <c r="T116" s="118"/>
    </row>
    <row r="117" spans="1:20" s="93" customFormat="1">
      <c r="A117" s="106">
        <f t="shared" si="8"/>
        <v>0</v>
      </c>
      <c r="B117" s="41" t="str">
        <f t="shared" si="14"/>
        <v/>
      </c>
      <c r="C117" s="42"/>
      <c r="D117" s="42"/>
      <c r="E117" s="42"/>
      <c r="F117" s="42"/>
      <c r="G117" s="88"/>
      <c r="H117" s="107">
        <v>112</v>
      </c>
      <c r="I117" s="108" t="str">
        <f t="shared" si="9"/>
        <v/>
      </c>
      <c r="J117" s="107">
        <f t="shared" si="10"/>
        <v>-1</v>
      </c>
      <c r="K117" s="107">
        <f t="shared" si="11"/>
        <v>-10</v>
      </c>
      <c r="L117" s="107"/>
      <c r="M117" s="109">
        <f t="shared" si="12"/>
        <v>0</v>
      </c>
      <c r="N117" s="109">
        <f t="shared" si="13"/>
        <v>0</v>
      </c>
      <c r="O117" s="88"/>
      <c r="P117" s="88"/>
      <c r="Q117" s="88"/>
      <c r="R117" s="88"/>
      <c r="S117" s="88"/>
    </row>
    <row r="118" spans="1:20" s="93" customFormat="1">
      <c r="A118" s="102">
        <f t="shared" si="8"/>
        <v>0</v>
      </c>
      <c r="B118" s="35" t="str">
        <f t="shared" si="14"/>
        <v/>
      </c>
      <c r="C118" s="36"/>
      <c r="D118" s="36"/>
      <c r="E118" s="36"/>
      <c r="F118" s="36"/>
      <c r="G118" s="88"/>
      <c r="H118" s="103">
        <v>113</v>
      </c>
      <c r="I118" s="104" t="str">
        <f t="shared" si="9"/>
        <v/>
      </c>
      <c r="J118" s="103">
        <f t="shared" si="10"/>
        <v>-1</v>
      </c>
      <c r="K118" s="103">
        <f t="shared" si="11"/>
        <v>-10</v>
      </c>
      <c r="L118" s="103"/>
      <c r="M118" s="105">
        <f t="shared" si="12"/>
        <v>0</v>
      </c>
      <c r="N118" s="105">
        <f t="shared" si="13"/>
        <v>0</v>
      </c>
      <c r="O118" s="88"/>
      <c r="P118" s="88"/>
      <c r="Q118" s="88"/>
      <c r="R118" s="88"/>
      <c r="S118" s="117"/>
      <c r="T118" s="118"/>
    </row>
    <row r="119" spans="1:20" s="93" customFormat="1">
      <c r="A119" s="106">
        <f t="shared" si="8"/>
        <v>0</v>
      </c>
      <c r="B119" s="41" t="str">
        <f t="shared" si="14"/>
        <v/>
      </c>
      <c r="C119" s="42"/>
      <c r="D119" s="42"/>
      <c r="E119" s="42"/>
      <c r="F119" s="42"/>
      <c r="G119" s="88"/>
      <c r="H119" s="107">
        <v>114</v>
      </c>
      <c r="I119" s="108" t="str">
        <f t="shared" si="9"/>
        <v/>
      </c>
      <c r="J119" s="107">
        <f t="shared" si="10"/>
        <v>-1</v>
      </c>
      <c r="K119" s="107">
        <f t="shared" si="11"/>
        <v>-10</v>
      </c>
      <c r="L119" s="107"/>
      <c r="M119" s="109">
        <f t="shared" si="12"/>
        <v>0</v>
      </c>
      <c r="N119" s="109">
        <f t="shared" si="13"/>
        <v>0</v>
      </c>
      <c r="O119" s="88"/>
      <c r="P119" s="88"/>
      <c r="Q119" s="88"/>
      <c r="R119" s="88"/>
      <c r="S119" s="88"/>
    </row>
    <row r="120" spans="1:20" s="93" customFormat="1">
      <c r="A120" s="102">
        <f t="shared" si="8"/>
        <v>0</v>
      </c>
      <c r="B120" s="35" t="str">
        <f t="shared" si="14"/>
        <v/>
      </c>
      <c r="C120" s="36"/>
      <c r="D120" s="36"/>
      <c r="E120" s="36"/>
      <c r="F120" s="36"/>
      <c r="G120" s="88"/>
      <c r="H120" s="103">
        <v>115</v>
      </c>
      <c r="I120" s="104" t="str">
        <f t="shared" si="9"/>
        <v/>
      </c>
      <c r="J120" s="103">
        <f t="shared" si="10"/>
        <v>-1</v>
      </c>
      <c r="K120" s="103">
        <f t="shared" si="11"/>
        <v>-10</v>
      </c>
      <c r="L120" s="103"/>
      <c r="M120" s="105">
        <f t="shared" si="12"/>
        <v>0</v>
      </c>
      <c r="N120" s="105">
        <f t="shared" si="13"/>
        <v>0</v>
      </c>
      <c r="O120" s="88"/>
      <c r="P120" s="88"/>
      <c r="Q120" s="88"/>
      <c r="R120" s="88"/>
      <c r="S120" s="117"/>
      <c r="T120" s="118"/>
    </row>
    <row r="121" spans="1:20" s="93" customFormat="1">
      <c r="A121" s="106">
        <f t="shared" si="8"/>
        <v>0</v>
      </c>
      <c r="B121" s="41" t="str">
        <f t="shared" si="14"/>
        <v/>
      </c>
      <c r="C121" s="42"/>
      <c r="D121" s="42"/>
      <c r="E121" s="42"/>
      <c r="F121" s="42"/>
      <c r="G121" s="88"/>
      <c r="H121" s="107">
        <v>116</v>
      </c>
      <c r="I121" s="108" t="str">
        <f t="shared" si="9"/>
        <v/>
      </c>
      <c r="J121" s="107">
        <f t="shared" si="10"/>
        <v>-1</v>
      </c>
      <c r="K121" s="107">
        <f t="shared" si="11"/>
        <v>-10</v>
      </c>
      <c r="L121" s="107"/>
      <c r="M121" s="109">
        <f t="shared" si="12"/>
        <v>0</v>
      </c>
      <c r="N121" s="109">
        <f t="shared" si="13"/>
        <v>0</v>
      </c>
      <c r="O121" s="88"/>
      <c r="P121" s="88"/>
      <c r="Q121" s="88"/>
      <c r="R121" s="88"/>
      <c r="S121" s="88"/>
    </row>
    <row r="122" spans="1:20" s="93" customFormat="1">
      <c r="A122" s="102">
        <f t="shared" si="8"/>
        <v>0</v>
      </c>
      <c r="B122" s="35" t="str">
        <f t="shared" si="14"/>
        <v/>
      </c>
      <c r="C122" s="36"/>
      <c r="D122" s="36"/>
      <c r="E122" s="36"/>
      <c r="F122" s="36"/>
      <c r="G122" s="88"/>
      <c r="H122" s="103">
        <v>117</v>
      </c>
      <c r="I122" s="104" t="str">
        <f t="shared" si="9"/>
        <v/>
      </c>
      <c r="J122" s="103">
        <f t="shared" si="10"/>
        <v>-1</v>
      </c>
      <c r="K122" s="103">
        <f t="shared" si="11"/>
        <v>-10</v>
      </c>
      <c r="L122" s="103"/>
      <c r="M122" s="105">
        <f t="shared" si="12"/>
        <v>0</v>
      </c>
      <c r="N122" s="105">
        <f t="shared" si="13"/>
        <v>0</v>
      </c>
      <c r="O122" s="88"/>
      <c r="P122" s="88"/>
      <c r="Q122" s="88"/>
      <c r="R122" s="88"/>
      <c r="S122" s="117"/>
      <c r="T122" s="118"/>
    </row>
    <row r="123" spans="1:20" s="93" customFormat="1">
      <c r="A123" s="106">
        <f t="shared" si="8"/>
        <v>0</v>
      </c>
      <c r="B123" s="41" t="str">
        <f t="shared" si="14"/>
        <v/>
      </c>
      <c r="C123" s="42"/>
      <c r="D123" s="42"/>
      <c r="E123" s="42"/>
      <c r="F123" s="42"/>
      <c r="G123" s="88"/>
      <c r="H123" s="107">
        <v>118</v>
      </c>
      <c r="I123" s="108" t="str">
        <f t="shared" si="9"/>
        <v/>
      </c>
      <c r="J123" s="107">
        <f t="shared" si="10"/>
        <v>-1</v>
      </c>
      <c r="K123" s="107">
        <f t="shared" si="11"/>
        <v>-10</v>
      </c>
      <c r="L123" s="107"/>
      <c r="M123" s="109">
        <f t="shared" si="12"/>
        <v>0</v>
      </c>
      <c r="N123" s="109">
        <f t="shared" si="13"/>
        <v>0</v>
      </c>
      <c r="O123" s="88"/>
      <c r="P123" s="88"/>
      <c r="Q123" s="88"/>
      <c r="R123" s="88"/>
      <c r="S123" s="88"/>
    </row>
    <row r="124" spans="1:20" s="93" customFormat="1">
      <c r="A124" s="102">
        <f t="shared" si="8"/>
        <v>0</v>
      </c>
      <c r="B124" s="35" t="str">
        <f t="shared" si="14"/>
        <v/>
      </c>
      <c r="C124" s="36"/>
      <c r="D124" s="36"/>
      <c r="E124" s="36"/>
      <c r="F124" s="36"/>
      <c r="G124" s="88"/>
      <c r="H124" s="103">
        <v>119</v>
      </c>
      <c r="I124" s="104" t="str">
        <f t="shared" si="9"/>
        <v/>
      </c>
      <c r="J124" s="103">
        <f t="shared" si="10"/>
        <v>-1</v>
      </c>
      <c r="K124" s="103">
        <f t="shared" si="11"/>
        <v>-10</v>
      </c>
      <c r="L124" s="103"/>
      <c r="M124" s="105">
        <f t="shared" si="12"/>
        <v>0</v>
      </c>
      <c r="N124" s="105">
        <f t="shared" si="13"/>
        <v>0</v>
      </c>
      <c r="O124" s="88"/>
      <c r="P124" s="88"/>
      <c r="Q124" s="88"/>
      <c r="R124" s="88"/>
      <c r="S124" s="117"/>
      <c r="T124" s="118"/>
    </row>
    <row r="125" spans="1:20" s="93" customFormat="1">
      <c r="A125" s="106">
        <f t="shared" si="8"/>
        <v>0</v>
      </c>
      <c r="B125" s="41" t="str">
        <f t="shared" si="14"/>
        <v/>
      </c>
      <c r="C125" s="42"/>
      <c r="D125" s="42"/>
      <c r="E125" s="42"/>
      <c r="F125" s="42"/>
      <c r="G125" s="88"/>
      <c r="H125" s="107">
        <v>120</v>
      </c>
      <c r="I125" s="108" t="str">
        <f t="shared" si="9"/>
        <v/>
      </c>
      <c r="J125" s="107">
        <f t="shared" si="10"/>
        <v>-1</v>
      </c>
      <c r="K125" s="107">
        <f t="shared" si="11"/>
        <v>-10</v>
      </c>
      <c r="L125" s="107"/>
      <c r="M125" s="109">
        <f t="shared" si="12"/>
        <v>0</v>
      </c>
      <c r="N125" s="109">
        <f t="shared" si="13"/>
        <v>0</v>
      </c>
      <c r="O125" s="88"/>
      <c r="P125" s="88"/>
      <c r="Q125" s="88"/>
      <c r="R125" s="88"/>
      <c r="S125" s="88"/>
    </row>
    <row r="126" spans="1:20" s="93" customFormat="1">
      <c r="A126" s="102">
        <f t="shared" si="8"/>
        <v>0</v>
      </c>
      <c r="B126" s="35" t="str">
        <f t="shared" si="14"/>
        <v/>
      </c>
      <c r="C126" s="36"/>
      <c r="D126" s="36"/>
      <c r="E126" s="36"/>
      <c r="F126" s="36"/>
      <c r="G126" s="88"/>
      <c r="H126" s="103">
        <v>121</v>
      </c>
      <c r="I126" s="104" t="str">
        <f t="shared" si="9"/>
        <v/>
      </c>
      <c r="J126" s="103">
        <f t="shared" si="10"/>
        <v>-1</v>
      </c>
      <c r="K126" s="103">
        <f t="shared" si="11"/>
        <v>-10</v>
      </c>
      <c r="L126" s="103"/>
      <c r="M126" s="105">
        <f t="shared" si="12"/>
        <v>0</v>
      </c>
      <c r="N126" s="105">
        <f t="shared" si="13"/>
        <v>0</v>
      </c>
      <c r="O126" s="88"/>
      <c r="P126" s="88"/>
      <c r="Q126" s="88"/>
      <c r="R126" s="88"/>
      <c r="S126" s="117"/>
      <c r="T126" s="118"/>
    </row>
    <row r="127" spans="1:20" s="93" customFormat="1">
      <c r="A127" s="106">
        <f t="shared" si="8"/>
        <v>0</v>
      </c>
      <c r="B127" s="41" t="str">
        <f t="shared" si="14"/>
        <v/>
      </c>
      <c r="C127" s="42"/>
      <c r="D127" s="42"/>
      <c r="E127" s="42"/>
      <c r="F127" s="42"/>
      <c r="G127" s="88"/>
      <c r="H127" s="107">
        <v>122</v>
      </c>
      <c r="I127" s="108" t="str">
        <f t="shared" si="9"/>
        <v/>
      </c>
      <c r="J127" s="107">
        <f t="shared" si="10"/>
        <v>-1</v>
      </c>
      <c r="K127" s="107">
        <f t="shared" si="11"/>
        <v>-10</v>
      </c>
      <c r="L127" s="107"/>
      <c r="M127" s="109">
        <f t="shared" si="12"/>
        <v>0</v>
      </c>
      <c r="N127" s="109">
        <f t="shared" si="13"/>
        <v>0</v>
      </c>
      <c r="O127" s="88"/>
      <c r="P127" s="88"/>
      <c r="Q127" s="88"/>
      <c r="R127" s="88"/>
      <c r="S127" s="88"/>
    </row>
    <row r="128" spans="1:20" s="93" customFormat="1">
      <c r="A128" s="102">
        <f t="shared" si="8"/>
        <v>0</v>
      </c>
      <c r="B128" s="35" t="str">
        <f t="shared" si="14"/>
        <v/>
      </c>
      <c r="C128" s="36"/>
      <c r="D128" s="36"/>
      <c r="E128" s="36"/>
      <c r="F128" s="36"/>
      <c r="G128" s="88"/>
      <c r="H128" s="103">
        <v>123</v>
      </c>
      <c r="I128" s="104" t="str">
        <f t="shared" si="9"/>
        <v/>
      </c>
      <c r="J128" s="103">
        <f t="shared" si="10"/>
        <v>-1</v>
      </c>
      <c r="K128" s="103">
        <f t="shared" si="11"/>
        <v>-10</v>
      </c>
      <c r="L128" s="103"/>
      <c r="M128" s="105">
        <f t="shared" si="12"/>
        <v>0</v>
      </c>
      <c r="N128" s="105">
        <f t="shared" si="13"/>
        <v>0</v>
      </c>
      <c r="O128" s="88"/>
      <c r="P128" s="88"/>
      <c r="Q128" s="88"/>
      <c r="R128" s="88"/>
      <c r="S128" s="117"/>
      <c r="T128" s="118"/>
    </row>
    <row r="129" spans="1:20" s="93" customFormat="1">
      <c r="A129" s="106">
        <f t="shared" si="8"/>
        <v>0</v>
      </c>
      <c r="B129" s="41" t="str">
        <f t="shared" si="14"/>
        <v/>
      </c>
      <c r="C129" s="42"/>
      <c r="D129" s="42"/>
      <c r="E129" s="42"/>
      <c r="F129" s="42"/>
      <c r="G129" s="88"/>
      <c r="H129" s="107">
        <v>124</v>
      </c>
      <c r="I129" s="108" t="str">
        <f t="shared" si="9"/>
        <v/>
      </c>
      <c r="J129" s="107">
        <f t="shared" si="10"/>
        <v>-1</v>
      </c>
      <c r="K129" s="107">
        <f t="shared" si="11"/>
        <v>-10</v>
      </c>
      <c r="L129" s="107"/>
      <c r="M129" s="109">
        <f t="shared" si="12"/>
        <v>0</v>
      </c>
      <c r="N129" s="109">
        <f t="shared" si="13"/>
        <v>0</v>
      </c>
      <c r="O129" s="88"/>
      <c r="P129" s="88"/>
      <c r="Q129" s="88"/>
      <c r="R129" s="88"/>
      <c r="S129" s="88"/>
    </row>
    <row r="130" spans="1:20" s="93" customFormat="1">
      <c r="A130" s="102">
        <f t="shared" si="8"/>
        <v>0</v>
      </c>
      <c r="B130" s="35" t="str">
        <f t="shared" si="14"/>
        <v/>
      </c>
      <c r="C130" s="36"/>
      <c r="D130" s="36"/>
      <c r="E130" s="36"/>
      <c r="F130" s="36"/>
      <c r="G130" s="88"/>
      <c r="H130" s="103">
        <v>125</v>
      </c>
      <c r="I130" s="104" t="str">
        <f t="shared" si="9"/>
        <v/>
      </c>
      <c r="J130" s="103">
        <f t="shared" si="10"/>
        <v>-1</v>
      </c>
      <c r="K130" s="103">
        <f t="shared" si="11"/>
        <v>-10</v>
      </c>
      <c r="L130" s="103"/>
      <c r="M130" s="105">
        <f t="shared" si="12"/>
        <v>0</v>
      </c>
      <c r="N130" s="105">
        <f t="shared" si="13"/>
        <v>0</v>
      </c>
      <c r="O130" s="88"/>
      <c r="P130" s="88"/>
      <c r="Q130" s="88"/>
      <c r="R130" s="88"/>
      <c r="S130" s="117"/>
      <c r="T130" s="118"/>
    </row>
    <row r="131" spans="1:20" s="93" customFormat="1">
      <c r="A131" s="106">
        <f t="shared" si="8"/>
        <v>0</v>
      </c>
      <c r="B131" s="41" t="str">
        <f t="shared" si="14"/>
        <v/>
      </c>
      <c r="C131" s="42"/>
      <c r="D131" s="42"/>
      <c r="E131" s="42"/>
      <c r="F131" s="42"/>
      <c r="G131" s="88"/>
      <c r="H131" s="107">
        <v>126</v>
      </c>
      <c r="I131" s="108" t="str">
        <f t="shared" si="9"/>
        <v/>
      </c>
      <c r="J131" s="107">
        <f t="shared" si="10"/>
        <v>-1</v>
      </c>
      <c r="K131" s="107">
        <f t="shared" si="11"/>
        <v>-10</v>
      </c>
      <c r="L131" s="107"/>
      <c r="M131" s="109">
        <f t="shared" si="12"/>
        <v>0</v>
      </c>
      <c r="N131" s="109">
        <f t="shared" si="13"/>
        <v>0</v>
      </c>
      <c r="O131" s="88"/>
      <c r="P131" s="88"/>
      <c r="Q131" s="88"/>
      <c r="R131" s="88"/>
      <c r="S131" s="88"/>
    </row>
    <row r="132" spans="1:20" s="93" customFormat="1">
      <c r="A132" s="102">
        <f t="shared" si="8"/>
        <v>0</v>
      </c>
      <c r="B132" s="35" t="str">
        <f t="shared" si="14"/>
        <v/>
      </c>
      <c r="C132" s="36"/>
      <c r="D132" s="36"/>
      <c r="E132" s="36"/>
      <c r="F132" s="36"/>
      <c r="G132" s="88"/>
      <c r="H132" s="103">
        <v>127</v>
      </c>
      <c r="I132" s="104" t="str">
        <f t="shared" si="9"/>
        <v/>
      </c>
      <c r="J132" s="103">
        <f t="shared" si="10"/>
        <v>-1</v>
      </c>
      <c r="K132" s="103">
        <f t="shared" si="11"/>
        <v>-10</v>
      </c>
      <c r="L132" s="103"/>
      <c r="M132" s="105">
        <f t="shared" si="12"/>
        <v>0</v>
      </c>
      <c r="N132" s="105">
        <f t="shared" si="13"/>
        <v>0</v>
      </c>
      <c r="O132" s="88"/>
      <c r="P132" s="88"/>
      <c r="Q132" s="88"/>
      <c r="R132" s="88"/>
      <c r="S132" s="117"/>
      <c r="T132" s="118"/>
    </row>
    <row r="133" spans="1:20" s="93" customFormat="1">
      <c r="A133" s="106">
        <f t="shared" si="8"/>
        <v>0</v>
      </c>
      <c r="B133" s="41" t="str">
        <f t="shared" si="14"/>
        <v/>
      </c>
      <c r="C133" s="42"/>
      <c r="D133" s="42"/>
      <c r="E133" s="42"/>
      <c r="F133" s="42"/>
      <c r="G133" s="88"/>
      <c r="H133" s="107">
        <v>128</v>
      </c>
      <c r="I133" s="108" t="str">
        <f t="shared" si="9"/>
        <v/>
      </c>
      <c r="J133" s="107">
        <f t="shared" si="10"/>
        <v>-1</v>
      </c>
      <c r="K133" s="107">
        <f t="shared" si="11"/>
        <v>-10</v>
      </c>
      <c r="L133" s="107"/>
      <c r="M133" s="109">
        <f t="shared" si="12"/>
        <v>0</v>
      </c>
      <c r="N133" s="109">
        <f t="shared" si="13"/>
        <v>0</v>
      </c>
      <c r="O133" s="88"/>
      <c r="P133" s="88"/>
      <c r="Q133" s="88"/>
      <c r="R133" s="88"/>
      <c r="S133" s="88"/>
    </row>
    <row r="134" spans="1:20" s="93" customFormat="1">
      <c r="A134" s="102">
        <f t="shared" ref="A134:A197" si="16">N134</f>
        <v>0</v>
      </c>
      <c r="B134" s="35" t="str">
        <f t="shared" si="14"/>
        <v/>
      </c>
      <c r="C134" s="36"/>
      <c r="D134" s="36"/>
      <c r="E134" s="36"/>
      <c r="F134" s="36"/>
      <c r="G134" s="88"/>
      <c r="H134" s="103">
        <v>129</v>
      </c>
      <c r="I134" s="104" t="str">
        <f t="shared" ref="I134:I197" si="17">IF(H134&lt;$H$2+1,($I$2-($I$2-1)*(LOG(H134)/LOG($H$2))),"")</f>
        <v/>
      </c>
      <c r="J134" s="103">
        <f t="shared" ref="J134:J197" si="18">INT(LOG($H$2,2))-ROUNDUP(LOG(H134,2),0)+IF(OR($H$2=1,$H$2=2,$H$2=4,$H$2=8,$H$2=16,$H$2=32,$H$2=64,$H$2=128,$H$2=256),0,1)</f>
        <v>-2</v>
      </c>
      <c r="K134" s="103">
        <f t="shared" ref="K134:K197" si="19">J134*$J$2</f>
        <v>-20</v>
      </c>
      <c r="L134" s="103"/>
      <c r="M134" s="105">
        <f t="shared" ref="M134:M197" si="20">IF(I134&lt;&gt;"",K134+I134+L134,0)</f>
        <v>0</v>
      </c>
      <c r="N134" s="105">
        <f t="shared" ref="N134:N197" si="21">IF(I134&lt;&gt;"",M134*L$2,0)</f>
        <v>0</v>
      </c>
      <c r="O134" s="88"/>
      <c r="P134" s="88"/>
      <c r="Q134" s="88"/>
      <c r="R134" s="88"/>
      <c r="S134" s="117"/>
      <c r="T134" s="118"/>
    </row>
    <row r="135" spans="1:20" s="93" customFormat="1">
      <c r="A135" s="106">
        <f t="shared" si="16"/>
        <v>0</v>
      </c>
      <c r="B135" s="41" t="str">
        <f t="shared" si="14"/>
        <v/>
      </c>
      <c r="C135" s="42"/>
      <c r="D135" s="42"/>
      <c r="E135" s="42"/>
      <c r="F135" s="42"/>
      <c r="G135" s="88"/>
      <c r="H135" s="107">
        <v>130</v>
      </c>
      <c r="I135" s="108" t="str">
        <f t="shared" si="17"/>
        <v/>
      </c>
      <c r="J135" s="107">
        <f t="shared" si="18"/>
        <v>-2</v>
      </c>
      <c r="K135" s="107">
        <f t="shared" si="19"/>
        <v>-20</v>
      </c>
      <c r="L135" s="107"/>
      <c r="M135" s="109">
        <f t="shared" si="20"/>
        <v>0</v>
      </c>
      <c r="N135" s="109">
        <f t="shared" si="21"/>
        <v>0</v>
      </c>
      <c r="O135" s="88"/>
      <c r="P135" s="88"/>
      <c r="Q135" s="88"/>
      <c r="R135" s="88"/>
      <c r="S135" s="88"/>
    </row>
    <row r="136" spans="1:20" s="93" customFormat="1">
      <c r="A136" s="102">
        <f t="shared" si="16"/>
        <v>0</v>
      </c>
      <c r="B136" s="35" t="str">
        <f t="shared" si="14"/>
        <v/>
      </c>
      <c r="C136" s="36"/>
      <c r="D136" s="36"/>
      <c r="E136" s="36"/>
      <c r="F136" s="36"/>
      <c r="G136" s="88"/>
      <c r="H136" s="103">
        <v>131</v>
      </c>
      <c r="I136" s="104" t="str">
        <f t="shared" si="17"/>
        <v/>
      </c>
      <c r="J136" s="103">
        <f t="shared" si="18"/>
        <v>-2</v>
      </c>
      <c r="K136" s="103">
        <f t="shared" si="19"/>
        <v>-20</v>
      </c>
      <c r="L136" s="103"/>
      <c r="M136" s="105">
        <f t="shared" si="20"/>
        <v>0</v>
      </c>
      <c r="N136" s="105">
        <f t="shared" si="21"/>
        <v>0</v>
      </c>
      <c r="O136" s="88"/>
      <c r="P136" s="88"/>
      <c r="Q136" s="88"/>
      <c r="R136" s="88"/>
      <c r="S136" s="117"/>
      <c r="T136" s="118"/>
    </row>
    <row r="137" spans="1:20" s="93" customFormat="1">
      <c r="A137" s="106">
        <f t="shared" si="16"/>
        <v>0</v>
      </c>
      <c r="B137" s="41" t="str">
        <f t="shared" si="14"/>
        <v/>
      </c>
      <c r="C137" s="42"/>
      <c r="D137" s="42"/>
      <c r="E137" s="42"/>
      <c r="F137" s="42"/>
      <c r="G137" s="88"/>
      <c r="H137" s="107">
        <v>132</v>
      </c>
      <c r="I137" s="108" t="str">
        <f t="shared" si="17"/>
        <v/>
      </c>
      <c r="J137" s="107">
        <f t="shared" si="18"/>
        <v>-2</v>
      </c>
      <c r="K137" s="107">
        <f t="shared" si="19"/>
        <v>-20</v>
      </c>
      <c r="L137" s="107"/>
      <c r="M137" s="109">
        <f t="shared" si="20"/>
        <v>0</v>
      </c>
      <c r="N137" s="109">
        <f t="shared" si="21"/>
        <v>0</v>
      </c>
      <c r="O137" s="88"/>
      <c r="P137" s="88"/>
      <c r="Q137" s="88"/>
      <c r="R137" s="88"/>
      <c r="S137" s="88"/>
    </row>
    <row r="138" spans="1:20" s="93" customFormat="1">
      <c r="A138" s="102">
        <f t="shared" si="16"/>
        <v>0</v>
      </c>
      <c r="B138" s="35" t="str">
        <f t="shared" ref="B138:B201" si="22">IF(H138&gt;$H$2,"",(ROW()-5))</f>
        <v/>
      </c>
      <c r="C138" s="36"/>
      <c r="D138" s="36"/>
      <c r="E138" s="36"/>
      <c r="F138" s="36"/>
      <c r="G138" s="88"/>
      <c r="H138" s="103">
        <v>133</v>
      </c>
      <c r="I138" s="104" t="str">
        <f t="shared" si="17"/>
        <v/>
      </c>
      <c r="J138" s="103">
        <f t="shared" si="18"/>
        <v>-2</v>
      </c>
      <c r="K138" s="103">
        <f t="shared" si="19"/>
        <v>-20</v>
      </c>
      <c r="L138" s="103"/>
      <c r="M138" s="105">
        <f t="shared" si="20"/>
        <v>0</v>
      </c>
      <c r="N138" s="105">
        <f t="shared" si="21"/>
        <v>0</v>
      </c>
      <c r="O138" s="88"/>
      <c r="P138" s="88"/>
      <c r="Q138" s="88"/>
      <c r="R138" s="88"/>
      <c r="S138" s="117"/>
      <c r="T138" s="118"/>
    </row>
    <row r="139" spans="1:20" s="93" customFormat="1">
      <c r="A139" s="106">
        <f t="shared" si="16"/>
        <v>0</v>
      </c>
      <c r="B139" s="41" t="str">
        <f t="shared" si="22"/>
        <v/>
      </c>
      <c r="C139" s="42"/>
      <c r="D139" s="42"/>
      <c r="E139" s="42"/>
      <c r="F139" s="42"/>
      <c r="G139" s="88"/>
      <c r="H139" s="107">
        <v>134</v>
      </c>
      <c r="I139" s="108" t="str">
        <f t="shared" si="17"/>
        <v/>
      </c>
      <c r="J139" s="107">
        <f t="shared" si="18"/>
        <v>-2</v>
      </c>
      <c r="K139" s="107">
        <f t="shared" si="19"/>
        <v>-20</v>
      </c>
      <c r="L139" s="107"/>
      <c r="M139" s="109">
        <f t="shared" si="20"/>
        <v>0</v>
      </c>
      <c r="N139" s="109">
        <f t="shared" si="21"/>
        <v>0</v>
      </c>
      <c r="O139" s="88"/>
      <c r="P139" s="88"/>
      <c r="Q139" s="88"/>
      <c r="R139" s="88"/>
      <c r="S139" s="88"/>
    </row>
    <row r="140" spans="1:20" s="93" customFormat="1">
      <c r="A140" s="102">
        <f t="shared" si="16"/>
        <v>0</v>
      </c>
      <c r="B140" s="35" t="str">
        <f t="shared" si="22"/>
        <v/>
      </c>
      <c r="C140" s="36"/>
      <c r="D140" s="36"/>
      <c r="E140" s="36"/>
      <c r="F140" s="36"/>
      <c r="G140" s="88"/>
      <c r="H140" s="103">
        <v>135</v>
      </c>
      <c r="I140" s="104" t="str">
        <f t="shared" si="17"/>
        <v/>
      </c>
      <c r="J140" s="103">
        <f t="shared" si="18"/>
        <v>-2</v>
      </c>
      <c r="K140" s="103">
        <f t="shared" si="19"/>
        <v>-20</v>
      </c>
      <c r="L140" s="103"/>
      <c r="M140" s="105">
        <f t="shared" si="20"/>
        <v>0</v>
      </c>
      <c r="N140" s="105">
        <f t="shared" si="21"/>
        <v>0</v>
      </c>
      <c r="O140" s="88"/>
      <c r="P140" s="88"/>
      <c r="Q140" s="88"/>
      <c r="R140" s="88"/>
      <c r="S140" s="117"/>
      <c r="T140" s="118"/>
    </row>
    <row r="141" spans="1:20" s="93" customFormat="1">
      <c r="A141" s="106">
        <f t="shared" si="16"/>
        <v>0</v>
      </c>
      <c r="B141" s="41" t="str">
        <f t="shared" si="22"/>
        <v/>
      </c>
      <c r="C141" s="42"/>
      <c r="D141" s="42"/>
      <c r="E141" s="42"/>
      <c r="F141" s="42"/>
      <c r="G141" s="88"/>
      <c r="H141" s="107">
        <v>136</v>
      </c>
      <c r="I141" s="108" t="str">
        <f t="shared" si="17"/>
        <v/>
      </c>
      <c r="J141" s="107">
        <f t="shared" si="18"/>
        <v>-2</v>
      </c>
      <c r="K141" s="107">
        <f t="shared" si="19"/>
        <v>-20</v>
      </c>
      <c r="L141" s="107"/>
      <c r="M141" s="109">
        <f t="shared" si="20"/>
        <v>0</v>
      </c>
      <c r="N141" s="109">
        <f t="shared" si="21"/>
        <v>0</v>
      </c>
      <c r="O141" s="88"/>
      <c r="P141" s="88"/>
      <c r="Q141" s="88"/>
      <c r="R141" s="88"/>
      <c r="S141" s="88"/>
    </row>
    <row r="142" spans="1:20" s="93" customFormat="1">
      <c r="A142" s="102">
        <f t="shared" si="16"/>
        <v>0</v>
      </c>
      <c r="B142" s="35" t="str">
        <f t="shared" si="22"/>
        <v/>
      </c>
      <c r="C142" s="36"/>
      <c r="D142" s="36"/>
      <c r="E142" s="36"/>
      <c r="F142" s="36"/>
      <c r="G142" s="88"/>
      <c r="H142" s="103">
        <v>137</v>
      </c>
      <c r="I142" s="104" t="str">
        <f t="shared" si="17"/>
        <v/>
      </c>
      <c r="J142" s="103">
        <f t="shared" si="18"/>
        <v>-2</v>
      </c>
      <c r="K142" s="103">
        <f t="shared" si="19"/>
        <v>-20</v>
      </c>
      <c r="L142" s="103"/>
      <c r="M142" s="105">
        <f t="shared" si="20"/>
        <v>0</v>
      </c>
      <c r="N142" s="105">
        <f t="shared" si="21"/>
        <v>0</v>
      </c>
      <c r="O142" s="88"/>
      <c r="P142" s="88"/>
      <c r="Q142" s="88"/>
      <c r="R142" s="88"/>
      <c r="S142" s="117"/>
      <c r="T142" s="118"/>
    </row>
    <row r="143" spans="1:20" s="93" customFormat="1">
      <c r="A143" s="106">
        <f t="shared" si="16"/>
        <v>0</v>
      </c>
      <c r="B143" s="41" t="str">
        <f t="shared" si="22"/>
        <v/>
      </c>
      <c r="C143" s="42"/>
      <c r="D143" s="42"/>
      <c r="E143" s="42"/>
      <c r="F143" s="42"/>
      <c r="G143" s="88"/>
      <c r="H143" s="107">
        <v>138</v>
      </c>
      <c r="I143" s="108" t="str">
        <f t="shared" si="17"/>
        <v/>
      </c>
      <c r="J143" s="107">
        <f t="shared" si="18"/>
        <v>-2</v>
      </c>
      <c r="K143" s="107">
        <f t="shared" si="19"/>
        <v>-20</v>
      </c>
      <c r="L143" s="107"/>
      <c r="M143" s="109">
        <f t="shared" si="20"/>
        <v>0</v>
      </c>
      <c r="N143" s="109">
        <f t="shared" si="21"/>
        <v>0</v>
      </c>
      <c r="O143" s="88"/>
      <c r="P143" s="88"/>
      <c r="Q143" s="88"/>
      <c r="R143" s="88"/>
      <c r="S143" s="88"/>
    </row>
    <row r="144" spans="1:20" s="93" customFormat="1">
      <c r="A144" s="102">
        <f t="shared" si="16"/>
        <v>0</v>
      </c>
      <c r="B144" s="35" t="str">
        <f t="shared" si="22"/>
        <v/>
      </c>
      <c r="C144" s="36"/>
      <c r="D144" s="36"/>
      <c r="E144" s="36"/>
      <c r="F144" s="36"/>
      <c r="G144" s="88"/>
      <c r="H144" s="103">
        <v>139</v>
      </c>
      <c r="I144" s="104" t="str">
        <f t="shared" si="17"/>
        <v/>
      </c>
      <c r="J144" s="103">
        <f t="shared" si="18"/>
        <v>-2</v>
      </c>
      <c r="K144" s="103">
        <f t="shared" si="19"/>
        <v>-20</v>
      </c>
      <c r="L144" s="103"/>
      <c r="M144" s="105">
        <f t="shared" si="20"/>
        <v>0</v>
      </c>
      <c r="N144" s="105">
        <f t="shared" si="21"/>
        <v>0</v>
      </c>
      <c r="O144" s="88"/>
      <c r="P144" s="88"/>
      <c r="Q144" s="88"/>
      <c r="R144" s="88"/>
      <c r="S144" s="117"/>
      <c r="T144" s="118"/>
    </row>
    <row r="145" spans="1:20" s="93" customFormat="1">
      <c r="A145" s="106">
        <f t="shared" si="16"/>
        <v>0</v>
      </c>
      <c r="B145" s="41" t="str">
        <f t="shared" si="22"/>
        <v/>
      </c>
      <c r="C145" s="42"/>
      <c r="D145" s="42"/>
      <c r="E145" s="42"/>
      <c r="F145" s="42"/>
      <c r="G145" s="88"/>
      <c r="H145" s="107">
        <v>140</v>
      </c>
      <c r="I145" s="108" t="str">
        <f t="shared" si="17"/>
        <v/>
      </c>
      <c r="J145" s="107">
        <f t="shared" si="18"/>
        <v>-2</v>
      </c>
      <c r="K145" s="107">
        <f t="shared" si="19"/>
        <v>-20</v>
      </c>
      <c r="L145" s="107"/>
      <c r="M145" s="109">
        <f t="shared" si="20"/>
        <v>0</v>
      </c>
      <c r="N145" s="109">
        <f t="shared" si="21"/>
        <v>0</v>
      </c>
      <c r="O145" s="88"/>
      <c r="P145" s="88"/>
      <c r="Q145" s="88"/>
      <c r="R145" s="88"/>
      <c r="S145" s="88"/>
    </row>
    <row r="146" spans="1:20" s="93" customFormat="1">
      <c r="A146" s="102">
        <f t="shared" si="16"/>
        <v>0</v>
      </c>
      <c r="B146" s="35" t="str">
        <f t="shared" si="22"/>
        <v/>
      </c>
      <c r="C146" s="36"/>
      <c r="D146" s="36"/>
      <c r="E146" s="36"/>
      <c r="F146" s="36"/>
      <c r="G146" s="88"/>
      <c r="H146" s="103">
        <v>141</v>
      </c>
      <c r="I146" s="104" t="str">
        <f t="shared" si="17"/>
        <v/>
      </c>
      <c r="J146" s="103">
        <f t="shared" si="18"/>
        <v>-2</v>
      </c>
      <c r="K146" s="103">
        <f t="shared" si="19"/>
        <v>-20</v>
      </c>
      <c r="L146" s="103"/>
      <c r="M146" s="105">
        <f t="shared" si="20"/>
        <v>0</v>
      </c>
      <c r="N146" s="105">
        <f t="shared" si="21"/>
        <v>0</v>
      </c>
      <c r="O146" s="88"/>
      <c r="P146" s="88"/>
      <c r="Q146" s="88"/>
      <c r="R146" s="88"/>
      <c r="S146" s="117"/>
      <c r="T146" s="118"/>
    </row>
    <row r="147" spans="1:20" s="93" customFormat="1">
      <c r="A147" s="106">
        <f t="shared" si="16"/>
        <v>0</v>
      </c>
      <c r="B147" s="41" t="str">
        <f t="shared" si="22"/>
        <v/>
      </c>
      <c r="C147" s="42"/>
      <c r="D147" s="42"/>
      <c r="E147" s="42"/>
      <c r="F147" s="42"/>
      <c r="G147" s="88"/>
      <c r="H147" s="107">
        <v>142</v>
      </c>
      <c r="I147" s="108" t="str">
        <f t="shared" si="17"/>
        <v/>
      </c>
      <c r="J147" s="107">
        <f t="shared" si="18"/>
        <v>-2</v>
      </c>
      <c r="K147" s="107">
        <f t="shared" si="19"/>
        <v>-20</v>
      </c>
      <c r="L147" s="107"/>
      <c r="M147" s="109">
        <f t="shared" si="20"/>
        <v>0</v>
      </c>
      <c r="N147" s="109">
        <f t="shared" si="21"/>
        <v>0</v>
      </c>
      <c r="O147" s="88"/>
      <c r="P147" s="88"/>
      <c r="Q147" s="88"/>
      <c r="R147" s="88"/>
      <c r="S147" s="88"/>
    </row>
    <row r="148" spans="1:20" s="93" customFormat="1">
      <c r="A148" s="102">
        <f t="shared" si="16"/>
        <v>0</v>
      </c>
      <c r="B148" s="35" t="str">
        <f t="shared" si="22"/>
        <v/>
      </c>
      <c r="C148" s="36"/>
      <c r="D148" s="36"/>
      <c r="E148" s="36"/>
      <c r="F148" s="36"/>
      <c r="G148" s="88"/>
      <c r="H148" s="103">
        <v>143</v>
      </c>
      <c r="I148" s="104" t="str">
        <f t="shared" si="17"/>
        <v/>
      </c>
      <c r="J148" s="103">
        <f t="shared" si="18"/>
        <v>-2</v>
      </c>
      <c r="K148" s="103">
        <f t="shared" si="19"/>
        <v>-20</v>
      </c>
      <c r="L148" s="103"/>
      <c r="M148" s="105">
        <f t="shared" si="20"/>
        <v>0</v>
      </c>
      <c r="N148" s="105">
        <f t="shared" si="21"/>
        <v>0</v>
      </c>
      <c r="O148" s="88"/>
      <c r="P148" s="88"/>
      <c r="Q148" s="88"/>
      <c r="R148" s="88"/>
      <c r="S148" s="117"/>
      <c r="T148" s="118"/>
    </row>
    <row r="149" spans="1:20" s="93" customFormat="1">
      <c r="A149" s="106">
        <f t="shared" si="16"/>
        <v>0</v>
      </c>
      <c r="B149" s="41" t="str">
        <f t="shared" si="22"/>
        <v/>
      </c>
      <c r="C149" s="42"/>
      <c r="D149" s="42"/>
      <c r="E149" s="42"/>
      <c r="F149" s="42"/>
      <c r="G149" s="88"/>
      <c r="H149" s="107">
        <v>144</v>
      </c>
      <c r="I149" s="108" t="str">
        <f t="shared" si="17"/>
        <v/>
      </c>
      <c r="J149" s="107">
        <f t="shared" si="18"/>
        <v>-2</v>
      </c>
      <c r="K149" s="107">
        <f t="shared" si="19"/>
        <v>-20</v>
      </c>
      <c r="L149" s="107"/>
      <c r="M149" s="109">
        <f t="shared" si="20"/>
        <v>0</v>
      </c>
      <c r="N149" s="109">
        <f t="shared" si="21"/>
        <v>0</v>
      </c>
      <c r="O149" s="88"/>
      <c r="P149" s="88"/>
      <c r="Q149" s="88"/>
      <c r="R149" s="88"/>
      <c r="S149" s="88"/>
    </row>
    <row r="150" spans="1:20" s="93" customFormat="1">
      <c r="A150" s="102">
        <f t="shared" si="16"/>
        <v>0</v>
      </c>
      <c r="B150" s="35" t="str">
        <f t="shared" si="22"/>
        <v/>
      </c>
      <c r="C150" s="36"/>
      <c r="D150" s="36"/>
      <c r="E150" s="36"/>
      <c r="F150" s="36"/>
      <c r="G150" s="88"/>
      <c r="H150" s="103">
        <v>145</v>
      </c>
      <c r="I150" s="104" t="str">
        <f t="shared" si="17"/>
        <v/>
      </c>
      <c r="J150" s="103">
        <f t="shared" si="18"/>
        <v>-2</v>
      </c>
      <c r="K150" s="103">
        <f t="shared" si="19"/>
        <v>-20</v>
      </c>
      <c r="L150" s="103"/>
      <c r="M150" s="105">
        <f t="shared" si="20"/>
        <v>0</v>
      </c>
      <c r="N150" s="105">
        <f t="shared" si="21"/>
        <v>0</v>
      </c>
      <c r="O150" s="88"/>
      <c r="P150" s="88"/>
      <c r="Q150" s="88"/>
      <c r="R150" s="88"/>
      <c r="S150" s="117"/>
      <c r="T150" s="118"/>
    </row>
    <row r="151" spans="1:20" s="93" customFormat="1">
      <c r="A151" s="106">
        <f t="shared" si="16"/>
        <v>0</v>
      </c>
      <c r="B151" s="41" t="str">
        <f t="shared" si="22"/>
        <v/>
      </c>
      <c r="C151" s="42"/>
      <c r="D151" s="42"/>
      <c r="E151" s="42"/>
      <c r="F151" s="42"/>
      <c r="G151" s="88"/>
      <c r="H151" s="107">
        <v>146</v>
      </c>
      <c r="I151" s="108" t="str">
        <f t="shared" si="17"/>
        <v/>
      </c>
      <c r="J151" s="107">
        <f t="shared" si="18"/>
        <v>-2</v>
      </c>
      <c r="K151" s="107">
        <f t="shared" si="19"/>
        <v>-20</v>
      </c>
      <c r="L151" s="107"/>
      <c r="M151" s="109">
        <f t="shared" si="20"/>
        <v>0</v>
      </c>
      <c r="N151" s="109">
        <f t="shared" si="21"/>
        <v>0</v>
      </c>
      <c r="O151" s="88"/>
      <c r="P151" s="88"/>
      <c r="Q151" s="88"/>
      <c r="R151" s="88"/>
      <c r="S151" s="88"/>
    </row>
    <row r="152" spans="1:20" s="93" customFormat="1">
      <c r="A152" s="102">
        <f t="shared" si="16"/>
        <v>0</v>
      </c>
      <c r="B152" s="35" t="str">
        <f t="shared" si="22"/>
        <v/>
      </c>
      <c r="C152" s="36"/>
      <c r="D152" s="36"/>
      <c r="E152" s="36"/>
      <c r="F152" s="36"/>
      <c r="G152" s="88"/>
      <c r="H152" s="103">
        <v>147</v>
      </c>
      <c r="I152" s="104" t="str">
        <f t="shared" si="17"/>
        <v/>
      </c>
      <c r="J152" s="103">
        <f t="shared" si="18"/>
        <v>-2</v>
      </c>
      <c r="K152" s="103">
        <f t="shared" si="19"/>
        <v>-20</v>
      </c>
      <c r="L152" s="103"/>
      <c r="M152" s="105">
        <f t="shared" si="20"/>
        <v>0</v>
      </c>
      <c r="N152" s="105">
        <f t="shared" si="21"/>
        <v>0</v>
      </c>
      <c r="O152" s="88"/>
      <c r="P152" s="88"/>
      <c r="Q152" s="88"/>
      <c r="R152" s="88"/>
      <c r="S152" s="117"/>
      <c r="T152" s="118"/>
    </row>
    <row r="153" spans="1:20" s="93" customFormat="1">
      <c r="A153" s="106">
        <f t="shared" si="16"/>
        <v>0</v>
      </c>
      <c r="B153" s="41" t="str">
        <f t="shared" si="22"/>
        <v/>
      </c>
      <c r="C153" s="42"/>
      <c r="D153" s="42"/>
      <c r="E153" s="42"/>
      <c r="F153" s="42"/>
      <c r="G153" s="88"/>
      <c r="H153" s="107">
        <v>148</v>
      </c>
      <c r="I153" s="108" t="str">
        <f t="shared" si="17"/>
        <v/>
      </c>
      <c r="J153" s="107">
        <f t="shared" si="18"/>
        <v>-2</v>
      </c>
      <c r="K153" s="107">
        <f t="shared" si="19"/>
        <v>-20</v>
      </c>
      <c r="L153" s="107"/>
      <c r="M153" s="109">
        <f t="shared" si="20"/>
        <v>0</v>
      </c>
      <c r="N153" s="109">
        <f t="shared" si="21"/>
        <v>0</v>
      </c>
      <c r="O153" s="88"/>
      <c r="P153" s="88"/>
      <c r="Q153" s="88"/>
      <c r="R153" s="88"/>
      <c r="S153" s="88"/>
    </row>
    <row r="154" spans="1:20" s="93" customFormat="1">
      <c r="A154" s="102">
        <f t="shared" si="16"/>
        <v>0</v>
      </c>
      <c r="B154" s="35" t="str">
        <f t="shared" si="22"/>
        <v/>
      </c>
      <c r="C154" s="36"/>
      <c r="D154" s="36"/>
      <c r="E154" s="36"/>
      <c r="F154" s="36"/>
      <c r="G154" s="88"/>
      <c r="H154" s="103">
        <v>149</v>
      </c>
      <c r="I154" s="104" t="str">
        <f t="shared" si="17"/>
        <v/>
      </c>
      <c r="J154" s="103">
        <f t="shared" si="18"/>
        <v>-2</v>
      </c>
      <c r="K154" s="103">
        <f t="shared" si="19"/>
        <v>-20</v>
      </c>
      <c r="L154" s="103"/>
      <c r="M154" s="105">
        <f t="shared" si="20"/>
        <v>0</v>
      </c>
      <c r="N154" s="105">
        <f t="shared" si="21"/>
        <v>0</v>
      </c>
      <c r="O154" s="88"/>
      <c r="P154" s="88"/>
      <c r="Q154" s="88"/>
      <c r="R154" s="88"/>
      <c r="S154" s="117"/>
      <c r="T154" s="118"/>
    </row>
    <row r="155" spans="1:20" s="93" customFormat="1">
      <c r="A155" s="106">
        <f t="shared" si="16"/>
        <v>0</v>
      </c>
      <c r="B155" s="41" t="str">
        <f t="shared" si="22"/>
        <v/>
      </c>
      <c r="C155" s="42"/>
      <c r="D155" s="42"/>
      <c r="E155" s="42"/>
      <c r="F155" s="42"/>
      <c r="G155" s="88"/>
      <c r="H155" s="107">
        <v>150</v>
      </c>
      <c r="I155" s="108" t="str">
        <f t="shared" si="17"/>
        <v/>
      </c>
      <c r="J155" s="107">
        <f t="shared" si="18"/>
        <v>-2</v>
      </c>
      <c r="K155" s="107">
        <f t="shared" si="19"/>
        <v>-20</v>
      </c>
      <c r="L155" s="107"/>
      <c r="M155" s="109">
        <f t="shared" si="20"/>
        <v>0</v>
      </c>
      <c r="N155" s="109">
        <f t="shared" si="21"/>
        <v>0</v>
      </c>
      <c r="O155" s="88"/>
      <c r="P155" s="88"/>
      <c r="Q155" s="88"/>
      <c r="R155" s="88"/>
      <c r="S155" s="88"/>
    </row>
    <row r="156" spans="1:20" s="93" customFormat="1">
      <c r="A156" s="102">
        <f t="shared" si="16"/>
        <v>0</v>
      </c>
      <c r="B156" s="35" t="str">
        <f t="shared" si="22"/>
        <v/>
      </c>
      <c r="C156" s="36"/>
      <c r="D156" s="36"/>
      <c r="E156" s="36"/>
      <c r="F156" s="36"/>
      <c r="G156" s="88"/>
      <c r="H156" s="103">
        <v>151</v>
      </c>
      <c r="I156" s="104" t="str">
        <f t="shared" si="17"/>
        <v/>
      </c>
      <c r="J156" s="103">
        <f t="shared" si="18"/>
        <v>-2</v>
      </c>
      <c r="K156" s="103">
        <f t="shared" si="19"/>
        <v>-20</v>
      </c>
      <c r="L156" s="103"/>
      <c r="M156" s="105">
        <f t="shared" si="20"/>
        <v>0</v>
      </c>
      <c r="N156" s="105">
        <f t="shared" si="21"/>
        <v>0</v>
      </c>
      <c r="O156" s="88"/>
      <c r="P156" s="88"/>
      <c r="Q156" s="88"/>
      <c r="R156" s="88"/>
      <c r="S156" s="117"/>
      <c r="T156" s="118"/>
    </row>
    <row r="157" spans="1:20" s="93" customFormat="1">
      <c r="A157" s="106">
        <f t="shared" si="16"/>
        <v>0</v>
      </c>
      <c r="B157" s="41" t="str">
        <f t="shared" si="22"/>
        <v/>
      </c>
      <c r="C157" s="42"/>
      <c r="D157" s="42"/>
      <c r="E157" s="42"/>
      <c r="F157" s="42"/>
      <c r="G157" s="88"/>
      <c r="H157" s="107">
        <v>152</v>
      </c>
      <c r="I157" s="108" t="str">
        <f t="shared" si="17"/>
        <v/>
      </c>
      <c r="J157" s="107">
        <f t="shared" si="18"/>
        <v>-2</v>
      </c>
      <c r="K157" s="107">
        <f t="shared" si="19"/>
        <v>-20</v>
      </c>
      <c r="L157" s="107"/>
      <c r="M157" s="109">
        <f t="shared" si="20"/>
        <v>0</v>
      </c>
      <c r="N157" s="109">
        <f t="shared" si="21"/>
        <v>0</v>
      </c>
      <c r="O157" s="88"/>
      <c r="P157" s="88"/>
      <c r="Q157" s="88"/>
      <c r="R157" s="88"/>
      <c r="S157" s="88"/>
    </row>
    <row r="158" spans="1:20" s="93" customFormat="1">
      <c r="A158" s="102">
        <f t="shared" si="16"/>
        <v>0</v>
      </c>
      <c r="B158" s="35" t="str">
        <f t="shared" si="22"/>
        <v/>
      </c>
      <c r="C158" s="36"/>
      <c r="D158" s="36"/>
      <c r="E158" s="36"/>
      <c r="F158" s="36"/>
      <c r="G158" s="88"/>
      <c r="H158" s="103">
        <v>153</v>
      </c>
      <c r="I158" s="104" t="str">
        <f t="shared" si="17"/>
        <v/>
      </c>
      <c r="J158" s="103">
        <f t="shared" si="18"/>
        <v>-2</v>
      </c>
      <c r="K158" s="103">
        <f t="shared" si="19"/>
        <v>-20</v>
      </c>
      <c r="L158" s="103"/>
      <c r="M158" s="105">
        <f t="shared" si="20"/>
        <v>0</v>
      </c>
      <c r="N158" s="105">
        <f t="shared" si="21"/>
        <v>0</v>
      </c>
      <c r="O158" s="88"/>
      <c r="P158" s="88"/>
      <c r="Q158" s="88"/>
      <c r="R158" s="88"/>
      <c r="S158" s="117"/>
      <c r="T158" s="118"/>
    </row>
    <row r="159" spans="1:20" s="93" customFormat="1">
      <c r="A159" s="106">
        <f t="shared" si="16"/>
        <v>0</v>
      </c>
      <c r="B159" s="41" t="str">
        <f t="shared" si="22"/>
        <v/>
      </c>
      <c r="C159" s="42"/>
      <c r="D159" s="42"/>
      <c r="E159" s="42"/>
      <c r="F159" s="42"/>
      <c r="G159" s="88"/>
      <c r="H159" s="107">
        <v>154</v>
      </c>
      <c r="I159" s="108" t="str">
        <f t="shared" si="17"/>
        <v/>
      </c>
      <c r="J159" s="107">
        <f t="shared" si="18"/>
        <v>-2</v>
      </c>
      <c r="K159" s="107">
        <f t="shared" si="19"/>
        <v>-20</v>
      </c>
      <c r="L159" s="107"/>
      <c r="M159" s="109">
        <f t="shared" si="20"/>
        <v>0</v>
      </c>
      <c r="N159" s="109">
        <f t="shared" si="21"/>
        <v>0</v>
      </c>
      <c r="O159" s="88"/>
      <c r="P159" s="88"/>
      <c r="Q159" s="88"/>
      <c r="R159" s="88"/>
      <c r="S159" s="88"/>
    </row>
    <row r="160" spans="1:20" s="93" customFormat="1">
      <c r="A160" s="102">
        <f t="shared" si="16"/>
        <v>0</v>
      </c>
      <c r="B160" s="35" t="str">
        <f t="shared" si="22"/>
        <v/>
      </c>
      <c r="C160" s="36"/>
      <c r="D160" s="36"/>
      <c r="E160" s="36"/>
      <c r="F160" s="36"/>
      <c r="G160" s="88"/>
      <c r="H160" s="103">
        <v>155</v>
      </c>
      <c r="I160" s="104" t="str">
        <f t="shared" si="17"/>
        <v/>
      </c>
      <c r="J160" s="103">
        <f t="shared" si="18"/>
        <v>-2</v>
      </c>
      <c r="K160" s="103">
        <f t="shared" si="19"/>
        <v>-20</v>
      </c>
      <c r="L160" s="103"/>
      <c r="M160" s="105">
        <f t="shared" si="20"/>
        <v>0</v>
      </c>
      <c r="N160" s="105">
        <f t="shared" si="21"/>
        <v>0</v>
      </c>
      <c r="O160" s="88"/>
      <c r="P160" s="88"/>
      <c r="Q160" s="88"/>
      <c r="R160" s="88"/>
      <c r="S160" s="117"/>
      <c r="T160" s="118"/>
    </row>
    <row r="161" spans="1:20" s="93" customFormat="1">
      <c r="A161" s="106">
        <f t="shared" si="16"/>
        <v>0</v>
      </c>
      <c r="B161" s="41" t="str">
        <f t="shared" si="22"/>
        <v/>
      </c>
      <c r="C161" s="42"/>
      <c r="D161" s="42"/>
      <c r="E161" s="42"/>
      <c r="F161" s="42"/>
      <c r="G161" s="88"/>
      <c r="H161" s="107">
        <v>156</v>
      </c>
      <c r="I161" s="108" t="str">
        <f t="shared" si="17"/>
        <v/>
      </c>
      <c r="J161" s="107">
        <f t="shared" si="18"/>
        <v>-2</v>
      </c>
      <c r="K161" s="107">
        <f t="shared" si="19"/>
        <v>-20</v>
      </c>
      <c r="L161" s="107"/>
      <c r="M161" s="109">
        <f t="shared" si="20"/>
        <v>0</v>
      </c>
      <c r="N161" s="109">
        <f t="shared" si="21"/>
        <v>0</v>
      </c>
      <c r="O161" s="88"/>
      <c r="P161" s="88"/>
      <c r="Q161" s="88"/>
      <c r="R161" s="88"/>
      <c r="S161" s="88"/>
    </row>
    <row r="162" spans="1:20" s="93" customFormat="1">
      <c r="A162" s="102">
        <f t="shared" si="16"/>
        <v>0</v>
      </c>
      <c r="B162" s="35" t="str">
        <f t="shared" si="22"/>
        <v/>
      </c>
      <c r="C162" s="36"/>
      <c r="D162" s="36"/>
      <c r="E162" s="36"/>
      <c r="F162" s="36"/>
      <c r="G162" s="88"/>
      <c r="H162" s="103">
        <v>157</v>
      </c>
      <c r="I162" s="104" t="str">
        <f t="shared" si="17"/>
        <v/>
      </c>
      <c r="J162" s="103">
        <f t="shared" si="18"/>
        <v>-2</v>
      </c>
      <c r="K162" s="103">
        <f t="shared" si="19"/>
        <v>-20</v>
      </c>
      <c r="L162" s="103"/>
      <c r="M162" s="105">
        <f t="shared" si="20"/>
        <v>0</v>
      </c>
      <c r="N162" s="105">
        <f t="shared" si="21"/>
        <v>0</v>
      </c>
      <c r="O162" s="88"/>
      <c r="P162" s="88"/>
      <c r="Q162" s="88"/>
      <c r="R162" s="88"/>
      <c r="S162" s="117"/>
      <c r="T162" s="118"/>
    </row>
    <row r="163" spans="1:20" s="93" customFormat="1">
      <c r="A163" s="106">
        <f t="shared" si="16"/>
        <v>0</v>
      </c>
      <c r="B163" s="41" t="str">
        <f t="shared" si="22"/>
        <v/>
      </c>
      <c r="C163" s="42"/>
      <c r="D163" s="42"/>
      <c r="E163" s="42"/>
      <c r="F163" s="42"/>
      <c r="G163" s="88"/>
      <c r="H163" s="107">
        <v>158</v>
      </c>
      <c r="I163" s="108" t="str">
        <f t="shared" si="17"/>
        <v/>
      </c>
      <c r="J163" s="107">
        <f t="shared" si="18"/>
        <v>-2</v>
      </c>
      <c r="K163" s="107">
        <f t="shared" si="19"/>
        <v>-20</v>
      </c>
      <c r="L163" s="107"/>
      <c r="M163" s="109">
        <f t="shared" si="20"/>
        <v>0</v>
      </c>
      <c r="N163" s="109">
        <f t="shared" si="21"/>
        <v>0</v>
      </c>
      <c r="O163" s="88"/>
      <c r="P163" s="88"/>
      <c r="Q163" s="88"/>
      <c r="R163" s="88"/>
      <c r="S163" s="88"/>
    </row>
    <row r="164" spans="1:20" s="93" customFormat="1">
      <c r="A164" s="102">
        <f t="shared" si="16"/>
        <v>0</v>
      </c>
      <c r="B164" s="35" t="str">
        <f t="shared" si="22"/>
        <v/>
      </c>
      <c r="C164" s="36"/>
      <c r="D164" s="36"/>
      <c r="E164" s="36"/>
      <c r="F164" s="36"/>
      <c r="G164" s="88"/>
      <c r="H164" s="103">
        <v>159</v>
      </c>
      <c r="I164" s="104" t="str">
        <f t="shared" si="17"/>
        <v/>
      </c>
      <c r="J164" s="103">
        <f t="shared" si="18"/>
        <v>-2</v>
      </c>
      <c r="K164" s="103">
        <f t="shared" si="19"/>
        <v>-20</v>
      </c>
      <c r="L164" s="103"/>
      <c r="M164" s="105">
        <f t="shared" si="20"/>
        <v>0</v>
      </c>
      <c r="N164" s="105">
        <f t="shared" si="21"/>
        <v>0</v>
      </c>
      <c r="O164" s="88"/>
      <c r="P164" s="88"/>
      <c r="Q164" s="88"/>
      <c r="R164" s="88"/>
      <c r="S164" s="117"/>
      <c r="T164" s="118"/>
    </row>
    <row r="165" spans="1:20" s="93" customFormat="1">
      <c r="A165" s="106">
        <f t="shared" si="16"/>
        <v>0</v>
      </c>
      <c r="B165" s="41" t="str">
        <f t="shared" si="22"/>
        <v/>
      </c>
      <c r="C165" s="42"/>
      <c r="D165" s="42"/>
      <c r="E165" s="42"/>
      <c r="F165" s="42"/>
      <c r="G165" s="88"/>
      <c r="H165" s="107">
        <v>160</v>
      </c>
      <c r="I165" s="108" t="str">
        <f t="shared" si="17"/>
        <v/>
      </c>
      <c r="J165" s="107">
        <f t="shared" si="18"/>
        <v>-2</v>
      </c>
      <c r="K165" s="107">
        <f t="shared" si="19"/>
        <v>-20</v>
      </c>
      <c r="L165" s="107"/>
      <c r="M165" s="109">
        <f t="shared" si="20"/>
        <v>0</v>
      </c>
      <c r="N165" s="109">
        <f t="shared" si="21"/>
        <v>0</v>
      </c>
      <c r="O165" s="88"/>
      <c r="P165" s="88"/>
      <c r="Q165" s="88"/>
      <c r="R165" s="88"/>
      <c r="S165" s="88"/>
    </row>
    <row r="166" spans="1:20" s="93" customFormat="1">
      <c r="A166" s="102">
        <f t="shared" si="16"/>
        <v>0</v>
      </c>
      <c r="B166" s="35" t="str">
        <f t="shared" si="22"/>
        <v/>
      </c>
      <c r="C166" s="36"/>
      <c r="D166" s="36"/>
      <c r="E166" s="36"/>
      <c r="F166" s="36"/>
      <c r="G166" s="88"/>
      <c r="H166" s="103">
        <v>161</v>
      </c>
      <c r="I166" s="104" t="str">
        <f t="shared" si="17"/>
        <v/>
      </c>
      <c r="J166" s="103">
        <f t="shared" si="18"/>
        <v>-2</v>
      </c>
      <c r="K166" s="103">
        <f t="shared" si="19"/>
        <v>-20</v>
      </c>
      <c r="L166" s="103"/>
      <c r="M166" s="105">
        <f t="shared" si="20"/>
        <v>0</v>
      </c>
      <c r="N166" s="105">
        <f t="shared" si="21"/>
        <v>0</v>
      </c>
      <c r="O166" s="88"/>
      <c r="P166" s="88"/>
      <c r="Q166" s="88"/>
      <c r="R166" s="88"/>
      <c r="S166" s="117"/>
      <c r="T166" s="118"/>
    </row>
    <row r="167" spans="1:20" s="93" customFormat="1">
      <c r="A167" s="106">
        <f t="shared" si="16"/>
        <v>0</v>
      </c>
      <c r="B167" s="41" t="str">
        <f t="shared" si="22"/>
        <v/>
      </c>
      <c r="C167" s="42"/>
      <c r="D167" s="42"/>
      <c r="E167" s="42"/>
      <c r="F167" s="42"/>
      <c r="G167" s="88"/>
      <c r="H167" s="107">
        <v>162</v>
      </c>
      <c r="I167" s="108" t="str">
        <f t="shared" si="17"/>
        <v/>
      </c>
      <c r="J167" s="107">
        <f t="shared" si="18"/>
        <v>-2</v>
      </c>
      <c r="K167" s="107">
        <f t="shared" si="19"/>
        <v>-20</v>
      </c>
      <c r="L167" s="107"/>
      <c r="M167" s="109">
        <f t="shared" si="20"/>
        <v>0</v>
      </c>
      <c r="N167" s="109">
        <f t="shared" si="21"/>
        <v>0</v>
      </c>
      <c r="O167" s="88"/>
      <c r="P167" s="88"/>
      <c r="Q167" s="88"/>
      <c r="R167" s="88"/>
      <c r="S167" s="88"/>
    </row>
    <row r="168" spans="1:20" s="93" customFormat="1">
      <c r="A168" s="102">
        <f t="shared" si="16"/>
        <v>0</v>
      </c>
      <c r="B168" s="35" t="str">
        <f t="shared" si="22"/>
        <v/>
      </c>
      <c r="C168" s="36"/>
      <c r="D168" s="36"/>
      <c r="E168" s="36"/>
      <c r="F168" s="36"/>
      <c r="G168" s="88"/>
      <c r="H168" s="103">
        <v>163</v>
      </c>
      <c r="I168" s="104" t="str">
        <f t="shared" si="17"/>
        <v/>
      </c>
      <c r="J168" s="103">
        <f t="shared" si="18"/>
        <v>-2</v>
      </c>
      <c r="K168" s="103">
        <f t="shared" si="19"/>
        <v>-20</v>
      </c>
      <c r="L168" s="103"/>
      <c r="M168" s="105">
        <f t="shared" si="20"/>
        <v>0</v>
      </c>
      <c r="N168" s="105">
        <f t="shared" si="21"/>
        <v>0</v>
      </c>
      <c r="O168" s="88"/>
      <c r="P168" s="88"/>
      <c r="Q168" s="88"/>
      <c r="R168" s="88"/>
      <c r="S168" s="117"/>
      <c r="T168" s="118"/>
    </row>
    <row r="169" spans="1:20" s="93" customFormat="1">
      <c r="A169" s="106">
        <f t="shared" si="16"/>
        <v>0</v>
      </c>
      <c r="B169" s="41" t="str">
        <f t="shared" si="22"/>
        <v/>
      </c>
      <c r="C169" s="42"/>
      <c r="D169" s="42"/>
      <c r="E169" s="42"/>
      <c r="F169" s="42"/>
      <c r="G169" s="88"/>
      <c r="H169" s="107">
        <v>164</v>
      </c>
      <c r="I169" s="108" t="str">
        <f t="shared" si="17"/>
        <v/>
      </c>
      <c r="J169" s="107">
        <f t="shared" si="18"/>
        <v>-2</v>
      </c>
      <c r="K169" s="107">
        <f t="shared" si="19"/>
        <v>-20</v>
      </c>
      <c r="L169" s="107"/>
      <c r="M169" s="109">
        <f t="shared" si="20"/>
        <v>0</v>
      </c>
      <c r="N169" s="109">
        <f t="shared" si="21"/>
        <v>0</v>
      </c>
      <c r="O169" s="88"/>
      <c r="P169" s="88"/>
      <c r="Q169" s="88"/>
      <c r="R169" s="88"/>
      <c r="S169" s="88"/>
    </row>
    <row r="170" spans="1:20" s="93" customFormat="1">
      <c r="A170" s="102">
        <f t="shared" si="16"/>
        <v>0</v>
      </c>
      <c r="B170" s="35" t="str">
        <f t="shared" si="22"/>
        <v/>
      </c>
      <c r="C170" s="36"/>
      <c r="D170" s="36"/>
      <c r="E170" s="36"/>
      <c r="F170" s="36"/>
      <c r="G170" s="88"/>
      <c r="H170" s="103">
        <v>165</v>
      </c>
      <c r="I170" s="104" t="str">
        <f t="shared" si="17"/>
        <v/>
      </c>
      <c r="J170" s="103">
        <f t="shared" si="18"/>
        <v>-2</v>
      </c>
      <c r="K170" s="103">
        <f t="shared" si="19"/>
        <v>-20</v>
      </c>
      <c r="L170" s="103"/>
      <c r="M170" s="105">
        <f t="shared" si="20"/>
        <v>0</v>
      </c>
      <c r="N170" s="105">
        <f t="shared" si="21"/>
        <v>0</v>
      </c>
      <c r="O170" s="88"/>
      <c r="P170" s="88"/>
      <c r="Q170" s="88"/>
      <c r="R170" s="88"/>
      <c r="S170" s="117"/>
      <c r="T170" s="118"/>
    </row>
    <row r="171" spans="1:20" s="93" customFormat="1">
      <c r="A171" s="106">
        <f t="shared" si="16"/>
        <v>0</v>
      </c>
      <c r="B171" s="41" t="str">
        <f t="shared" si="22"/>
        <v/>
      </c>
      <c r="C171" s="42"/>
      <c r="D171" s="42"/>
      <c r="E171" s="42"/>
      <c r="F171" s="42"/>
      <c r="G171" s="88"/>
      <c r="H171" s="107">
        <v>166</v>
      </c>
      <c r="I171" s="108" t="str">
        <f t="shared" si="17"/>
        <v/>
      </c>
      <c r="J171" s="107">
        <f t="shared" si="18"/>
        <v>-2</v>
      </c>
      <c r="K171" s="107">
        <f t="shared" si="19"/>
        <v>-20</v>
      </c>
      <c r="L171" s="107"/>
      <c r="M171" s="109">
        <f t="shared" si="20"/>
        <v>0</v>
      </c>
      <c r="N171" s="109">
        <f t="shared" si="21"/>
        <v>0</v>
      </c>
      <c r="O171" s="88"/>
      <c r="P171" s="88"/>
      <c r="Q171" s="88"/>
      <c r="R171" s="88"/>
      <c r="S171" s="88"/>
    </row>
    <row r="172" spans="1:20" s="93" customFormat="1">
      <c r="A172" s="102">
        <f t="shared" si="16"/>
        <v>0</v>
      </c>
      <c r="B172" s="35" t="str">
        <f t="shared" si="22"/>
        <v/>
      </c>
      <c r="C172" s="36"/>
      <c r="D172" s="36"/>
      <c r="E172" s="36"/>
      <c r="F172" s="36"/>
      <c r="G172" s="88"/>
      <c r="H172" s="103">
        <v>167</v>
      </c>
      <c r="I172" s="104" t="str">
        <f t="shared" si="17"/>
        <v/>
      </c>
      <c r="J172" s="103">
        <f t="shared" si="18"/>
        <v>-2</v>
      </c>
      <c r="K172" s="103">
        <f t="shared" si="19"/>
        <v>-20</v>
      </c>
      <c r="L172" s="103"/>
      <c r="M172" s="105">
        <f t="shared" si="20"/>
        <v>0</v>
      </c>
      <c r="N172" s="105">
        <f t="shared" si="21"/>
        <v>0</v>
      </c>
      <c r="O172" s="88"/>
      <c r="P172" s="88"/>
      <c r="Q172" s="88"/>
      <c r="R172" s="88"/>
      <c r="S172" s="117"/>
      <c r="T172" s="118"/>
    </row>
    <row r="173" spans="1:20" s="93" customFormat="1">
      <c r="A173" s="106">
        <f t="shared" si="16"/>
        <v>0</v>
      </c>
      <c r="B173" s="41" t="str">
        <f t="shared" si="22"/>
        <v/>
      </c>
      <c r="C173" s="42"/>
      <c r="D173" s="42"/>
      <c r="E173" s="42"/>
      <c r="F173" s="42"/>
      <c r="G173" s="88"/>
      <c r="H173" s="107">
        <v>168</v>
      </c>
      <c r="I173" s="108" t="str">
        <f t="shared" si="17"/>
        <v/>
      </c>
      <c r="J173" s="107">
        <f t="shared" si="18"/>
        <v>-2</v>
      </c>
      <c r="K173" s="107">
        <f t="shared" si="19"/>
        <v>-20</v>
      </c>
      <c r="L173" s="107"/>
      <c r="M173" s="109">
        <f t="shared" si="20"/>
        <v>0</v>
      </c>
      <c r="N173" s="109">
        <f t="shared" si="21"/>
        <v>0</v>
      </c>
      <c r="O173" s="88"/>
      <c r="P173" s="88"/>
      <c r="Q173" s="88"/>
      <c r="R173" s="88"/>
      <c r="S173" s="88"/>
    </row>
    <row r="174" spans="1:20" s="93" customFormat="1">
      <c r="A174" s="102">
        <f t="shared" si="16"/>
        <v>0</v>
      </c>
      <c r="B174" s="35" t="str">
        <f t="shared" si="22"/>
        <v/>
      </c>
      <c r="C174" s="36"/>
      <c r="D174" s="36"/>
      <c r="E174" s="36"/>
      <c r="F174" s="36"/>
      <c r="G174" s="88"/>
      <c r="H174" s="103">
        <v>169</v>
      </c>
      <c r="I174" s="104" t="str">
        <f t="shared" si="17"/>
        <v/>
      </c>
      <c r="J174" s="103">
        <f t="shared" si="18"/>
        <v>-2</v>
      </c>
      <c r="K174" s="103">
        <f t="shared" si="19"/>
        <v>-20</v>
      </c>
      <c r="L174" s="103"/>
      <c r="M174" s="105">
        <f t="shared" si="20"/>
        <v>0</v>
      </c>
      <c r="N174" s="105">
        <f t="shared" si="21"/>
        <v>0</v>
      </c>
      <c r="O174" s="88"/>
      <c r="P174" s="88"/>
      <c r="Q174" s="88"/>
      <c r="R174" s="88"/>
      <c r="S174" s="117"/>
      <c r="T174" s="118"/>
    </row>
    <row r="175" spans="1:20" s="93" customFormat="1">
      <c r="A175" s="106">
        <f t="shared" si="16"/>
        <v>0</v>
      </c>
      <c r="B175" s="41" t="str">
        <f t="shared" si="22"/>
        <v/>
      </c>
      <c r="C175" s="42"/>
      <c r="D175" s="42"/>
      <c r="E175" s="42"/>
      <c r="F175" s="42"/>
      <c r="G175" s="88"/>
      <c r="H175" s="107">
        <v>170</v>
      </c>
      <c r="I175" s="108" t="str">
        <f t="shared" si="17"/>
        <v/>
      </c>
      <c r="J175" s="107">
        <f t="shared" si="18"/>
        <v>-2</v>
      </c>
      <c r="K175" s="107">
        <f t="shared" si="19"/>
        <v>-20</v>
      </c>
      <c r="L175" s="107"/>
      <c r="M175" s="109">
        <f t="shared" si="20"/>
        <v>0</v>
      </c>
      <c r="N175" s="109">
        <f t="shared" si="21"/>
        <v>0</v>
      </c>
      <c r="O175" s="88"/>
      <c r="P175" s="88"/>
      <c r="Q175" s="88"/>
      <c r="R175" s="88"/>
      <c r="S175" s="88"/>
    </row>
    <row r="176" spans="1:20" s="93" customFormat="1">
      <c r="A176" s="102">
        <f t="shared" si="16"/>
        <v>0</v>
      </c>
      <c r="B176" s="35" t="str">
        <f t="shared" si="22"/>
        <v/>
      </c>
      <c r="C176" s="36"/>
      <c r="D176" s="36"/>
      <c r="E176" s="36"/>
      <c r="F176" s="36"/>
      <c r="G176" s="88"/>
      <c r="H176" s="103">
        <v>171</v>
      </c>
      <c r="I176" s="104" t="str">
        <f t="shared" si="17"/>
        <v/>
      </c>
      <c r="J176" s="103">
        <f t="shared" si="18"/>
        <v>-2</v>
      </c>
      <c r="K176" s="103">
        <f t="shared" si="19"/>
        <v>-20</v>
      </c>
      <c r="L176" s="103"/>
      <c r="M176" s="105">
        <f t="shared" si="20"/>
        <v>0</v>
      </c>
      <c r="N176" s="105">
        <f t="shared" si="21"/>
        <v>0</v>
      </c>
      <c r="O176" s="88"/>
      <c r="P176" s="88"/>
      <c r="Q176" s="88"/>
      <c r="R176" s="88"/>
      <c r="S176" s="117"/>
      <c r="T176" s="118"/>
    </row>
    <row r="177" spans="1:20" s="93" customFormat="1">
      <c r="A177" s="106">
        <f t="shared" si="16"/>
        <v>0</v>
      </c>
      <c r="B177" s="41" t="str">
        <f t="shared" si="22"/>
        <v/>
      </c>
      <c r="C177" s="42"/>
      <c r="D177" s="42"/>
      <c r="E177" s="42"/>
      <c r="F177" s="42"/>
      <c r="G177" s="88"/>
      <c r="H177" s="107">
        <v>172</v>
      </c>
      <c r="I177" s="108" t="str">
        <f t="shared" si="17"/>
        <v/>
      </c>
      <c r="J177" s="107">
        <f t="shared" si="18"/>
        <v>-2</v>
      </c>
      <c r="K177" s="107">
        <f t="shared" si="19"/>
        <v>-20</v>
      </c>
      <c r="L177" s="107"/>
      <c r="M177" s="109">
        <f t="shared" si="20"/>
        <v>0</v>
      </c>
      <c r="N177" s="109">
        <f t="shared" si="21"/>
        <v>0</v>
      </c>
      <c r="O177" s="88"/>
      <c r="P177" s="88"/>
      <c r="Q177" s="88"/>
      <c r="R177" s="88"/>
      <c r="S177" s="88"/>
    </row>
    <row r="178" spans="1:20" s="93" customFormat="1">
      <c r="A178" s="102">
        <f t="shared" si="16"/>
        <v>0</v>
      </c>
      <c r="B178" s="35" t="str">
        <f t="shared" si="22"/>
        <v/>
      </c>
      <c r="C178" s="36"/>
      <c r="D178" s="36"/>
      <c r="E178" s="36"/>
      <c r="F178" s="36"/>
      <c r="G178" s="88"/>
      <c r="H178" s="103">
        <v>173</v>
      </c>
      <c r="I178" s="104" t="str">
        <f t="shared" si="17"/>
        <v/>
      </c>
      <c r="J178" s="103">
        <f t="shared" si="18"/>
        <v>-2</v>
      </c>
      <c r="K178" s="103">
        <f t="shared" si="19"/>
        <v>-20</v>
      </c>
      <c r="L178" s="103"/>
      <c r="M178" s="105">
        <f t="shared" si="20"/>
        <v>0</v>
      </c>
      <c r="N178" s="105">
        <f t="shared" si="21"/>
        <v>0</v>
      </c>
      <c r="O178" s="88"/>
      <c r="P178" s="88"/>
      <c r="Q178" s="88"/>
      <c r="R178" s="88"/>
      <c r="S178" s="117"/>
      <c r="T178" s="118"/>
    </row>
    <row r="179" spans="1:20" s="93" customFormat="1">
      <c r="A179" s="106">
        <f t="shared" si="16"/>
        <v>0</v>
      </c>
      <c r="B179" s="41" t="str">
        <f t="shared" si="22"/>
        <v/>
      </c>
      <c r="C179" s="42"/>
      <c r="D179" s="42"/>
      <c r="E179" s="42"/>
      <c r="F179" s="42"/>
      <c r="G179" s="88"/>
      <c r="H179" s="107">
        <v>174</v>
      </c>
      <c r="I179" s="108" t="str">
        <f t="shared" si="17"/>
        <v/>
      </c>
      <c r="J179" s="107">
        <f t="shared" si="18"/>
        <v>-2</v>
      </c>
      <c r="K179" s="107">
        <f t="shared" si="19"/>
        <v>-20</v>
      </c>
      <c r="L179" s="107"/>
      <c r="M179" s="109">
        <f t="shared" si="20"/>
        <v>0</v>
      </c>
      <c r="N179" s="109">
        <f t="shared" si="21"/>
        <v>0</v>
      </c>
      <c r="O179" s="88"/>
      <c r="P179" s="88"/>
      <c r="Q179" s="88"/>
      <c r="R179" s="88"/>
      <c r="S179" s="88"/>
    </row>
    <row r="180" spans="1:20" s="93" customFormat="1">
      <c r="A180" s="102">
        <f t="shared" si="16"/>
        <v>0</v>
      </c>
      <c r="B180" s="35" t="str">
        <f t="shared" si="22"/>
        <v/>
      </c>
      <c r="C180" s="36"/>
      <c r="D180" s="36"/>
      <c r="E180" s="36"/>
      <c r="F180" s="36"/>
      <c r="G180" s="88"/>
      <c r="H180" s="103">
        <v>175</v>
      </c>
      <c r="I180" s="104" t="str">
        <f t="shared" si="17"/>
        <v/>
      </c>
      <c r="J180" s="103">
        <f t="shared" si="18"/>
        <v>-2</v>
      </c>
      <c r="K180" s="103">
        <f t="shared" si="19"/>
        <v>-20</v>
      </c>
      <c r="L180" s="103"/>
      <c r="M180" s="105">
        <f t="shared" si="20"/>
        <v>0</v>
      </c>
      <c r="N180" s="105">
        <f t="shared" si="21"/>
        <v>0</v>
      </c>
      <c r="O180" s="88"/>
      <c r="P180" s="88"/>
      <c r="Q180" s="88"/>
      <c r="R180" s="88"/>
      <c r="S180" s="117"/>
      <c r="T180" s="118"/>
    </row>
    <row r="181" spans="1:20" s="93" customFormat="1">
      <c r="A181" s="106">
        <f t="shared" si="16"/>
        <v>0</v>
      </c>
      <c r="B181" s="41" t="str">
        <f t="shared" si="22"/>
        <v/>
      </c>
      <c r="C181" s="42"/>
      <c r="D181" s="42"/>
      <c r="E181" s="42"/>
      <c r="F181" s="42"/>
      <c r="G181" s="88"/>
      <c r="H181" s="107">
        <v>176</v>
      </c>
      <c r="I181" s="108" t="str">
        <f t="shared" si="17"/>
        <v/>
      </c>
      <c r="J181" s="107">
        <f t="shared" si="18"/>
        <v>-2</v>
      </c>
      <c r="K181" s="107">
        <f t="shared" si="19"/>
        <v>-20</v>
      </c>
      <c r="L181" s="107"/>
      <c r="M181" s="109">
        <f t="shared" si="20"/>
        <v>0</v>
      </c>
      <c r="N181" s="109">
        <f t="shared" si="21"/>
        <v>0</v>
      </c>
      <c r="O181" s="88"/>
      <c r="P181" s="88"/>
      <c r="Q181" s="88"/>
      <c r="R181" s="88"/>
      <c r="S181" s="88"/>
    </row>
    <row r="182" spans="1:20" s="93" customFormat="1">
      <c r="A182" s="102">
        <f t="shared" si="16"/>
        <v>0</v>
      </c>
      <c r="B182" s="35" t="str">
        <f t="shared" si="22"/>
        <v/>
      </c>
      <c r="C182" s="36"/>
      <c r="D182" s="36"/>
      <c r="E182" s="36"/>
      <c r="F182" s="36"/>
      <c r="G182" s="88"/>
      <c r="H182" s="103">
        <v>177</v>
      </c>
      <c r="I182" s="104" t="str">
        <f t="shared" si="17"/>
        <v/>
      </c>
      <c r="J182" s="103">
        <f t="shared" si="18"/>
        <v>-2</v>
      </c>
      <c r="K182" s="103">
        <f t="shared" si="19"/>
        <v>-20</v>
      </c>
      <c r="L182" s="103"/>
      <c r="M182" s="105">
        <f t="shared" si="20"/>
        <v>0</v>
      </c>
      <c r="N182" s="105">
        <f t="shared" si="21"/>
        <v>0</v>
      </c>
      <c r="O182" s="88"/>
      <c r="P182" s="88"/>
      <c r="Q182" s="88"/>
      <c r="R182" s="88"/>
      <c r="S182" s="117"/>
      <c r="T182" s="118"/>
    </row>
    <row r="183" spans="1:20" s="93" customFormat="1">
      <c r="A183" s="106">
        <f t="shared" si="16"/>
        <v>0</v>
      </c>
      <c r="B183" s="41" t="str">
        <f t="shared" si="22"/>
        <v/>
      </c>
      <c r="C183" s="42"/>
      <c r="D183" s="42"/>
      <c r="E183" s="42"/>
      <c r="F183" s="42"/>
      <c r="G183" s="88"/>
      <c r="H183" s="107">
        <v>178</v>
      </c>
      <c r="I183" s="108" t="str">
        <f t="shared" si="17"/>
        <v/>
      </c>
      <c r="J183" s="107">
        <f t="shared" si="18"/>
        <v>-2</v>
      </c>
      <c r="K183" s="107">
        <f t="shared" si="19"/>
        <v>-20</v>
      </c>
      <c r="L183" s="107"/>
      <c r="M183" s="109">
        <f t="shared" si="20"/>
        <v>0</v>
      </c>
      <c r="N183" s="109">
        <f t="shared" si="21"/>
        <v>0</v>
      </c>
      <c r="O183" s="88"/>
      <c r="P183" s="88"/>
      <c r="Q183" s="88"/>
      <c r="R183" s="88"/>
      <c r="S183" s="88"/>
    </row>
    <row r="184" spans="1:20" s="93" customFormat="1">
      <c r="A184" s="102">
        <f t="shared" si="16"/>
        <v>0</v>
      </c>
      <c r="B184" s="35" t="str">
        <f t="shared" si="22"/>
        <v/>
      </c>
      <c r="C184" s="36"/>
      <c r="D184" s="36"/>
      <c r="E184" s="36"/>
      <c r="F184" s="36"/>
      <c r="G184" s="88"/>
      <c r="H184" s="103">
        <v>179</v>
      </c>
      <c r="I184" s="104" t="str">
        <f t="shared" si="17"/>
        <v/>
      </c>
      <c r="J184" s="103">
        <f t="shared" si="18"/>
        <v>-2</v>
      </c>
      <c r="K184" s="103">
        <f t="shared" si="19"/>
        <v>-20</v>
      </c>
      <c r="L184" s="103"/>
      <c r="M184" s="105">
        <f t="shared" si="20"/>
        <v>0</v>
      </c>
      <c r="N184" s="105">
        <f t="shared" si="21"/>
        <v>0</v>
      </c>
      <c r="O184" s="88"/>
      <c r="P184" s="88"/>
      <c r="Q184" s="88"/>
      <c r="R184" s="88"/>
      <c r="S184" s="117"/>
      <c r="T184" s="118"/>
    </row>
    <row r="185" spans="1:20" s="93" customFormat="1">
      <c r="A185" s="106">
        <f t="shared" si="16"/>
        <v>0</v>
      </c>
      <c r="B185" s="41" t="str">
        <f t="shared" si="22"/>
        <v/>
      </c>
      <c r="C185" s="42"/>
      <c r="D185" s="42"/>
      <c r="E185" s="42"/>
      <c r="F185" s="42"/>
      <c r="G185" s="88"/>
      <c r="H185" s="107">
        <v>180</v>
      </c>
      <c r="I185" s="108" t="str">
        <f t="shared" si="17"/>
        <v/>
      </c>
      <c r="J185" s="107">
        <f t="shared" si="18"/>
        <v>-2</v>
      </c>
      <c r="K185" s="107">
        <f t="shared" si="19"/>
        <v>-20</v>
      </c>
      <c r="L185" s="107"/>
      <c r="M185" s="109">
        <f t="shared" si="20"/>
        <v>0</v>
      </c>
      <c r="N185" s="109">
        <f t="shared" si="21"/>
        <v>0</v>
      </c>
      <c r="O185" s="88"/>
      <c r="P185" s="88"/>
      <c r="Q185" s="88"/>
      <c r="R185" s="88"/>
      <c r="S185" s="88"/>
    </row>
    <row r="186" spans="1:20" s="93" customFormat="1">
      <c r="A186" s="102">
        <f t="shared" si="16"/>
        <v>0</v>
      </c>
      <c r="B186" s="35" t="str">
        <f t="shared" si="22"/>
        <v/>
      </c>
      <c r="C186" s="36"/>
      <c r="D186" s="36"/>
      <c r="E186" s="36"/>
      <c r="F186" s="36"/>
      <c r="G186" s="88"/>
      <c r="H186" s="103">
        <v>181</v>
      </c>
      <c r="I186" s="104" t="str">
        <f t="shared" si="17"/>
        <v/>
      </c>
      <c r="J186" s="103">
        <f t="shared" si="18"/>
        <v>-2</v>
      </c>
      <c r="K186" s="103">
        <f t="shared" si="19"/>
        <v>-20</v>
      </c>
      <c r="L186" s="103"/>
      <c r="M186" s="105">
        <f t="shared" si="20"/>
        <v>0</v>
      </c>
      <c r="N186" s="105">
        <f t="shared" si="21"/>
        <v>0</v>
      </c>
      <c r="O186" s="88"/>
      <c r="P186" s="88"/>
      <c r="Q186" s="88"/>
      <c r="R186" s="88"/>
      <c r="S186" s="117"/>
      <c r="T186" s="118"/>
    </row>
    <row r="187" spans="1:20" s="93" customFormat="1">
      <c r="A187" s="106">
        <f t="shared" si="16"/>
        <v>0</v>
      </c>
      <c r="B187" s="41" t="str">
        <f t="shared" si="22"/>
        <v/>
      </c>
      <c r="C187" s="42"/>
      <c r="D187" s="42"/>
      <c r="E187" s="42"/>
      <c r="F187" s="42"/>
      <c r="G187" s="88"/>
      <c r="H187" s="107">
        <v>182</v>
      </c>
      <c r="I187" s="108" t="str">
        <f t="shared" si="17"/>
        <v/>
      </c>
      <c r="J187" s="107">
        <f t="shared" si="18"/>
        <v>-2</v>
      </c>
      <c r="K187" s="107">
        <f t="shared" si="19"/>
        <v>-20</v>
      </c>
      <c r="L187" s="107"/>
      <c r="M187" s="109">
        <f t="shared" si="20"/>
        <v>0</v>
      </c>
      <c r="N187" s="109">
        <f t="shared" si="21"/>
        <v>0</v>
      </c>
      <c r="O187" s="88"/>
      <c r="P187" s="88"/>
      <c r="Q187" s="88"/>
      <c r="R187" s="88"/>
      <c r="S187" s="88"/>
    </row>
    <row r="188" spans="1:20" s="93" customFormat="1">
      <c r="A188" s="102">
        <f t="shared" si="16"/>
        <v>0</v>
      </c>
      <c r="B188" s="35" t="str">
        <f t="shared" si="22"/>
        <v/>
      </c>
      <c r="C188" s="36"/>
      <c r="D188" s="36"/>
      <c r="E188" s="36"/>
      <c r="F188" s="36"/>
      <c r="G188" s="88"/>
      <c r="H188" s="103">
        <v>183</v>
      </c>
      <c r="I188" s="104" t="str">
        <f t="shared" si="17"/>
        <v/>
      </c>
      <c r="J188" s="103">
        <f t="shared" si="18"/>
        <v>-2</v>
      </c>
      <c r="K188" s="103">
        <f t="shared" si="19"/>
        <v>-20</v>
      </c>
      <c r="L188" s="103"/>
      <c r="M188" s="105">
        <f t="shared" si="20"/>
        <v>0</v>
      </c>
      <c r="N188" s="105">
        <f t="shared" si="21"/>
        <v>0</v>
      </c>
      <c r="O188" s="88"/>
      <c r="P188" s="88"/>
      <c r="Q188" s="88"/>
      <c r="R188" s="88"/>
      <c r="S188" s="117"/>
      <c r="T188" s="118"/>
    </row>
    <row r="189" spans="1:20" s="93" customFormat="1">
      <c r="A189" s="106">
        <f t="shared" si="16"/>
        <v>0</v>
      </c>
      <c r="B189" s="41" t="str">
        <f t="shared" si="22"/>
        <v/>
      </c>
      <c r="C189" s="42"/>
      <c r="D189" s="42"/>
      <c r="E189" s="42"/>
      <c r="F189" s="42"/>
      <c r="G189" s="88"/>
      <c r="H189" s="107">
        <v>184</v>
      </c>
      <c r="I189" s="108" t="str">
        <f t="shared" si="17"/>
        <v/>
      </c>
      <c r="J189" s="107">
        <f t="shared" si="18"/>
        <v>-2</v>
      </c>
      <c r="K189" s="107">
        <f t="shared" si="19"/>
        <v>-20</v>
      </c>
      <c r="L189" s="107"/>
      <c r="M189" s="109">
        <f t="shared" si="20"/>
        <v>0</v>
      </c>
      <c r="N189" s="109">
        <f t="shared" si="21"/>
        <v>0</v>
      </c>
      <c r="O189" s="88"/>
      <c r="P189" s="88"/>
      <c r="Q189" s="88"/>
      <c r="R189" s="88"/>
      <c r="S189" s="88"/>
    </row>
    <row r="190" spans="1:20" s="93" customFormat="1">
      <c r="A190" s="102">
        <f t="shared" si="16"/>
        <v>0</v>
      </c>
      <c r="B190" s="35" t="str">
        <f t="shared" si="22"/>
        <v/>
      </c>
      <c r="C190" s="36"/>
      <c r="D190" s="36"/>
      <c r="E190" s="36"/>
      <c r="F190" s="36"/>
      <c r="G190" s="88"/>
      <c r="H190" s="103">
        <v>185</v>
      </c>
      <c r="I190" s="104" t="str">
        <f t="shared" si="17"/>
        <v/>
      </c>
      <c r="J190" s="103">
        <f t="shared" si="18"/>
        <v>-2</v>
      </c>
      <c r="K190" s="103">
        <f t="shared" si="19"/>
        <v>-20</v>
      </c>
      <c r="L190" s="103"/>
      <c r="M190" s="105">
        <f t="shared" si="20"/>
        <v>0</v>
      </c>
      <c r="N190" s="105">
        <f t="shared" si="21"/>
        <v>0</v>
      </c>
      <c r="O190" s="88"/>
      <c r="P190" s="88"/>
      <c r="Q190" s="88"/>
      <c r="R190" s="88"/>
      <c r="S190" s="117"/>
      <c r="T190" s="118"/>
    </row>
    <row r="191" spans="1:20" s="93" customFormat="1">
      <c r="A191" s="106">
        <f t="shared" si="16"/>
        <v>0</v>
      </c>
      <c r="B191" s="41" t="str">
        <f t="shared" si="22"/>
        <v/>
      </c>
      <c r="C191" s="42"/>
      <c r="D191" s="42"/>
      <c r="E191" s="42"/>
      <c r="F191" s="42"/>
      <c r="G191" s="88"/>
      <c r="H191" s="107">
        <v>186</v>
      </c>
      <c r="I191" s="108" t="str">
        <f t="shared" si="17"/>
        <v/>
      </c>
      <c r="J191" s="107">
        <f t="shared" si="18"/>
        <v>-2</v>
      </c>
      <c r="K191" s="107">
        <f t="shared" si="19"/>
        <v>-20</v>
      </c>
      <c r="L191" s="107"/>
      <c r="M191" s="109">
        <f t="shared" si="20"/>
        <v>0</v>
      </c>
      <c r="N191" s="109">
        <f t="shared" si="21"/>
        <v>0</v>
      </c>
      <c r="O191" s="88"/>
      <c r="P191" s="88"/>
      <c r="Q191" s="88"/>
      <c r="R191" s="88"/>
      <c r="S191" s="88"/>
    </row>
    <row r="192" spans="1:20" s="93" customFormat="1">
      <c r="A192" s="102">
        <f t="shared" si="16"/>
        <v>0</v>
      </c>
      <c r="B192" s="35" t="str">
        <f t="shared" si="22"/>
        <v/>
      </c>
      <c r="C192" s="36"/>
      <c r="D192" s="36"/>
      <c r="E192" s="36"/>
      <c r="F192" s="36"/>
      <c r="G192" s="88"/>
      <c r="H192" s="103">
        <v>187</v>
      </c>
      <c r="I192" s="104" t="str">
        <f t="shared" si="17"/>
        <v/>
      </c>
      <c r="J192" s="103">
        <f t="shared" si="18"/>
        <v>-2</v>
      </c>
      <c r="K192" s="103">
        <f t="shared" si="19"/>
        <v>-20</v>
      </c>
      <c r="L192" s="103"/>
      <c r="M192" s="105">
        <f t="shared" si="20"/>
        <v>0</v>
      </c>
      <c r="N192" s="105">
        <f t="shared" si="21"/>
        <v>0</v>
      </c>
      <c r="O192" s="88"/>
      <c r="P192" s="88"/>
      <c r="Q192" s="88"/>
      <c r="R192" s="88"/>
      <c r="S192" s="117"/>
      <c r="T192" s="118"/>
    </row>
    <row r="193" spans="1:20" s="93" customFormat="1">
      <c r="A193" s="106">
        <f t="shared" si="16"/>
        <v>0</v>
      </c>
      <c r="B193" s="41" t="str">
        <f t="shared" si="22"/>
        <v/>
      </c>
      <c r="C193" s="42"/>
      <c r="D193" s="42"/>
      <c r="E193" s="42"/>
      <c r="F193" s="42"/>
      <c r="G193" s="88"/>
      <c r="H193" s="107">
        <v>188</v>
      </c>
      <c r="I193" s="108" t="str">
        <f t="shared" si="17"/>
        <v/>
      </c>
      <c r="J193" s="107">
        <f t="shared" si="18"/>
        <v>-2</v>
      </c>
      <c r="K193" s="107">
        <f t="shared" si="19"/>
        <v>-20</v>
      </c>
      <c r="L193" s="107"/>
      <c r="M193" s="109">
        <f t="shared" si="20"/>
        <v>0</v>
      </c>
      <c r="N193" s="109">
        <f t="shared" si="21"/>
        <v>0</v>
      </c>
      <c r="O193" s="88"/>
      <c r="P193" s="88"/>
      <c r="Q193" s="88"/>
      <c r="R193" s="88"/>
      <c r="S193" s="88"/>
    </row>
    <row r="194" spans="1:20" s="93" customFormat="1">
      <c r="A194" s="102">
        <f t="shared" si="16"/>
        <v>0</v>
      </c>
      <c r="B194" s="35" t="str">
        <f t="shared" si="22"/>
        <v/>
      </c>
      <c r="C194" s="36"/>
      <c r="D194" s="36"/>
      <c r="E194" s="36"/>
      <c r="F194" s="36"/>
      <c r="G194" s="88"/>
      <c r="H194" s="103">
        <v>189</v>
      </c>
      <c r="I194" s="104" t="str">
        <f t="shared" si="17"/>
        <v/>
      </c>
      <c r="J194" s="103">
        <f t="shared" si="18"/>
        <v>-2</v>
      </c>
      <c r="K194" s="103">
        <f t="shared" si="19"/>
        <v>-20</v>
      </c>
      <c r="L194" s="103"/>
      <c r="M194" s="105">
        <f t="shared" si="20"/>
        <v>0</v>
      </c>
      <c r="N194" s="105">
        <f t="shared" si="21"/>
        <v>0</v>
      </c>
      <c r="O194" s="88"/>
      <c r="P194" s="88"/>
      <c r="Q194" s="88"/>
      <c r="R194" s="88"/>
      <c r="S194" s="117"/>
      <c r="T194" s="118"/>
    </row>
    <row r="195" spans="1:20" s="93" customFormat="1">
      <c r="A195" s="106">
        <f t="shared" si="16"/>
        <v>0</v>
      </c>
      <c r="B195" s="41" t="str">
        <f t="shared" si="22"/>
        <v/>
      </c>
      <c r="C195" s="42"/>
      <c r="D195" s="42"/>
      <c r="E195" s="42"/>
      <c r="F195" s="42"/>
      <c r="G195" s="88"/>
      <c r="H195" s="107">
        <v>190</v>
      </c>
      <c r="I195" s="108" t="str">
        <f t="shared" si="17"/>
        <v/>
      </c>
      <c r="J195" s="107">
        <f t="shared" si="18"/>
        <v>-2</v>
      </c>
      <c r="K195" s="107">
        <f t="shared" si="19"/>
        <v>-20</v>
      </c>
      <c r="L195" s="107"/>
      <c r="M195" s="109">
        <f t="shared" si="20"/>
        <v>0</v>
      </c>
      <c r="N195" s="109">
        <f t="shared" si="21"/>
        <v>0</v>
      </c>
      <c r="O195" s="88"/>
      <c r="P195" s="88"/>
      <c r="Q195" s="88"/>
      <c r="R195" s="88"/>
      <c r="S195" s="88"/>
    </row>
    <row r="196" spans="1:20" s="93" customFormat="1">
      <c r="A196" s="102">
        <f t="shared" si="16"/>
        <v>0</v>
      </c>
      <c r="B196" s="35" t="str">
        <f t="shared" si="22"/>
        <v/>
      </c>
      <c r="C196" s="36"/>
      <c r="D196" s="36"/>
      <c r="E196" s="36"/>
      <c r="F196" s="36"/>
      <c r="G196" s="88"/>
      <c r="H196" s="103">
        <v>191</v>
      </c>
      <c r="I196" s="104" t="str">
        <f t="shared" si="17"/>
        <v/>
      </c>
      <c r="J196" s="103">
        <f t="shared" si="18"/>
        <v>-2</v>
      </c>
      <c r="K196" s="103">
        <f t="shared" si="19"/>
        <v>-20</v>
      </c>
      <c r="L196" s="103"/>
      <c r="M196" s="105">
        <f t="shared" si="20"/>
        <v>0</v>
      </c>
      <c r="N196" s="105">
        <f t="shared" si="21"/>
        <v>0</v>
      </c>
      <c r="O196" s="88"/>
      <c r="P196" s="88"/>
      <c r="Q196" s="88"/>
      <c r="R196" s="88"/>
      <c r="S196" s="117"/>
      <c r="T196" s="118"/>
    </row>
    <row r="197" spans="1:20" s="93" customFormat="1">
      <c r="A197" s="106">
        <f t="shared" si="16"/>
        <v>0</v>
      </c>
      <c r="B197" s="41" t="str">
        <f t="shared" si="22"/>
        <v/>
      </c>
      <c r="C197" s="42"/>
      <c r="D197" s="42"/>
      <c r="E197" s="42"/>
      <c r="F197" s="42"/>
      <c r="G197" s="88"/>
      <c r="H197" s="107">
        <v>192</v>
      </c>
      <c r="I197" s="108" t="str">
        <f t="shared" si="17"/>
        <v/>
      </c>
      <c r="J197" s="107">
        <f t="shared" si="18"/>
        <v>-2</v>
      </c>
      <c r="K197" s="107">
        <f t="shared" si="19"/>
        <v>-20</v>
      </c>
      <c r="L197" s="107"/>
      <c r="M197" s="109">
        <f t="shared" si="20"/>
        <v>0</v>
      </c>
      <c r="N197" s="109">
        <f t="shared" si="21"/>
        <v>0</v>
      </c>
      <c r="O197" s="88"/>
      <c r="P197" s="88"/>
      <c r="Q197" s="88"/>
      <c r="R197" s="88"/>
      <c r="S197" s="88"/>
    </row>
    <row r="198" spans="1:20" s="93" customFormat="1">
      <c r="A198" s="102">
        <f t="shared" ref="A198:A261" si="23">N198</f>
        <v>0</v>
      </c>
      <c r="B198" s="35" t="str">
        <f t="shared" si="22"/>
        <v/>
      </c>
      <c r="C198" s="36"/>
      <c r="D198" s="36"/>
      <c r="E198" s="36"/>
      <c r="F198" s="36"/>
      <c r="G198" s="88"/>
      <c r="H198" s="103">
        <v>193</v>
      </c>
      <c r="I198" s="104" t="str">
        <f t="shared" ref="I198:I261" si="24">IF(H198&lt;$H$2+1,($I$2-($I$2-1)*(LOG(H198)/LOG($H$2))),"")</f>
        <v/>
      </c>
      <c r="J198" s="103">
        <f t="shared" ref="J198:J261" si="25">INT(LOG($H$2,2))-ROUNDUP(LOG(H198,2),0)+IF(OR($H$2=1,$H$2=2,$H$2=4,$H$2=8,$H$2=16,$H$2=32,$H$2=64,$H$2=128,$H$2=256),0,1)</f>
        <v>-2</v>
      </c>
      <c r="K198" s="103">
        <f t="shared" ref="K198:K261" si="26">J198*$J$2</f>
        <v>-20</v>
      </c>
      <c r="L198" s="103"/>
      <c r="M198" s="105">
        <f t="shared" ref="M198:M261" si="27">IF(I198&lt;&gt;"",K198+I198+L198,0)</f>
        <v>0</v>
      </c>
      <c r="N198" s="105">
        <f t="shared" ref="N198:N261" si="28">IF(I198&lt;&gt;"",M198*L$2,0)</f>
        <v>0</v>
      </c>
      <c r="O198" s="88"/>
      <c r="P198" s="88"/>
      <c r="Q198" s="88"/>
      <c r="R198" s="88"/>
      <c r="S198" s="117"/>
      <c r="T198" s="118"/>
    </row>
    <row r="199" spans="1:20" s="93" customFormat="1">
      <c r="A199" s="106">
        <f t="shared" si="23"/>
        <v>0</v>
      </c>
      <c r="B199" s="41" t="str">
        <f t="shared" si="22"/>
        <v/>
      </c>
      <c r="C199" s="42"/>
      <c r="D199" s="42"/>
      <c r="E199" s="42"/>
      <c r="F199" s="42"/>
      <c r="G199" s="88"/>
      <c r="H199" s="107">
        <v>194</v>
      </c>
      <c r="I199" s="108" t="str">
        <f t="shared" si="24"/>
        <v/>
      </c>
      <c r="J199" s="107">
        <f t="shared" si="25"/>
        <v>-2</v>
      </c>
      <c r="K199" s="107">
        <f t="shared" si="26"/>
        <v>-20</v>
      </c>
      <c r="L199" s="107"/>
      <c r="M199" s="109">
        <f t="shared" si="27"/>
        <v>0</v>
      </c>
      <c r="N199" s="109">
        <f t="shared" si="28"/>
        <v>0</v>
      </c>
      <c r="O199" s="88"/>
      <c r="P199" s="88"/>
      <c r="Q199" s="88"/>
      <c r="R199" s="88"/>
      <c r="S199" s="88"/>
    </row>
    <row r="200" spans="1:20" s="93" customFormat="1">
      <c r="A200" s="102">
        <f t="shared" si="23"/>
        <v>0</v>
      </c>
      <c r="B200" s="35" t="str">
        <f t="shared" si="22"/>
        <v/>
      </c>
      <c r="C200" s="36"/>
      <c r="D200" s="36"/>
      <c r="E200" s="36"/>
      <c r="F200" s="36"/>
      <c r="G200" s="88"/>
      <c r="H200" s="103">
        <v>195</v>
      </c>
      <c r="I200" s="104" t="str">
        <f t="shared" si="24"/>
        <v/>
      </c>
      <c r="J200" s="103">
        <f t="shared" si="25"/>
        <v>-2</v>
      </c>
      <c r="K200" s="103">
        <f t="shared" si="26"/>
        <v>-20</v>
      </c>
      <c r="L200" s="103"/>
      <c r="M200" s="105">
        <f t="shared" si="27"/>
        <v>0</v>
      </c>
      <c r="N200" s="105">
        <f t="shared" si="28"/>
        <v>0</v>
      </c>
      <c r="O200" s="88"/>
      <c r="P200" s="88"/>
      <c r="Q200" s="88"/>
      <c r="R200" s="88"/>
      <c r="S200" s="117"/>
      <c r="T200" s="118"/>
    </row>
    <row r="201" spans="1:20" s="93" customFormat="1">
      <c r="A201" s="106">
        <f t="shared" si="23"/>
        <v>0</v>
      </c>
      <c r="B201" s="41" t="str">
        <f t="shared" si="22"/>
        <v/>
      </c>
      <c r="C201" s="42"/>
      <c r="D201" s="42"/>
      <c r="E201" s="42"/>
      <c r="F201" s="42"/>
      <c r="G201" s="88"/>
      <c r="H201" s="107">
        <v>196</v>
      </c>
      <c r="I201" s="108" t="str">
        <f t="shared" si="24"/>
        <v/>
      </c>
      <c r="J201" s="107">
        <f t="shared" si="25"/>
        <v>-2</v>
      </c>
      <c r="K201" s="107">
        <f t="shared" si="26"/>
        <v>-20</v>
      </c>
      <c r="L201" s="107"/>
      <c r="M201" s="109">
        <f t="shared" si="27"/>
        <v>0</v>
      </c>
      <c r="N201" s="109">
        <f t="shared" si="28"/>
        <v>0</v>
      </c>
      <c r="O201" s="88"/>
      <c r="P201" s="88"/>
      <c r="Q201" s="88"/>
      <c r="R201" s="88"/>
      <c r="S201" s="88"/>
    </row>
    <row r="202" spans="1:20" s="93" customFormat="1">
      <c r="A202" s="102">
        <f t="shared" si="23"/>
        <v>0</v>
      </c>
      <c r="B202" s="35" t="str">
        <f t="shared" ref="B202:B250" si="29">IF(H202&gt;$H$2,"",(ROW()-5))</f>
        <v/>
      </c>
      <c r="C202" s="36"/>
      <c r="D202" s="36"/>
      <c r="E202" s="36"/>
      <c r="F202" s="36"/>
      <c r="G202" s="88"/>
      <c r="H202" s="103">
        <v>197</v>
      </c>
      <c r="I202" s="104" t="str">
        <f t="shared" si="24"/>
        <v/>
      </c>
      <c r="J202" s="103">
        <f t="shared" si="25"/>
        <v>-2</v>
      </c>
      <c r="K202" s="103">
        <f t="shared" si="26"/>
        <v>-20</v>
      </c>
      <c r="L202" s="103"/>
      <c r="M202" s="105">
        <f t="shared" si="27"/>
        <v>0</v>
      </c>
      <c r="N202" s="105">
        <f t="shared" si="28"/>
        <v>0</v>
      </c>
      <c r="O202" s="88"/>
      <c r="P202" s="88"/>
      <c r="Q202" s="88"/>
      <c r="R202" s="88"/>
      <c r="S202" s="117"/>
      <c r="T202" s="118"/>
    </row>
    <row r="203" spans="1:20" s="93" customFormat="1">
      <c r="A203" s="106">
        <f t="shared" si="23"/>
        <v>0</v>
      </c>
      <c r="B203" s="41" t="str">
        <f t="shared" si="29"/>
        <v/>
      </c>
      <c r="C203" s="42"/>
      <c r="D203" s="42"/>
      <c r="E203" s="42"/>
      <c r="F203" s="42"/>
      <c r="G203" s="88"/>
      <c r="H203" s="107">
        <v>198</v>
      </c>
      <c r="I203" s="108" t="str">
        <f t="shared" si="24"/>
        <v/>
      </c>
      <c r="J203" s="107">
        <f t="shared" si="25"/>
        <v>-2</v>
      </c>
      <c r="K203" s="107">
        <f t="shared" si="26"/>
        <v>-20</v>
      </c>
      <c r="L203" s="107"/>
      <c r="M203" s="109">
        <f t="shared" si="27"/>
        <v>0</v>
      </c>
      <c r="N203" s="109">
        <f t="shared" si="28"/>
        <v>0</v>
      </c>
      <c r="O203" s="88"/>
      <c r="P203" s="88"/>
      <c r="Q203" s="88"/>
      <c r="R203" s="88"/>
      <c r="S203" s="88"/>
    </row>
    <row r="204" spans="1:20" s="93" customFormat="1">
      <c r="A204" s="102">
        <f t="shared" si="23"/>
        <v>0</v>
      </c>
      <c r="B204" s="35" t="str">
        <f t="shared" si="29"/>
        <v/>
      </c>
      <c r="C204" s="36"/>
      <c r="D204" s="36"/>
      <c r="E204" s="36"/>
      <c r="F204" s="36"/>
      <c r="G204" s="88"/>
      <c r="H204" s="103">
        <v>199</v>
      </c>
      <c r="I204" s="104" t="str">
        <f t="shared" si="24"/>
        <v/>
      </c>
      <c r="J204" s="103">
        <f t="shared" si="25"/>
        <v>-2</v>
      </c>
      <c r="K204" s="103">
        <f t="shared" si="26"/>
        <v>-20</v>
      </c>
      <c r="L204" s="103"/>
      <c r="M204" s="105">
        <f t="shared" si="27"/>
        <v>0</v>
      </c>
      <c r="N204" s="105">
        <f t="shared" si="28"/>
        <v>0</v>
      </c>
      <c r="O204" s="88"/>
      <c r="P204" s="88"/>
      <c r="Q204" s="88"/>
      <c r="R204" s="88"/>
      <c r="S204" s="117"/>
      <c r="T204" s="118"/>
    </row>
    <row r="205" spans="1:20" s="93" customFormat="1">
      <c r="A205" s="106">
        <f t="shared" si="23"/>
        <v>0</v>
      </c>
      <c r="B205" s="41" t="str">
        <f t="shared" si="29"/>
        <v/>
      </c>
      <c r="C205" s="42"/>
      <c r="D205" s="42"/>
      <c r="E205" s="42"/>
      <c r="F205" s="42"/>
      <c r="G205" s="88"/>
      <c r="H205" s="107">
        <v>200</v>
      </c>
      <c r="I205" s="108" t="str">
        <f t="shared" si="24"/>
        <v/>
      </c>
      <c r="J205" s="107">
        <f t="shared" si="25"/>
        <v>-2</v>
      </c>
      <c r="K205" s="107">
        <f t="shared" si="26"/>
        <v>-20</v>
      </c>
      <c r="L205" s="107"/>
      <c r="M205" s="109">
        <f t="shared" si="27"/>
        <v>0</v>
      </c>
      <c r="N205" s="109">
        <f t="shared" si="28"/>
        <v>0</v>
      </c>
      <c r="O205" s="88"/>
      <c r="P205" s="88"/>
      <c r="Q205" s="88"/>
      <c r="R205" s="88"/>
      <c r="S205" s="88"/>
    </row>
    <row r="206" spans="1:20" s="93" customFormat="1">
      <c r="A206" s="102">
        <f t="shared" si="23"/>
        <v>0</v>
      </c>
      <c r="B206" s="35" t="str">
        <f t="shared" si="29"/>
        <v/>
      </c>
      <c r="C206" s="36"/>
      <c r="D206" s="36"/>
      <c r="E206" s="36"/>
      <c r="F206" s="36"/>
      <c r="G206" s="88"/>
      <c r="H206" s="103">
        <v>201</v>
      </c>
      <c r="I206" s="104" t="str">
        <f t="shared" si="24"/>
        <v/>
      </c>
      <c r="J206" s="103">
        <f t="shared" si="25"/>
        <v>-2</v>
      </c>
      <c r="K206" s="103">
        <f t="shared" si="26"/>
        <v>-20</v>
      </c>
      <c r="L206" s="103"/>
      <c r="M206" s="105">
        <f t="shared" si="27"/>
        <v>0</v>
      </c>
      <c r="N206" s="105">
        <f t="shared" si="28"/>
        <v>0</v>
      </c>
      <c r="O206" s="88"/>
      <c r="P206" s="88"/>
      <c r="Q206" s="88"/>
      <c r="R206" s="88"/>
      <c r="S206" s="117"/>
      <c r="T206" s="118"/>
    </row>
    <row r="207" spans="1:20" s="93" customFormat="1">
      <c r="A207" s="106">
        <f t="shared" si="23"/>
        <v>0</v>
      </c>
      <c r="B207" s="41" t="str">
        <f t="shared" si="29"/>
        <v/>
      </c>
      <c r="C207" s="42"/>
      <c r="D207" s="42"/>
      <c r="E207" s="42"/>
      <c r="F207" s="42"/>
      <c r="G207" s="88"/>
      <c r="H207" s="107">
        <v>202</v>
      </c>
      <c r="I207" s="108" t="str">
        <f t="shared" si="24"/>
        <v/>
      </c>
      <c r="J207" s="107">
        <f t="shared" si="25"/>
        <v>-2</v>
      </c>
      <c r="K207" s="107">
        <f t="shared" si="26"/>
        <v>-20</v>
      </c>
      <c r="L207" s="107"/>
      <c r="M207" s="109">
        <f t="shared" si="27"/>
        <v>0</v>
      </c>
      <c r="N207" s="109">
        <f t="shared" si="28"/>
        <v>0</v>
      </c>
      <c r="O207" s="88"/>
      <c r="P207" s="88"/>
      <c r="Q207" s="88"/>
      <c r="R207" s="88"/>
      <c r="S207" s="88"/>
    </row>
    <row r="208" spans="1:20" s="93" customFormat="1">
      <c r="A208" s="102">
        <f t="shared" si="23"/>
        <v>0</v>
      </c>
      <c r="B208" s="35" t="str">
        <f t="shared" si="29"/>
        <v/>
      </c>
      <c r="C208" s="36"/>
      <c r="D208" s="36"/>
      <c r="E208" s="36"/>
      <c r="F208" s="36"/>
      <c r="G208" s="88"/>
      <c r="H208" s="103">
        <v>203</v>
      </c>
      <c r="I208" s="104" t="str">
        <f t="shared" si="24"/>
        <v/>
      </c>
      <c r="J208" s="103">
        <f t="shared" si="25"/>
        <v>-2</v>
      </c>
      <c r="K208" s="103">
        <f t="shared" si="26"/>
        <v>-20</v>
      </c>
      <c r="L208" s="103"/>
      <c r="M208" s="105">
        <f t="shared" si="27"/>
        <v>0</v>
      </c>
      <c r="N208" s="105">
        <f t="shared" si="28"/>
        <v>0</v>
      </c>
      <c r="O208" s="88"/>
      <c r="P208" s="88"/>
      <c r="Q208" s="88"/>
      <c r="R208" s="88"/>
      <c r="S208" s="117"/>
      <c r="T208" s="118"/>
    </row>
    <row r="209" spans="1:20" s="93" customFormat="1">
      <c r="A209" s="106">
        <f t="shared" si="23"/>
        <v>0</v>
      </c>
      <c r="B209" s="41" t="str">
        <f t="shared" si="29"/>
        <v/>
      </c>
      <c r="C209" s="42"/>
      <c r="D209" s="42"/>
      <c r="E209" s="42"/>
      <c r="F209" s="42"/>
      <c r="G209" s="88"/>
      <c r="H209" s="107">
        <v>204</v>
      </c>
      <c r="I209" s="108" t="str">
        <f t="shared" si="24"/>
        <v/>
      </c>
      <c r="J209" s="107">
        <f t="shared" si="25"/>
        <v>-2</v>
      </c>
      <c r="K209" s="107">
        <f t="shared" si="26"/>
        <v>-20</v>
      </c>
      <c r="L209" s="107"/>
      <c r="M209" s="109">
        <f t="shared" si="27"/>
        <v>0</v>
      </c>
      <c r="N209" s="109">
        <f t="shared" si="28"/>
        <v>0</v>
      </c>
      <c r="O209" s="88"/>
      <c r="P209" s="88"/>
      <c r="Q209" s="88"/>
      <c r="R209" s="88"/>
      <c r="S209" s="88"/>
    </row>
    <row r="210" spans="1:20" s="93" customFormat="1">
      <c r="A210" s="102">
        <f t="shared" si="23"/>
        <v>0</v>
      </c>
      <c r="B210" s="35" t="str">
        <f t="shared" si="29"/>
        <v/>
      </c>
      <c r="C210" s="36"/>
      <c r="D210" s="36"/>
      <c r="E210" s="36"/>
      <c r="F210" s="36"/>
      <c r="G210" s="88"/>
      <c r="H210" s="103">
        <v>205</v>
      </c>
      <c r="I210" s="104" t="str">
        <f t="shared" si="24"/>
        <v/>
      </c>
      <c r="J210" s="103">
        <f t="shared" si="25"/>
        <v>-2</v>
      </c>
      <c r="K210" s="103">
        <f t="shared" si="26"/>
        <v>-20</v>
      </c>
      <c r="L210" s="103"/>
      <c r="M210" s="105">
        <f t="shared" si="27"/>
        <v>0</v>
      </c>
      <c r="N210" s="105">
        <f t="shared" si="28"/>
        <v>0</v>
      </c>
      <c r="O210" s="88"/>
      <c r="P210" s="88"/>
      <c r="Q210" s="88"/>
      <c r="R210" s="88"/>
      <c r="S210" s="117"/>
      <c r="T210" s="118"/>
    </row>
    <row r="211" spans="1:20" s="93" customFormat="1">
      <c r="A211" s="106">
        <f t="shared" si="23"/>
        <v>0</v>
      </c>
      <c r="B211" s="41" t="str">
        <f t="shared" si="29"/>
        <v/>
      </c>
      <c r="C211" s="42"/>
      <c r="D211" s="42"/>
      <c r="E211" s="42"/>
      <c r="F211" s="42"/>
      <c r="G211" s="88"/>
      <c r="H211" s="107">
        <v>206</v>
      </c>
      <c r="I211" s="108" t="str">
        <f t="shared" si="24"/>
        <v/>
      </c>
      <c r="J211" s="107">
        <f t="shared" si="25"/>
        <v>-2</v>
      </c>
      <c r="K211" s="107">
        <f t="shared" si="26"/>
        <v>-20</v>
      </c>
      <c r="L211" s="107"/>
      <c r="M211" s="109">
        <f t="shared" si="27"/>
        <v>0</v>
      </c>
      <c r="N211" s="109">
        <f t="shared" si="28"/>
        <v>0</v>
      </c>
      <c r="O211" s="88"/>
      <c r="P211" s="88"/>
      <c r="Q211" s="88"/>
      <c r="R211" s="88"/>
      <c r="S211" s="88"/>
    </row>
    <row r="212" spans="1:20" s="93" customFormat="1">
      <c r="A212" s="102">
        <f t="shared" si="23"/>
        <v>0</v>
      </c>
      <c r="B212" s="35" t="str">
        <f t="shared" si="29"/>
        <v/>
      </c>
      <c r="C212" s="36"/>
      <c r="D212" s="36"/>
      <c r="E212" s="36"/>
      <c r="F212" s="36"/>
      <c r="G212" s="88"/>
      <c r="H212" s="103">
        <v>207</v>
      </c>
      <c r="I212" s="104" t="str">
        <f t="shared" si="24"/>
        <v/>
      </c>
      <c r="J212" s="103">
        <f t="shared" si="25"/>
        <v>-2</v>
      </c>
      <c r="K212" s="103">
        <f t="shared" si="26"/>
        <v>-20</v>
      </c>
      <c r="L212" s="103"/>
      <c r="M212" s="105">
        <f t="shared" si="27"/>
        <v>0</v>
      </c>
      <c r="N212" s="105">
        <f t="shared" si="28"/>
        <v>0</v>
      </c>
      <c r="O212" s="88"/>
      <c r="P212" s="88"/>
      <c r="Q212" s="88"/>
      <c r="R212" s="88"/>
      <c r="S212" s="117"/>
      <c r="T212" s="118"/>
    </row>
    <row r="213" spans="1:20" s="93" customFormat="1">
      <c r="A213" s="106">
        <f t="shared" si="23"/>
        <v>0</v>
      </c>
      <c r="B213" s="41" t="str">
        <f t="shared" si="29"/>
        <v/>
      </c>
      <c r="C213" s="42"/>
      <c r="D213" s="42"/>
      <c r="E213" s="42"/>
      <c r="F213" s="42"/>
      <c r="G213" s="88"/>
      <c r="H213" s="107">
        <v>208</v>
      </c>
      <c r="I213" s="108" t="str">
        <f t="shared" si="24"/>
        <v/>
      </c>
      <c r="J213" s="107">
        <f t="shared" si="25"/>
        <v>-2</v>
      </c>
      <c r="K213" s="107">
        <f t="shared" si="26"/>
        <v>-20</v>
      </c>
      <c r="L213" s="107"/>
      <c r="M213" s="109">
        <f t="shared" si="27"/>
        <v>0</v>
      </c>
      <c r="N213" s="109">
        <f t="shared" si="28"/>
        <v>0</v>
      </c>
      <c r="O213" s="88"/>
      <c r="P213" s="88"/>
      <c r="Q213" s="88"/>
      <c r="R213" s="88"/>
      <c r="S213" s="88"/>
    </row>
    <row r="214" spans="1:20" s="93" customFormat="1">
      <c r="A214" s="102">
        <f t="shared" si="23"/>
        <v>0</v>
      </c>
      <c r="B214" s="35" t="str">
        <f t="shared" si="29"/>
        <v/>
      </c>
      <c r="C214" s="36"/>
      <c r="D214" s="36"/>
      <c r="E214" s="36"/>
      <c r="F214" s="36"/>
      <c r="G214" s="88"/>
      <c r="H214" s="103">
        <v>209</v>
      </c>
      <c r="I214" s="104" t="str">
        <f t="shared" si="24"/>
        <v/>
      </c>
      <c r="J214" s="103">
        <f t="shared" si="25"/>
        <v>-2</v>
      </c>
      <c r="K214" s="103">
        <f t="shared" si="26"/>
        <v>-20</v>
      </c>
      <c r="L214" s="103"/>
      <c r="M214" s="105">
        <f t="shared" si="27"/>
        <v>0</v>
      </c>
      <c r="N214" s="105">
        <f t="shared" si="28"/>
        <v>0</v>
      </c>
      <c r="O214" s="88"/>
      <c r="P214" s="88"/>
      <c r="Q214" s="88"/>
      <c r="R214" s="88"/>
      <c r="S214" s="117"/>
      <c r="T214" s="118"/>
    </row>
    <row r="215" spans="1:20" s="93" customFormat="1">
      <c r="A215" s="106">
        <f t="shared" si="23"/>
        <v>0</v>
      </c>
      <c r="B215" s="41" t="str">
        <f t="shared" si="29"/>
        <v/>
      </c>
      <c r="C215" s="42"/>
      <c r="D215" s="42"/>
      <c r="E215" s="42"/>
      <c r="F215" s="42"/>
      <c r="G215" s="88"/>
      <c r="H215" s="107">
        <v>210</v>
      </c>
      <c r="I215" s="108" t="str">
        <f t="shared" si="24"/>
        <v/>
      </c>
      <c r="J215" s="107">
        <f t="shared" si="25"/>
        <v>-2</v>
      </c>
      <c r="K215" s="107">
        <f t="shared" si="26"/>
        <v>-20</v>
      </c>
      <c r="L215" s="107"/>
      <c r="M215" s="109">
        <f t="shared" si="27"/>
        <v>0</v>
      </c>
      <c r="N215" s="109">
        <f t="shared" si="28"/>
        <v>0</v>
      </c>
      <c r="O215" s="88"/>
      <c r="P215" s="88"/>
      <c r="Q215" s="88"/>
      <c r="R215" s="88"/>
      <c r="S215" s="88"/>
    </row>
    <row r="216" spans="1:20" s="93" customFormat="1">
      <c r="A216" s="102">
        <f t="shared" si="23"/>
        <v>0</v>
      </c>
      <c r="B216" s="35" t="str">
        <f t="shared" si="29"/>
        <v/>
      </c>
      <c r="C216" s="36"/>
      <c r="D216" s="36"/>
      <c r="E216" s="36"/>
      <c r="F216" s="36"/>
      <c r="G216" s="88"/>
      <c r="H216" s="103">
        <v>211</v>
      </c>
      <c r="I216" s="104" t="str">
        <f t="shared" si="24"/>
        <v/>
      </c>
      <c r="J216" s="103">
        <f t="shared" si="25"/>
        <v>-2</v>
      </c>
      <c r="K216" s="103">
        <f t="shared" si="26"/>
        <v>-20</v>
      </c>
      <c r="L216" s="103"/>
      <c r="M216" s="105">
        <f t="shared" si="27"/>
        <v>0</v>
      </c>
      <c r="N216" s="105">
        <f t="shared" si="28"/>
        <v>0</v>
      </c>
      <c r="O216" s="88"/>
      <c r="P216" s="88"/>
      <c r="Q216" s="88"/>
      <c r="R216" s="88"/>
      <c r="S216" s="117"/>
      <c r="T216" s="118"/>
    </row>
    <row r="217" spans="1:20" s="93" customFormat="1">
      <c r="A217" s="106">
        <f t="shared" si="23"/>
        <v>0</v>
      </c>
      <c r="B217" s="41" t="str">
        <f t="shared" si="29"/>
        <v/>
      </c>
      <c r="C217" s="42"/>
      <c r="D217" s="42"/>
      <c r="E217" s="42"/>
      <c r="F217" s="42"/>
      <c r="G217" s="88"/>
      <c r="H217" s="107">
        <v>212</v>
      </c>
      <c r="I217" s="108" t="str">
        <f t="shared" si="24"/>
        <v/>
      </c>
      <c r="J217" s="107">
        <f t="shared" si="25"/>
        <v>-2</v>
      </c>
      <c r="K217" s="107">
        <f t="shared" si="26"/>
        <v>-20</v>
      </c>
      <c r="L217" s="107"/>
      <c r="M217" s="109">
        <f t="shared" si="27"/>
        <v>0</v>
      </c>
      <c r="N217" s="109">
        <f t="shared" si="28"/>
        <v>0</v>
      </c>
      <c r="O217" s="88"/>
      <c r="P217" s="88"/>
      <c r="Q217" s="88"/>
      <c r="R217" s="88"/>
      <c r="S217" s="88"/>
    </row>
    <row r="218" spans="1:20" s="93" customFormat="1">
      <c r="A218" s="102">
        <f t="shared" si="23"/>
        <v>0</v>
      </c>
      <c r="B218" s="35" t="str">
        <f t="shared" si="29"/>
        <v/>
      </c>
      <c r="C218" s="36"/>
      <c r="D218" s="36"/>
      <c r="E218" s="36"/>
      <c r="F218" s="36"/>
      <c r="G218" s="88"/>
      <c r="H218" s="103">
        <v>213</v>
      </c>
      <c r="I218" s="104" t="str">
        <f t="shared" si="24"/>
        <v/>
      </c>
      <c r="J218" s="103">
        <f t="shared" si="25"/>
        <v>-2</v>
      </c>
      <c r="K218" s="103">
        <f t="shared" si="26"/>
        <v>-20</v>
      </c>
      <c r="L218" s="103"/>
      <c r="M218" s="105">
        <f t="shared" si="27"/>
        <v>0</v>
      </c>
      <c r="N218" s="105">
        <f t="shared" si="28"/>
        <v>0</v>
      </c>
      <c r="O218" s="88"/>
      <c r="P218" s="88"/>
      <c r="Q218" s="88"/>
      <c r="R218" s="88"/>
      <c r="S218" s="117"/>
      <c r="T218" s="118"/>
    </row>
    <row r="219" spans="1:20" s="93" customFormat="1">
      <c r="A219" s="106">
        <f t="shared" si="23"/>
        <v>0</v>
      </c>
      <c r="B219" s="41" t="str">
        <f t="shared" si="29"/>
        <v/>
      </c>
      <c r="C219" s="42"/>
      <c r="D219" s="42"/>
      <c r="E219" s="42"/>
      <c r="F219" s="42"/>
      <c r="G219" s="88"/>
      <c r="H219" s="107">
        <v>214</v>
      </c>
      <c r="I219" s="108" t="str">
        <f t="shared" si="24"/>
        <v/>
      </c>
      <c r="J219" s="107">
        <f t="shared" si="25"/>
        <v>-2</v>
      </c>
      <c r="K219" s="107">
        <f t="shared" si="26"/>
        <v>-20</v>
      </c>
      <c r="L219" s="107"/>
      <c r="M219" s="109">
        <f t="shared" si="27"/>
        <v>0</v>
      </c>
      <c r="N219" s="109">
        <f t="shared" si="28"/>
        <v>0</v>
      </c>
      <c r="O219" s="88"/>
      <c r="P219" s="88"/>
      <c r="Q219" s="88"/>
      <c r="R219" s="88"/>
      <c r="S219" s="88"/>
    </row>
    <row r="220" spans="1:20" s="93" customFormat="1">
      <c r="A220" s="102">
        <f t="shared" si="23"/>
        <v>0</v>
      </c>
      <c r="B220" s="35" t="str">
        <f t="shared" si="29"/>
        <v/>
      </c>
      <c r="C220" s="36"/>
      <c r="D220" s="36"/>
      <c r="E220" s="36"/>
      <c r="F220" s="36"/>
      <c r="G220" s="88"/>
      <c r="H220" s="103">
        <v>215</v>
      </c>
      <c r="I220" s="104" t="str">
        <f t="shared" si="24"/>
        <v/>
      </c>
      <c r="J220" s="103">
        <f t="shared" si="25"/>
        <v>-2</v>
      </c>
      <c r="K220" s="103">
        <f t="shared" si="26"/>
        <v>-20</v>
      </c>
      <c r="L220" s="103"/>
      <c r="M220" s="105">
        <f t="shared" si="27"/>
        <v>0</v>
      </c>
      <c r="N220" s="105">
        <f t="shared" si="28"/>
        <v>0</v>
      </c>
      <c r="O220" s="88"/>
      <c r="P220" s="88"/>
      <c r="Q220" s="88"/>
      <c r="R220" s="88"/>
      <c r="S220" s="117"/>
      <c r="T220" s="118"/>
    </row>
    <row r="221" spans="1:20" s="93" customFormat="1">
      <c r="A221" s="106">
        <f t="shared" si="23"/>
        <v>0</v>
      </c>
      <c r="B221" s="41" t="str">
        <f t="shared" si="29"/>
        <v/>
      </c>
      <c r="C221" s="42"/>
      <c r="D221" s="42"/>
      <c r="E221" s="42"/>
      <c r="F221" s="42"/>
      <c r="G221" s="88"/>
      <c r="H221" s="107">
        <v>216</v>
      </c>
      <c r="I221" s="108" t="str">
        <f t="shared" si="24"/>
        <v/>
      </c>
      <c r="J221" s="107">
        <f t="shared" si="25"/>
        <v>-2</v>
      </c>
      <c r="K221" s="107">
        <f t="shared" si="26"/>
        <v>-20</v>
      </c>
      <c r="L221" s="107"/>
      <c r="M221" s="109">
        <f t="shared" si="27"/>
        <v>0</v>
      </c>
      <c r="N221" s="109">
        <f t="shared" si="28"/>
        <v>0</v>
      </c>
      <c r="O221" s="88"/>
      <c r="P221" s="88"/>
      <c r="Q221" s="88"/>
      <c r="R221" s="88"/>
      <c r="S221" s="88"/>
    </row>
    <row r="222" spans="1:20" s="93" customFormat="1">
      <c r="A222" s="102">
        <f t="shared" si="23"/>
        <v>0</v>
      </c>
      <c r="B222" s="35" t="str">
        <f t="shared" si="29"/>
        <v/>
      </c>
      <c r="C222" s="36"/>
      <c r="D222" s="36"/>
      <c r="E222" s="36"/>
      <c r="F222" s="36"/>
      <c r="G222" s="88"/>
      <c r="H222" s="103">
        <v>217</v>
      </c>
      <c r="I222" s="104" t="str">
        <f t="shared" si="24"/>
        <v/>
      </c>
      <c r="J222" s="103">
        <f t="shared" si="25"/>
        <v>-2</v>
      </c>
      <c r="K222" s="103">
        <f t="shared" si="26"/>
        <v>-20</v>
      </c>
      <c r="L222" s="103"/>
      <c r="M222" s="105">
        <f t="shared" si="27"/>
        <v>0</v>
      </c>
      <c r="N222" s="105">
        <f t="shared" si="28"/>
        <v>0</v>
      </c>
      <c r="O222" s="88"/>
      <c r="P222" s="88"/>
      <c r="Q222" s="88"/>
      <c r="R222" s="88"/>
      <c r="S222" s="117"/>
      <c r="T222" s="118"/>
    </row>
    <row r="223" spans="1:20" s="93" customFormat="1">
      <c r="A223" s="106">
        <f t="shared" si="23"/>
        <v>0</v>
      </c>
      <c r="B223" s="41" t="str">
        <f t="shared" si="29"/>
        <v/>
      </c>
      <c r="C223" s="42"/>
      <c r="D223" s="42"/>
      <c r="E223" s="42"/>
      <c r="F223" s="42"/>
      <c r="G223" s="88"/>
      <c r="H223" s="107">
        <v>218</v>
      </c>
      <c r="I223" s="108" t="str">
        <f t="shared" si="24"/>
        <v/>
      </c>
      <c r="J223" s="107">
        <f t="shared" si="25"/>
        <v>-2</v>
      </c>
      <c r="K223" s="107">
        <f t="shared" si="26"/>
        <v>-20</v>
      </c>
      <c r="L223" s="107"/>
      <c r="M223" s="109">
        <f t="shared" si="27"/>
        <v>0</v>
      </c>
      <c r="N223" s="109">
        <f t="shared" si="28"/>
        <v>0</v>
      </c>
      <c r="O223" s="88"/>
      <c r="P223" s="88"/>
      <c r="Q223" s="88"/>
      <c r="R223" s="88"/>
      <c r="S223" s="88"/>
    </row>
    <row r="224" spans="1:20" s="93" customFormat="1">
      <c r="A224" s="102">
        <f t="shared" si="23"/>
        <v>0</v>
      </c>
      <c r="B224" s="35" t="str">
        <f t="shared" si="29"/>
        <v/>
      </c>
      <c r="C224" s="36"/>
      <c r="D224" s="36"/>
      <c r="E224" s="36"/>
      <c r="F224" s="36"/>
      <c r="G224" s="88"/>
      <c r="H224" s="103">
        <v>219</v>
      </c>
      <c r="I224" s="104" t="str">
        <f t="shared" si="24"/>
        <v/>
      </c>
      <c r="J224" s="103">
        <f t="shared" si="25"/>
        <v>-2</v>
      </c>
      <c r="K224" s="103">
        <f t="shared" si="26"/>
        <v>-20</v>
      </c>
      <c r="L224" s="103"/>
      <c r="M224" s="105">
        <f t="shared" si="27"/>
        <v>0</v>
      </c>
      <c r="N224" s="105">
        <f t="shared" si="28"/>
        <v>0</v>
      </c>
      <c r="O224" s="88"/>
      <c r="P224" s="88"/>
      <c r="Q224" s="88"/>
      <c r="R224" s="88"/>
      <c r="S224" s="117"/>
      <c r="T224" s="118"/>
    </row>
    <row r="225" spans="1:20" s="93" customFormat="1">
      <c r="A225" s="106">
        <f t="shared" si="23"/>
        <v>0</v>
      </c>
      <c r="B225" s="41" t="str">
        <f t="shared" si="29"/>
        <v/>
      </c>
      <c r="C225" s="42"/>
      <c r="D225" s="42"/>
      <c r="E225" s="42"/>
      <c r="F225" s="42"/>
      <c r="G225" s="88"/>
      <c r="H225" s="107">
        <v>220</v>
      </c>
      <c r="I225" s="108" t="str">
        <f t="shared" si="24"/>
        <v/>
      </c>
      <c r="J225" s="107">
        <f t="shared" si="25"/>
        <v>-2</v>
      </c>
      <c r="K225" s="107">
        <f t="shared" si="26"/>
        <v>-20</v>
      </c>
      <c r="L225" s="107"/>
      <c r="M225" s="109">
        <f t="shared" si="27"/>
        <v>0</v>
      </c>
      <c r="N225" s="109">
        <f t="shared" si="28"/>
        <v>0</v>
      </c>
      <c r="O225" s="88"/>
      <c r="P225" s="88"/>
      <c r="Q225" s="88"/>
      <c r="R225" s="88"/>
      <c r="S225" s="88"/>
    </row>
    <row r="226" spans="1:20" s="93" customFormat="1">
      <c r="A226" s="102">
        <f t="shared" si="23"/>
        <v>0</v>
      </c>
      <c r="B226" s="35" t="str">
        <f t="shared" si="29"/>
        <v/>
      </c>
      <c r="C226" s="36"/>
      <c r="D226" s="36"/>
      <c r="E226" s="36"/>
      <c r="F226" s="36"/>
      <c r="G226" s="88"/>
      <c r="H226" s="103">
        <v>221</v>
      </c>
      <c r="I226" s="104" t="str">
        <f t="shared" si="24"/>
        <v/>
      </c>
      <c r="J226" s="103">
        <f t="shared" si="25"/>
        <v>-2</v>
      </c>
      <c r="K226" s="103">
        <f t="shared" si="26"/>
        <v>-20</v>
      </c>
      <c r="L226" s="103"/>
      <c r="M226" s="105">
        <f t="shared" si="27"/>
        <v>0</v>
      </c>
      <c r="N226" s="105">
        <f t="shared" si="28"/>
        <v>0</v>
      </c>
      <c r="O226" s="88"/>
      <c r="P226" s="88"/>
      <c r="Q226" s="88"/>
      <c r="R226" s="88"/>
      <c r="S226" s="117"/>
      <c r="T226" s="118"/>
    </row>
    <row r="227" spans="1:20" s="93" customFormat="1">
      <c r="A227" s="106">
        <f t="shared" si="23"/>
        <v>0</v>
      </c>
      <c r="B227" s="41" t="str">
        <f t="shared" si="29"/>
        <v/>
      </c>
      <c r="C227" s="42"/>
      <c r="D227" s="42"/>
      <c r="E227" s="42"/>
      <c r="F227" s="42"/>
      <c r="G227" s="88"/>
      <c r="H227" s="107">
        <v>222</v>
      </c>
      <c r="I227" s="108" t="str">
        <f t="shared" si="24"/>
        <v/>
      </c>
      <c r="J227" s="107">
        <f t="shared" si="25"/>
        <v>-2</v>
      </c>
      <c r="K227" s="107">
        <f t="shared" si="26"/>
        <v>-20</v>
      </c>
      <c r="L227" s="107"/>
      <c r="M227" s="109">
        <f t="shared" si="27"/>
        <v>0</v>
      </c>
      <c r="N227" s="109">
        <f t="shared" si="28"/>
        <v>0</v>
      </c>
      <c r="O227" s="88"/>
      <c r="P227" s="88"/>
      <c r="Q227" s="88"/>
      <c r="R227" s="88"/>
      <c r="S227" s="88"/>
    </row>
    <row r="228" spans="1:20" s="93" customFormat="1">
      <c r="A228" s="102">
        <f t="shared" si="23"/>
        <v>0</v>
      </c>
      <c r="B228" s="35" t="str">
        <f t="shared" si="29"/>
        <v/>
      </c>
      <c r="C228" s="36"/>
      <c r="D228" s="36"/>
      <c r="E228" s="36"/>
      <c r="F228" s="36"/>
      <c r="G228" s="88"/>
      <c r="H228" s="103">
        <v>223</v>
      </c>
      <c r="I228" s="104" t="str">
        <f t="shared" si="24"/>
        <v/>
      </c>
      <c r="J228" s="103">
        <f t="shared" si="25"/>
        <v>-2</v>
      </c>
      <c r="K228" s="103">
        <f t="shared" si="26"/>
        <v>-20</v>
      </c>
      <c r="L228" s="103"/>
      <c r="M228" s="105">
        <f t="shared" si="27"/>
        <v>0</v>
      </c>
      <c r="N228" s="105">
        <f t="shared" si="28"/>
        <v>0</v>
      </c>
      <c r="O228" s="88"/>
      <c r="P228" s="88"/>
      <c r="Q228" s="88"/>
      <c r="R228" s="88"/>
      <c r="S228" s="117"/>
      <c r="T228" s="118"/>
    </row>
    <row r="229" spans="1:20" s="93" customFormat="1">
      <c r="A229" s="106">
        <f t="shared" si="23"/>
        <v>0</v>
      </c>
      <c r="B229" s="41" t="str">
        <f t="shared" si="29"/>
        <v/>
      </c>
      <c r="C229" s="42"/>
      <c r="D229" s="42"/>
      <c r="E229" s="42"/>
      <c r="F229" s="42"/>
      <c r="G229" s="88"/>
      <c r="H229" s="107">
        <v>224</v>
      </c>
      <c r="I229" s="108" t="str">
        <f t="shared" si="24"/>
        <v/>
      </c>
      <c r="J229" s="107">
        <f t="shared" si="25"/>
        <v>-2</v>
      </c>
      <c r="K229" s="107">
        <f t="shared" si="26"/>
        <v>-20</v>
      </c>
      <c r="L229" s="107"/>
      <c r="M229" s="109">
        <f t="shared" si="27"/>
        <v>0</v>
      </c>
      <c r="N229" s="109">
        <f t="shared" si="28"/>
        <v>0</v>
      </c>
      <c r="O229" s="88"/>
      <c r="P229" s="88"/>
      <c r="Q229" s="88"/>
      <c r="R229" s="88"/>
      <c r="S229" s="88"/>
    </row>
    <row r="230" spans="1:20" s="93" customFormat="1">
      <c r="A230" s="102">
        <f t="shared" si="23"/>
        <v>0</v>
      </c>
      <c r="B230" s="35" t="str">
        <f t="shared" si="29"/>
        <v/>
      </c>
      <c r="C230" s="36"/>
      <c r="D230" s="36"/>
      <c r="E230" s="36"/>
      <c r="F230" s="36"/>
      <c r="G230" s="88"/>
      <c r="H230" s="103">
        <v>225</v>
      </c>
      <c r="I230" s="104" t="str">
        <f t="shared" si="24"/>
        <v/>
      </c>
      <c r="J230" s="103">
        <f t="shared" si="25"/>
        <v>-2</v>
      </c>
      <c r="K230" s="103">
        <f t="shared" si="26"/>
        <v>-20</v>
      </c>
      <c r="L230" s="103"/>
      <c r="M230" s="105">
        <f t="shared" si="27"/>
        <v>0</v>
      </c>
      <c r="N230" s="105">
        <f t="shared" si="28"/>
        <v>0</v>
      </c>
      <c r="O230" s="88"/>
      <c r="P230" s="88"/>
      <c r="Q230" s="88"/>
      <c r="R230" s="88"/>
      <c r="S230" s="117"/>
      <c r="T230" s="118"/>
    </row>
    <row r="231" spans="1:20" s="93" customFormat="1">
      <c r="A231" s="106">
        <f t="shared" si="23"/>
        <v>0</v>
      </c>
      <c r="B231" s="41" t="str">
        <f t="shared" si="29"/>
        <v/>
      </c>
      <c r="C231" s="42"/>
      <c r="D231" s="42"/>
      <c r="E231" s="42"/>
      <c r="F231" s="42"/>
      <c r="G231" s="88"/>
      <c r="H231" s="107">
        <v>226</v>
      </c>
      <c r="I231" s="108" t="str">
        <f t="shared" si="24"/>
        <v/>
      </c>
      <c r="J231" s="107">
        <f t="shared" si="25"/>
        <v>-2</v>
      </c>
      <c r="K231" s="107">
        <f t="shared" si="26"/>
        <v>-20</v>
      </c>
      <c r="L231" s="107"/>
      <c r="M231" s="109">
        <f t="shared" si="27"/>
        <v>0</v>
      </c>
      <c r="N231" s="109">
        <f t="shared" si="28"/>
        <v>0</v>
      </c>
      <c r="O231" s="88"/>
      <c r="P231" s="88"/>
      <c r="Q231" s="88"/>
      <c r="R231" s="88"/>
      <c r="S231" s="88"/>
    </row>
    <row r="232" spans="1:20" s="93" customFormat="1">
      <c r="A232" s="102">
        <f t="shared" si="23"/>
        <v>0</v>
      </c>
      <c r="B232" s="35" t="str">
        <f t="shared" si="29"/>
        <v/>
      </c>
      <c r="C232" s="36"/>
      <c r="D232" s="36"/>
      <c r="E232" s="36"/>
      <c r="F232" s="36"/>
      <c r="G232" s="88"/>
      <c r="H232" s="103">
        <v>227</v>
      </c>
      <c r="I232" s="104" t="str">
        <f t="shared" si="24"/>
        <v/>
      </c>
      <c r="J232" s="103">
        <f t="shared" si="25"/>
        <v>-2</v>
      </c>
      <c r="K232" s="103">
        <f t="shared" si="26"/>
        <v>-20</v>
      </c>
      <c r="L232" s="103"/>
      <c r="M232" s="105">
        <f t="shared" si="27"/>
        <v>0</v>
      </c>
      <c r="N232" s="105">
        <f t="shared" si="28"/>
        <v>0</v>
      </c>
      <c r="O232" s="88"/>
      <c r="P232" s="88"/>
      <c r="Q232" s="88"/>
      <c r="R232" s="88"/>
      <c r="S232" s="117"/>
      <c r="T232" s="118"/>
    </row>
    <row r="233" spans="1:20" s="93" customFormat="1">
      <c r="A233" s="106">
        <f t="shared" si="23"/>
        <v>0</v>
      </c>
      <c r="B233" s="41" t="str">
        <f t="shared" si="29"/>
        <v/>
      </c>
      <c r="C233" s="42"/>
      <c r="D233" s="42"/>
      <c r="E233" s="42"/>
      <c r="F233" s="42"/>
      <c r="G233" s="88"/>
      <c r="H233" s="107">
        <v>228</v>
      </c>
      <c r="I233" s="108" t="str">
        <f t="shared" si="24"/>
        <v/>
      </c>
      <c r="J233" s="107">
        <f t="shared" si="25"/>
        <v>-2</v>
      </c>
      <c r="K233" s="107">
        <f t="shared" si="26"/>
        <v>-20</v>
      </c>
      <c r="L233" s="107"/>
      <c r="M233" s="109">
        <f t="shared" si="27"/>
        <v>0</v>
      </c>
      <c r="N233" s="109">
        <f t="shared" si="28"/>
        <v>0</v>
      </c>
      <c r="O233" s="88"/>
      <c r="P233" s="88"/>
      <c r="Q233" s="88"/>
      <c r="R233" s="88"/>
      <c r="S233" s="88"/>
    </row>
    <row r="234" spans="1:20" s="93" customFormat="1">
      <c r="A234" s="102">
        <f t="shared" si="23"/>
        <v>0</v>
      </c>
      <c r="B234" s="35" t="str">
        <f t="shared" si="29"/>
        <v/>
      </c>
      <c r="C234" s="36"/>
      <c r="D234" s="36"/>
      <c r="E234" s="36"/>
      <c r="F234" s="36"/>
      <c r="G234" s="88"/>
      <c r="H234" s="103">
        <v>229</v>
      </c>
      <c r="I234" s="104" t="str">
        <f t="shared" si="24"/>
        <v/>
      </c>
      <c r="J234" s="103">
        <f t="shared" si="25"/>
        <v>-2</v>
      </c>
      <c r="K234" s="103">
        <f t="shared" si="26"/>
        <v>-20</v>
      </c>
      <c r="L234" s="103"/>
      <c r="M234" s="105">
        <f t="shared" si="27"/>
        <v>0</v>
      </c>
      <c r="N234" s="105">
        <f t="shared" si="28"/>
        <v>0</v>
      </c>
      <c r="O234" s="88"/>
      <c r="P234" s="88"/>
      <c r="Q234" s="88"/>
      <c r="R234" s="88"/>
      <c r="S234" s="117"/>
      <c r="T234" s="118"/>
    </row>
    <row r="235" spans="1:20" s="93" customFormat="1">
      <c r="A235" s="106">
        <f t="shared" si="23"/>
        <v>0</v>
      </c>
      <c r="B235" s="41" t="str">
        <f t="shared" si="29"/>
        <v/>
      </c>
      <c r="C235" s="42"/>
      <c r="D235" s="42"/>
      <c r="E235" s="42"/>
      <c r="F235" s="42"/>
      <c r="G235" s="88"/>
      <c r="H235" s="107">
        <v>230</v>
      </c>
      <c r="I235" s="108" t="str">
        <f t="shared" si="24"/>
        <v/>
      </c>
      <c r="J235" s="107">
        <f t="shared" si="25"/>
        <v>-2</v>
      </c>
      <c r="K235" s="107">
        <f t="shared" si="26"/>
        <v>-20</v>
      </c>
      <c r="L235" s="107"/>
      <c r="M235" s="109">
        <f t="shared" si="27"/>
        <v>0</v>
      </c>
      <c r="N235" s="109">
        <f t="shared" si="28"/>
        <v>0</v>
      </c>
      <c r="O235" s="88"/>
      <c r="P235" s="88"/>
      <c r="Q235" s="88"/>
      <c r="R235" s="88"/>
      <c r="S235" s="88"/>
    </row>
    <row r="236" spans="1:20" s="93" customFormat="1">
      <c r="A236" s="102">
        <f t="shared" si="23"/>
        <v>0</v>
      </c>
      <c r="B236" s="35" t="str">
        <f t="shared" si="29"/>
        <v/>
      </c>
      <c r="C236" s="36"/>
      <c r="D236" s="36"/>
      <c r="E236" s="36"/>
      <c r="F236" s="36"/>
      <c r="G236" s="88"/>
      <c r="H236" s="103">
        <v>231</v>
      </c>
      <c r="I236" s="104" t="str">
        <f t="shared" si="24"/>
        <v/>
      </c>
      <c r="J236" s="103">
        <f t="shared" si="25"/>
        <v>-2</v>
      </c>
      <c r="K236" s="103">
        <f t="shared" si="26"/>
        <v>-20</v>
      </c>
      <c r="L236" s="103"/>
      <c r="M236" s="105">
        <f t="shared" si="27"/>
        <v>0</v>
      </c>
      <c r="N236" s="105">
        <f t="shared" si="28"/>
        <v>0</v>
      </c>
      <c r="O236" s="88"/>
      <c r="P236" s="88"/>
      <c r="Q236" s="88"/>
      <c r="R236" s="88"/>
      <c r="S236" s="117"/>
      <c r="T236" s="118"/>
    </row>
    <row r="237" spans="1:20" s="93" customFormat="1">
      <c r="A237" s="106">
        <f t="shared" si="23"/>
        <v>0</v>
      </c>
      <c r="B237" s="41" t="str">
        <f t="shared" si="29"/>
        <v/>
      </c>
      <c r="C237" s="42"/>
      <c r="D237" s="42"/>
      <c r="E237" s="42"/>
      <c r="F237" s="42"/>
      <c r="G237" s="88"/>
      <c r="H237" s="107">
        <v>232</v>
      </c>
      <c r="I237" s="108" t="str">
        <f t="shared" si="24"/>
        <v/>
      </c>
      <c r="J237" s="107">
        <f t="shared" si="25"/>
        <v>-2</v>
      </c>
      <c r="K237" s="107">
        <f t="shared" si="26"/>
        <v>-20</v>
      </c>
      <c r="L237" s="107"/>
      <c r="M237" s="109">
        <f t="shared" si="27"/>
        <v>0</v>
      </c>
      <c r="N237" s="109">
        <f t="shared" si="28"/>
        <v>0</v>
      </c>
      <c r="O237" s="88"/>
      <c r="P237" s="88"/>
      <c r="Q237" s="88"/>
      <c r="R237" s="88"/>
      <c r="S237" s="88"/>
    </row>
    <row r="238" spans="1:20" s="93" customFormat="1">
      <c r="A238" s="102">
        <f t="shared" si="23"/>
        <v>0</v>
      </c>
      <c r="B238" s="35" t="str">
        <f t="shared" si="29"/>
        <v/>
      </c>
      <c r="C238" s="36"/>
      <c r="D238" s="36"/>
      <c r="E238" s="36"/>
      <c r="F238" s="36"/>
      <c r="G238" s="88"/>
      <c r="H238" s="103">
        <v>233</v>
      </c>
      <c r="I238" s="104" t="str">
        <f t="shared" si="24"/>
        <v/>
      </c>
      <c r="J238" s="103">
        <f t="shared" si="25"/>
        <v>-2</v>
      </c>
      <c r="K238" s="103">
        <f t="shared" si="26"/>
        <v>-20</v>
      </c>
      <c r="L238" s="103"/>
      <c r="M238" s="105">
        <f t="shared" si="27"/>
        <v>0</v>
      </c>
      <c r="N238" s="105">
        <f t="shared" si="28"/>
        <v>0</v>
      </c>
      <c r="O238" s="88"/>
      <c r="P238" s="88"/>
      <c r="Q238" s="88"/>
      <c r="R238" s="88"/>
      <c r="S238" s="117"/>
      <c r="T238" s="118"/>
    </row>
    <row r="239" spans="1:20" s="93" customFormat="1">
      <c r="A239" s="106">
        <f t="shared" si="23"/>
        <v>0</v>
      </c>
      <c r="B239" s="41" t="str">
        <f t="shared" si="29"/>
        <v/>
      </c>
      <c r="C239" s="42"/>
      <c r="D239" s="42"/>
      <c r="E239" s="42"/>
      <c r="F239" s="42"/>
      <c r="G239" s="88"/>
      <c r="H239" s="107">
        <v>234</v>
      </c>
      <c r="I239" s="108" t="str">
        <f t="shared" si="24"/>
        <v/>
      </c>
      <c r="J239" s="107">
        <f t="shared" si="25"/>
        <v>-2</v>
      </c>
      <c r="K239" s="107">
        <f t="shared" si="26"/>
        <v>-20</v>
      </c>
      <c r="L239" s="107"/>
      <c r="M239" s="109">
        <f t="shared" si="27"/>
        <v>0</v>
      </c>
      <c r="N239" s="109">
        <f t="shared" si="28"/>
        <v>0</v>
      </c>
      <c r="O239" s="88"/>
      <c r="P239" s="88"/>
      <c r="Q239" s="88"/>
      <c r="R239" s="88"/>
      <c r="S239" s="88"/>
    </row>
    <row r="240" spans="1:20" s="93" customFormat="1">
      <c r="A240" s="102">
        <f t="shared" si="23"/>
        <v>0</v>
      </c>
      <c r="B240" s="35" t="str">
        <f t="shared" si="29"/>
        <v/>
      </c>
      <c r="C240" s="36"/>
      <c r="D240" s="36"/>
      <c r="E240" s="36"/>
      <c r="F240" s="36"/>
      <c r="G240" s="88"/>
      <c r="H240" s="103">
        <v>235</v>
      </c>
      <c r="I240" s="104" t="str">
        <f t="shared" si="24"/>
        <v/>
      </c>
      <c r="J240" s="103">
        <f t="shared" si="25"/>
        <v>-2</v>
      </c>
      <c r="K240" s="103">
        <f t="shared" si="26"/>
        <v>-20</v>
      </c>
      <c r="L240" s="103"/>
      <c r="M240" s="105">
        <f t="shared" si="27"/>
        <v>0</v>
      </c>
      <c r="N240" s="105">
        <f t="shared" si="28"/>
        <v>0</v>
      </c>
      <c r="O240" s="88"/>
      <c r="P240" s="88"/>
      <c r="Q240" s="88"/>
      <c r="R240" s="88"/>
      <c r="S240" s="117"/>
      <c r="T240" s="118"/>
    </row>
    <row r="241" spans="1:20" s="93" customFormat="1">
      <c r="A241" s="106">
        <f t="shared" si="23"/>
        <v>0</v>
      </c>
      <c r="B241" s="41" t="str">
        <f t="shared" si="29"/>
        <v/>
      </c>
      <c r="C241" s="42"/>
      <c r="D241" s="42"/>
      <c r="E241" s="42"/>
      <c r="F241" s="42"/>
      <c r="G241" s="88"/>
      <c r="H241" s="107">
        <v>236</v>
      </c>
      <c r="I241" s="108" t="str">
        <f t="shared" si="24"/>
        <v/>
      </c>
      <c r="J241" s="107">
        <f t="shared" si="25"/>
        <v>-2</v>
      </c>
      <c r="K241" s="107">
        <f t="shared" si="26"/>
        <v>-20</v>
      </c>
      <c r="L241" s="107"/>
      <c r="M241" s="109">
        <f t="shared" si="27"/>
        <v>0</v>
      </c>
      <c r="N241" s="109">
        <f t="shared" si="28"/>
        <v>0</v>
      </c>
      <c r="O241" s="88"/>
      <c r="P241" s="88"/>
      <c r="Q241" s="88"/>
      <c r="R241" s="88"/>
      <c r="S241" s="88"/>
    </row>
    <row r="242" spans="1:20" s="93" customFormat="1">
      <c r="A242" s="102">
        <f t="shared" si="23"/>
        <v>0</v>
      </c>
      <c r="B242" s="35" t="str">
        <f t="shared" si="29"/>
        <v/>
      </c>
      <c r="C242" s="36"/>
      <c r="D242" s="36"/>
      <c r="E242" s="36"/>
      <c r="F242" s="36"/>
      <c r="G242" s="88"/>
      <c r="H242" s="103">
        <v>237</v>
      </c>
      <c r="I242" s="104" t="str">
        <f t="shared" si="24"/>
        <v/>
      </c>
      <c r="J242" s="103">
        <f t="shared" si="25"/>
        <v>-2</v>
      </c>
      <c r="K242" s="103">
        <f t="shared" si="26"/>
        <v>-20</v>
      </c>
      <c r="L242" s="103"/>
      <c r="M242" s="105">
        <f t="shared" si="27"/>
        <v>0</v>
      </c>
      <c r="N242" s="105">
        <f t="shared" si="28"/>
        <v>0</v>
      </c>
      <c r="O242" s="88"/>
      <c r="P242" s="88"/>
      <c r="Q242" s="88"/>
      <c r="R242" s="88"/>
      <c r="S242" s="117"/>
      <c r="T242" s="118"/>
    </row>
    <row r="243" spans="1:20" s="93" customFormat="1">
      <c r="A243" s="106">
        <f t="shared" si="23"/>
        <v>0</v>
      </c>
      <c r="B243" s="41" t="str">
        <f t="shared" si="29"/>
        <v/>
      </c>
      <c r="C243" s="42"/>
      <c r="D243" s="42"/>
      <c r="E243" s="42"/>
      <c r="F243" s="42"/>
      <c r="G243" s="88"/>
      <c r="H243" s="107">
        <v>238</v>
      </c>
      <c r="I243" s="108" t="str">
        <f t="shared" si="24"/>
        <v/>
      </c>
      <c r="J243" s="107">
        <f t="shared" si="25"/>
        <v>-2</v>
      </c>
      <c r="K243" s="107">
        <f t="shared" si="26"/>
        <v>-20</v>
      </c>
      <c r="L243" s="107"/>
      <c r="M243" s="109">
        <f t="shared" si="27"/>
        <v>0</v>
      </c>
      <c r="N243" s="109">
        <f t="shared" si="28"/>
        <v>0</v>
      </c>
      <c r="O243" s="88"/>
      <c r="P243" s="88"/>
      <c r="Q243" s="88"/>
      <c r="R243" s="88"/>
      <c r="S243" s="88"/>
    </row>
    <row r="244" spans="1:20" s="93" customFormat="1">
      <c r="A244" s="102">
        <f t="shared" si="23"/>
        <v>0</v>
      </c>
      <c r="B244" s="35" t="str">
        <f t="shared" si="29"/>
        <v/>
      </c>
      <c r="C244" s="36"/>
      <c r="D244" s="36"/>
      <c r="E244" s="36"/>
      <c r="F244" s="36"/>
      <c r="G244" s="88"/>
      <c r="H244" s="103">
        <v>239</v>
      </c>
      <c r="I244" s="104" t="str">
        <f t="shared" si="24"/>
        <v/>
      </c>
      <c r="J244" s="103">
        <f t="shared" si="25"/>
        <v>-2</v>
      </c>
      <c r="K244" s="103">
        <f t="shared" si="26"/>
        <v>-20</v>
      </c>
      <c r="L244" s="103"/>
      <c r="M244" s="105">
        <f t="shared" si="27"/>
        <v>0</v>
      </c>
      <c r="N244" s="105">
        <f t="shared" si="28"/>
        <v>0</v>
      </c>
      <c r="O244" s="88"/>
      <c r="P244" s="88"/>
      <c r="Q244" s="88"/>
      <c r="R244" s="88"/>
      <c r="S244" s="117"/>
      <c r="T244" s="118"/>
    </row>
    <row r="245" spans="1:20" s="93" customFormat="1">
      <c r="A245" s="106">
        <f t="shared" si="23"/>
        <v>0</v>
      </c>
      <c r="B245" s="41" t="str">
        <f t="shared" si="29"/>
        <v/>
      </c>
      <c r="C245" s="42"/>
      <c r="D245" s="42"/>
      <c r="E245" s="42"/>
      <c r="F245" s="42"/>
      <c r="G245" s="88"/>
      <c r="H245" s="107">
        <v>240</v>
      </c>
      <c r="I245" s="108" t="str">
        <f t="shared" si="24"/>
        <v/>
      </c>
      <c r="J245" s="107">
        <f t="shared" si="25"/>
        <v>-2</v>
      </c>
      <c r="K245" s="107">
        <f t="shared" si="26"/>
        <v>-20</v>
      </c>
      <c r="L245" s="107"/>
      <c r="M245" s="109">
        <f t="shared" si="27"/>
        <v>0</v>
      </c>
      <c r="N245" s="109">
        <f t="shared" si="28"/>
        <v>0</v>
      </c>
      <c r="O245" s="88"/>
      <c r="P245" s="88"/>
      <c r="Q245" s="88"/>
      <c r="R245" s="88"/>
      <c r="S245" s="88"/>
    </row>
    <row r="246" spans="1:20" s="93" customFormat="1">
      <c r="A246" s="102">
        <f t="shared" si="23"/>
        <v>0</v>
      </c>
      <c r="B246" s="35" t="str">
        <f t="shared" si="29"/>
        <v/>
      </c>
      <c r="C246" s="36"/>
      <c r="D246" s="36"/>
      <c r="E246" s="36"/>
      <c r="F246" s="36"/>
      <c r="G246" s="88"/>
      <c r="H246" s="103">
        <v>241</v>
      </c>
      <c r="I246" s="104" t="str">
        <f t="shared" si="24"/>
        <v/>
      </c>
      <c r="J246" s="103">
        <f t="shared" si="25"/>
        <v>-2</v>
      </c>
      <c r="K246" s="103">
        <f t="shared" si="26"/>
        <v>-20</v>
      </c>
      <c r="L246" s="103"/>
      <c r="M246" s="105">
        <f t="shared" si="27"/>
        <v>0</v>
      </c>
      <c r="N246" s="105">
        <f t="shared" si="28"/>
        <v>0</v>
      </c>
      <c r="O246" s="88"/>
      <c r="P246" s="88"/>
      <c r="Q246" s="88"/>
      <c r="R246" s="88"/>
      <c r="S246" s="117"/>
      <c r="T246" s="118"/>
    </row>
    <row r="247" spans="1:20" s="93" customFormat="1">
      <c r="A247" s="106">
        <f t="shared" si="23"/>
        <v>0</v>
      </c>
      <c r="B247" s="41" t="str">
        <f t="shared" si="29"/>
        <v/>
      </c>
      <c r="C247" s="42"/>
      <c r="D247" s="42"/>
      <c r="E247" s="42"/>
      <c r="F247" s="42"/>
      <c r="G247" s="88"/>
      <c r="H247" s="107">
        <v>242</v>
      </c>
      <c r="I247" s="108" t="str">
        <f t="shared" si="24"/>
        <v/>
      </c>
      <c r="J247" s="107">
        <f t="shared" si="25"/>
        <v>-2</v>
      </c>
      <c r="K247" s="107">
        <f t="shared" si="26"/>
        <v>-20</v>
      </c>
      <c r="L247" s="107"/>
      <c r="M247" s="109">
        <f t="shared" si="27"/>
        <v>0</v>
      </c>
      <c r="N247" s="109">
        <f t="shared" si="28"/>
        <v>0</v>
      </c>
      <c r="O247" s="88"/>
      <c r="P247" s="88"/>
      <c r="Q247" s="88"/>
      <c r="R247" s="88"/>
      <c r="S247" s="88"/>
    </row>
    <row r="248" spans="1:20" s="93" customFormat="1">
      <c r="A248" s="102">
        <f t="shared" si="23"/>
        <v>0</v>
      </c>
      <c r="B248" s="35" t="str">
        <f t="shared" si="29"/>
        <v/>
      </c>
      <c r="C248" s="36"/>
      <c r="D248" s="36"/>
      <c r="E248" s="36"/>
      <c r="F248" s="36"/>
      <c r="G248" s="88"/>
      <c r="H248" s="103">
        <v>243</v>
      </c>
      <c r="I248" s="104" t="str">
        <f t="shared" si="24"/>
        <v/>
      </c>
      <c r="J248" s="103">
        <f t="shared" si="25"/>
        <v>-2</v>
      </c>
      <c r="K248" s="103">
        <f t="shared" si="26"/>
        <v>-20</v>
      </c>
      <c r="L248" s="103"/>
      <c r="M248" s="105">
        <f t="shared" si="27"/>
        <v>0</v>
      </c>
      <c r="N248" s="105">
        <f t="shared" si="28"/>
        <v>0</v>
      </c>
      <c r="O248" s="88"/>
      <c r="P248" s="88"/>
      <c r="Q248" s="88"/>
      <c r="R248" s="88"/>
      <c r="S248" s="117"/>
      <c r="T248" s="118"/>
    </row>
    <row r="249" spans="1:20" s="93" customFormat="1">
      <c r="A249" s="106">
        <f t="shared" si="23"/>
        <v>0</v>
      </c>
      <c r="B249" s="41" t="str">
        <f t="shared" si="29"/>
        <v/>
      </c>
      <c r="C249" s="42"/>
      <c r="D249" s="42"/>
      <c r="E249" s="42"/>
      <c r="F249" s="42"/>
      <c r="G249" s="88"/>
      <c r="H249" s="107">
        <v>244</v>
      </c>
      <c r="I249" s="108" t="str">
        <f t="shared" si="24"/>
        <v/>
      </c>
      <c r="J249" s="107">
        <f t="shared" si="25"/>
        <v>-2</v>
      </c>
      <c r="K249" s="107">
        <f t="shared" si="26"/>
        <v>-20</v>
      </c>
      <c r="L249" s="107"/>
      <c r="M249" s="109">
        <f t="shared" si="27"/>
        <v>0</v>
      </c>
      <c r="N249" s="109">
        <f t="shared" si="28"/>
        <v>0</v>
      </c>
      <c r="O249" s="88"/>
      <c r="P249" s="88"/>
      <c r="Q249" s="88"/>
      <c r="R249" s="88"/>
      <c r="S249" s="88"/>
    </row>
    <row r="250" spans="1:20" s="93" customFormat="1">
      <c r="A250" s="102">
        <f t="shared" si="23"/>
        <v>0</v>
      </c>
      <c r="B250" s="35" t="str">
        <f t="shared" si="29"/>
        <v/>
      </c>
      <c r="C250" s="36"/>
      <c r="D250" s="36"/>
      <c r="E250" s="36"/>
      <c r="F250" s="36"/>
      <c r="G250" s="88"/>
      <c r="H250" s="103">
        <v>245</v>
      </c>
      <c r="I250" s="104" t="str">
        <f t="shared" si="24"/>
        <v/>
      </c>
      <c r="J250" s="103">
        <f t="shared" si="25"/>
        <v>-2</v>
      </c>
      <c r="K250" s="103">
        <f t="shared" si="26"/>
        <v>-20</v>
      </c>
      <c r="L250" s="103"/>
      <c r="M250" s="105">
        <f t="shared" si="27"/>
        <v>0</v>
      </c>
      <c r="N250" s="105">
        <f t="shared" si="28"/>
        <v>0</v>
      </c>
      <c r="O250" s="88"/>
      <c r="P250" s="88"/>
      <c r="Q250" s="88"/>
      <c r="R250" s="88"/>
      <c r="S250" s="117"/>
      <c r="T250" s="118"/>
    </row>
    <row r="251" spans="1:20" s="93" customFormat="1">
      <c r="A251" s="106">
        <f t="shared" si="23"/>
        <v>0</v>
      </c>
      <c r="B251" s="123"/>
      <c r="C251" s="123"/>
      <c r="D251" s="123"/>
      <c r="E251" s="123"/>
      <c r="F251" s="123"/>
      <c r="G251" s="88"/>
      <c r="H251" s="103">
        <v>246</v>
      </c>
      <c r="I251" s="104" t="str">
        <f t="shared" si="24"/>
        <v/>
      </c>
      <c r="J251" s="103">
        <f t="shared" si="25"/>
        <v>-2</v>
      </c>
      <c r="K251" s="103">
        <f t="shared" si="26"/>
        <v>-20</v>
      </c>
      <c r="L251" s="103"/>
      <c r="M251" s="105">
        <f t="shared" si="27"/>
        <v>0</v>
      </c>
      <c r="N251" s="105">
        <f t="shared" si="28"/>
        <v>0</v>
      </c>
      <c r="O251" s="88"/>
      <c r="P251" s="88"/>
      <c r="Q251" s="88"/>
      <c r="R251" s="88"/>
      <c r="S251" s="88"/>
    </row>
    <row r="252" spans="1:20" s="93" customFormat="1">
      <c r="A252" s="102">
        <f t="shared" si="23"/>
        <v>0</v>
      </c>
      <c r="B252" s="123"/>
      <c r="C252" s="123"/>
      <c r="D252" s="123"/>
      <c r="E252" s="123"/>
      <c r="F252" s="123"/>
      <c r="G252" s="88"/>
      <c r="H252" s="103">
        <v>247</v>
      </c>
      <c r="I252" s="104" t="str">
        <f t="shared" si="24"/>
        <v/>
      </c>
      <c r="J252" s="103">
        <f t="shared" si="25"/>
        <v>-2</v>
      </c>
      <c r="K252" s="103">
        <f t="shared" si="26"/>
        <v>-20</v>
      </c>
      <c r="L252" s="103"/>
      <c r="M252" s="105">
        <f t="shared" si="27"/>
        <v>0</v>
      </c>
      <c r="N252" s="105">
        <f t="shared" si="28"/>
        <v>0</v>
      </c>
      <c r="O252" s="88"/>
      <c r="P252" s="88"/>
      <c r="Q252" s="88"/>
      <c r="R252" s="88"/>
      <c r="S252" s="88"/>
    </row>
    <row r="253" spans="1:20" s="93" customFormat="1">
      <c r="A253" s="106">
        <f t="shared" si="23"/>
        <v>0</v>
      </c>
      <c r="B253" s="123"/>
      <c r="C253" s="123"/>
      <c r="D253" s="123"/>
      <c r="E253" s="123"/>
      <c r="F253" s="123"/>
      <c r="G253" s="88"/>
      <c r="H253" s="103">
        <v>248</v>
      </c>
      <c r="I253" s="104" t="str">
        <f t="shared" si="24"/>
        <v/>
      </c>
      <c r="J253" s="103">
        <f t="shared" si="25"/>
        <v>-2</v>
      </c>
      <c r="K253" s="103">
        <f t="shared" si="26"/>
        <v>-20</v>
      </c>
      <c r="L253" s="103"/>
      <c r="M253" s="105">
        <f t="shared" si="27"/>
        <v>0</v>
      </c>
      <c r="N253" s="105">
        <f t="shared" si="28"/>
        <v>0</v>
      </c>
      <c r="O253" s="88"/>
      <c r="P253" s="88"/>
      <c r="Q253" s="88"/>
      <c r="R253" s="88"/>
      <c r="S253" s="88"/>
    </row>
    <row r="254" spans="1:20" s="93" customFormat="1">
      <c r="A254" s="102">
        <f t="shared" si="23"/>
        <v>0</v>
      </c>
      <c r="B254" s="123"/>
      <c r="C254" s="123"/>
      <c r="D254" s="123"/>
      <c r="E254" s="123"/>
      <c r="F254" s="123"/>
      <c r="G254" s="88"/>
      <c r="H254" s="103">
        <v>249</v>
      </c>
      <c r="I254" s="104" t="str">
        <f t="shared" si="24"/>
        <v/>
      </c>
      <c r="J254" s="103">
        <f t="shared" si="25"/>
        <v>-2</v>
      </c>
      <c r="K254" s="103">
        <f t="shared" si="26"/>
        <v>-20</v>
      </c>
      <c r="L254" s="103"/>
      <c r="M254" s="105">
        <f t="shared" si="27"/>
        <v>0</v>
      </c>
      <c r="N254" s="105">
        <f t="shared" si="28"/>
        <v>0</v>
      </c>
      <c r="O254" s="88"/>
      <c r="P254" s="88"/>
      <c r="Q254" s="88"/>
      <c r="R254" s="88"/>
      <c r="S254" s="88"/>
    </row>
    <row r="255" spans="1:20" s="93" customFormat="1">
      <c r="A255" s="106">
        <f t="shared" si="23"/>
        <v>0</v>
      </c>
      <c r="B255" s="123"/>
      <c r="C255" s="123"/>
      <c r="D255" s="123"/>
      <c r="E255" s="123"/>
      <c r="F255" s="123"/>
      <c r="G255" s="88"/>
      <c r="H255" s="103">
        <v>250</v>
      </c>
      <c r="I255" s="104" t="str">
        <f t="shared" si="24"/>
        <v/>
      </c>
      <c r="J255" s="103">
        <f t="shared" si="25"/>
        <v>-2</v>
      </c>
      <c r="K255" s="103">
        <f t="shared" si="26"/>
        <v>-20</v>
      </c>
      <c r="L255" s="103"/>
      <c r="M255" s="105">
        <f t="shared" si="27"/>
        <v>0</v>
      </c>
      <c r="N255" s="105">
        <f t="shared" si="28"/>
        <v>0</v>
      </c>
      <c r="O255" s="88"/>
      <c r="P255" s="88"/>
      <c r="Q255" s="88"/>
      <c r="R255" s="88"/>
      <c r="S255" s="88"/>
    </row>
    <row r="256" spans="1:20" s="93" customFormat="1">
      <c r="A256" s="102">
        <f t="shared" si="23"/>
        <v>0</v>
      </c>
      <c r="B256" s="123"/>
      <c r="C256" s="123"/>
      <c r="D256" s="123"/>
      <c r="E256" s="123"/>
      <c r="F256" s="123"/>
      <c r="G256" s="88"/>
      <c r="H256" s="103">
        <v>251</v>
      </c>
      <c r="I256" s="104" t="str">
        <f t="shared" si="24"/>
        <v/>
      </c>
      <c r="J256" s="103">
        <f t="shared" si="25"/>
        <v>-2</v>
      </c>
      <c r="K256" s="103">
        <f t="shared" si="26"/>
        <v>-20</v>
      </c>
      <c r="L256" s="103"/>
      <c r="M256" s="105">
        <f t="shared" si="27"/>
        <v>0</v>
      </c>
      <c r="N256" s="105">
        <f t="shared" si="28"/>
        <v>0</v>
      </c>
      <c r="O256" s="88"/>
      <c r="P256" s="88"/>
      <c r="Q256" s="88"/>
      <c r="R256" s="88"/>
      <c r="S256" s="88"/>
    </row>
    <row r="257" spans="1:39" s="88" customFormat="1">
      <c r="A257" s="106">
        <f t="shared" si="23"/>
        <v>0</v>
      </c>
      <c r="B257" s="123"/>
      <c r="C257" s="123"/>
      <c r="D257" s="123"/>
      <c r="E257" s="123"/>
      <c r="F257" s="123"/>
      <c r="H257" s="103">
        <v>252</v>
      </c>
      <c r="I257" s="104" t="str">
        <f t="shared" si="24"/>
        <v/>
      </c>
      <c r="J257" s="103">
        <f t="shared" si="25"/>
        <v>-2</v>
      </c>
      <c r="K257" s="103">
        <f t="shared" si="26"/>
        <v>-20</v>
      </c>
      <c r="L257" s="103"/>
      <c r="M257" s="105">
        <f t="shared" si="27"/>
        <v>0</v>
      </c>
      <c r="N257" s="105">
        <f t="shared" si="28"/>
        <v>0</v>
      </c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  <c r="AM257" s="93"/>
    </row>
    <row r="258" spans="1:39" s="88" customFormat="1">
      <c r="A258" s="102">
        <f t="shared" si="23"/>
        <v>0</v>
      </c>
      <c r="B258" s="123"/>
      <c r="C258" s="123"/>
      <c r="D258" s="123"/>
      <c r="E258" s="123"/>
      <c r="F258" s="123"/>
      <c r="H258" s="103">
        <v>253</v>
      </c>
      <c r="I258" s="104" t="str">
        <f t="shared" si="24"/>
        <v/>
      </c>
      <c r="J258" s="103">
        <f t="shared" si="25"/>
        <v>-2</v>
      </c>
      <c r="K258" s="103">
        <f t="shared" si="26"/>
        <v>-20</v>
      </c>
      <c r="L258" s="103"/>
      <c r="M258" s="105">
        <f t="shared" si="27"/>
        <v>0</v>
      </c>
      <c r="N258" s="105">
        <f t="shared" si="28"/>
        <v>0</v>
      </c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  <c r="AM258" s="93"/>
    </row>
    <row r="259" spans="1:39" s="88" customFormat="1">
      <c r="A259" s="106">
        <f t="shared" si="23"/>
        <v>0</v>
      </c>
      <c r="B259" s="123"/>
      <c r="C259" s="123"/>
      <c r="D259" s="123"/>
      <c r="E259" s="123"/>
      <c r="F259" s="123"/>
      <c r="H259" s="103">
        <v>254</v>
      </c>
      <c r="I259" s="104" t="str">
        <f t="shared" si="24"/>
        <v/>
      </c>
      <c r="J259" s="103">
        <f t="shared" si="25"/>
        <v>-2</v>
      </c>
      <c r="K259" s="103">
        <f t="shared" si="26"/>
        <v>-20</v>
      </c>
      <c r="L259" s="103"/>
      <c r="M259" s="105">
        <f t="shared" si="27"/>
        <v>0</v>
      </c>
      <c r="N259" s="105">
        <f t="shared" si="28"/>
        <v>0</v>
      </c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  <c r="AM259" s="93"/>
    </row>
    <row r="260" spans="1:39" s="88" customFormat="1">
      <c r="A260" s="102">
        <f t="shared" si="23"/>
        <v>0</v>
      </c>
      <c r="B260" s="123"/>
      <c r="C260" s="123"/>
      <c r="D260" s="123"/>
      <c r="E260" s="123"/>
      <c r="F260" s="123"/>
      <c r="H260" s="103">
        <v>255</v>
      </c>
      <c r="I260" s="104" t="str">
        <f t="shared" si="24"/>
        <v/>
      </c>
      <c r="J260" s="103">
        <f t="shared" si="25"/>
        <v>-2</v>
      </c>
      <c r="K260" s="103">
        <f t="shared" si="26"/>
        <v>-20</v>
      </c>
      <c r="L260" s="103"/>
      <c r="M260" s="105">
        <f t="shared" si="27"/>
        <v>0</v>
      </c>
      <c r="N260" s="105">
        <f t="shared" si="28"/>
        <v>0</v>
      </c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  <c r="AM260" s="93"/>
    </row>
    <row r="261" spans="1:39" s="88" customFormat="1">
      <c r="A261" s="106">
        <f t="shared" si="23"/>
        <v>0</v>
      </c>
      <c r="B261" s="123"/>
      <c r="C261" s="123"/>
      <c r="D261" s="123"/>
      <c r="E261" s="123"/>
      <c r="F261" s="123"/>
      <c r="H261" s="103">
        <v>256</v>
      </c>
      <c r="I261" s="104" t="str">
        <f t="shared" si="24"/>
        <v/>
      </c>
      <c r="J261" s="103">
        <f t="shared" si="25"/>
        <v>-2</v>
      </c>
      <c r="K261" s="103">
        <f t="shared" si="26"/>
        <v>-20</v>
      </c>
      <c r="L261" s="103"/>
      <c r="M261" s="105">
        <f t="shared" si="27"/>
        <v>0</v>
      </c>
      <c r="N261" s="105">
        <f t="shared" si="28"/>
        <v>0</v>
      </c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  <c r="AM261" s="93"/>
    </row>
    <row r="262" spans="1:39" s="88" customFormat="1">
      <c r="A262" s="102">
        <f t="shared" ref="A262:A305" si="30">N262</f>
        <v>0</v>
      </c>
      <c r="B262" s="123"/>
      <c r="C262" s="123"/>
      <c r="D262" s="123"/>
      <c r="E262" s="123"/>
      <c r="F262" s="123"/>
      <c r="H262" s="103">
        <v>257</v>
      </c>
      <c r="I262" s="104" t="str">
        <f t="shared" ref="I262:I305" si="31">IF(H262&lt;$H$2+1,($I$2-($I$2-1)*(LOG(H262)/LOG($H$2))),"")</f>
        <v/>
      </c>
      <c r="J262" s="103">
        <f t="shared" ref="J262:J305" si="32">INT(LOG($H$2,2))-ROUNDUP(LOG(H262,2),0)+IF(OR($H$2=1,$H$2=2,$H$2=4,$H$2=8,$H$2=16,$H$2=32,$H$2=64,$H$2=128,$H$2=256),0,1)</f>
        <v>-3</v>
      </c>
      <c r="K262" s="103">
        <f t="shared" ref="K262:K305" si="33">J262*$J$2</f>
        <v>-30</v>
      </c>
      <c r="L262" s="103"/>
      <c r="M262" s="105">
        <f t="shared" ref="M262:M305" si="34">IF(I262&lt;&gt;"",K262+I262+L262,0)</f>
        <v>0</v>
      </c>
      <c r="N262" s="105">
        <f t="shared" ref="N262:N305" si="35">IF(I262&lt;&gt;"",M262*L$2,0)</f>
        <v>0</v>
      </c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  <c r="AM262" s="93"/>
    </row>
    <row r="263" spans="1:39" s="88" customFormat="1">
      <c r="A263" s="106">
        <f t="shared" si="30"/>
        <v>0</v>
      </c>
      <c r="B263" s="123"/>
      <c r="C263" s="123"/>
      <c r="D263" s="123"/>
      <c r="E263" s="123"/>
      <c r="F263" s="123"/>
      <c r="H263" s="103">
        <v>258</v>
      </c>
      <c r="I263" s="104" t="str">
        <f t="shared" si="31"/>
        <v/>
      </c>
      <c r="J263" s="103">
        <f t="shared" si="32"/>
        <v>-3</v>
      </c>
      <c r="K263" s="103">
        <f t="shared" si="33"/>
        <v>-30</v>
      </c>
      <c r="L263" s="103"/>
      <c r="M263" s="105">
        <f t="shared" si="34"/>
        <v>0</v>
      </c>
      <c r="N263" s="105">
        <f t="shared" si="35"/>
        <v>0</v>
      </c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  <c r="AM263" s="93"/>
    </row>
    <row r="264" spans="1:39" s="88" customFormat="1">
      <c r="A264" s="102">
        <f t="shared" si="30"/>
        <v>0</v>
      </c>
      <c r="B264" s="123"/>
      <c r="C264" s="123"/>
      <c r="D264" s="123"/>
      <c r="E264" s="123"/>
      <c r="F264" s="123"/>
      <c r="H264" s="103">
        <v>259</v>
      </c>
      <c r="I264" s="104" t="str">
        <f t="shared" si="31"/>
        <v/>
      </c>
      <c r="J264" s="103">
        <f t="shared" si="32"/>
        <v>-3</v>
      </c>
      <c r="K264" s="103">
        <f t="shared" si="33"/>
        <v>-30</v>
      </c>
      <c r="L264" s="103"/>
      <c r="M264" s="105">
        <f t="shared" si="34"/>
        <v>0</v>
      </c>
      <c r="N264" s="105">
        <f t="shared" si="35"/>
        <v>0</v>
      </c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  <c r="AM264" s="93"/>
    </row>
    <row r="265" spans="1:39" s="88" customFormat="1">
      <c r="A265" s="106">
        <f t="shared" si="30"/>
        <v>0</v>
      </c>
      <c r="B265" s="123"/>
      <c r="C265" s="123"/>
      <c r="D265" s="123"/>
      <c r="E265" s="123"/>
      <c r="F265" s="123"/>
      <c r="H265" s="103">
        <v>260</v>
      </c>
      <c r="I265" s="104" t="str">
        <f t="shared" si="31"/>
        <v/>
      </c>
      <c r="J265" s="103">
        <f t="shared" si="32"/>
        <v>-3</v>
      </c>
      <c r="K265" s="103">
        <f t="shared" si="33"/>
        <v>-30</v>
      </c>
      <c r="L265" s="103"/>
      <c r="M265" s="105">
        <f t="shared" si="34"/>
        <v>0</v>
      </c>
      <c r="N265" s="105">
        <f t="shared" si="35"/>
        <v>0</v>
      </c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  <c r="AM265" s="93"/>
    </row>
    <row r="266" spans="1:39" s="88" customFormat="1">
      <c r="A266" s="102">
        <f t="shared" si="30"/>
        <v>0</v>
      </c>
      <c r="B266" s="123"/>
      <c r="C266" s="123"/>
      <c r="D266" s="123"/>
      <c r="E266" s="123"/>
      <c r="F266" s="123"/>
      <c r="H266" s="103">
        <v>261</v>
      </c>
      <c r="I266" s="104" t="str">
        <f t="shared" si="31"/>
        <v/>
      </c>
      <c r="J266" s="103">
        <f t="shared" si="32"/>
        <v>-3</v>
      </c>
      <c r="K266" s="103">
        <f t="shared" si="33"/>
        <v>-30</v>
      </c>
      <c r="L266" s="103"/>
      <c r="M266" s="105">
        <f t="shared" si="34"/>
        <v>0</v>
      </c>
      <c r="N266" s="105">
        <f t="shared" si="35"/>
        <v>0</v>
      </c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  <c r="AM266" s="93"/>
    </row>
    <row r="267" spans="1:39" s="88" customFormat="1">
      <c r="A267" s="106">
        <f t="shared" si="30"/>
        <v>0</v>
      </c>
      <c r="B267" s="123"/>
      <c r="C267" s="123"/>
      <c r="D267" s="123"/>
      <c r="E267" s="123"/>
      <c r="F267" s="123"/>
      <c r="H267" s="103">
        <v>262</v>
      </c>
      <c r="I267" s="104" t="str">
        <f t="shared" si="31"/>
        <v/>
      </c>
      <c r="J267" s="103">
        <f t="shared" si="32"/>
        <v>-3</v>
      </c>
      <c r="K267" s="103">
        <f t="shared" si="33"/>
        <v>-30</v>
      </c>
      <c r="L267" s="103"/>
      <c r="M267" s="105">
        <f t="shared" si="34"/>
        <v>0</v>
      </c>
      <c r="N267" s="105">
        <f t="shared" si="35"/>
        <v>0</v>
      </c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  <c r="AM267" s="93"/>
    </row>
    <row r="268" spans="1:39" s="88" customFormat="1">
      <c r="A268" s="102">
        <f t="shared" si="30"/>
        <v>0</v>
      </c>
      <c r="B268" s="123"/>
      <c r="C268" s="123"/>
      <c r="D268" s="123"/>
      <c r="E268" s="123"/>
      <c r="F268" s="123"/>
      <c r="H268" s="103">
        <v>263</v>
      </c>
      <c r="I268" s="104" t="str">
        <f t="shared" si="31"/>
        <v/>
      </c>
      <c r="J268" s="103">
        <f t="shared" si="32"/>
        <v>-3</v>
      </c>
      <c r="K268" s="103">
        <f t="shared" si="33"/>
        <v>-30</v>
      </c>
      <c r="L268" s="103"/>
      <c r="M268" s="105">
        <f t="shared" si="34"/>
        <v>0</v>
      </c>
      <c r="N268" s="105">
        <f t="shared" si="35"/>
        <v>0</v>
      </c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  <c r="AM268" s="93"/>
    </row>
    <row r="269" spans="1:39" s="88" customFormat="1">
      <c r="A269" s="106">
        <f t="shared" si="30"/>
        <v>0</v>
      </c>
      <c r="B269" s="123"/>
      <c r="C269" s="123"/>
      <c r="D269" s="123"/>
      <c r="E269" s="123"/>
      <c r="F269" s="123"/>
      <c r="H269" s="103">
        <v>264</v>
      </c>
      <c r="I269" s="104" t="str">
        <f t="shared" si="31"/>
        <v/>
      </c>
      <c r="J269" s="103">
        <f t="shared" si="32"/>
        <v>-3</v>
      </c>
      <c r="K269" s="103">
        <f t="shared" si="33"/>
        <v>-30</v>
      </c>
      <c r="L269" s="103"/>
      <c r="M269" s="105">
        <f t="shared" si="34"/>
        <v>0</v>
      </c>
      <c r="N269" s="105">
        <f t="shared" si="35"/>
        <v>0</v>
      </c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  <c r="AM269" s="93"/>
    </row>
    <row r="270" spans="1:39" s="88" customFormat="1">
      <c r="A270" s="102">
        <f t="shared" si="30"/>
        <v>0</v>
      </c>
      <c r="B270" s="123"/>
      <c r="C270" s="123"/>
      <c r="D270" s="123"/>
      <c r="E270" s="123"/>
      <c r="F270" s="123"/>
      <c r="H270" s="103">
        <v>265</v>
      </c>
      <c r="I270" s="104" t="str">
        <f t="shared" si="31"/>
        <v/>
      </c>
      <c r="J270" s="103">
        <f t="shared" si="32"/>
        <v>-3</v>
      </c>
      <c r="K270" s="103">
        <f t="shared" si="33"/>
        <v>-30</v>
      </c>
      <c r="L270" s="103"/>
      <c r="M270" s="105">
        <f t="shared" si="34"/>
        <v>0</v>
      </c>
      <c r="N270" s="105">
        <f t="shared" si="35"/>
        <v>0</v>
      </c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  <c r="AM270" s="93"/>
    </row>
    <row r="271" spans="1:39" s="88" customFormat="1">
      <c r="A271" s="106">
        <f t="shared" si="30"/>
        <v>0</v>
      </c>
      <c r="B271" s="123"/>
      <c r="C271" s="123"/>
      <c r="D271" s="123"/>
      <c r="E271" s="123"/>
      <c r="F271" s="123"/>
      <c r="H271" s="103">
        <v>266</v>
      </c>
      <c r="I271" s="104" t="str">
        <f t="shared" si="31"/>
        <v/>
      </c>
      <c r="J271" s="103">
        <f t="shared" si="32"/>
        <v>-3</v>
      </c>
      <c r="K271" s="103">
        <f t="shared" si="33"/>
        <v>-30</v>
      </c>
      <c r="L271" s="103"/>
      <c r="M271" s="105">
        <f t="shared" si="34"/>
        <v>0</v>
      </c>
      <c r="N271" s="105">
        <f t="shared" si="35"/>
        <v>0</v>
      </c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  <c r="AM271" s="93"/>
    </row>
    <row r="272" spans="1:39" s="88" customFormat="1">
      <c r="A272" s="102">
        <f t="shared" si="30"/>
        <v>0</v>
      </c>
      <c r="B272" s="123"/>
      <c r="C272" s="123"/>
      <c r="D272" s="123"/>
      <c r="E272" s="123"/>
      <c r="F272" s="123"/>
      <c r="H272" s="103">
        <v>267</v>
      </c>
      <c r="I272" s="104" t="str">
        <f t="shared" si="31"/>
        <v/>
      </c>
      <c r="J272" s="103">
        <f t="shared" si="32"/>
        <v>-3</v>
      </c>
      <c r="K272" s="103">
        <f t="shared" si="33"/>
        <v>-30</v>
      </c>
      <c r="L272" s="103"/>
      <c r="M272" s="105">
        <f t="shared" si="34"/>
        <v>0</v>
      </c>
      <c r="N272" s="105">
        <f t="shared" si="35"/>
        <v>0</v>
      </c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  <c r="AM272" s="93"/>
    </row>
    <row r="273" spans="1:39" s="88" customFormat="1">
      <c r="A273" s="106">
        <f t="shared" si="30"/>
        <v>0</v>
      </c>
      <c r="B273" s="123"/>
      <c r="C273" s="123"/>
      <c r="D273" s="123"/>
      <c r="E273" s="123"/>
      <c r="F273" s="123"/>
      <c r="H273" s="103">
        <v>268</v>
      </c>
      <c r="I273" s="104" t="str">
        <f t="shared" si="31"/>
        <v/>
      </c>
      <c r="J273" s="103">
        <f t="shared" si="32"/>
        <v>-3</v>
      </c>
      <c r="K273" s="103">
        <f t="shared" si="33"/>
        <v>-30</v>
      </c>
      <c r="L273" s="103"/>
      <c r="M273" s="105">
        <f t="shared" si="34"/>
        <v>0</v>
      </c>
      <c r="N273" s="105">
        <f t="shared" si="35"/>
        <v>0</v>
      </c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  <c r="AM273" s="93"/>
    </row>
    <row r="274" spans="1:39" s="88" customFormat="1">
      <c r="A274" s="102">
        <f t="shared" si="30"/>
        <v>0</v>
      </c>
      <c r="B274" s="123"/>
      <c r="C274" s="123"/>
      <c r="D274" s="123"/>
      <c r="E274" s="123"/>
      <c r="F274" s="123"/>
      <c r="H274" s="103">
        <v>269</v>
      </c>
      <c r="I274" s="104" t="str">
        <f t="shared" si="31"/>
        <v/>
      </c>
      <c r="J274" s="103">
        <f t="shared" si="32"/>
        <v>-3</v>
      </c>
      <c r="K274" s="103">
        <f t="shared" si="33"/>
        <v>-30</v>
      </c>
      <c r="L274" s="103"/>
      <c r="M274" s="105">
        <f t="shared" si="34"/>
        <v>0</v>
      </c>
      <c r="N274" s="105">
        <f t="shared" si="35"/>
        <v>0</v>
      </c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  <c r="AM274" s="93"/>
    </row>
    <row r="275" spans="1:39" s="88" customFormat="1">
      <c r="A275" s="106">
        <f t="shared" si="30"/>
        <v>0</v>
      </c>
      <c r="B275" s="123"/>
      <c r="C275" s="123"/>
      <c r="D275" s="123"/>
      <c r="E275" s="123"/>
      <c r="F275" s="123"/>
      <c r="H275" s="103">
        <v>270</v>
      </c>
      <c r="I275" s="104" t="str">
        <f t="shared" si="31"/>
        <v/>
      </c>
      <c r="J275" s="103">
        <f t="shared" si="32"/>
        <v>-3</v>
      </c>
      <c r="K275" s="103">
        <f t="shared" si="33"/>
        <v>-30</v>
      </c>
      <c r="L275" s="103"/>
      <c r="M275" s="105">
        <f t="shared" si="34"/>
        <v>0</v>
      </c>
      <c r="N275" s="105">
        <f t="shared" si="35"/>
        <v>0</v>
      </c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  <c r="AM275" s="93"/>
    </row>
    <row r="276" spans="1:39" s="88" customFormat="1">
      <c r="A276" s="102">
        <f t="shared" si="30"/>
        <v>0</v>
      </c>
      <c r="B276" s="123"/>
      <c r="C276" s="123"/>
      <c r="D276" s="123"/>
      <c r="E276" s="123"/>
      <c r="F276" s="123"/>
      <c r="H276" s="103">
        <v>271</v>
      </c>
      <c r="I276" s="104" t="str">
        <f t="shared" si="31"/>
        <v/>
      </c>
      <c r="J276" s="103">
        <f t="shared" si="32"/>
        <v>-3</v>
      </c>
      <c r="K276" s="103">
        <f t="shared" si="33"/>
        <v>-30</v>
      </c>
      <c r="L276" s="103"/>
      <c r="M276" s="105">
        <f t="shared" si="34"/>
        <v>0</v>
      </c>
      <c r="N276" s="105">
        <f t="shared" si="35"/>
        <v>0</v>
      </c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  <c r="AM276" s="93"/>
    </row>
    <row r="277" spans="1:39" s="88" customFormat="1">
      <c r="A277" s="106">
        <f t="shared" si="30"/>
        <v>0</v>
      </c>
      <c r="B277" s="123"/>
      <c r="C277" s="123"/>
      <c r="D277" s="123"/>
      <c r="E277" s="123"/>
      <c r="F277" s="123"/>
      <c r="H277" s="103">
        <v>272</v>
      </c>
      <c r="I277" s="104" t="str">
        <f t="shared" si="31"/>
        <v/>
      </c>
      <c r="J277" s="103">
        <f t="shared" si="32"/>
        <v>-3</v>
      </c>
      <c r="K277" s="103">
        <f t="shared" si="33"/>
        <v>-30</v>
      </c>
      <c r="L277" s="103"/>
      <c r="M277" s="105">
        <f t="shared" si="34"/>
        <v>0</v>
      </c>
      <c r="N277" s="105">
        <f t="shared" si="35"/>
        <v>0</v>
      </c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  <c r="AM277" s="93"/>
    </row>
    <row r="278" spans="1:39" s="88" customFormat="1">
      <c r="A278" s="102">
        <f t="shared" si="30"/>
        <v>0</v>
      </c>
      <c r="B278" s="123"/>
      <c r="C278" s="123"/>
      <c r="D278" s="123"/>
      <c r="E278" s="123"/>
      <c r="F278" s="123"/>
      <c r="H278" s="103">
        <v>273</v>
      </c>
      <c r="I278" s="104" t="str">
        <f t="shared" si="31"/>
        <v/>
      </c>
      <c r="J278" s="103">
        <f t="shared" si="32"/>
        <v>-3</v>
      </c>
      <c r="K278" s="103">
        <f t="shared" si="33"/>
        <v>-30</v>
      </c>
      <c r="L278" s="103"/>
      <c r="M278" s="105">
        <f t="shared" si="34"/>
        <v>0</v>
      </c>
      <c r="N278" s="105">
        <f t="shared" si="35"/>
        <v>0</v>
      </c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  <c r="AM278" s="93"/>
    </row>
    <row r="279" spans="1:39" s="88" customFormat="1">
      <c r="A279" s="106">
        <f t="shared" si="30"/>
        <v>0</v>
      </c>
      <c r="B279" s="123"/>
      <c r="C279" s="123"/>
      <c r="D279" s="123"/>
      <c r="E279" s="123"/>
      <c r="F279" s="123"/>
      <c r="H279" s="103">
        <v>274</v>
      </c>
      <c r="I279" s="104" t="str">
        <f t="shared" si="31"/>
        <v/>
      </c>
      <c r="J279" s="103">
        <f t="shared" si="32"/>
        <v>-3</v>
      </c>
      <c r="K279" s="103">
        <f t="shared" si="33"/>
        <v>-30</v>
      </c>
      <c r="L279" s="103"/>
      <c r="M279" s="105">
        <f t="shared" si="34"/>
        <v>0</v>
      </c>
      <c r="N279" s="105">
        <f t="shared" si="35"/>
        <v>0</v>
      </c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  <c r="AM279" s="93"/>
    </row>
    <row r="280" spans="1:39" s="88" customFormat="1">
      <c r="A280" s="102">
        <f t="shared" si="30"/>
        <v>0</v>
      </c>
      <c r="B280" s="123"/>
      <c r="C280" s="123"/>
      <c r="D280" s="123"/>
      <c r="E280" s="123"/>
      <c r="F280" s="123"/>
      <c r="H280" s="103">
        <v>275</v>
      </c>
      <c r="I280" s="104" t="str">
        <f t="shared" si="31"/>
        <v/>
      </c>
      <c r="J280" s="103">
        <f t="shared" si="32"/>
        <v>-3</v>
      </c>
      <c r="K280" s="103">
        <f t="shared" si="33"/>
        <v>-30</v>
      </c>
      <c r="L280" s="103"/>
      <c r="M280" s="105">
        <f t="shared" si="34"/>
        <v>0</v>
      </c>
      <c r="N280" s="105">
        <f t="shared" si="35"/>
        <v>0</v>
      </c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  <c r="AM280" s="93"/>
    </row>
    <row r="281" spans="1:39" s="88" customFormat="1">
      <c r="A281" s="106">
        <f t="shared" si="30"/>
        <v>0</v>
      </c>
      <c r="B281" s="123"/>
      <c r="C281" s="123"/>
      <c r="D281" s="123"/>
      <c r="E281" s="123"/>
      <c r="F281" s="123"/>
      <c r="H281" s="103">
        <v>276</v>
      </c>
      <c r="I281" s="104" t="str">
        <f t="shared" si="31"/>
        <v/>
      </c>
      <c r="J281" s="103">
        <f t="shared" si="32"/>
        <v>-3</v>
      </c>
      <c r="K281" s="103">
        <f t="shared" si="33"/>
        <v>-30</v>
      </c>
      <c r="L281" s="103"/>
      <c r="M281" s="105">
        <f t="shared" si="34"/>
        <v>0</v>
      </c>
      <c r="N281" s="105">
        <f t="shared" si="35"/>
        <v>0</v>
      </c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  <c r="AM281" s="93"/>
    </row>
    <row r="282" spans="1:39" s="88" customFormat="1">
      <c r="A282" s="102">
        <f t="shared" si="30"/>
        <v>0</v>
      </c>
      <c r="B282" s="123"/>
      <c r="C282" s="123"/>
      <c r="D282" s="123"/>
      <c r="E282" s="123"/>
      <c r="F282" s="123"/>
      <c r="H282" s="103">
        <v>277</v>
      </c>
      <c r="I282" s="104" t="str">
        <f t="shared" si="31"/>
        <v/>
      </c>
      <c r="J282" s="103">
        <f t="shared" si="32"/>
        <v>-3</v>
      </c>
      <c r="K282" s="103">
        <f t="shared" si="33"/>
        <v>-30</v>
      </c>
      <c r="L282" s="103"/>
      <c r="M282" s="105">
        <f t="shared" si="34"/>
        <v>0</v>
      </c>
      <c r="N282" s="105">
        <f t="shared" si="35"/>
        <v>0</v>
      </c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  <c r="AM282" s="93"/>
    </row>
    <row r="283" spans="1:39" s="88" customFormat="1">
      <c r="A283" s="106">
        <f t="shared" si="30"/>
        <v>0</v>
      </c>
      <c r="B283" s="123"/>
      <c r="C283" s="123"/>
      <c r="D283" s="123"/>
      <c r="E283" s="123"/>
      <c r="F283" s="123"/>
      <c r="H283" s="103">
        <v>278</v>
      </c>
      <c r="I283" s="104" t="str">
        <f t="shared" si="31"/>
        <v/>
      </c>
      <c r="J283" s="103">
        <f t="shared" si="32"/>
        <v>-3</v>
      </c>
      <c r="K283" s="103">
        <f t="shared" si="33"/>
        <v>-30</v>
      </c>
      <c r="L283" s="103"/>
      <c r="M283" s="105">
        <f t="shared" si="34"/>
        <v>0</v>
      </c>
      <c r="N283" s="105">
        <f t="shared" si="35"/>
        <v>0</v>
      </c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  <c r="AM283" s="93"/>
    </row>
    <row r="284" spans="1:39" s="88" customFormat="1">
      <c r="A284" s="102">
        <f t="shared" si="30"/>
        <v>0</v>
      </c>
      <c r="B284" s="123"/>
      <c r="C284" s="123"/>
      <c r="D284" s="123"/>
      <c r="E284" s="123"/>
      <c r="F284" s="123"/>
      <c r="H284" s="103">
        <v>279</v>
      </c>
      <c r="I284" s="104" t="str">
        <f t="shared" si="31"/>
        <v/>
      </c>
      <c r="J284" s="103">
        <f t="shared" si="32"/>
        <v>-3</v>
      </c>
      <c r="K284" s="103">
        <f t="shared" si="33"/>
        <v>-30</v>
      </c>
      <c r="L284" s="103"/>
      <c r="M284" s="105">
        <f t="shared" si="34"/>
        <v>0</v>
      </c>
      <c r="N284" s="105">
        <f t="shared" si="35"/>
        <v>0</v>
      </c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  <c r="AM284" s="93"/>
    </row>
    <row r="285" spans="1:39" s="88" customFormat="1">
      <c r="A285" s="106">
        <f t="shared" si="30"/>
        <v>0</v>
      </c>
      <c r="B285" s="123"/>
      <c r="C285" s="123"/>
      <c r="D285" s="123"/>
      <c r="E285" s="123"/>
      <c r="F285" s="123"/>
      <c r="H285" s="103">
        <v>280</v>
      </c>
      <c r="I285" s="104" t="str">
        <f t="shared" si="31"/>
        <v/>
      </c>
      <c r="J285" s="103">
        <f t="shared" si="32"/>
        <v>-3</v>
      </c>
      <c r="K285" s="103">
        <f t="shared" si="33"/>
        <v>-30</v>
      </c>
      <c r="L285" s="103"/>
      <c r="M285" s="105">
        <f t="shared" si="34"/>
        <v>0</v>
      </c>
      <c r="N285" s="105">
        <f t="shared" si="35"/>
        <v>0</v>
      </c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  <c r="AM285" s="93"/>
    </row>
    <row r="286" spans="1:39" s="88" customFormat="1">
      <c r="A286" s="102">
        <f t="shared" si="30"/>
        <v>0</v>
      </c>
      <c r="B286" s="123"/>
      <c r="C286" s="123"/>
      <c r="D286" s="123"/>
      <c r="E286" s="123"/>
      <c r="F286" s="123"/>
      <c r="H286" s="103">
        <v>281</v>
      </c>
      <c r="I286" s="104" t="str">
        <f t="shared" si="31"/>
        <v/>
      </c>
      <c r="J286" s="103">
        <f t="shared" si="32"/>
        <v>-3</v>
      </c>
      <c r="K286" s="103">
        <f t="shared" si="33"/>
        <v>-30</v>
      </c>
      <c r="L286" s="103"/>
      <c r="M286" s="105">
        <f t="shared" si="34"/>
        <v>0</v>
      </c>
      <c r="N286" s="105">
        <f t="shared" si="35"/>
        <v>0</v>
      </c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  <c r="AM286" s="93"/>
    </row>
    <row r="287" spans="1:39" s="88" customFormat="1">
      <c r="A287" s="106">
        <f t="shared" si="30"/>
        <v>0</v>
      </c>
      <c r="B287" s="123"/>
      <c r="C287" s="123"/>
      <c r="D287" s="123"/>
      <c r="E287" s="123"/>
      <c r="F287" s="123"/>
      <c r="H287" s="103">
        <v>282</v>
      </c>
      <c r="I287" s="104" t="str">
        <f t="shared" si="31"/>
        <v/>
      </c>
      <c r="J287" s="103">
        <f t="shared" si="32"/>
        <v>-3</v>
      </c>
      <c r="K287" s="103">
        <f t="shared" si="33"/>
        <v>-30</v>
      </c>
      <c r="L287" s="103"/>
      <c r="M287" s="105">
        <f t="shared" si="34"/>
        <v>0</v>
      </c>
      <c r="N287" s="105">
        <f t="shared" si="35"/>
        <v>0</v>
      </c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  <c r="AM287" s="93"/>
    </row>
    <row r="288" spans="1:39" s="88" customFormat="1">
      <c r="A288" s="102">
        <f t="shared" si="30"/>
        <v>0</v>
      </c>
      <c r="B288" s="123"/>
      <c r="C288" s="123"/>
      <c r="D288" s="123"/>
      <c r="E288" s="123"/>
      <c r="F288" s="123"/>
      <c r="H288" s="103">
        <v>283</v>
      </c>
      <c r="I288" s="104" t="str">
        <f t="shared" si="31"/>
        <v/>
      </c>
      <c r="J288" s="103">
        <f t="shared" si="32"/>
        <v>-3</v>
      </c>
      <c r="K288" s="103">
        <f t="shared" si="33"/>
        <v>-30</v>
      </c>
      <c r="L288" s="103"/>
      <c r="M288" s="105">
        <f t="shared" si="34"/>
        <v>0</v>
      </c>
      <c r="N288" s="105">
        <f t="shared" si="35"/>
        <v>0</v>
      </c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  <c r="AM288" s="93"/>
    </row>
    <row r="289" spans="1:39" s="88" customFormat="1">
      <c r="A289" s="106">
        <f t="shared" si="30"/>
        <v>0</v>
      </c>
      <c r="B289" s="123"/>
      <c r="C289" s="123"/>
      <c r="D289" s="123"/>
      <c r="E289" s="123"/>
      <c r="F289" s="123"/>
      <c r="H289" s="103">
        <v>284</v>
      </c>
      <c r="I289" s="104" t="str">
        <f t="shared" si="31"/>
        <v/>
      </c>
      <c r="J289" s="103">
        <f t="shared" si="32"/>
        <v>-3</v>
      </c>
      <c r="K289" s="103">
        <f t="shared" si="33"/>
        <v>-30</v>
      </c>
      <c r="L289" s="103"/>
      <c r="M289" s="105">
        <f t="shared" si="34"/>
        <v>0</v>
      </c>
      <c r="N289" s="105">
        <f t="shared" si="35"/>
        <v>0</v>
      </c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  <c r="AM289" s="93"/>
    </row>
    <row r="290" spans="1:39" s="88" customFormat="1">
      <c r="A290" s="102">
        <f t="shared" si="30"/>
        <v>0</v>
      </c>
      <c r="B290" s="123"/>
      <c r="C290" s="123"/>
      <c r="D290" s="123"/>
      <c r="E290" s="123"/>
      <c r="F290" s="123"/>
      <c r="H290" s="103">
        <v>285</v>
      </c>
      <c r="I290" s="104" t="str">
        <f t="shared" si="31"/>
        <v/>
      </c>
      <c r="J290" s="103">
        <f t="shared" si="32"/>
        <v>-3</v>
      </c>
      <c r="K290" s="103">
        <f t="shared" si="33"/>
        <v>-30</v>
      </c>
      <c r="L290" s="103"/>
      <c r="M290" s="105">
        <f t="shared" si="34"/>
        <v>0</v>
      </c>
      <c r="N290" s="105">
        <f t="shared" si="35"/>
        <v>0</v>
      </c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  <c r="AM290" s="93"/>
    </row>
    <row r="291" spans="1:39" s="88" customFormat="1">
      <c r="A291" s="106">
        <f t="shared" si="30"/>
        <v>0</v>
      </c>
      <c r="B291" s="123"/>
      <c r="C291" s="123"/>
      <c r="D291" s="123"/>
      <c r="E291" s="123"/>
      <c r="F291" s="123"/>
      <c r="H291" s="103">
        <v>286</v>
      </c>
      <c r="I291" s="104" t="str">
        <f t="shared" si="31"/>
        <v/>
      </c>
      <c r="J291" s="103">
        <f t="shared" si="32"/>
        <v>-3</v>
      </c>
      <c r="K291" s="103">
        <f t="shared" si="33"/>
        <v>-30</v>
      </c>
      <c r="L291" s="103"/>
      <c r="M291" s="105">
        <f t="shared" si="34"/>
        <v>0</v>
      </c>
      <c r="N291" s="105">
        <f t="shared" si="35"/>
        <v>0</v>
      </c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  <c r="AM291" s="93"/>
    </row>
    <row r="292" spans="1:39" s="88" customFormat="1">
      <c r="A292" s="102">
        <f t="shared" si="30"/>
        <v>0</v>
      </c>
      <c r="B292" s="123"/>
      <c r="C292" s="123"/>
      <c r="D292" s="123"/>
      <c r="E292" s="123"/>
      <c r="F292" s="123"/>
      <c r="H292" s="103">
        <v>287</v>
      </c>
      <c r="I292" s="104" t="str">
        <f t="shared" si="31"/>
        <v/>
      </c>
      <c r="J292" s="103">
        <f t="shared" si="32"/>
        <v>-3</v>
      </c>
      <c r="K292" s="103">
        <f t="shared" si="33"/>
        <v>-30</v>
      </c>
      <c r="L292" s="103"/>
      <c r="M292" s="105">
        <f t="shared" si="34"/>
        <v>0</v>
      </c>
      <c r="N292" s="105">
        <f t="shared" si="35"/>
        <v>0</v>
      </c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  <c r="AM292" s="93"/>
    </row>
    <row r="293" spans="1:39" s="88" customFormat="1">
      <c r="A293" s="106">
        <f t="shared" si="30"/>
        <v>0</v>
      </c>
      <c r="B293" s="123"/>
      <c r="C293" s="123"/>
      <c r="D293" s="123"/>
      <c r="E293" s="123"/>
      <c r="F293" s="123"/>
      <c r="H293" s="103">
        <v>288</v>
      </c>
      <c r="I293" s="104" t="str">
        <f t="shared" si="31"/>
        <v/>
      </c>
      <c r="J293" s="103">
        <f t="shared" si="32"/>
        <v>-3</v>
      </c>
      <c r="K293" s="103">
        <f t="shared" si="33"/>
        <v>-30</v>
      </c>
      <c r="L293" s="103"/>
      <c r="M293" s="105">
        <f t="shared" si="34"/>
        <v>0</v>
      </c>
      <c r="N293" s="105">
        <f t="shared" si="35"/>
        <v>0</v>
      </c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  <c r="AM293" s="93"/>
    </row>
    <row r="294" spans="1:39" s="88" customFormat="1">
      <c r="A294" s="102">
        <f t="shared" si="30"/>
        <v>0</v>
      </c>
      <c r="B294" s="123"/>
      <c r="C294" s="123"/>
      <c r="D294" s="123"/>
      <c r="E294" s="123"/>
      <c r="F294" s="123"/>
      <c r="H294" s="103">
        <v>289</v>
      </c>
      <c r="I294" s="104" t="str">
        <f t="shared" si="31"/>
        <v/>
      </c>
      <c r="J294" s="103">
        <f t="shared" si="32"/>
        <v>-3</v>
      </c>
      <c r="K294" s="103">
        <f t="shared" si="33"/>
        <v>-30</v>
      </c>
      <c r="L294" s="103"/>
      <c r="M294" s="105">
        <f t="shared" si="34"/>
        <v>0</v>
      </c>
      <c r="N294" s="105">
        <f t="shared" si="35"/>
        <v>0</v>
      </c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  <c r="AM294" s="93"/>
    </row>
    <row r="295" spans="1:39" s="88" customFormat="1">
      <c r="A295" s="106">
        <f t="shared" si="30"/>
        <v>0</v>
      </c>
      <c r="B295" s="123"/>
      <c r="C295" s="123"/>
      <c r="D295" s="123"/>
      <c r="E295" s="123"/>
      <c r="F295" s="123"/>
      <c r="H295" s="103">
        <v>290</v>
      </c>
      <c r="I295" s="104" t="str">
        <f t="shared" si="31"/>
        <v/>
      </c>
      <c r="J295" s="103">
        <f t="shared" si="32"/>
        <v>-3</v>
      </c>
      <c r="K295" s="103">
        <f t="shared" si="33"/>
        <v>-30</v>
      </c>
      <c r="L295" s="103"/>
      <c r="M295" s="105">
        <f t="shared" si="34"/>
        <v>0</v>
      </c>
      <c r="N295" s="105">
        <f t="shared" si="35"/>
        <v>0</v>
      </c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  <c r="AM295" s="93"/>
    </row>
    <row r="296" spans="1:39" s="88" customFormat="1">
      <c r="A296" s="102">
        <f t="shared" si="30"/>
        <v>0</v>
      </c>
      <c r="B296" s="123"/>
      <c r="C296" s="123"/>
      <c r="D296" s="123"/>
      <c r="E296" s="123"/>
      <c r="F296" s="123"/>
      <c r="H296" s="103">
        <v>291</v>
      </c>
      <c r="I296" s="104" t="str">
        <f t="shared" si="31"/>
        <v/>
      </c>
      <c r="J296" s="103">
        <f t="shared" si="32"/>
        <v>-3</v>
      </c>
      <c r="K296" s="103">
        <f t="shared" si="33"/>
        <v>-30</v>
      </c>
      <c r="L296" s="103"/>
      <c r="M296" s="105">
        <f t="shared" si="34"/>
        <v>0</v>
      </c>
      <c r="N296" s="105">
        <f t="shared" si="35"/>
        <v>0</v>
      </c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  <c r="AM296" s="93"/>
    </row>
    <row r="297" spans="1:39" s="88" customFormat="1">
      <c r="A297" s="106">
        <f t="shared" si="30"/>
        <v>0</v>
      </c>
      <c r="B297" s="123"/>
      <c r="C297" s="123"/>
      <c r="D297" s="123"/>
      <c r="E297" s="123"/>
      <c r="F297" s="123"/>
      <c r="H297" s="103">
        <v>292</v>
      </c>
      <c r="I297" s="104" t="str">
        <f t="shared" si="31"/>
        <v/>
      </c>
      <c r="J297" s="103">
        <f t="shared" si="32"/>
        <v>-3</v>
      </c>
      <c r="K297" s="103">
        <f t="shared" si="33"/>
        <v>-30</v>
      </c>
      <c r="L297" s="103"/>
      <c r="M297" s="105">
        <f t="shared" si="34"/>
        <v>0</v>
      </c>
      <c r="N297" s="105">
        <f t="shared" si="35"/>
        <v>0</v>
      </c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  <c r="AM297" s="93"/>
    </row>
    <row r="298" spans="1:39" s="88" customFormat="1">
      <c r="A298" s="102">
        <f t="shared" si="30"/>
        <v>0</v>
      </c>
      <c r="B298" s="123"/>
      <c r="C298" s="123"/>
      <c r="D298" s="123"/>
      <c r="E298" s="123"/>
      <c r="F298" s="123"/>
      <c r="H298" s="103">
        <v>293</v>
      </c>
      <c r="I298" s="104" t="str">
        <f t="shared" si="31"/>
        <v/>
      </c>
      <c r="J298" s="103">
        <f t="shared" si="32"/>
        <v>-3</v>
      </c>
      <c r="K298" s="103">
        <f t="shared" si="33"/>
        <v>-30</v>
      </c>
      <c r="L298" s="103"/>
      <c r="M298" s="105">
        <f t="shared" si="34"/>
        <v>0</v>
      </c>
      <c r="N298" s="105">
        <f t="shared" si="35"/>
        <v>0</v>
      </c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  <c r="AM298" s="93"/>
    </row>
    <row r="299" spans="1:39" s="88" customFormat="1">
      <c r="A299" s="106">
        <f t="shared" si="30"/>
        <v>0</v>
      </c>
      <c r="B299" s="123"/>
      <c r="C299" s="123"/>
      <c r="D299" s="123"/>
      <c r="E299" s="123"/>
      <c r="F299" s="123"/>
      <c r="H299" s="103">
        <v>294</v>
      </c>
      <c r="I299" s="104" t="str">
        <f t="shared" si="31"/>
        <v/>
      </c>
      <c r="J299" s="103">
        <f t="shared" si="32"/>
        <v>-3</v>
      </c>
      <c r="K299" s="103">
        <f t="shared" si="33"/>
        <v>-30</v>
      </c>
      <c r="L299" s="103"/>
      <c r="M299" s="105">
        <f t="shared" si="34"/>
        <v>0</v>
      </c>
      <c r="N299" s="105">
        <f t="shared" si="35"/>
        <v>0</v>
      </c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  <c r="AM299" s="93"/>
    </row>
    <row r="300" spans="1:39" s="88" customFormat="1">
      <c r="A300" s="102">
        <f t="shared" si="30"/>
        <v>0</v>
      </c>
      <c r="B300" s="123"/>
      <c r="C300" s="123"/>
      <c r="D300" s="123"/>
      <c r="E300" s="123"/>
      <c r="F300" s="123"/>
      <c r="H300" s="103">
        <v>295</v>
      </c>
      <c r="I300" s="104" t="str">
        <f t="shared" si="31"/>
        <v/>
      </c>
      <c r="J300" s="103">
        <f t="shared" si="32"/>
        <v>-3</v>
      </c>
      <c r="K300" s="103">
        <f t="shared" si="33"/>
        <v>-30</v>
      </c>
      <c r="L300" s="103"/>
      <c r="M300" s="105">
        <f t="shared" si="34"/>
        <v>0</v>
      </c>
      <c r="N300" s="105">
        <f t="shared" si="35"/>
        <v>0</v>
      </c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</row>
    <row r="301" spans="1:39" s="88" customFormat="1">
      <c r="A301" s="106">
        <f t="shared" si="30"/>
        <v>0</v>
      </c>
      <c r="B301" s="123"/>
      <c r="C301" s="123"/>
      <c r="D301" s="123"/>
      <c r="E301" s="123"/>
      <c r="F301" s="123"/>
      <c r="H301" s="103">
        <v>296</v>
      </c>
      <c r="I301" s="104" t="str">
        <f t="shared" si="31"/>
        <v/>
      </c>
      <c r="J301" s="103">
        <f t="shared" si="32"/>
        <v>-3</v>
      </c>
      <c r="K301" s="103">
        <f t="shared" si="33"/>
        <v>-30</v>
      </c>
      <c r="L301" s="103"/>
      <c r="M301" s="105">
        <f t="shared" si="34"/>
        <v>0</v>
      </c>
      <c r="N301" s="105">
        <f t="shared" si="35"/>
        <v>0</v>
      </c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  <c r="AM301" s="93"/>
    </row>
    <row r="302" spans="1:39" s="88" customFormat="1">
      <c r="A302" s="102">
        <f t="shared" si="30"/>
        <v>0</v>
      </c>
      <c r="B302" s="123"/>
      <c r="C302" s="123"/>
      <c r="D302" s="123"/>
      <c r="E302" s="123"/>
      <c r="F302" s="123"/>
      <c r="H302" s="103">
        <v>297</v>
      </c>
      <c r="I302" s="104" t="str">
        <f t="shared" si="31"/>
        <v/>
      </c>
      <c r="J302" s="103">
        <f t="shared" si="32"/>
        <v>-3</v>
      </c>
      <c r="K302" s="103">
        <f t="shared" si="33"/>
        <v>-30</v>
      </c>
      <c r="L302" s="103"/>
      <c r="M302" s="105">
        <f t="shared" si="34"/>
        <v>0</v>
      </c>
      <c r="N302" s="105">
        <f t="shared" si="35"/>
        <v>0</v>
      </c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  <c r="AM302" s="93"/>
    </row>
    <row r="303" spans="1:39" s="88" customFormat="1">
      <c r="A303" s="106">
        <f t="shared" si="30"/>
        <v>0</v>
      </c>
      <c r="B303" s="123"/>
      <c r="C303" s="123"/>
      <c r="D303" s="123"/>
      <c r="E303" s="123"/>
      <c r="F303" s="123"/>
      <c r="H303" s="103">
        <v>298</v>
      </c>
      <c r="I303" s="104" t="str">
        <f t="shared" si="31"/>
        <v/>
      </c>
      <c r="J303" s="103">
        <f t="shared" si="32"/>
        <v>-3</v>
      </c>
      <c r="K303" s="103">
        <f t="shared" si="33"/>
        <v>-30</v>
      </c>
      <c r="L303" s="103"/>
      <c r="M303" s="105">
        <f t="shared" si="34"/>
        <v>0</v>
      </c>
      <c r="N303" s="105">
        <f t="shared" si="35"/>
        <v>0</v>
      </c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  <c r="AM303" s="93"/>
    </row>
    <row r="304" spans="1:39" s="88" customFormat="1">
      <c r="A304" s="102">
        <f t="shared" si="30"/>
        <v>0</v>
      </c>
      <c r="B304" s="123"/>
      <c r="C304" s="123"/>
      <c r="D304" s="123"/>
      <c r="E304" s="123"/>
      <c r="F304" s="123"/>
      <c r="H304" s="103">
        <v>299</v>
      </c>
      <c r="I304" s="104" t="str">
        <f t="shared" si="31"/>
        <v/>
      </c>
      <c r="J304" s="103">
        <f t="shared" si="32"/>
        <v>-3</v>
      </c>
      <c r="K304" s="103">
        <f t="shared" si="33"/>
        <v>-30</v>
      </c>
      <c r="L304" s="103"/>
      <c r="M304" s="105">
        <f t="shared" si="34"/>
        <v>0</v>
      </c>
      <c r="N304" s="105">
        <f t="shared" si="35"/>
        <v>0</v>
      </c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  <c r="AM304" s="93"/>
    </row>
    <row r="305" spans="1:39" s="88" customFormat="1">
      <c r="A305" s="106">
        <f t="shared" si="30"/>
        <v>0</v>
      </c>
      <c r="B305" s="123"/>
      <c r="C305" s="123"/>
      <c r="D305" s="123"/>
      <c r="E305" s="123"/>
      <c r="F305" s="123"/>
      <c r="H305" s="103">
        <v>300</v>
      </c>
      <c r="I305" s="104" t="str">
        <f t="shared" si="31"/>
        <v/>
      </c>
      <c r="J305" s="103">
        <f t="shared" si="32"/>
        <v>-3</v>
      </c>
      <c r="K305" s="103">
        <f t="shared" si="33"/>
        <v>-30</v>
      </c>
      <c r="L305" s="103"/>
      <c r="M305" s="105">
        <f t="shared" si="34"/>
        <v>0</v>
      </c>
      <c r="N305" s="105">
        <f t="shared" si="35"/>
        <v>0</v>
      </c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  <c r="AM305" s="93"/>
    </row>
    <row r="306" spans="1:39" s="88" customFormat="1">
      <c r="A306" s="125"/>
      <c r="B306" s="123"/>
      <c r="C306" s="123"/>
      <c r="D306" s="123"/>
      <c r="E306" s="123"/>
      <c r="F306" s="123"/>
      <c r="G306" s="123"/>
      <c r="H306" s="126"/>
      <c r="I306" s="126"/>
      <c r="J306" s="126"/>
      <c r="K306" s="126"/>
      <c r="L306" s="126"/>
      <c r="M306" s="126"/>
      <c r="N306" s="127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  <c r="AM306" s="93"/>
    </row>
    <row r="314" spans="1:39" s="88" customFormat="1">
      <c r="A314" s="123"/>
      <c r="B314" s="123"/>
      <c r="C314" s="123"/>
      <c r="D314" s="123"/>
      <c r="E314" s="123"/>
      <c r="F314" s="123"/>
      <c r="G314" s="123"/>
      <c r="H314" s="126"/>
      <c r="I314" s="126"/>
      <c r="J314" s="126"/>
      <c r="K314" s="126"/>
      <c r="L314" s="128"/>
      <c r="M314" s="128"/>
      <c r="N314" s="127"/>
      <c r="Q314" s="115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  <c r="AM314" s="93"/>
    </row>
    <row r="315" spans="1:39" s="88" customFormat="1">
      <c r="A315" s="123"/>
      <c r="B315" s="123"/>
      <c r="C315" s="123"/>
      <c r="D315" s="123"/>
      <c r="E315" s="123"/>
      <c r="F315" s="123"/>
      <c r="G315" s="123"/>
      <c r="H315" s="126"/>
      <c r="I315" s="126"/>
      <c r="J315" s="126"/>
      <c r="K315" s="126"/>
      <c r="L315" s="128"/>
      <c r="M315" s="128"/>
      <c r="N315" s="127"/>
      <c r="Q315" s="115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  <c r="AM315" s="93"/>
    </row>
    <row r="316" spans="1:39" s="88" customFormat="1">
      <c r="A316" s="123"/>
      <c r="B316" s="123"/>
      <c r="C316" s="123"/>
      <c r="D316" s="123"/>
      <c r="E316" s="123"/>
      <c r="F316" s="123"/>
      <c r="G316" s="123"/>
      <c r="H316" s="126"/>
      <c r="I316" s="126"/>
      <c r="J316" s="126"/>
      <c r="K316" s="126"/>
      <c r="L316" s="128"/>
      <c r="M316" s="128"/>
      <c r="N316" s="127"/>
      <c r="Q316" s="115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  <c r="AM316" s="93"/>
    </row>
    <row r="317" spans="1:39" s="88" customFormat="1">
      <c r="A317" s="123"/>
      <c r="B317" s="123"/>
      <c r="C317" s="123"/>
      <c r="D317" s="123"/>
      <c r="E317" s="123"/>
      <c r="F317" s="123"/>
      <c r="G317" s="123"/>
      <c r="H317" s="126"/>
      <c r="I317" s="126"/>
      <c r="J317" s="126"/>
      <c r="K317" s="126"/>
      <c r="L317" s="128"/>
      <c r="M317" s="128"/>
      <c r="N317" s="127"/>
      <c r="Q317" s="115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  <c r="AM317" s="93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CE09CB32-036E-469F-BB08-A685C52B786A}"/>
    <hyperlink ref="C2:D2" r:id="rId2" display="Thionville" xr:uid="{C6419CCA-8773-482C-94E7-E2F83FB25A38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2024-06-30T19:59:30Z</dcterms:modified>
  <cp:category/>
  <cp:contentStatus/>
</cp:coreProperties>
</file>